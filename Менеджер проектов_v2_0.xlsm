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ЭтаКнига" hidePivotFieldList="1" defaultThemeVersion="164011"/>
  <bookViews>
    <workbookView showSheetTabs="0" xWindow="0" yWindow="0" windowWidth="22260" windowHeight="12645" activeTab="2"/>
  </bookViews>
  <sheets>
    <sheet name="Сводовая" sheetId="15" r:id="rId1"/>
    <sheet name="Стена задач" sheetId="12" r:id="rId2"/>
    <sheet name="Календарь задач" sheetId="16" r:id="rId3"/>
    <sheet name="Aux" sheetId="4" r:id="rId4"/>
    <sheet name="Aux2" sheetId="11" r:id="rId5"/>
    <sheet name="List" sheetId="8" r:id="rId6"/>
  </sheets>
  <definedNames>
    <definedName name="_xlcn.WorksheetConnection_Запрос1_31" hidden="1">Запрос1_3[]</definedName>
    <definedName name="ExternalData_1" localSheetId="0" hidden="1">Сводовая!$C$6:$N$13</definedName>
    <definedName name="_xlnm.Print_Area" localSheetId="2">'Календарь задач'!$A$1:$AM$47</definedName>
    <definedName name="Срез_Выполнено_в_срок">#N/A</definedName>
    <definedName name="Срез_Исполнитель">#N/A</definedName>
    <definedName name="Срез_Название_доски_Проект">#N/A</definedName>
    <definedName name="Срез_Приоритет">#N/A</definedName>
  </definedNames>
  <calcPr calcId="162913"/>
  <pivotCaches>
    <pivotCache cacheId="27"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Запрос1_3-b8c65118-f6f6-4fa1-bece-4324280731c5" name="Запрос1_3" connection="WorksheetConnection_Запрос1_3"/>
        </x15:modelTables>
      </x15:dataModel>
    </ext>
  </extLst>
</workbook>
</file>

<file path=xl/calcChain.xml><?xml version="1.0" encoding="utf-8"?>
<calcChain xmlns="http://schemas.openxmlformats.org/spreadsheetml/2006/main">
  <c r="B10000" i="4" l="1"/>
  <c r="B9999" i="4"/>
  <c r="B9998" i="4"/>
  <c r="B9997" i="4"/>
  <c r="B9996" i="4"/>
  <c r="B9995" i="4"/>
  <c r="B9994" i="4"/>
  <c r="B9993" i="4"/>
  <c r="B9992" i="4"/>
  <c r="B9991" i="4"/>
  <c r="B9990" i="4"/>
  <c r="B9989" i="4"/>
  <c r="B9988" i="4"/>
  <c r="B9987" i="4"/>
  <c r="B9986" i="4"/>
  <c r="B9985" i="4"/>
  <c r="B9984" i="4"/>
  <c r="B9983" i="4"/>
  <c r="B9982" i="4"/>
  <c r="B9981" i="4"/>
  <c r="B9980" i="4"/>
  <c r="B9979" i="4"/>
  <c r="B9978" i="4"/>
  <c r="B9977" i="4"/>
  <c r="B9976" i="4"/>
  <c r="B9975" i="4"/>
  <c r="B9974" i="4"/>
  <c r="B9973" i="4"/>
  <c r="B9972" i="4"/>
  <c r="B9971" i="4"/>
  <c r="B9970" i="4"/>
  <c r="B9969" i="4"/>
  <c r="B9968" i="4"/>
  <c r="B9967" i="4"/>
  <c r="B9966" i="4"/>
  <c r="B9965" i="4"/>
  <c r="B9964" i="4"/>
  <c r="B9963" i="4"/>
  <c r="B9962" i="4"/>
  <c r="B9961" i="4"/>
  <c r="B9960" i="4"/>
  <c r="B9959" i="4"/>
  <c r="B9958" i="4"/>
  <c r="B9957" i="4"/>
  <c r="B9956" i="4"/>
  <c r="B9955" i="4"/>
  <c r="B9954" i="4"/>
  <c r="B9953" i="4"/>
  <c r="B9952" i="4"/>
  <c r="B9951" i="4"/>
  <c r="B9950" i="4"/>
  <c r="B9949" i="4"/>
  <c r="B9948" i="4"/>
  <c r="B9947" i="4"/>
  <c r="B9946" i="4"/>
  <c r="B9945" i="4"/>
  <c r="B9944" i="4"/>
  <c r="B9943" i="4"/>
  <c r="B9942" i="4"/>
  <c r="B9941" i="4"/>
  <c r="B9940" i="4"/>
  <c r="B9939" i="4"/>
  <c r="B9938" i="4"/>
  <c r="B9937" i="4"/>
  <c r="B9936" i="4"/>
  <c r="B9935" i="4"/>
  <c r="B9934" i="4"/>
  <c r="B9933" i="4"/>
  <c r="B9932" i="4"/>
  <c r="B9931" i="4"/>
  <c r="B9930" i="4"/>
  <c r="B9929" i="4"/>
  <c r="B9928" i="4"/>
  <c r="B9927" i="4"/>
  <c r="B9926" i="4"/>
  <c r="B9925" i="4"/>
  <c r="B9924" i="4"/>
  <c r="B9923" i="4"/>
  <c r="B9922" i="4"/>
  <c r="B9921" i="4"/>
  <c r="B9920" i="4"/>
  <c r="B9919" i="4"/>
  <c r="B9918" i="4"/>
  <c r="B9917" i="4"/>
  <c r="B9916" i="4"/>
  <c r="B9915" i="4"/>
  <c r="B9914" i="4"/>
  <c r="B9913" i="4"/>
  <c r="B9912" i="4"/>
  <c r="B9911" i="4"/>
  <c r="B9910" i="4"/>
  <c r="B9909" i="4"/>
  <c r="B9908" i="4"/>
  <c r="B9907" i="4"/>
  <c r="B9906" i="4"/>
  <c r="B9905" i="4"/>
  <c r="B9904" i="4"/>
  <c r="B9903" i="4"/>
  <c r="B9902" i="4"/>
  <c r="B9901" i="4"/>
  <c r="B9900" i="4"/>
  <c r="B9899" i="4"/>
  <c r="B9898" i="4"/>
  <c r="B9897" i="4"/>
  <c r="B9896" i="4"/>
  <c r="B9895" i="4"/>
  <c r="B9894" i="4"/>
  <c r="B9893" i="4"/>
  <c r="B9892" i="4"/>
  <c r="B9891" i="4"/>
  <c r="B9890" i="4"/>
  <c r="B9889" i="4"/>
  <c r="B9888" i="4"/>
  <c r="B9887" i="4"/>
  <c r="B9886" i="4"/>
  <c r="B9885" i="4"/>
  <c r="B9884" i="4"/>
  <c r="B9883" i="4"/>
  <c r="B9882" i="4"/>
  <c r="B9881" i="4"/>
  <c r="B9880" i="4"/>
  <c r="B9879" i="4"/>
  <c r="B9878" i="4"/>
  <c r="B9877" i="4"/>
  <c r="B9876" i="4"/>
  <c r="B9875" i="4"/>
  <c r="B9874" i="4"/>
  <c r="B9873" i="4"/>
  <c r="B9872" i="4"/>
  <c r="B9871" i="4"/>
  <c r="B9870" i="4"/>
  <c r="B9869" i="4"/>
  <c r="B9868" i="4"/>
  <c r="B9867" i="4"/>
  <c r="B9866" i="4"/>
  <c r="B9865" i="4"/>
  <c r="B9864" i="4"/>
  <c r="B9863" i="4"/>
  <c r="B9862" i="4"/>
  <c r="B9861" i="4"/>
  <c r="B9860" i="4"/>
  <c r="B9859" i="4"/>
  <c r="B9858" i="4"/>
  <c r="B9857" i="4"/>
  <c r="B9856" i="4"/>
  <c r="B9855" i="4"/>
  <c r="B9854" i="4"/>
  <c r="B9853" i="4"/>
  <c r="B9852" i="4"/>
  <c r="B9851" i="4"/>
  <c r="B9850" i="4"/>
  <c r="B9849" i="4"/>
  <c r="B9848" i="4"/>
  <c r="B9847" i="4"/>
  <c r="B9846" i="4"/>
  <c r="B9845" i="4"/>
  <c r="B9844" i="4"/>
  <c r="B9843" i="4"/>
  <c r="B9842" i="4"/>
  <c r="B9841" i="4"/>
  <c r="B9840" i="4"/>
  <c r="B9839" i="4"/>
  <c r="B9838" i="4"/>
  <c r="B9837" i="4"/>
  <c r="B9836" i="4"/>
  <c r="B9835" i="4"/>
  <c r="B9834" i="4"/>
  <c r="B9833" i="4"/>
  <c r="B9832" i="4"/>
  <c r="B9831" i="4"/>
  <c r="B9830" i="4"/>
  <c r="B9829" i="4"/>
  <c r="B9828" i="4"/>
  <c r="B9827" i="4"/>
  <c r="B9826" i="4"/>
  <c r="B9825" i="4"/>
  <c r="B9824" i="4"/>
  <c r="B9823" i="4"/>
  <c r="B9822" i="4"/>
  <c r="B9821" i="4"/>
  <c r="B9820" i="4"/>
  <c r="B9819" i="4"/>
  <c r="B9818" i="4"/>
  <c r="B9817" i="4"/>
  <c r="B9816" i="4"/>
  <c r="B9815" i="4"/>
  <c r="B9814" i="4"/>
  <c r="B9813" i="4"/>
  <c r="B9812" i="4"/>
  <c r="B9811" i="4"/>
  <c r="B9810" i="4"/>
  <c r="B9809" i="4"/>
  <c r="B9808" i="4"/>
  <c r="B9807" i="4"/>
  <c r="B9806" i="4"/>
  <c r="B9805" i="4"/>
  <c r="B9804" i="4"/>
  <c r="B9803" i="4"/>
  <c r="B9802" i="4"/>
  <c r="B9801" i="4"/>
  <c r="B9800" i="4"/>
  <c r="B9799" i="4"/>
  <c r="B9798" i="4"/>
  <c r="B9797" i="4"/>
  <c r="B9796" i="4"/>
  <c r="B9795" i="4"/>
  <c r="B9794" i="4"/>
  <c r="B9793" i="4"/>
  <c r="B9792" i="4"/>
  <c r="B9791" i="4"/>
  <c r="B9790" i="4"/>
  <c r="B9789" i="4"/>
  <c r="B9788" i="4"/>
  <c r="B9787" i="4"/>
  <c r="B9786" i="4"/>
  <c r="B9785" i="4"/>
  <c r="B9784" i="4"/>
  <c r="B9783" i="4"/>
  <c r="B9782" i="4"/>
  <c r="B9781" i="4"/>
  <c r="B9780" i="4"/>
  <c r="B9779" i="4"/>
  <c r="B9778" i="4"/>
  <c r="B9777" i="4"/>
  <c r="B9776" i="4"/>
  <c r="B9775" i="4"/>
  <c r="B9774" i="4"/>
  <c r="B9773" i="4"/>
  <c r="B9772" i="4"/>
  <c r="B9771" i="4"/>
  <c r="B9770" i="4"/>
  <c r="B9769" i="4"/>
  <c r="B9768" i="4"/>
  <c r="B9767" i="4"/>
  <c r="B9766" i="4"/>
  <c r="B9765" i="4"/>
  <c r="B9764" i="4"/>
  <c r="B9763" i="4"/>
  <c r="B9762" i="4"/>
  <c r="B9761" i="4"/>
  <c r="B9760" i="4"/>
  <c r="B9759" i="4"/>
  <c r="B9758" i="4"/>
  <c r="B9757" i="4"/>
  <c r="B9756" i="4"/>
  <c r="B9755" i="4"/>
  <c r="B9754" i="4"/>
  <c r="B9753" i="4"/>
  <c r="B9752" i="4"/>
  <c r="B9751" i="4"/>
  <c r="B9750" i="4"/>
  <c r="B9749" i="4"/>
  <c r="B9748" i="4"/>
  <c r="B9747" i="4"/>
  <c r="B9746" i="4"/>
  <c r="B9745" i="4"/>
  <c r="B9744" i="4"/>
  <c r="B9743" i="4"/>
  <c r="B9742" i="4"/>
  <c r="B9741" i="4"/>
  <c r="B9740" i="4"/>
  <c r="B9739" i="4"/>
  <c r="B9738" i="4"/>
  <c r="B9737" i="4"/>
  <c r="B9736" i="4"/>
  <c r="B9735" i="4"/>
  <c r="B9734" i="4"/>
  <c r="B9733" i="4"/>
  <c r="B9732" i="4"/>
  <c r="B9731" i="4"/>
  <c r="B9730" i="4"/>
  <c r="B9729" i="4"/>
  <c r="B9728" i="4"/>
  <c r="B9727" i="4"/>
  <c r="B9726" i="4"/>
  <c r="B9725" i="4"/>
  <c r="B9724" i="4"/>
  <c r="B9723" i="4"/>
  <c r="B9722" i="4"/>
  <c r="B9721" i="4"/>
  <c r="B9720" i="4"/>
  <c r="B9719" i="4"/>
  <c r="B9718" i="4"/>
  <c r="B9717" i="4"/>
  <c r="B9716" i="4"/>
  <c r="B9715" i="4"/>
  <c r="B9714" i="4"/>
  <c r="B9713" i="4"/>
  <c r="B9712" i="4"/>
  <c r="B9711" i="4"/>
  <c r="B9710" i="4"/>
  <c r="B9709" i="4"/>
  <c r="B9708" i="4"/>
  <c r="B9707" i="4"/>
  <c r="B9706" i="4"/>
  <c r="B9705" i="4"/>
  <c r="B9704" i="4"/>
  <c r="B9703" i="4"/>
  <c r="B9702" i="4"/>
  <c r="B9701" i="4"/>
  <c r="B9700" i="4"/>
  <c r="B9699" i="4"/>
  <c r="B9698" i="4"/>
  <c r="B9697" i="4"/>
  <c r="B9696" i="4"/>
  <c r="B9695" i="4"/>
  <c r="B9694" i="4"/>
  <c r="B9693" i="4"/>
  <c r="B9692" i="4"/>
  <c r="B9691" i="4"/>
  <c r="B9690" i="4"/>
  <c r="B9689" i="4"/>
  <c r="B9688" i="4"/>
  <c r="B9687" i="4"/>
  <c r="B9686" i="4"/>
  <c r="B9685" i="4"/>
  <c r="B9684" i="4"/>
  <c r="B9683" i="4"/>
  <c r="B9682" i="4"/>
  <c r="B9681" i="4"/>
  <c r="B9680" i="4"/>
  <c r="B9679" i="4"/>
  <c r="B9678" i="4"/>
  <c r="B9677" i="4"/>
  <c r="B9676" i="4"/>
  <c r="B9675" i="4"/>
  <c r="B9674" i="4"/>
  <c r="B9673" i="4"/>
  <c r="B9672" i="4"/>
  <c r="B9671" i="4"/>
  <c r="B9670" i="4"/>
  <c r="B9669" i="4"/>
  <c r="B9668" i="4"/>
  <c r="B9667" i="4"/>
  <c r="B9666" i="4"/>
  <c r="B9665" i="4"/>
  <c r="B9664" i="4"/>
  <c r="B9663" i="4"/>
  <c r="B9662" i="4"/>
  <c r="B9661" i="4"/>
  <c r="B9660" i="4"/>
  <c r="B9659" i="4"/>
  <c r="B9658" i="4"/>
  <c r="B9657" i="4"/>
  <c r="B9656" i="4"/>
  <c r="B9655" i="4"/>
  <c r="B9654" i="4"/>
  <c r="B9653" i="4"/>
  <c r="B9652" i="4"/>
  <c r="B9651" i="4"/>
  <c r="B9650" i="4"/>
  <c r="B9649" i="4"/>
  <c r="B9648" i="4"/>
  <c r="B9647" i="4"/>
  <c r="B9646" i="4"/>
  <c r="B9645" i="4"/>
  <c r="B9644" i="4"/>
  <c r="B9643" i="4"/>
  <c r="B9642" i="4"/>
  <c r="B9641" i="4"/>
  <c r="B9640" i="4"/>
  <c r="B9639" i="4"/>
  <c r="B9638" i="4"/>
  <c r="B9637" i="4"/>
  <c r="B9636" i="4"/>
  <c r="B9635" i="4"/>
  <c r="B9634" i="4"/>
  <c r="B9633" i="4"/>
  <c r="B9632" i="4"/>
  <c r="B9631" i="4"/>
  <c r="B9630" i="4"/>
  <c r="B9629" i="4"/>
  <c r="B9628" i="4"/>
  <c r="B9627" i="4"/>
  <c r="B9626" i="4"/>
  <c r="B9625" i="4"/>
  <c r="B9624" i="4"/>
  <c r="B9623" i="4"/>
  <c r="B9622" i="4"/>
  <c r="B9621" i="4"/>
  <c r="B9620" i="4"/>
  <c r="B9619" i="4"/>
  <c r="B9618" i="4"/>
  <c r="B9617" i="4"/>
  <c r="B9616" i="4"/>
  <c r="B9615" i="4"/>
  <c r="B9614" i="4"/>
  <c r="B9613" i="4"/>
  <c r="B9612" i="4"/>
  <c r="B9611" i="4"/>
  <c r="B9610" i="4"/>
  <c r="B9609" i="4"/>
  <c r="B9608" i="4"/>
  <c r="B9607" i="4"/>
  <c r="B9606" i="4"/>
  <c r="B9605" i="4"/>
  <c r="B9604" i="4"/>
  <c r="B9603" i="4"/>
  <c r="B9602" i="4"/>
  <c r="B9601" i="4"/>
  <c r="B9600" i="4"/>
  <c r="B9599" i="4"/>
  <c r="B9598" i="4"/>
  <c r="B9597" i="4"/>
  <c r="B9596" i="4"/>
  <c r="B9595" i="4"/>
  <c r="B9594" i="4"/>
  <c r="B9593" i="4"/>
  <c r="B9592" i="4"/>
  <c r="B9591" i="4"/>
  <c r="B9590" i="4"/>
  <c r="B9589" i="4"/>
  <c r="B9588" i="4"/>
  <c r="B9587" i="4"/>
  <c r="B9586" i="4"/>
  <c r="B9585" i="4"/>
  <c r="B9584" i="4"/>
  <c r="B9583" i="4"/>
  <c r="B9582" i="4"/>
  <c r="B9581" i="4"/>
  <c r="B9580" i="4"/>
  <c r="B9579" i="4"/>
  <c r="B9578" i="4"/>
  <c r="B9577" i="4"/>
  <c r="B9576" i="4"/>
  <c r="B9575" i="4"/>
  <c r="B9574" i="4"/>
  <c r="B9573" i="4"/>
  <c r="B9572" i="4"/>
  <c r="B9571" i="4"/>
  <c r="B9570" i="4"/>
  <c r="B9569" i="4"/>
  <c r="B9568" i="4"/>
  <c r="B9567" i="4"/>
  <c r="B9566" i="4"/>
  <c r="B9565" i="4"/>
  <c r="B9564" i="4"/>
  <c r="B9563" i="4"/>
  <c r="B9562" i="4"/>
  <c r="B9561" i="4"/>
  <c r="B9560" i="4"/>
  <c r="B9559" i="4"/>
  <c r="B9558" i="4"/>
  <c r="B9557" i="4"/>
  <c r="B9556" i="4"/>
  <c r="B9555" i="4"/>
  <c r="B9554" i="4"/>
  <c r="B9553" i="4"/>
  <c r="B9552" i="4"/>
  <c r="B9551" i="4"/>
  <c r="B9550" i="4"/>
  <c r="B9549" i="4"/>
  <c r="B9548" i="4"/>
  <c r="B9547" i="4"/>
  <c r="B9546" i="4"/>
  <c r="B9545" i="4"/>
  <c r="B9544" i="4"/>
  <c r="B9543" i="4"/>
  <c r="B9542" i="4"/>
  <c r="B9541" i="4"/>
  <c r="B9540" i="4"/>
  <c r="B9539" i="4"/>
  <c r="B9538" i="4"/>
  <c r="B9537" i="4"/>
  <c r="B9536" i="4"/>
  <c r="B9535" i="4"/>
  <c r="B9534" i="4"/>
  <c r="B9533" i="4"/>
  <c r="B9532" i="4"/>
  <c r="B9531" i="4"/>
  <c r="B9530" i="4"/>
  <c r="B9529" i="4"/>
  <c r="B9528" i="4"/>
  <c r="B9527" i="4"/>
  <c r="B9526" i="4"/>
  <c r="B9525" i="4"/>
  <c r="B9524" i="4"/>
  <c r="B9523" i="4"/>
  <c r="B9522" i="4"/>
  <c r="B9521" i="4"/>
  <c r="B9520" i="4"/>
  <c r="B9519" i="4"/>
  <c r="B9518" i="4"/>
  <c r="B9517" i="4"/>
  <c r="B9516" i="4"/>
  <c r="B9515" i="4"/>
  <c r="B9514" i="4"/>
  <c r="B9513" i="4"/>
  <c r="B9512" i="4"/>
  <c r="B9511" i="4"/>
  <c r="B9510" i="4"/>
  <c r="B9509" i="4"/>
  <c r="B9508" i="4"/>
  <c r="B9507" i="4"/>
  <c r="B9506" i="4"/>
  <c r="B9505" i="4"/>
  <c r="B9504" i="4"/>
  <c r="B9503" i="4"/>
  <c r="B9502" i="4"/>
  <c r="B9501" i="4"/>
  <c r="B9500" i="4"/>
  <c r="B9499" i="4"/>
  <c r="B9498" i="4"/>
  <c r="B9497" i="4"/>
  <c r="B9496" i="4"/>
  <c r="B9495" i="4"/>
  <c r="B9494" i="4"/>
  <c r="B9493" i="4"/>
  <c r="B9492" i="4"/>
  <c r="B9491" i="4"/>
  <c r="B9490" i="4"/>
  <c r="B9489" i="4"/>
  <c r="B9488" i="4"/>
  <c r="B9487" i="4"/>
  <c r="B9486" i="4"/>
  <c r="B9485" i="4"/>
  <c r="B9484" i="4"/>
  <c r="B9483" i="4"/>
  <c r="B9482" i="4"/>
  <c r="B9481" i="4"/>
  <c r="B9480" i="4"/>
  <c r="B9479" i="4"/>
  <c r="B9478" i="4"/>
  <c r="B9477" i="4"/>
  <c r="B9476" i="4"/>
  <c r="B9475" i="4"/>
  <c r="B9474" i="4"/>
  <c r="B9473" i="4"/>
  <c r="B9472" i="4"/>
  <c r="B9471" i="4"/>
  <c r="B9470" i="4"/>
  <c r="B9469" i="4"/>
  <c r="B9468" i="4"/>
  <c r="B9467" i="4"/>
  <c r="B9466" i="4"/>
  <c r="B9465" i="4"/>
  <c r="B9464" i="4"/>
  <c r="B9463" i="4"/>
  <c r="B9462" i="4"/>
  <c r="B9461" i="4"/>
  <c r="B9460" i="4"/>
  <c r="B9459" i="4"/>
  <c r="B9458" i="4"/>
  <c r="B9457" i="4"/>
  <c r="B9456" i="4"/>
  <c r="B9455" i="4"/>
  <c r="B9454" i="4"/>
  <c r="B9453" i="4"/>
  <c r="B9452" i="4"/>
  <c r="B9451" i="4"/>
  <c r="B9450" i="4"/>
  <c r="B9449" i="4"/>
  <c r="B9448" i="4"/>
  <c r="B9447" i="4"/>
  <c r="B9446" i="4"/>
  <c r="B9445" i="4"/>
  <c r="B9444" i="4"/>
  <c r="B9443" i="4"/>
  <c r="B9442" i="4"/>
  <c r="B9441" i="4"/>
  <c r="B9440" i="4"/>
  <c r="B9439" i="4"/>
  <c r="B9438" i="4"/>
  <c r="B9437" i="4"/>
  <c r="B9436" i="4"/>
  <c r="B9435" i="4"/>
  <c r="B9434" i="4"/>
  <c r="B9433" i="4"/>
  <c r="B9432" i="4"/>
  <c r="B9431" i="4"/>
  <c r="B9430" i="4"/>
  <c r="B9429" i="4"/>
  <c r="B9428" i="4"/>
  <c r="B9427" i="4"/>
  <c r="B9426" i="4"/>
  <c r="B9425" i="4"/>
  <c r="B9424" i="4"/>
  <c r="B9423" i="4"/>
  <c r="B9422" i="4"/>
  <c r="B9421" i="4"/>
  <c r="B9420" i="4"/>
  <c r="B9419" i="4"/>
  <c r="B9418" i="4"/>
  <c r="B9417" i="4"/>
  <c r="B9416" i="4"/>
  <c r="B9415" i="4"/>
  <c r="B9414" i="4"/>
  <c r="B9413" i="4"/>
  <c r="B9412" i="4"/>
  <c r="B9411" i="4"/>
  <c r="B9410" i="4"/>
  <c r="B9409" i="4"/>
  <c r="B9408" i="4"/>
  <c r="B9407" i="4"/>
  <c r="B9406" i="4"/>
  <c r="B9405" i="4"/>
  <c r="B9404" i="4"/>
  <c r="B9403" i="4"/>
  <c r="B9402" i="4"/>
  <c r="B9401" i="4"/>
  <c r="B9400" i="4"/>
  <c r="B9399" i="4"/>
  <c r="B9398" i="4"/>
  <c r="B9397" i="4"/>
  <c r="B9396" i="4"/>
  <c r="B9395" i="4"/>
  <c r="B9394" i="4"/>
  <c r="B9393" i="4"/>
  <c r="B9392" i="4"/>
  <c r="B9391" i="4"/>
  <c r="B9390" i="4"/>
  <c r="B9389" i="4"/>
  <c r="B9388" i="4"/>
  <c r="B9387" i="4"/>
  <c r="B9386" i="4"/>
  <c r="B9385" i="4"/>
  <c r="B9384" i="4"/>
  <c r="B9383" i="4"/>
  <c r="B9382" i="4"/>
  <c r="B9381" i="4"/>
  <c r="B9380" i="4"/>
  <c r="B9379" i="4"/>
  <c r="B9378" i="4"/>
  <c r="B9377" i="4"/>
  <c r="B9376" i="4"/>
  <c r="B9375" i="4"/>
  <c r="B9374" i="4"/>
  <c r="B9373" i="4"/>
  <c r="B9372" i="4"/>
  <c r="B9371" i="4"/>
  <c r="B9370" i="4"/>
  <c r="B9369" i="4"/>
  <c r="B9368" i="4"/>
  <c r="B9367" i="4"/>
  <c r="B9366" i="4"/>
  <c r="B9365" i="4"/>
  <c r="B9364" i="4"/>
  <c r="B9363" i="4"/>
  <c r="B9362" i="4"/>
  <c r="B9361" i="4"/>
  <c r="B9360" i="4"/>
  <c r="B9359" i="4"/>
  <c r="B9358" i="4"/>
  <c r="B9357" i="4"/>
  <c r="B9356" i="4"/>
  <c r="B9355" i="4"/>
  <c r="B9354" i="4"/>
  <c r="B9353" i="4"/>
  <c r="B9352" i="4"/>
  <c r="B9351" i="4"/>
  <c r="B9350" i="4"/>
  <c r="B9349" i="4"/>
  <c r="B9348" i="4"/>
  <c r="B9347" i="4"/>
  <c r="B9346" i="4"/>
  <c r="B9345" i="4"/>
  <c r="B9344" i="4"/>
  <c r="B9343" i="4"/>
  <c r="B9342" i="4"/>
  <c r="B9341" i="4"/>
  <c r="B9340" i="4"/>
  <c r="B9339" i="4"/>
  <c r="B9338" i="4"/>
  <c r="B9337" i="4"/>
  <c r="B9336" i="4"/>
  <c r="B9335" i="4"/>
  <c r="B9334" i="4"/>
  <c r="B9333" i="4"/>
  <c r="B9332" i="4"/>
  <c r="B9331" i="4"/>
  <c r="B9330" i="4"/>
  <c r="B9329" i="4"/>
  <c r="B9328" i="4"/>
  <c r="B9327" i="4"/>
  <c r="B9326" i="4"/>
  <c r="B9325" i="4"/>
  <c r="B9324" i="4"/>
  <c r="B9323" i="4"/>
  <c r="B9322" i="4"/>
  <c r="B9321" i="4"/>
  <c r="B9320" i="4"/>
  <c r="B9319" i="4"/>
  <c r="B9318" i="4"/>
  <c r="B9317" i="4"/>
  <c r="B9316" i="4"/>
  <c r="B9315" i="4"/>
  <c r="B9314" i="4"/>
  <c r="B9313" i="4"/>
  <c r="B9312" i="4"/>
  <c r="B9311" i="4"/>
  <c r="B9310" i="4"/>
  <c r="B9309" i="4"/>
  <c r="B9308" i="4"/>
  <c r="B9307" i="4"/>
  <c r="B9306" i="4"/>
  <c r="B9305" i="4"/>
  <c r="B9304" i="4"/>
  <c r="B9303" i="4"/>
  <c r="B9302" i="4"/>
  <c r="B9301" i="4"/>
  <c r="B9300" i="4"/>
  <c r="B9299" i="4"/>
  <c r="B9298" i="4"/>
  <c r="B9297" i="4"/>
  <c r="B9296" i="4"/>
  <c r="B9295" i="4"/>
  <c r="B9294" i="4"/>
  <c r="B9293" i="4"/>
  <c r="B9292" i="4"/>
  <c r="B9291" i="4"/>
  <c r="B9290" i="4"/>
  <c r="B9289" i="4"/>
  <c r="B9288" i="4"/>
  <c r="B9287" i="4"/>
  <c r="B9286" i="4"/>
  <c r="B9285" i="4"/>
  <c r="B9284" i="4"/>
  <c r="B9283" i="4"/>
  <c r="B9282" i="4"/>
  <c r="B9281" i="4"/>
  <c r="B9280" i="4"/>
  <c r="B9279" i="4"/>
  <c r="B9278" i="4"/>
  <c r="B9277" i="4"/>
  <c r="B9276" i="4"/>
  <c r="B9275" i="4"/>
  <c r="B9274" i="4"/>
  <c r="B9273" i="4"/>
  <c r="B9272" i="4"/>
  <c r="B9271" i="4"/>
  <c r="B9270" i="4"/>
  <c r="B9269" i="4"/>
  <c r="B9268" i="4"/>
  <c r="B9267" i="4"/>
  <c r="B9266" i="4"/>
  <c r="B9265" i="4"/>
  <c r="B9264" i="4"/>
  <c r="B9263" i="4"/>
  <c r="B9262" i="4"/>
  <c r="B9261" i="4"/>
  <c r="B9260" i="4"/>
  <c r="B9259" i="4"/>
  <c r="B9258" i="4"/>
  <c r="B9257" i="4"/>
  <c r="B9256" i="4"/>
  <c r="B9255" i="4"/>
  <c r="B9254" i="4"/>
  <c r="B9253" i="4"/>
  <c r="B9252" i="4"/>
  <c r="B9251" i="4"/>
  <c r="B9250" i="4"/>
  <c r="B9249" i="4"/>
  <c r="B9248" i="4"/>
  <c r="B9247" i="4"/>
  <c r="B9246" i="4"/>
  <c r="B9245" i="4"/>
  <c r="B9244" i="4"/>
  <c r="B9243" i="4"/>
  <c r="B9242" i="4"/>
  <c r="B9241" i="4"/>
  <c r="B9240" i="4"/>
  <c r="B9239" i="4"/>
  <c r="B9238" i="4"/>
  <c r="B9237" i="4"/>
  <c r="B9236" i="4"/>
  <c r="B9235" i="4"/>
  <c r="B9234" i="4"/>
  <c r="B9233" i="4"/>
  <c r="B9232" i="4"/>
  <c r="B9231" i="4"/>
  <c r="B9230" i="4"/>
  <c r="B9229" i="4"/>
  <c r="B9228" i="4"/>
  <c r="B9227" i="4"/>
  <c r="B9226" i="4"/>
  <c r="B9225" i="4"/>
  <c r="B9224" i="4"/>
  <c r="B9223" i="4"/>
  <c r="B9222" i="4"/>
  <c r="B9221" i="4"/>
  <c r="B9220" i="4"/>
  <c r="B9219" i="4"/>
  <c r="B9218" i="4"/>
  <c r="B9217" i="4"/>
  <c r="B9216" i="4"/>
  <c r="B9215" i="4"/>
  <c r="B9214" i="4"/>
  <c r="B9213" i="4"/>
  <c r="B9212" i="4"/>
  <c r="B9211" i="4"/>
  <c r="B9210" i="4"/>
  <c r="B9209" i="4"/>
  <c r="B9208" i="4"/>
  <c r="B9207" i="4"/>
  <c r="B9206" i="4"/>
  <c r="B9205" i="4"/>
  <c r="B9204" i="4"/>
  <c r="B9203" i="4"/>
  <c r="B9202" i="4"/>
  <c r="B9201" i="4"/>
  <c r="B9200" i="4"/>
  <c r="B9199" i="4"/>
  <c r="B9198" i="4"/>
  <c r="B9197" i="4"/>
  <c r="B9196" i="4"/>
  <c r="B9195" i="4"/>
  <c r="B9194" i="4"/>
  <c r="B9193" i="4"/>
  <c r="B9192" i="4"/>
  <c r="B9191" i="4"/>
  <c r="B9190" i="4"/>
  <c r="B9189" i="4"/>
  <c r="B9188" i="4"/>
  <c r="B9187" i="4"/>
  <c r="B9186" i="4"/>
  <c r="B9185" i="4"/>
  <c r="B9184" i="4"/>
  <c r="B9183" i="4"/>
  <c r="B9182" i="4"/>
  <c r="B9181" i="4"/>
  <c r="B9180" i="4"/>
  <c r="B9179" i="4"/>
  <c r="B9178" i="4"/>
  <c r="B9177" i="4"/>
  <c r="B9176" i="4"/>
  <c r="B9175" i="4"/>
  <c r="B9174" i="4"/>
  <c r="B9173" i="4"/>
  <c r="B9172" i="4"/>
  <c r="B9171" i="4"/>
  <c r="B9170" i="4"/>
  <c r="B9169" i="4"/>
  <c r="B9168" i="4"/>
  <c r="B9167" i="4"/>
  <c r="B9166" i="4"/>
  <c r="B9165" i="4"/>
  <c r="B9164" i="4"/>
  <c r="B9163" i="4"/>
  <c r="B9162" i="4"/>
  <c r="B9161" i="4"/>
  <c r="B9160" i="4"/>
  <c r="B9159" i="4"/>
  <c r="B9158" i="4"/>
  <c r="B9157" i="4"/>
  <c r="B9156" i="4"/>
  <c r="B9155" i="4"/>
  <c r="B9154" i="4"/>
  <c r="B9153" i="4"/>
  <c r="B9152" i="4"/>
  <c r="B9151" i="4"/>
  <c r="B9150" i="4"/>
  <c r="B9149" i="4"/>
  <c r="B9148" i="4"/>
  <c r="B9147" i="4"/>
  <c r="B9146" i="4"/>
  <c r="B9145" i="4"/>
  <c r="B9144" i="4"/>
  <c r="B9143" i="4"/>
  <c r="B9142" i="4"/>
  <c r="B9141" i="4"/>
  <c r="B9140" i="4"/>
  <c r="B9139" i="4"/>
  <c r="B9138" i="4"/>
  <c r="B9137" i="4"/>
  <c r="B9136" i="4"/>
  <c r="B9135" i="4"/>
  <c r="B9134" i="4"/>
  <c r="B9133" i="4"/>
  <c r="B9132" i="4"/>
  <c r="B9131" i="4"/>
  <c r="B9130" i="4"/>
  <c r="B9129" i="4"/>
  <c r="B9128" i="4"/>
  <c r="B9127" i="4"/>
  <c r="B9126" i="4"/>
  <c r="B9125" i="4"/>
  <c r="B9124" i="4"/>
  <c r="B9123" i="4"/>
  <c r="B9122" i="4"/>
  <c r="B9121" i="4"/>
  <c r="B9120" i="4"/>
  <c r="B9119" i="4"/>
  <c r="B9118" i="4"/>
  <c r="B9117" i="4"/>
  <c r="B9116" i="4"/>
  <c r="B9115" i="4"/>
  <c r="B9114" i="4"/>
  <c r="B9113" i="4"/>
  <c r="B9112" i="4"/>
  <c r="B9111" i="4"/>
  <c r="B9110" i="4"/>
  <c r="B9109" i="4"/>
  <c r="B9108" i="4"/>
  <c r="B9107" i="4"/>
  <c r="B9106" i="4"/>
  <c r="B9105" i="4"/>
  <c r="B9104" i="4"/>
  <c r="B9103" i="4"/>
  <c r="B9102" i="4"/>
  <c r="B9101" i="4"/>
  <c r="B9100" i="4"/>
  <c r="B9099" i="4"/>
  <c r="B9098" i="4"/>
  <c r="B9097" i="4"/>
  <c r="B9096" i="4"/>
  <c r="B9095" i="4"/>
  <c r="B9094" i="4"/>
  <c r="B9093" i="4"/>
  <c r="B9092" i="4"/>
  <c r="B9091" i="4"/>
  <c r="B9090" i="4"/>
  <c r="B9089" i="4"/>
  <c r="B9088" i="4"/>
  <c r="B9087" i="4"/>
  <c r="B9086" i="4"/>
  <c r="B9085" i="4"/>
  <c r="B9084" i="4"/>
  <c r="B9083" i="4"/>
  <c r="B9082" i="4"/>
  <c r="B9081" i="4"/>
  <c r="B9080" i="4"/>
  <c r="B9079" i="4"/>
  <c r="B9078" i="4"/>
  <c r="B9077" i="4"/>
  <c r="B9076" i="4"/>
  <c r="B9075" i="4"/>
  <c r="B9074" i="4"/>
  <c r="B9073" i="4"/>
  <c r="B9072" i="4"/>
  <c r="B9071" i="4"/>
  <c r="B9070" i="4"/>
  <c r="B9069" i="4"/>
  <c r="B9068" i="4"/>
  <c r="B9067" i="4"/>
  <c r="B9066" i="4"/>
  <c r="B9065" i="4"/>
  <c r="B9064" i="4"/>
  <c r="B9063" i="4"/>
  <c r="B9062" i="4"/>
  <c r="B9061" i="4"/>
  <c r="B9060" i="4"/>
  <c r="B9059" i="4"/>
  <c r="B9058" i="4"/>
  <c r="B9057" i="4"/>
  <c r="B9056" i="4"/>
  <c r="B9055" i="4"/>
  <c r="B9054" i="4"/>
  <c r="B9053" i="4"/>
  <c r="B9052" i="4"/>
  <c r="B9051" i="4"/>
  <c r="B9050" i="4"/>
  <c r="B9049" i="4"/>
  <c r="B9048" i="4"/>
  <c r="B9047" i="4"/>
  <c r="B9046" i="4"/>
  <c r="B9045" i="4"/>
  <c r="B9044" i="4"/>
  <c r="B9043" i="4"/>
  <c r="B9042" i="4"/>
  <c r="B9041" i="4"/>
  <c r="B9040" i="4"/>
  <c r="B9039" i="4"/>
  <c r="B9038" i="4"/>
  <c r="B9037" i="4"/>
  <c r="B9036" i="4"/>
  <c r="B9035" i="4"/>
  <c r="B9034" i="4"/>
  <c r="B9033" i="4"/>
  <c r="B9032" i="4"/>
  <c r="B9031" i="4"/>
  <c r="B9030" i="4"/>
  <c r="B9029" i="4"/>
  <c r="B9028" i="4"/>
  <c r="B9027" i="4"/>
  <c r="B9026" i="4"/>
  <c r="B9025" i="4"/>
  <c r="B9024" i="4"/>
  <c r="B9023" i="4"/>
  <c r="B9022" i="4"/>
  <c r="B9021" i="4"/>
  <c r="B9020" i="4"/>
  <c r="B9019" i="4"/>
  <c r="B9018" i="4"/>
  <c r="B9017" i="4"/>
  <c r="B9016" i="4"/>
  <c r="B9015" i="4"/>
  <c r="B9014" i="4"/>
  <c r="B9013" i="4"/>
  <c r="B9012" i="4"/>
  <c r="B9011" i="4"/>
  <c r="B9010" i="4"/>
  <c r="B9009" i="4"/>
  <c r="B9008" i="4"/>
  <c r="B9007" i="4"/>
  <c r="B9006" i="4"/>
  <c r="B9005" i="4"/>
  <c r="B9004" i="4"/>
  <c r="B9003" i="4"/>
  <c r="B9002" i="4"/>
  <c r="B9001" i="4"/>
  <c r="B9000" i="4"/>
  <c r="B8999" i="4"/>
  <c r="B8998" i="4"/>
  <c r="B8997" i="4"/>
  <c r="B8996" i="4"/>
  <c r="B8995" i="4"/>
  <c r="B8994" i="4"/>
  <c r="B8993" i="4"/>
  <c r="B8992" i="4"/>
  <c r="B8991" i="4"/>
  <c r="B8990" i="4"/>
  <c r="B8989" i="4"/>
  <c r="B8988" i="4"/>
  <c r="B8987" i="4"/>
  <c r="B8986" i="4"/>
  <c r="B8985" i="4"/>
  <c r="B8984" i="4"/>
  <c r="B8983" i="4"/>
  <c r="B8982" i="4"/>
  <c r="B8981" i="4"/>
  <c r="B8980" i="4"/>
  <c r="B8979" i="4"/>
  <c r="B8978" i="4"/>
  <c r="B8977" i="4"/>
  <c r="B8976" i="4"/>
  <c r="B8975" i="4"/>
  <c r="B8974" i="4"/>
  <c r="B8973" i="4"/>
  <c r="B8972" i="4"/>
  <c r="B8971" i="4"/>
  <c r="B8970" i="4"/>
  <c r="B8969" i="4"/>
  <c r="B8968" i="4"/>
  <c r="B8967" i="4"/>
  <c r="B8966" i="4"/>
  <c r="B8965" i="4"/>
  <c r="B8964" i="4"/>
  <c r="B8963" i="4"/>
  <c r="B8962" i="4"/>
  <c r="B8961" i="4"/>
  <c r="B8960" i="4"/>
  <c r="B8959" i="4"/>
  <c r="B8958" i="4"/>
  <c r="B8957" i="4"/>
  <c r="B8956" i="4"/>
  <c r="B8955" i="4"/>
  <c r="B8954" i="4"/>
  <c r="B8953" i="4"/>
  <c r="B8952" i="4"/>
  <c r="B8951" i="4"/>
  <c r="B8950" i="4"/>
  <c r="B8949" i="4"/>
  <c r="B8948" i="4"/>
  <c r="B8947" i="4"/>
  <c r="B8946" i="4"/>
  <c r="B8945" i="4"/>
  <c r="B8944" i="4"/>
  <c r="B8943" i="4"/>
  <c r="B8942" i="4"/>
  <c r="B8941" i="4"/>
  <c r="B8940" i="4"/>
  <c r="B8939" i="4"/>
  <c r="B8938" i="4"/>
  <c r="B8937" i="4"/>
  <c r="B8936" i="4"/>
  <c r="B8935" i="4"/>
  <c r="B8934" i="4"/>
  <c r="B8933" i="4"/>
  <c r="B8932" i="4"/>
  <c r="B8931" i="4"/>
  <c r="B8930" i="4"/>
  <c r="B8929" i="4"/>
  <c r="B8928" i="4"/>
  <c r="B8927" i="4"/>
  <c r="B8926" i="4"/>
  <c r="B8925" i="4"/>
  <c r="B8924" i="4"/>
  <c r="B8923" i="4"/>
  <c r="B8922" i="4"/>
  <c r="B8921" i="4"/>
  <c r="B8920" i="4"/>
  <c r="B8919" i="4"/>
  <c r="B8918" i="4"/>
  <c r="B8917" i="4"/>
  <c r="B8916" i="4"/>
  <c r="B8915" i="4"/>
  <c r="B8914" i="4"/>
  <c r="B8913" i="4"/>
  <c r="B8912" i="4"/>
  <c r="B8911" i="4"/>
  <c r="B8910" i="4"/>
  <c r="B8909" i="4"/>
  <c r="B8908" i="4"/>
  <c r="B8907" i="4"/>
  <c r="B8906" i="4"/>
  <c r="B8905" i="4"/>
  <c r="B8904" i="4"/>
  <c r="B8903" i="4"/>
  <c r="B8902" i="4"/>
  <c r="B8901" i="4"/>
  <c r="B8900" i="4"/>
  <c r="B8899" i="4"/>
  <c r="B8898" i="4"/>
  <c r="B8897" i="4"/>
  <c r="B8896" i="4"/>
  <c r="B8895" i="4"/>
  <c r="B8894" i="4"/>
  <c r="B8893" i="4"/>
  <c r="B8892" i="4"/>
  <c r="B8891" i="4"/>
  <c r="B8890" i="4"/>
  <c r="B8889" i="4"/>
  <c r="B8888" i="4"/>
  <c r="B8887" i="4"/>
  <c r="B8886" i="4"/>
  <c r="B8885" i="4"/>
  <c r="B8884" i="4"/>
  <c r="B8883" i="4"/>
  <c r="B8882" i="4"/>
  <c r="B8881" i="4"/>
  <c r="B8880" i="4"/>
  <c r="B8879" i="4"/>
  <c r="B8878" i="4"/>
  <c r="B8877" i="4"/>
  <c r="B8876" i="4"/>
  <c r="B8875" i="4"/>
  <c r="B8874" i="4"/>
  <c r="B8873" i="4"/>
  <c r="B8872" i="4"/>
  <c r="B8871" i="4"/>
  <c r="B8870" i="4"/>
  <c r="B8869" i="4"/>
  <c r="B8868" i="4"/>
  <c r="B8867" i="4"/>
  <c r="B8866" i="4"/>
  <c r="B8865" i="4"/>
  <c r="B8864" i="4"/>
  <c r="B8863" i="4"/>
  <c r="B8862" i="4"/>
  <c r="B8861" i="4"/>
  <c r="B8860" i="4"/>
  <c r="B8859" i="4"/>
  <c r="B8858" i="4"/>
  <c r="B8857" i="4"/>
  <c r="B8856" i="4"/>
  <c r="B8855" i="4"/>
  <c r="B8854" i="4"/>
  <c r="B8853" i="4"/>
  <c r="B8852" i="4"/>
  <c r="B8851" i="4"/>
  <c r="B8850" i="4"/>
  <c r="B8849" i="4"/>
  <c r="B8848" i="4"/>
  <c r="B8847" i="4"/>
  <c r="B8846" i="4"/>
  <c r="B8845" i="4"/>
  <c r="B8844" i="4"/>
  <c r="B8843" i="4"/>
  <c r="B8842" i="4"/>
  <c r="B8841" i="4"/>
  <c r="B8840" i="4"/>
  <c r="B8839" i="4"/>
  <c r="B8838" i="4"/>
  <c r="B8837" i="4"/>
  <c r="B8836" i="4"/>
  <c r="B8835" i="4"/>
  <c r="B8834" i="4"/>
  <c r="B8833" i="4"/>
  <c r="B8832" i="4"/>
  <c r="B8831" i="4"/>
  <c r="B8830" i="4"/>
  <c r="B8829" i="4"/>
  <c r="B8828" i="4"/>
  <c r="B8827" i="4"/>
  <c r="B8826" i="4"/>
  <c r="B8825" i="4"/>
  <c r="B8824" i="4"/>
  <c r="B8823" i="4"/>
  <c r="B8822" i="4"/>
  <c r="B8821" i="4"/>
  <c r="B8820" i="4"/>
  <c r="B8819" i="4"/>
  <c r="B8818" i="4"/>
  <c r="B8817" i="4"/>
  <c r="B8816" i="4"/>
  <c r="B8815" i="4"/>
  <c r="B8814" i="4"/>
  <c r="B8813" i="4"/>
  <c r="B8812" i="4"/>
  <c r="B8811" i="4"/>
  <c r="B8810" i="4"/>
  <c r="B8809" i="4"/>
  <c r="B8808" i="4"/>
  <c r="B8807" i="4"/>
  <c r="B8806" i="4"/>
  <c r="B8805" i="4"/>
  <c r="B8804" i="4"/>
  <c r="B8803" i="4"/>
  <c r="B8802" i="4"/>
  <c r="B8801" i="4"/>
  <c r="B8800" i="4"/>
  <c r="B8799" i="4"/>
  <c r="B8798" i="4"/>
  <c r="B8797" i="4"/>
  <c r="B8796" i="4"/>
  <c r="B8795" i="4"/>
  <c r="B8794" i="4"/>
  <c r="B8793" i="4"/>
  <c r="B8792" i="4"/>
  <c r="B8791" i="4"/>
  <c r="B8790" i="4"/>
  <c r="B8789" i="4"/>
  <c r="B8788" i="4"/>
  <c r="B8787" i="4"/>
  <c r="B8786" i="4"/>
  <c r="B8785" i="4"/>
  <c r="B8784" i="4"/>
  <c r="B8783" i="4"/>
  <c r="B8782" i="4"/>
  <c r="B8781" i="4"/>
  <c r="B8780" i="4"/>
  <c r="B8779" i="4"/>
  <c r="B8778" i="4"/>
  <c r="B8777" i="4"/>
  <c r="B8776" i="4"/>
  <c r="B8775" i="4"/>
  <c r="B8774" i="4"/>
  <c r="B8773" i="4"/>
  <c r="B8772" i="4"/>
  <c r="B8771" i="4"/>
  <c r="B8770" i="4"/>
  <c r="B8769" i="4"/>
  <c r="B8768" i="4"/>
  <c r="B8767" i="4"/>
  <c r="B8766" i="4"/>
  <c r="B8765" i="4"/>
  <c r="B8764" i="4"/>
  <c r="B8763" i="4"/>
  <c r="B8762" i="4"/>
  <c r="B8761" i="4"/>
  <c r="B8760" i="4"/>
  <c r="B8759" i="4"/>
  <c r="B8758" i="4"/>
  <c r="B8757" i="4"/>
  <c r="B8756" i="4"/>
  <c r="B8755" i="4"/>
  <c r="B8754" i="4"/>
  <c r="B8753" i="4"/>
  <c r="B8752" i="4"/>
  <c r="B8751" i="4"/>
  <c r="B8750" i="4"/>
  <c r="B8749" i="4"/>
  <c r="B8748" i="4"/>
  <c r="B8747" i="4"/>
  <c r="B8746" i="4"/>
  <c r="B8745" i="4"/>
  <c r="B8744" i="4"/>
  <c r="B8743" i="4"/>
  <c r="B8742" i="4"/>
  <c r="B8741" i="4"/>
  <c r="B8740" i="4"/>
  <c r="B8739" i="4"/>
  <c r="B8738" i="4"/>
  <c r="B8737" i="4"/>
  <c r="B8736" i="4"/>
  <c r="B8735" i="4"/>
  <c r="B8734" i="4"/>
  <c r="B8733" i="4"/>
  <c r="B8732" i="4"/>
  <c r="B8731" i="4"/>
  <c r="B8730" i="4"/>
  <c r="B8729" i="4"/>
  <c r="B8728" i="4"/>
  <c r="B8727" i="4"/>
  <c r="B8726" i="4"/>
  <c r="B8725" i="4"/>
  <c r="B8724" i="4"/>
  <c r="B8723" i="4"/>
  <c r="B8722" i="4"/>
  <c r="B8721" i="4"/>
  <c r="B8720" i="4"/>
  <c r="B8719" i="4"/>
  <c r="B8718" i="4"/>
  <c r="B8717" i="4"/>
  <c r="B8716" i="4"/>
  <c r="B8715" i="4"/>
  <c r="B8714" i="4"/>
  <c r="B8713" i="4"/>
  <c r="B8712" i="4"/>
  <c r="B8711" i="4"/>
  <c r="B8710" i="4"/>
  <c r="B8709" i="4"/>
  <c r="B8708" i="4"/>
  <c r="B8707" i="4"/>
  <c r="B8706" i="4"/>
  <c r="B8705" i="4"/>
  <c r="B8704" i="4"/>
  <c r="B8703" i="4"/>
  <c r="B8702" i="4"/>
  <c r="B8701" i="4"/>
  <c r="B8700" i="4"/>
  <c r="B8699" i="4"/>
  <c r="B8698" i="4"/>
  <c r="B8697" i="4"/>
  <c r="B8696" i="4"/>
  <c r="B8695" i="4"/>
  <c r="B8694" i="4"/>
  <c r="B8693" i="4"/>
  <c r="B8692" i="4"/>
  <c r="B8691" i="4"/>
  <c r="B8690" i="4"/>
  <c r="B8689" i="4"/>
  <c r="B8688" i="4"/>
  <c r="B8687" i="4"/>
  <c r="B8686" i="4"/>
  <c r="B8685" i="4"/>
  <c r="B8684" i="4"/>
  <c r="B8683" i="4"/>
  <c r="B8682" i="4"/>
  <c r="B8681" i="4"/>
  <c r="B8680" i="4"/>
  <c r="B8679" i="4"/>
  <c r="B8678" i="4"/>
  <c r="B8677" i="4"/>
  <c r="B8676" i="4"/>
  <c r="B8675" i="4"/>
  <c r="B8674" i="4"/>
  <c r="B8673" i="4"/>
  <c r="B8672" i="4"/>
  <c r="B8671" i="4"/>
  <c r="B8670" i="4"/>
  <c r="B8669" i="4"/>
  <c r="B8668" i="4"/>
  <c r="B8667" i="4"/>
  <c r="B8666" i="4"/>
  <c r="B8665" i="4"/>
  <c r="B8664" i="4"/>
  <c r="B8663" i="4"/>
  <c r="B8662" i="4"/>
  <c r="B8661" i="4"/>
  <c r="B8660" i="4"/>
  <c r="B8659" i="4"/>
  <c r="B8658" i="4"/>
  <c r="B8657" i="4"/>
  <c r="B8656" i="4"/>
  <c r="B8655" i="4"/>
  <c r="B8654" i="4"/>
  <c r="B8653" i="4"/>
  <c r="B8652" i="4"/>
  <c r="B8651" i="4"/>
  <c r="B8650" i="4"/>
  <c r="B8649" i="4"/>
  <c r="B8648" i="4"/>
  <c r="B8647" i="4"/>
  <c r="B8646" i="4"/>
  <c r="B8645" i="4"/>
  <c r="B8644" i="4"/>
  <c r="B8643" i="4"/>
  <c r="B8642" i="4"/>
  <c r="B8641" i="4"/>
  <c r="B8640" i="4"/>
  <c r="B8639" i="4"/>
  <c r="B8638" i="4"/>
  <c r="B8637" i="4"/>
  <c r="B8636" i="4"/>
  <c r="B8635" i="4"/>
  <c r="B8634" i="4"/>
  <c r="B8633" i="4"/>
  <c r="B8632" i="4"/>
  <c r="B8631" i="4"/>
  <c r="B8630" i="4"/>
  <c r="B8629" i="4"/>
  <c r="B8628" i="4"/>
  <c r="B8627" i="4"/>
  <c r="B8626" i="4"/>
  <c r="B8625" i="4"/>
  <c r="B8624" i="4"/>
  <c r="B8623" i="4"/>
  <c r="B8622" i="4"/>
  <c r="B8621" i="4"/>
  <c r="B8620" i="4"/>
  <c r="B8619" i="4"/>
  <c r="B8618" i="4"/>
  <c r="B8617" i="4"/>
  <c r="B8616" i="4"/>
  <c r="B8615" i="4"/>
  <c r="B8614" i="4"/>
  <c r="B8613" i="4"/>
  <c r="B8612" i="4"/>
  <c r="B8611" i="4"/>
  <c r="B8610" i="4"/>
  <c r="B8609" i="4"/>
  <c r="B8608" i="4"/>
  <c r="B8607" i="4"/>
  <c r="B8606" i="4"/>
  <c r="B8605" i="4"/>
  <c r="B8604" i="4"/>
  <c r="B8603" i="4"/>
  <c r="B8602" i="4"/>
  <c r="B8601" i="4"/>
  <c r="B8600" i="4"/>
  <c r="B8599" i="4"/>
  <c r="B8598" i="4"/>
  <c r="B8597" i="4"/>
  <c r="B8596" i="4"/>
  <c r="B8595" i="4"/>
  <c r="B8594" i="4"/>
  <c r="B8593" i="4"/>
  <c r="B8592" i="4"/>
  <c r="B8591" i="4"/>
  <c r="B8590" i="4"/>
  <c r="B8589" i="4"/>
  <c r="B8588" i="4"/>
  <c r="B8587" i="4"/>
  <c r="B8586" i="4"/>
  <c r="B8585" i="4"/>
  <c r="B8584" i="4"/>
  <c r="B8583" i="4"/>
  <c r="B8582" i="4"/>
  <c r="B8581" i="4"/>
  <c r="B8580" i="4"/>
  <c r="B8579" i="4"/>
  <c r="B8578" i="4"/>
  <c r="B8577" i="4"/>
  <c r="B8576" i="4"/>
  <c r="B8575" i="4"/>
  <c r="B8574" i="4"/>
  <c r="B8573" i="4"/>
  <c r="B8572" i="4"/>
  <c r="B8571" i="4"/>
  <c r="B8570" i="4"/>
  <c r="B8569" i="4"/>
  <c r="B8568" i="4"/>
  <c r="B8567" i="4"/>
  <c r="B8566" i="4"/>
  <c r="B8565" i="4"/>
  <c r="B8564" i="4"/>
  <c r="B8563" i="4"/>
  <c r="B8562" i="4"/>
  <c r="B8561" i="4"/>
  <c r="B8560" i="4"/>
  <c r="B8559" i="4"/>
  <c r="B8558" i="4"/>
  <c r="B8557" i="4"/>
  <c r="B8556" i="4"/>
  <c r="B8555" i="4"/>
  <c r="B8554" i="4"/>
  <c r="B8553" i="4"/>
  <c r="B8552" i="4"/>
  <c r="B8551" i="4"/>
  <c r="B8550" i="4"/>
  <c r="B8549" i="4"/>
  <c r="B8548" i="4"/>
  <c r="B8547" i="4"/>
  <c r="B8546" i="4"/>
  <c r="B8545" i="4"/>
  <c r="B8544" i="4"/>
  <c r="B8543" i="4"/>
  <c r="B8542" i="4"/>
  <c r="B8541" i="4"/>
  <c r="B8540" i="4"/>
  <c r="B8539" i="4"/>
  <c r="B8538" i="4"/>
  <c r="B8537" i="4"/>
  <c r="B8536" i="4"/>
  <c r="B8535" i="4"/>
  <c r="B8534" i="4"/>
  <c r="B8533" i="4"/>
  <c r="B8532" i="4"/>
  <c r="B8531" i="4"/>
  <c r="B8530" i="4"/>
  <c r="B8529" i="4"/>
  <c r="B8528" i="4"/>
  <c r="B8527" i="4"/>
  <c r="B8526" i="4"/>
  <c r="B8525" i="4"/>
  <c r="B8524" i="4"/>
  <c r="B8523" i="4"/>
  <c r="B8522" i="4"/>
  <c r="B8521" i="4"/>
  <c r="B8520" i="4"/>
  <c r="B8519" i="4"/>
  <c r="B8518" i="4"/>
  <c r="B8517" i="4"/>
  <c r="B8516" i="4"/>
  <c r="B8515" i="4"/>
  <c r="B8514" i="4"/>
  <c r="B8513" i="4"/>
  <c r="B8512" i="4"/>
  <c r="B8511" i="4"/>
  <c r="B8510" i="4"/>
  <c r="B8509" i="4"/>
  <c r="B8508" i="4"/>
  <c r="B8507" i="4"/>
  <c r="B8506" i="4"/>
  <c r="B8505" i="4"/>
  <c r="B8504" i="4"/>
  <c r="B8503" i="4"/>
  <c r="B8502" i="4"/>
  <c r="B8501" i="4"/>
  <c r="B8500" i="4"/>
  <c r="B8499" i="4"/>
  <c r="B8498" i="4"/>
  <c r="B8497" i="4"/>
  <c r="B8496" i="4"/>
  <c r="B8495" i="4"/>
  <c r="B8494" i="4"/>
  <c r="B8493" i="4"/>
  <c r="B8492" i="4"/>
  <c r="B8491" i="4"/>
  <c r="B8490" i="4"/>
  <c r="B8489" i="4"/>
  <c r="B8488" i="4"/>
  <c r="B8487" i="4"/>
  <c r="B8486" i="4"/>
  <c r="B8485" i="4"/>
  <c r="B8484" i="4"/>
  <c r="B8483" i="4"/>
  <c r="B8482" i="4"/>
  <c r="B8481" i="4"/>
  <c r="B8480" i="4"/>
  <c r="B8479" i="4"/>
  <c r="B8478" i="4"/>
  <c r="B8477" i="4"/>
  <c r="B8476" i="4"/>
  <c r="B8475" i="4"/>
  <c r="B8474" i="4"/>
  <c r="B8473" i="4"/>
  <c r="B8472" i="4"/>
  <c r="B8471" i="4"/>
  <c r="B8470" i="4"/>
  <c r="B8469" i="4"/>
  <c r="B8468" i="4"/>
  <c r="B8467" i="4"/>
  <c r="B8466" i="4"/>
  <c r="B8465" i="4"/>
  <c r="B8464" i="4"/>
  <c r="B8463" i="4"/>
  <c r="B8462" i="4"/>
  <c r="B8461" i="4"/>
  <c r="B8460" i="4"/>
  <c r="B8459" i="4"/>
  <c r="B8458" i="4"/>
  <c r="B8457" i="4"/>
  <c r="B8456" i="4"/>
  <c r="B8455" i="4"/>
  <c r="B8454" i="4"/>
  <c r="B8453" i="4"/>
  <c r="B8452" i="4"/>
  <c r="B8451" i="4"/>
  <c r="B8450" i="4"/>
  <c r="B8449" i="4"/>
  <c r="B8448" i="4"/>
  <c r="B8447" i="4"/>
  <c r="B8446" i="4"/>
  <c r="B8445" i="4"/>
  <c r="B8444" i="4"/>
  <c r="B8443" i="4"/>
  <c r="B8442" i="4"/>
  <c r="B8441" i="4"/>
  <c r="B8440" i="4"/>
  <c r="B8439" i="4"/>
  <c r="B8438" i="4"/>
  <c r="B8437" i="4"/>
  <c r="B8436" i="4"/>
  <c r="B8435" i="4"/>
  <c r="B8434" i="4"/>
  <c r="B8433" i="4"/>
  <c r="B8432" i="4"/>
  <c r="B8431" i="4"/>
  <c r="B8430" i="4"/>
  <c r="B8429" i="4"/>
  <c r="B8428" i="4"/>
  <c r="B8427" i="4"/>
  <c r="B8426" i="4"/>
  <c r="B8425" i="4"/>
  <c r="B8424" i="4"/>
  <c r="B8423" i="4"/>
  <c r="B8422" i="4"/>
  <c r="B8421" i="4"/>
  <c r="B8420" i="4"/>
  <c r="B8419" i="4"/>
  <c r="B8418" i="4"/>
  <c r="B8417" i="4"/>
  <c r="B8416" i="4"/>
  <c r="B8415" i="4"/>
  <c r="B8414" i="4"/>
  <c r="B8413" i="4"/>
  <c r="B8412" i="4"/>
  <c r="B8411" i="4"/>
  <c r="B8410" i="4"/>
  <c r="B8409" i="4"/>
  <c r="B8408" i="4"/>
  <c r="B8407" i="4"/>
  <c r="B8406" i="4"/>
  <c r="B8405" i="4"/>
  <c r="B8404" i="4"/>
  <c r="B8403" i="4"/>
  <c r="B8402" i="4"/>
  <c r="B8401" i="4"/>
  <c r="B8400" i="4"/>
  <c r="B8399" i="4"/>
  <c r="B8398" i="4"/>
  <c r="B8397" i="4"/>
  <c r="B8396" i="4"/>
  <c r="B8395" i="4"/>
  <c r="B8394" i="4"/>
  <c r="B8393" i="4"/>
  <c r="B8392" i="4"/>
  <c r="B8391" i="4"/>
  <c r="B8390" i="4"/>
  <c r="B8389" i="4"/>
  <c r="B8388" i="4"/>
  <c r="B8387" i="4"/>
  <c r="B8386" i="4"/>
  <c r="B8385" i="4"/>
  <c r="B8384" i="4"/>
  <c r="B8383" i="4"/>
  <c r="B8382" i="4"/>
  <c r="B8381" i="4"/>
  <c r="B8380" i="4"/>
  <c r="B8379" i="4"/>
  <c r="B8378" i="4"/>
  <c r="B8377" i="4"/>
  <c r="B8376" i="4"/>
  <c r="B8375" i="4"/>
  <c r="B8374" i="4"/>
  <c r="B8373" i="4"/>
  <c r="B8372" i="4"/>
  <c r="B8371" i="4"/>
  <c r="B8370" i="4"/>
  <c r="B8369" i="4"/>
  <c r="B8368" i="4"/>
  <c r="B8367" i="4"/>
  <c r="B8366" i="4"/>
  <c r="B8365" i="4"/>
  <c r="B8364" i="4"/>
  <c r="B8363" i="4"/>
  <c r="B8362" i="4"/>
  <c r="B8361" i="4"/>
  <c r="B8360" i="4"/>
  <c r="B8359" i="4"/>
  <c r="B8358" i="4"/>
  <c r="B8357" i="4"/>
  <c r="B8356" i="4"/>
  <c r="B8355" i="4"/>
  <c r="B8354" i="4"/>
  <c r="B8353" i="4"/>
  <c r="B8352" i="4"/>
  <c r="B8351" i="4"/>
  <c r="B8350" i="4"/>
  <c r="B8349" i="4"/>
  <c r="B8348" i="4"/>
  <c r="B8347" i="4"/>
  <c r="B8346" i="4"/>
  <c r="B8345" i="4"/>
  <c r="B8344" i="4"/>
  <c r="B8343" i="4"/>
  <c r="B8342" i="4"/>
  <c r="B8341" i="4"/>
  <c r="B8340" i="4"/>
  <c r="B8339" i="4"/>
  <c r="B8338" i="4"/>
  <c r="B8337" i="4"/>
  <c r="B8336" i="4"/>
  <c r="B8335" i="4"/>
  <c r="B8334" i="4"/>
  <c r="B8333" i="4"/>
  <c r="B8332" i="4"/>
  <c r="B8331" i="4"/>
  <c r="B8330" i="4"/>
  <c r="B8329" i="4"/>
  <c r="B8328" i="4"/>
  <c r="B8327" i="4"/>
  <c r="B8326" i="4"/>
  <c r="B8325" i="4"/>
  <c r="B8324" i="4"/>
  <c r="B8323" i="4"/>
  <c r="B8322" i="4"/>
  <c r="B8321" i="4"/>
  <c r="B8320" i="4"/>
  <c r="B8319" i="4"/>
  <c r="B8318" i="4"/>
  <c r="B8317" i="4"/>
  <c r="B8316" i="4"/>
  <c r="B8315" i="4"/>
  <c r="B8314" i="4"/>
  <c r="B8313" i="4"/>
  <c r="B8312" i="4"/>
  <c r="B8311" i="4"/>
  <c r="B8310" i="4"/>
  <c r="B8309" i="4"/>
  <c r="B8308" i="4"/>
  <c r="B8307" i="4"/>
  <c r="B8306" i="4"/>
  <c r="B8305" i="4"/>
  <c r="B8304" i="4"/>
  <c r="B8303" i="4"/>
  <c r="B8302" i="4"/>
  <c r="B8301" i="4"/>
  <c r="B8300" i="4"/>
  <c r="B8299" i="4"/>
  <c r="B8298" i="4"/>
  <c r="B8297" i="4"/>
  <c r="B8296" i="4"/>
  <c r="B8295" i="4"/>
  <c r="B8294" i="4"/>
  <c r="B8293" i="4"/>
  <c r="B8292" i="4"/>
  <c r="B8291" i="4"/>
  <c r="B8290" i="4"/>
  <c r="B8289" i="4"/>
  <c r="B8288" i="4"/>
  <c r="B8287" i="4"/>
  <c r="B8286" i="4"/>
  <c r="B8285" i="4"/>
  <c r="B8284" i="4"/>
  <c r="B8283" i="4"/>
  <c r="B8282" i="4"/>
  <c r="B8281" i="4"/>
  <c r="B8280" i="4"/>
  <c r="B8279" i="4"/>
  <c r="B8278" i="4"/>
  <c r="B8277" i="4"/>
  <c r="B8276" i="4"/>
  <c r="B8275" i="4"/>
  <c r="B8274" i="4"/>
  <c r="B8273" i="4"/>
  <c r="B8272" i="4"/>
  <c r="B8271" i="4"/>
  <c r="B8270" i="4"/>
  <c r="B8269" i="4"/>
  <c r="B8268" i="4"/>
  <c r="B8267" i="4"/>
  <c r="B8266" i="4"/>
  <c r="B8265" i="4"/>
  <c r="B8264" i="4"/>
  <c r="B8263" i="4"/>
  <c r="B8262" i="4"/>
  <c r="B8261" i="4"/>
  <c r="B8260" i="4"/>
  <c r="B8259" i="4"/>
  <c r="B8258" i="4"/>
  <c r="B8257" i="4"/>
  <c r="B8256" i="4"/>
  <c r="B8255" i="4"/>
  <c r="B8254" i="4"/>
  <c r="B8253" i="4"/>
  <c r="B8252" i="4"/>
  <c r="B8251" i="4"/>
  <c r="B8250" i="4"/>
  <c r="B8249" i="4"/>
  <c r="B8248" i="4"/>
  <c r="B8247" i="4"/>
  <c r="B8246" i="4"/>
  <c r="B8245" i="4"/>
  <c r="B8244" i="4"/>
  <c r="B8243" i="4"/>
  <c r="B8242" i="4"/>
  <c r="B8241" i="4"/>
  <c r="B8240" i="4"/>
  <c r="B8239" i="4"/>
  <c r="B8238" i="4"/>
  <c r="B8237" i="4"/>
  <c r="B8236" i="4"/>
  <c r="B8235" i="4"/>
  <c r="B8234" i="4"/>
  <c r="B8233" i="4"/>
  <c r="B8232" i="4"/>
  <c r="B8231" i="4"/>
  <c r="B8230" i="4"/>
  <c r="B8229" i="4"/>
  <c r="B8228" i="4"/>
  <c r="B8227" i="4"/>
  <c r="B8226" i="4"/>
  <c r="B8225" i="4"/>
  <c r="B8224" i="4"/>
  <c r="B8223" i="4"/>
  <c r="B8222" i="4"/>
  <c r="B8221" i="4"/>
  <c r="B8220" i="4"/>
  <c r="B8219" i="4"/>
  <c r="B8218" i="4"/>
  <c r="B8217" i="4"/>
  <c r="B8216" i="4"/>
  <c r="B8215" i="4"/>
  <c r="B8214" i="4"/>
  <c r="B8213" i="4"/>
  <c r="B8212" i="4"/>
  <c r="B8211" i="4"/>
  <c r="B8210" i="4"/>
  <c r="B8209" i="4"/>
  <c r="B8208" i="4"/>
  <c r="B8207" i="4"/>
  <c r="B8206" i="4"/>
  <c r="B8205" i="4"/>
  <c r="B8204" i="4"/>
  <c r="B8203" i="4"/>
  <c r="B8202" i="4"/>
  <c r="B8201" i="4"/>
  <c r="B8200" i="4"/>
  <c r="B8199" i="4"/>
  <c r="B8198" i="4"/>
  <c r="B8197" i="4"/>
  <c r="B8196" i="4"/>
  <c r="B8195" i="4"/>
  <c r="B8194" i="4"/>
  <c r="B8193" i="4"/>
  <c r="B8192" i="4"/>
  <c r="B8191" i="4"/>
  <c r="B8190" i="4"/>
  <c r="B8189" i="4"/>
  <c r="B8188" i="4"/>
  <c r="B8187" i="4"/>
  <c r="B8186" i="4"/>
  <c r="B8185" i="4"/>
  <c r="B8184" i="4"/>
  <c r="B8183" i="4"/>
  <c r="B8182" i="4"/>
  <c r="B8181" i="4"/>
  <c r="B8180" i="4"/>
  <c r="B8179" i="4"/>
  <c r="B8178" i="4"/>
  <c r="B8177" i="4"/>
  <c r="B8176" i="4"/>
  <c r="B8175" i="4"/>
  <c r="B8174" i="4"/>
  <c r="B8173" i="4"/>
  <c r="B8172" i="4"/>
  <c r="B8171" i="4"/>
  <c r="B8170" i="4"/>
  <c r="B8169" i="4"/>
  <c r="B8168" i="4"/>
  <c r="B8167" i="4"/>
  <c r="B8166" i="4"/>
  <c r="B8165" i="4"/>
  <c r="B8164" i="4"/>
  <c r="B8163" i="4"/>
  <c r="B8162" i="4"/>
  <c r="B8161" i="4"/>
  <c r="B8160" i="4"/>
  <c r="B8159" i="4"/>
  <c r="B8158" i="4"/>
  <c r="B8157" i="4"/>
  <c r="B8156" i="4"/>
  <c r="B8155" i="4"/>
  <c r="B8154" i="4"/>
  <c r="B8153" i="4"/>
  <c r="B8152" i="4"/>
  <c r="B8151" i="4"/>
  <c r="B8150" i="4"/>
  <c r="B8149" i="4"/>
  <c r="B8148" i="4"/>
  <c r="B8147" i="4"/>
  <c r="B8146" i="4"/>
  <c r="B8145" i="4"/>
  <c r="B8144" i="4"/>
  <c r="B8143" i="4"/>
  <c r="B8142" i="4"/>
  <c r="B8141" i="4"/>
  <c r="B8140" i="4"/>
  <c r="B8139" i="4"/>
  <c r="B8138" i="4"/>
  <c r="B8137" i="4"/>
  <c r="B8136" i="4"/>
  <c r="B8135" i="4"/>
  <c r="B8134" i="4"/>
  <c r="B8133" i="4"/>
  <c r="B8132" i="4"/>
  <c r="B8131" i="4"/>
  <c r="B8130" i="4"/>
  <c r="B8129" i="4"/>
  <c r="B8128" i="4"/>
  <c r="B8127" i="4"/>
  <c r="B8126" i="4"/>
  <c r="B8125" i="4"/>
  <c r="B8124" i="4"/>
  <c r="B8123" i="4"/>
  <c r="B8122" i="4"/>
  <c r="B8121" i="4"/>
  <c r="B8120" i="4"/>
  <c r="B8119" i="4"/>
  <c r="B8118" i="4"/>
  <c r="B8117" i="4"/>
  <c r="B8116" i="4"/>
  <c r="B8115" i="4"/>
  <c r="B8114" i="4"/>
  <c r="B8113" i="4"/>
  <c r="B8112" i="4"/>
  <c r="B8111" i="4"/>
  <c r="B8110" i="4"/>
  <c r="B8109" i="4"/>
  <c r="B8108" i="4"/>
  <c r="B8107" i="4"/>
  <c r="B8106" i="4"/>
  <c r="B8105" i="4"/>
  <c r="B8104" i="4"/>
  <c r="B8103" i="4"/>
  <c r="B8102" i="4"/>
  <c r="B8101" i="4"/>
  <c r="B8100" i="4"/>
  <c r="B8099" i="4"/>
  <c r="B8098" i="4"/>
  <c r="B8097" i="4"/>
  <c r="B8096" i="4"/>
  <c r="B8095" i="4"/>
  <c r="B8094" i="4"/>
  <c r="B8093" i="4"/>
  <c r="B8092" i="4"/>
  <c r="B8091" i="4"/>
  <c r="B8090" i="4"/>
  <c r="B8089" i="4"/>
  <c r="B8088" i="4"/>
  <c r="B8087" i="4"/>
  <c r="B8086" i="4"/>
  <c r="B8085" i="4"/>
  <c r="B8084" i="4"/>
  <c r="B8083" i="4"/>
  <c r="B8082" i="4"/>
  <c r="B8081" i="4"/>
  <c r="B8080" i="4"/>
  <c r="B8079" i="4"/>
  <c r="B8078" i="4"/>
  <c r="B8077" i="4"/>
  <c r="B8076" i="4"/>
  <c r="B8075" i="4"/>
  <c r="B8074" i="4"/>
  <c r="B8073" i="4"/>
  <c r="B8072" i="4"/>
  <c r="B8071" i="4"/>
  <c r="B8070" i="4"/>
  <c r="B8069" i="4"/>
  <c r="B8068" i="4"/>
  <c r="B8067" i="4"/>
  <c r="B8066" i="4"/>
  <c r="B8065" i="4"/>
  <c r="B8064" i="4"/>
  <c r="B8063" i="4"/>
  <c r="B8062" i="4"/>
  <c r="B8061" i="4"/>
  <c r="B8060" i="4"/>
  <c r="B8059" i="4"/>
  <c r="B8058" i="4"/>
  <c r="B8057" i="4"/>
  <c r="B8056" i="4"/>
  <c r="B8055" i="4"/>
  <c r="B8054" i="4"/>
  <c r="B8053" i="4"/>
  <c r="B8052" i="4"/>
  <c r="B8051" i="4"/>
  <c r="B8050" i="4"/>
  <c r="B8049" i="4"/>
  <c r="B8048" i="4"/>
  <c r="B8047" i="4"/>
  <c r="B8046" i="4"/>
  <c r="B8045" i="4"/>
  <c r="B8044" i="4"/>
  <c r="B8043" i="4"/>
  <c r="B8042" i="4"/>
  <c r="B8041" i="4"/>
  <c r="B8040" i="4"/>
  <c r="B8039" i="4"/>
  <c r="B8038" i="4"/>
  <c r="B8037" i="4"/>
  <c r="B8036" i="4"/>
  <c r="B8035" i="4"/>
  <c r="B8034" i="4"/>
  <c r="B8033" i="4"/>
  <c r="B8032" i="4"/>
  <c r="B8031" i="4"/>
  <c r="B8030" i="4"/>
  <c r="B8029" i="4"/>
  <c r="B8028" i="4"/>
  <c r="B8027" i="4"/>
  <c r="B8026" i="4"/>
  <c r="B8025" i="4"/>
  <c r="B8024" i="4"/>
  <c r="B8023" i="4"/>
  <c r="B8022" i="4"/>
  <c r="B8021" i="4"/>
  <c r="B8020" i="4"/>
  <c r="B8019" i="4"/>
  <c r="B8018" i="4"/>
  <c r="B8017" i="4"/>
  <c r="B8016" i="4"/>
  <c r="B8015" i="4"/>
  <c r="B8014" i="4"/>
  <c r="B8013" i="4"/>
  <c r="B8012" i="4"/>
  <c r="B8011" i="4"/>
  <c r="B8010" i="4"/>
  <c r="B8009" i="4"/>
  <c r="B8008" i="4"/>
  <c r="B8007" i="4"/>
  <c r="B8006" i="4"/>
  <c r="B8005" i="4"/>
  <c r="B8004" i="4"/>
  <c r="B8003" i="4"/>
  <c r="B8002" i="4"/>
  <c r="B8001" i="4"/>
  <c r="B8000" i="4"/>
  <c r="B7999" i="4"/>
  <c r="B7998" i="4"/>
  <c r="B7997" i="4"/>
  <c r="B7996" i="4"/>
  <c r="B7995" i="4"/>
  <c r="B7994" i="4"/>
  <c r="B7993" i="4"/>
  <c r="B7992" i="4"/>
  <c r="B7991" i="4"/>
  <c r="B7990" i="4"/>
  <c r="B7989" i="4"/>
  <c r="B7988" i="4"/>
  <c r="B7987" i="4"/>
  <c r="B7986" i="4"/>
  <c r="B7985" i="4"/>
  <c r="B7984" i="4"/>
  <c r="B7983" i="4"/>
  <c r="B7982" i="4"/>
  <c r="B7981" i="4"/>
  <c r="B7980" i="4"/>
  <c r="B7979" i="4"/>
  <c r="B7978" i="4"/>
  <c r="B7977" i="4"/>
  <c r="B7976" i="4"/>
  <c r="B7975" i="4"/>
  <c r="B7974" i="4"/>
  <c r="B7973" i="4"/>
  <c r="B7972" i="4"/>
  <c r="B7971" i="4"/>
  <c r="B7970" i="4"/>
  <c r="B7969" i="4"/>
  <c r="B7968" i="4"/>
  <c r="B7967" i="4"/>
  <c r="B7966" i="4"/>
  <c r="B7965" i="4"/>
  <c r="B7964" i="4"/>
  <c r="B7963" i="4"/>
  <c r="B7962" i="4"/>
  <c r="B7961" i="4"/>
  <c r="B7960" i="4"/>
  <c r="B7959" i="4"/>
  <c r="B7958" i="4"/>
  <c r="B7957" i="4"/>
  <c r="B7956" i="4"/>
  <c r="B7955" i="4"/>
  <c r="B7954" i="4"/>
  <c r="B7953" i="4"/>
  <c r="B7952" i="4"/>
  <c r="B7951" i="4"/>
  <c r="B7950" i="4"/>
  <c r="B7949" i="4"/>
  <c r="B7948" i="4"/>
  <c r="B7947" i="4"/>
  <c r="B7946" i="4"/>
  <c r="B7945" i="4"/>
  <c r="B7944" i="4"/>
  <c r="B7943" i="4"/>
  <c r="B7942" i="4"/>
  <c r="B7941" i="4"/>
  <c r="B7940" i="4"/>
  <c r="B7939" i="4"/>
  <c r="B7938" i="4"/>
  <c r="B7937" i="4"/>
  <c r="B7936" i="4"/>
  <c r="B7935" i="4"/>
  <c r="B7934" i="4"/>
  <c r="B7933" i="4"/>
  <c r="B7932" i="4"/>
  <c r="B7931" i="4"/>
  <c r="B7930" i="4"/>
  <c r="B7929" i="4"/>
  <c r="B7928" i="4"/>
  <c r="B7927" i="4"/>
  <c r="B7926" i="4"/>
  <c r="B7925" i="4"/>
  <c r="B7924" i="4"/>
  <c r="B7923" i="4"/>
  <c r="B7922" i="4"/>
  <c r="B7921" i="4"/>
  <c r="B7920" i="4"/>
  <c r="B7919" i="4"/>
  <c r="B7918" i="4"/>
  <c r="B7917" i="4"/>
  <c r="B7916" i="4"/>
  <c r="B7915" i="4"/>
  <c r="B7914" i="4"/>
  <c r="B7913" i="4"/>
  <c r="B7912" i="4"/>
  <c r="B7911" i="4"/>
  <c r="B7910" i="4"/>
  <c r="B7909" i="4"/>
  <c r="B7908" i="4"/>
  <c r="B7907" i="4"/>
  <c r="B7906" i="4"/>
  <c r="B7905" i="4"/>
  <c r="B7904" i="4"/>
  <c r="B7903" i="4"/>
  <c r="B7902" i="4"/>
  <c r="B7901" i="4"/>
  <c r="B7900" i="4"/>
  <c r="B7899" i="4"/>
  <c r="B7898" i="4"/>
  <c r="B7897" i="4"/>
  <c r="B7896" i="4"/>
  <c r="B7895" i="4"/>
  <c r="B7894" i="4"/>
  <c r="B7893" i="4"/>
  <c r="B7892" i="4"/>
  <c r="B7891" i="4"/>
  <c r="B7890" i="4"/>
  <c r="B7889" i="4"/>
  <c r="B7888" i="4"/>
  <c r="B7887" i="4"/>
  <c r="B7886" i="4"/>
  <c r="B7885" i="4"/>
  <c r="B7884" i="4"/>
  <c r="B7883" i="4"/>
  <c r="B7882" i="4"/>
  <c r="B7881" i="4"/>
  <c r="B7880" i="4"/>
  <c r="B7879" i="4"/>
  <c r="B7878" i="4"/>
  <c r="B7877" i="4"/>
  <c r="B7876" i="4"/>
  <c r="B7875" i="4"/>
  <c r="B7874" i="4"/>
  <c r="B7873" i="4"/>
  <c r="B7872" i="4"/>
  <c r="B7871" i="4"/>
  <c r="B7870" i="4"/>
  <c r="B7869" i="4"/>
  <c r="B7868" i="4"/>
  <c r="B7867" i="4"/>
  <c r="B7866" i="4"/>
  <c r="B7865" i="4"/>
  <c r="B7864" i="4"/>
  <c r="B7863" i="4"/>
  <c r="B7862" i="4"/>
  <c r="B7861" i="4"/>
  <c r="B7860" i="4"/>
  <c r="B7859" i="4"/>
  <c r="B7858" i="4"/>
  <c r="B7857" i="4"/>
  <c r="B7856" i="4"/>
  <c r="B7855" i="4"/>
  <c r="B7854" i="4"/>
  <c r="B7853" i="4"/>
  <c r="B7852" i="4"/>
  <c r="B7851" i="4"/>
  <c r="B7850" i="4"/>
  <c r="B7849" i="4"/>
  <c r="B7848" i="4"/>
  <c r="B7847" i="4"/>
  <c r="B7846" i="4"/>
  <c r="B7845" i="4"/>
  <c r="B7844" i="4"/>
  <c r="B7843" i="4"/>
  <c r="B7842" i="4"/>
  <c r="B7841" i="4"/>
  <c r="B7840" i="4"/>
  <c r="B7839" i="4"/>
  <c r="B7838" i="4"/>
  <c r="B7837" i="4"/>
  <c r="B7836" i="4"/>
  <c r="B7835" i="4"/>
  <c r="B7834" i="4"/>
  <c r="B7833" i="4"/>
  <c r="B7832" i="4"/>
  <c r="B7831" i="4"/>
  <c r="B7830" i="4"/>
  <c r="B7829" i="4"/>
  <c r="B7828" i="4"/>
  <c r="B7827" i="4"/>
  <c r="B7826" i="4"/>
  <c r="B7825" i="4"/>
  <c r="B7824" i="4"/>
  <c r="B7823" i="4"/>
  <c r="B7822" i="4"/>
  <c r="B7821" i="4"/>
  <c r="B7820" i="4"/>
  <c r="B7819" i="4"/>
  <c r="B7818" i="4"/>
  <c r="B7817" i="4"/>
  <c r="B7816" i="4"/>
  <c r="B7815" i="4"/>
  <c r="B7814" i="4"/>
  <c r="B7813" i="4"/>
  <c r="B7812" i="4"/>
  <c r="B7811" i="4"/>
  <c r="B7810" i="4"/>
  <c r="B7809" i="4"/>
  <c r="B7808" i="4"/>
  <c r="B7807" i="4"/>
  <c r="B7806" i="4"/>
  <c r="B7805" i="4"/>
  <c r="B7804" i="4"/>
  <c r="B7803" i="4"/>
  <c r="B7802" i="4"/>
  <c r="B7801" i="4"/>
  <c r="B7800" i="4"/>
  <c r="B7799" i="4"/>
  <c r="B7798" i="4"/>
  <c r="B7797" i="4"/>
  <c r="B7796" i="4"/>
  <c r="B7795" i="4"/>
  <c r="B7794" i="4"/>
  <c r="B7793" i="4"/>
  <c r="B7792" i="4"/>
  <c r="B7791" i="4"/>
  <c r="B7790" i="4"/>
  <c r="B7789" i="4"/>
  <c r="B7788" i="4"/>
  <c r="B7787" i="4"/>
  <c r="B7786" i="4"/>
  <c r="B7785" i="4"/>
  <c r="B7784" i="4"/>
  <c r="B7783" i="4"/>
  <c r="B7782" i="4"/>
  <c r="B7781" i="4"/>
  <c r="B7780" i="4"/>
  <c r="B7779" i="4"/>
  <c r="B7778" i="4"/>
  <c r="B7777" i="4"/>
  <c r="B7776" i="4"/>
  <c r="B7775" i="4"/>
  <c r="B7774" i="4"/>
  <c r="B7773" i="4"/>
  <c r="B7772" i="4"/>
  <c r="B7771" i="4"/>
  <c r="B7770" i="4"/>
  <c r="B7769" i="4"/>
  <c r="B7768" i="4"/>
  <c r="B7767" i="4"/>
  <c r="B7766" i="4"/>
  <c r="B7765" i="4"/>
  <c r="B7764" i="4"/>
  <c r="B7763" i="4"/>
  <c r="B7762" i="4"/>
  <c r="B7761" i="4"/>
  <c r="B7760" i="4"/>
  <c r="B7759" i="4"/>
  <c r="B7758" i="4"/>
  <c r="B7757" i="4"/>
  <c r="B7756" i="4"/>
  <c r="B7755" i="4"/>
  <c r="B7754" i="4"/>
  <c r="B7753" i="4"/>
  <c r="B7752" i="4"/>
  <c r="B7751" i="4"/>
  <c r="B7750" i="4"/>
  <c r="B7749" i="4"/>
  <c r="B7748" i="4"/>
  <c r="B7747" i="4"/>
  <c r="B7746" i="4"/>
  <c r="B7745" i="4"/>
  <c r="B7744" i="4"/>
  <c r="B7743" i="4"/>
  <c r="B7742" i="4"/>
  <c r="B7741" i="4"/>
  <c r="B7740" i="4"/>
  <c r="B7739" i="4"/>
  <c r="B7738" i="4"/>
  <c r="B7737" i="4"/>
  <c r="B7736" i="4"/>
  <c r="B7735" i="4"/>
  <c r="B7734" i="4"/>
  <c r="B7733" i="4"/>
  <c r="B7732" i="4"/>
  <c r="B7731" i="4"/>
  <c r="B7730" i="4"/>
  <c r="B7729" i="4"/>
  <c r="B7728" i="4"/>
  <c r="B7727" i="4"/>
  <c r="B7726" i="4"/>
  <c r="B7725" i="4"/>
  <c r="B7724" i="4"/>
  <c r="B7723" i="4"/>
  <c r="B7722" i="4"/>
  <c r="B7721" i="4"/>
  <c r="B7720" i="4"/>
  <c r="B7719" i="4"/>
  <c r="B7718" i="4"/>
  <c r="B7717" i="4"/>
  <c r="B7716" i="4"/>
  <c r="B7715" i="4"/>
  <c r="B7714" i="4"/>
  <c r="B7713" i="4"/>
  <c r="B7712" i="4"/>
  <c r="B7711" i="4"/>
  <c r="B7710" i="4"/>
  <c r="B7709" i="4"/>
  <c r="B7708" i="4"/>
  <c r="B7707" i="4"/>
  <c r="B7706" i="4"/>
  <c r="B7705" i="4"/>
  <c r="B7704" i="4"/>
  <c r="B7703" i="4"/>
  <c r="B7702" i="4"/>
  <c r="B7701" i="4"/>
  <c r="B7700" i="4"/>
  <c r="B7699" i="4"/>
  <c r="B7698" i="4"/>
  <c r="B7697" i="4"/>
  <c r="B7696" i="4"/>
  <c r="B7695" i="4"/>
  <c r="B7694" i="4"/>
  <c r="B7693" i="4"/>
  <c r="B7692" i="4"/>
  <c r="B7691" i="4"/>
  <c r="B7690" i="4"/>
  <c r="B7689" i="4"/>
  <c r="B7688" i="4"/>
  <c r="B7687" i="4"/>
  <c r="B7686" i="4"/>
  <c r="B7685" i="4"/>
  <c r="B7684" i="4"/>
  <c r="B7683" i="4"/>
  <c r="B7682" i="4"/>
  <c r="B7681" i="4"/>
  <c r="B7680" i="4"/>
  <c r="B7679" i="4"/>
  <c r="B7678" i="4"/>
  <c r="B7677" i="4"/>
  <c r="B7676" i="4"/>
  <c r="B7675" i="4"/>
  <c r="B7674" i="4"/>
  <c r="B7673" i="4"/>
  <c r="B7672" i="4"/>
  <c r="B7671" i="4"/>
  <c r="B7670" i="4"/>
  <c r="B7669" i="4"/>
  <c r="B7668" i="4"/>
  <c r="B7667" i="4"/>
  <c r="B7666" i="4"/>
  <c r="B7665" i="4"/>
  <c r="B7664" i="4"/>
  <c r="B7663" i="4"/>
  <c r="B7662" i="4"/>
  <c r="B7661" i="4"/>
  <c r="B7660" i="4"/>
  <c r="B7659" i="4"/>
  <c r="B7658" i="4"/>
  <c r="B7657" i="4"/>
  <c r="B7656" i="4"/>
  <c r="B7655" i="4"/>
  <c r="B7654" i="4"/>
  <c r="B7653" i="4"/>
  <c r="B7652" i="4"/>
  <c r="B7651" i="4"/>
  <c r="B7650" i="4"/>
  <c r="B7649" i="4"/>
  <c r="B7648" i="4"/>
  <c r="B7647" i="4"/>
  <c r="B7646" i="4"/>
  <c r="B7645" i="4"/>
  <c r="B7644" i="4"/>
  <c r="B7643" i="4"/>
  <c r="B7642" i="4"/>
  <c r="B7641" i="4"/>
  <c r="B7640" i="4"/>
  <c r="B7639" i="4"/>
  <c r="B7638" i="4"/>
  <c r="B7637" i="4"/>
  <c r="B7636" i="4"/>
  <c r="B7635" i="4"/>
  <c r="B7634" i="4"/>
  <c r="B7633" i="4"/>
  <c r="B7632" i="4"/>
  <c r="B7631" i="4"/>
  <c r="B7630" i="4"/>
  <c r="B7629" i="4"/>
  <c r="B7628" i="4"/>
  <c r="B7627" i="4"/>
  <c r="B7626" i="4"/>
  <c r="B7625" i="4"/>
  <c r="B7624" i="4"/>
  <c r="B7623" i="4"/>
  <c r="B7622" i="4"/>
  <c r="B7621" i="4"/>
  <c r="B7620" i="4"/>
  <c r="B7619" i="4"/>
  <c r="B7618" i="4"/>
  <c r="B7617" i="4"/>
  <c r="B7616" i="4"/>
  <c r="B7615" i="4"/>
  <c r="B7614" i="4"/>
  <c r="B7613" i="4"/>
  <c r="B7612" i="4"/>
  <c r="B7611" i="4"/>
  <c r="B7610" i="4"/>
  <c r="B7609" i="4"/>
  <c r="B7608" i="4"/>
  <c r="B7607" i="4"/>
  <c r="B7606" i="4"/>
  <c r="B7605" i="4"/>
  <c r="B7604" i="4"/>
  <c r="B7603" i="4"/>
  <c r="B7602" i="4"/>
  <c r="B7601" i="4"/>
  <c r="B7600" i="4"/>
  <c r="B7599" i="4"/>
  <c r="B7598" i="4"/>
  <c r="B7597" i="4"/>
  <c r="B7596" i="4"/>
  <c r="B7595" i="4"/>
  <c r="B7594" i="4"/>
  <c r="B7593" i="4"/>
  <c r="B7592" i="4"/>
  <c r="B7591" i="4"/>
  <c r="B7590" i="4"/>
  <c r="B7589" i="4"/>
  <c r="B7588" i="4"/>
  <c r="B7587" i="4"/>
  <c r="B7586" i="4"/>
  <c r="B7585" i="4"/>
  <c r="B7584" i="4"/>
  <c r="B7583" i="4"/>
  <c r="B7582" i="4"/>
  <c r="B7581" i="4"/>
  <c r="B7580" i="4"/>
  <c r="B7579" i="4"/>
  <c r="B7578" i="4"/>
  <c r="B7577" i="4"/>
  <c r="B7576" i="4"/>
  <c r="B7575" i="4"/>
  <c r="B7574" i="4"/>
  <c r="B7573" i="4"/>
  <c r="B7572" i="4"/>
  <c r="B7571" i="4"/>
  <c r="B7570" i="4"/>
  <c r="B7569" i="4"/>
  <c r="B7568" i="4"/>
  <c r="B7567" i="4"/>
  <c r="B7566" i="4"/>
  <c r="B7565" i="4"/>
  <c r="B7564" i="4"/>
  <c r="B7563" i="4"/>
  <c r="B7562" i="4"/>
  <c r="B7561" i="4"/>
  <c r="B7560" i="4"/>
  <c r="B7559" i="4"/>
  <c r="B7558" i="4"/>
  <c r="B7557" i="4"/>
  <c r="B7556" i="4"/>
  <c r="B7555" i="4"/>
  <c r="B7554" i="4"/>
  <c r="B7553" i="4"/>
  <c r="B7552" i="4"/>
  <c r="B7551" i="4"/>
  <c r="B7550" i="4"/>
  <c r="B7549" i="4"/>
  <c r="B7548" i="4"/>
  <c r="B7547" i="4"/>
  <c r="B7546" i="4"/>
  <c r="B7545" i="4"/>
  <c r="B7544" i="4"/>
  <c r="B7543" i="4"/>
  <c r="B7542" i="4"/>
  <c r="B7541" i="4"/>
  <c r="B7540" i="4"/>
  <c r="B7539" i="4"/>
  <c r="B7538" i="4"/>
  <c r="B7537" i="4"/>
  <c r="B7536" i="4"/>
  <c r="B7535" i="4"/>
  <c r="B7534" i="4"/>
  <c r="B7533" i="4"/>
  <c r="B7532" i="4"/>
  <c r="B7531" i="4"/>
  <c r="B7530" i="4"/>
  <c r="B7529" i="4"/>
  <c r="B7528" i="4"/>
  <c r="B7527" i="4"/>
  <c r="B7526" i="4"/>
  <c r="B7525" i="4"/>
  <c r="B7524" i="4"/>
  <c r="B7523" i="4"/>
  <c r="B7522" i="4"/>
  <c r="B7521" i="4"/>
  <c r="B7520" i="4"/>
  <c r="B7519" i="4"/>
  <c r="B7518" i="4"/>
  <c r="B7517" i="4"/>
  <c r="B7516" i="4"/>
  <c r="B7515" i="4"/>
  <c r="B7514" i="4"/>
  <c r="B7513" i="4"/>
  <c r="B7512" i="4"/>
  <c r="B7511" i="4"/>
  <c r="B7510" i="4"/>
  <c r="B7509" i="4"/>
  <c r="B7508" i="4"/>
  <c r="B7507" i="4"/>
  <c r="B7506" i="4"/>
  <c r="B7505" i="4"/>
  <c r="B7504" i="4"/>
  <c r="B7503" i="4"/>
  <c r="B7502" i="4"/>
  <c r="B7501" i="4"/>
  <c r="B7500" i="4"/>
  <c r="B7499" i="4"/>
  <c r="B7498" i="4"/>
  <c r="B7497" i="4"/>
  <c r="B7496" i="4"/>
  <c r="B7495" i="4"/>
  <c r="B7494" i="4"/>
  <c r="B7493" i="4"/>
  <c r="B7492" i="4"/>
  <c r="B7491" i="4"/>
  <c r="B7490" i="4"/>
  <c r="B7489" i="4"/>
  <c r="B7488" i="4"/>
  <c r="B7487" i="4"/>
  <c r="B7486" i="4"/>
  <c r="B7485" i="4"/>
  <c r="B7484" i="4"/>
  <c r="B7483" i="4"/>
  <c r="B7482" i="4"/>
  <c r="B7481" i="4"/>
  <c r="B7480" i="4"/>
  <c r="B7479" i="4"/>
  <c r="B7478" i="4"/>
  <c r="B7477" i="4"/>
  <c r="B7476" i="4"/>
  <c r="B7475" i="4"/>
  <c r="B7474" i="4"/>
  <c r="B7473" i="4"/>
  <c r="B7472" i="4"/>
  <c r="B7471" i="4"/>
  <c r="B7470" i="4"/>
  <c r="B7469" i="4"/>
  <c r="B7468" i="4"/>
  <c r="B7467" i="4"/>
  <c r="B7466" i="4"/>
  <c r="B7465" i="4"/>
  <c r="B7464" i="4"/>
  <c r="B7463" i="4"/>
  <c r="B7462" i="4"/>
  <c r="B7461" i="4"/>
  <c r="B7460" i="4"/>
  <c r="B7459" i="4"/>
  <c r="B7458" i="4"/>
  <c r="B7457" i="4"/>
  <c r="B7456" i="4"/>
  <c r="B7455" i="4"/>
  <c r="B7454" i="4"/>
  <c r="B7453" i="4"/>
  <c r="B7452" i="4"/>
  <c r="B7451" i="4"/>
  <c r="B7450" i="4"/>
  <c r="B7449" i="4"/>
  <c r="B7448" i="4"/>
  <c r="B7447" i="4"/>
  <c r="B7446" i="4"/>
  <c r="B7445" i="4"/>
  <c r="B7444" i="4"/>
  <c r="B7443" i="4"/>
  <c r="B7442" i="4"/>
  <c r="B7441" i="4"/>
  <c r="B7440" i="4"/>
  <c r="B7439" i="4"/>
  <c r="B7438" i="4"/>
  <c r="B7437" i="4"/>
  <c r="B7436" i="4"/>
  <c r="B7435" i="4"/>
  <c r="B7434" i="4"/>
  <c r="B7433" i="4"/>
  <c r="B7432" i="4"/>
  <c r="B7431" i="4"/>
  <c r="B7430" i="4"/>
  <c r="B7429" i="4"/>
  <c r="B7428" i="4"/>
  <c r="B7427" i="4"/>
  <c r="B7426" i="4"/>
  <c r="B7425" i="4"/>
  <c r="B7424" i="4"/>
  <c r="B7423" i="4"/>
  <c r="B7422" i="4"/>
  <c r="B7421" i="4"/>
  <c r="B7420" i="4"/>
  <c r="B7419" i="4"/>
  <c r="B7418" i="4"/>
  <c r="B7417" i="4"/>
  <c r="B7416" i="4"/>
  <c r="B7415" i="4"/>
  <c r="B7414" i="4"/>
  <c r="B7413" i="4"/>
  <c r="B7412" i="4"/>
  <c r="B7411" i="4"/>
  <c r="B7410" i="4"/>
  <c r="B7409" i="4"/>
  <c r="B7408" i="4"/>
  <c r="B7407" i="4"/>
  <c r="B7406" i="4"/>
  <c r="B7405" i="4"/>
  <c r="B7404" i="4"/>
  <c r="B7403" i="4"/>
  <c r="B7402" i="4"/>
  <c r="B7401" i="4"/>
  <c r="B7400" i="4"/>
  <c r="B7399" i="4"/>
  <c r="B7398" i="4"/>
  <c r="B7397" i="4"/>
  <c r="B7396" i="4"/>
  <c r="B7395" i="4"/>
  <c r="B7394" i="4"/>
  <c r="B7393" i="4"/>
  <c r="B7392" i="4"/>
  <c r="B7391" i="4"/>
  <c r="B7390" i="4"/>
  <c r="B7389" i="4"/>
  <c r="B7388" i="4"/>
  <c r="B7387" i="4"/>
  <c r="B7386" i="4"/>
  <c r="B7385" i="4"/>
  <c r="B7384" i="4"/>
  <c r="B7383" i="4"/>
  <c r="B7382" i="4"/>
  <c r="B7381" i="4"/>
  <c r="B7380" i="4"/>
  <c r="B7379" i="4"/>
  <c r="B7378" i="4"/>
  <c r="B7377" i="4"/>
  <c r="B7376" i="4"/>
  <c r="B7375" i="4"/>
  <c r="B7374" i="4"/>
  <c r="B7373" i="4"/>
  <c r="B7372" i="4"/>
  <c r="B7371" i="4"/>
  <c r="B7370" i="4"/>
  <c r="B7369" i="4"/>
  <c r="B7368" i="4"/>
  <c r="B7367" i="4"/>
  <c r="B7366" i="4"/>
  <c r="B7365" i="4"/>
  <c r="B7364" i="4"/>
  <c r="B7363" i="4"/>
  <c r="B7362" i="4"/>
  <c r="B7361" i="4"/>
  <c r="B7360" i="4"/>
  <c r="B7359" i="4"/>
  <c r="B7358" i="4"/>
  <c r="B7357" i="4"/>
  <c r="B7356" i="4"/>
  <c r="B7355" i="4"/>
  <c r="B7354" i="4"/>
  <c r="B7353" i="4"/>
  <c r="B7352" i="4"/>
  <c r="B7351" i="4"/>
  <c r="B7350" i="4"/>
  <c r="B7349" i="4"/>
  <c r="B7348" i="4"/>
  <c r="B7347" i="4"/>
  <c r="B7346" i="4"/>
  <c r="B7345" i="4"/>
  <c r="B7344" i="4"/>
  <c r="B7343" i="4"/>
  <c r="B7342" i="4"/>
  <c r="B7341" i="4"/>
  <c r="B7340" i="4"/>
  <c r="B7339" i="4"/>
  <c r="B7338" i="4"/>
  <c r="B7337" i="4"/>
  <c r="B7336" i="4"/>
  <c r="B7335" i="4"/>
  <c r="B7334" i="4"/>
  <c r="B7333" i="4"/>
  <c r="B7332" i="4"/>
  <c r="B7331" i="4"/>
  <c r="B7330" i="4"/>
  <c r="B7329" i="4"/>
  <c r="B7328" i="4"/>
  <c r="B7327" i="4"/>
  <c r="B7326" i="4"/>
  <c r="B7325" i="4"/>
  <c r="B7324" i="4"/>
  <c r="B7323" i="4"/>
  <c r="B7322" i="4"/>
  <c r="B7321" i="4"/>
  <c r="B7320" i="4"/>
  <c r="B7319" i="4"/>
  <c r="B7318" i="4"/>
  <c r="B7317" i="4"/>
  <c r="B7316" i="4"/>
  <c r="B7315" i="4"/>
  <c r="B7314" i="4"/>
  <c r="B7313" i="4"/>
  <c r="B7312" i="4"/>
  <c r="B7311" i="4"/>
  <c r="B7310" i="4"/>
  <c r="B7309" i="4"/>
  <c r="B7308" i="4"/>
  <c r="B7307" i="4"/>
  <c r="B7306" i="4"/>
  <c r="B7305" i="4"/>
  <c r="B7304" i="4"/>
  <c r="B7303" i="4"/>
  <c r="B7302" i="4"/>
  <c r="B7301" i="4"/>
  <c r="B7300" i="4"/>
  <c r="B7299" i="4"/>
  <c r="B7298" i="4"/>
  <c r="B7297" i="4"/>
  <c r="B7296" i="4"/>
  <c r="B7295" i="4"/>
  <c r="B7294" i="4"/>
  <c r="B7293" i="4"/>
  <c r="B7292" i="4"/>
  <c r="B7291" i="4"/>
  <c r="B7290" i="4"/>
  <c r="B7289" i="4"/>
  <c r="B7288" i="4"/>
  <c r="B7287" i="4"/>
  <c r="B7286" i="4"/>
  <c r="B7285" i="4"/>
  <c r="B7284" i="4"/>
  <c r="B7283" i="4"/>
  <c r="B7282" i="4"/>
  <c r="B7281" i="4"/>
  <c r="B7280" i="4"/>
  <c r="B7279" i="4"/>
  <c r="B7278" i="4"/>
  <c r="B7277" i="4"/>
  <c r="B7276" i="4"/>
  <c r="B7275" i="4"/>
  <c r="B7274" i="4"/>
  <c r="B7273" i="4"/>
  <c r="B7272" i="4"/>
  <c r="B7271" i="4"/>
  <c r="B7270" i="4"/>
  <c r="B7269" i="4"/>
  <c r="B7268" i="4"/>
  <c r="B7267" i="4"/>
  <c r="B7266" i="4"/>
  <c r="B7265" i="4"/>
  <c r="B7264" i="4"/>
  <c r="B7263" i="4"/>
  <c r="B7262" i="4"/>
  <c r="B7261" i="4"/>
  <c r="B7260" i="4"/>
  <c r="B7259" i="4"/>
  <c r="B7258" i="4"/>
  <c r="B7257" i="4"/>
  <c r="B7256" i="4"/>
  <c r="B7255" i="4"/>
  <c r="B7254" i="4"/>
  <c r="B7253" i="4"/>
  <c r="B7252" i="4"/>
  <c r="B7251" i="4"/>
  <c r="B7250" i="4"/>
  <c r="B7249" i="4"/>
  <c r="B7248" i="4"/>
  <c r="B7247" i="4"/>
  <c r="B7246" i="4"/>
  <c r="B7245" i="4"/>
  <c r="B7244" i="4"/>
  <c r="B7243" i="4"/>
  <c r="B7242" i="4"/>
  <c r="B7241" i="4"/>
  <c r="B7240" i="4"/>
  <c r="B7239" i="4"/>
  <c r="B7238" i="4"/>
  <c r="B7237" i="4"/>
  <c r="B7236" i="4"/>
  <c r="B7235" i="4"/>
  <c r="B7234" i="4"/>
  <c r="B7233" i="4"/>
  <c r="B7232" i="4"/>
  <c r="B7231" i="4"/>
  <c r="B7230" i="4"/>
  <c r="B7229" i="4"/>
  <c r="B7228" i="4"/>
  <c r="B7227" i="4"/>
  <c r="B7226" i="4"/>
  <c r="B7225" i="4"/>
  <c r="B7224" i="4"/>
  <c r="B7223" i="4"/>
  <c r="B7222" i="4"/>
  <c r="B7221" i="4"/>
  <c r="B7220" i="4"/>
  <c r="B7219" i="4"/>
  <c r="B7218" i="4"/>
  <c r="B7217" i="4"/>
  <c r="B7216" i="4"/>
  <c r="B7215" i="4"/>
  <c r="B7214" i="4"/>
  <c r="B7213" i="4"/>
  <c r="B7212" i="4"/>
  <c r="B7211" i="4"/>
  <c r="B7210" i="4"/>
  <c r="B7209" i="4"/>
  <c r="B7208" i="4"/>
  <c r="B7207" i="4"/>
  <c r="B7206" i="4"/>
  <c r="B7205" i="4"/>
  <c r="B7204" i="4"/>
  <c r="B7203" i="4"/>
  <c r="B7202" i="4"/>
  <c r="B7201" i="4"/>
  <c r="B7200" i="4"/>
  <c r="B7199" i="4"/>
  <c r="B7198" i="4"/>
  <c r="B7197" i="4"/>
  <c r="B7196" i="4"/>
  <c r="B7195" i="4"/>
  <c r="B7194" i="4"/>
  <c r="B7193" i="4"/>
  <c r="B7192" i="4"/>
  <c r="B7191" i="4"/>
  <c r="B7190" i="4"/>
  <c r="B7189" i="4"/>
  <c r="B7188" i="4"/>
  <c r="B7187" i="4"/>
  <c r="B7186" i="4"/>
  <c r="B7185" i="4"/>
  <c r="B7184" i="4"/>
  <c r="B7183" i="4"/>
  <c r="B7182" i="4"/>
  <c r="B7181" i="4"/>
  <c r="B7180" i="4"/>
  <c r="B7179" i="4"/>
  <c r="B7178" i="4"/>
  <c r="B7177" i="4"/>
  <c r="B7176" i="4"/>
  <c r="B7175" i="4"/>
  <c r="B7174" i="4"/>
  <c r="B7173" i="4"/>
  <c r="B7172" i="4"/>
  <c r="B7171" i="4"/>
  <c r="B7170" i="4"/>
  <c r="B7169" i="4"/>
  <c r="B7168" i="4"/>
  <c r="B7167" i="4"/>
  <c r="B7166" i="4"/>
  <c r="B7165" i="4"/>
  <c r="B7164" i="4"/>
  <c r="B7163" i="4"/>
  <c r="B7162" i="4"/>
  <c r="B7161" i="4"/>
  <c r="B7160" i="4"/>
  <c r="B7159" i="4"/>
  <c r="B7158" i="4"/>
  <c r="B7157" i="4"/>
  <c r="B7156" i="4"/>
  <c r="B7155" i="4"/>
  <c r="B7154" i="4"/>
  <c r="B7153" i="4"/>
  <c r="B7152" i="4"/>
  <c r="B7151" i="4"/>
  <c r="B7150" i="4"/>
  <c r="B7149" i="4"/>
  <c r="B7148" i="4"/>
  <c r="B7147" i="4"/>
  <c r="B7146" i="4"/>
  <c r="B7145" i="4"/>
  <c r="B7144" i="4"/>
  <c r="B7143" i="4"/>
  <c r="B7142" i="4"/>
  <c r="B7141" i="4"/>
  <c r="B7140" i="4"/>
  <c r="B7139" i="4"/>
  <c r="B7138" i="4"/>
  <c r="B7137" i="4"/>
  <c r="B7136" i="4"/>
  <c r="B7135" i="4"/>
  <c r="B7134" i="4"/>
  <c r="B7133" i="4"/>
  <c r="B7132" i="4"/>
  <c r="B7131" i="4"/>
  <c r="B7130" i="4"/>
  <c r="B7129" i="4"/>
  <c r="B7128" i="4"/>
  <c r="B7127" i="4"/>
  <c r="B7126" i="4"/>
  <c r="B7125" i="4"/>
  <c r="B7124" i="4"/>
  <c r="B7123" i="4"/>
  <c r="B7122" i="4"/>
  <c r="B7121" i="4"/>
  <c r="B7120" i="4"/>
  <c r="B7119" i="4"/>
  <c r="B7118" i="4"/>
  <c r="B7117" i="4"/>
  <c r="B7116" i="4"/>
  <c r="B7115" i="4"/>
  <c r="B7114" i="4"/>
  <c r="B7113" i="4"/>
  <c r="B7112" i="4"/>
  <c r="B7111" i="4"/>
  <c r="B7110" i="4"/>
  <c r="B7109" i="4"/>
  <c r="B7108" i="4"/>
  <c r="B7107" i="4"/>
  <c r="B7106" i="4"/>
  <c r="B7105" i="4"/>
  <c r="B7104" i="4"/>
  <c r="B7103" i="4"/>
  <c r="B7102" i="4"/>
  <c r="B7101" i="4"/>
  <c r="B7100" i="4"/>
  <c r="B7099" i="4"/>
  <c r="B7098" i="4"/>
  <c r="B7097" i="4"/>
  <c r="B7096" i="4"/>
  <c r="B7095" i="4"/>
  <c r="B7094" i="4"/>
  <c r="B7093" i="4"/>
  <c r="B7092" i="4"/>
  <c r="B7091" i="4"/>
  <c r="B7090" i="4"/>
  <c r="B7089" i="4"/>
  <c r="B7088" i="4"/>
  <c r="B7087" i="4"/>
  <c r="B7086" i="4"/>
  <c r="B7085" i="4"/>
  <c r="B7084" i="4"/>
  <c r="B7083" i="4"/>
  <c r="B7082" i="4"/>
  <c r="B7081" i="4"/>
  <c r="B7080" i="4"/>
  <c r="B7079" i="4"/>
  <c r="B7078" i="4"/>
  <c r="B7077" i="4"/>
  <c r="B7076" i="4"/>
  <c r="B7075" i="4"/>
  <c r="B7074" i="4"/>
  <c r="B7073" i="4"/>
  <c r="B7072" i="4"/>
  <c r="B7071" i="4"/>
  <c r="B7070" i="4"/>
  <c r="B7069" i="4"/>
  <c r="B7068" i="4"/>
  <c r="B7067" i="4"/>
  <c r="B7066" i="4"/>
  <c r="B7065" i="4"/>
  <c r="B7064" i="4"/>
  <c r="B7063" i="4"/>
  <c r="B7062" i="4"/>
  <c r="B7061" i="4"/>
  <c r="B7060" i="4"/>
  <c r="B7059" i="4"/>
  <c r="B7058" i="4"/>
  <c r="B7057" i="4"/>
  <c r="B7056" i="4"/>
  <c r="B7055" i="4"/>
  <c r="B7054" i="4"/>
  <c r="B7053" i="4"/>
  <c r="B7052" i="4"/>
  <c r="B7051" i="4"/>
  <c r="B7050" i="4"/>
  <c r="B7049" i="4"/>
  <c r="B7048" i="4"/>
  <c r="B7047" i="4"/>
  <c r="B7046" i="4"/>
  <c r="B7045" i="4"/>
  <c r="B7044" i="4"/>
  <c r="B7043" i="4"/>
  <c r="B7042" i="4"/>
  <c r="B7041" i="4"/>
  <c r="B7040" i="4"/>
  <c r="B7039" i="4"/>
  <c r="B7038" i="4"/>
  <c r="B7037" i="4"/>
  <c r="B7036" i="4"/>
  <c r="B7035" i="4"/>
  <c r="B7034" i="4"/>
  <c r="B7033" i="4"/>
  <c r="B7032" i="4"/>
  <c r="B7031" i="4"/>
  <c r="B7030" i="4"/>
  <c r="B7029" i="4"/>
  <c r="B7028" i="4"/>
  <c r="B7027" i="4"/>
  <c r="B7026" i="4"/>
  <c r="B7025" i="4"/>
  <c r="B7024" i="4"/>
  <c r="B7023" i="4"/>
  <c r="B7022" i="4"/>
  <c r="B7021" i="4"/>
  <c r="B7020" i="4"/>
  <c r="B7019" i="4"/>
  <c r="B7018" i="4"/>
  <c r="B7017" i="4"/>
  <c r="B7016" i="4"/>
  <c r="B7015" i="4"/>
  <c r="B7014" i="4"/>
  <c r="B7013" i="4"/>
  <c r="B7012" i="4"/>
  <c r="B7011" i="4"/>
  <c r="B7010" i="4"/>
  <c r="B7009" i="4"/>
  <c r="B7008" i="4"/>
  <c r="B7007" i="4"/>
  <c r="B7006" i="4"/>
  <c r="B7005" i="4"/>
  <c r="B7004" i="4"/>
  <c r="B7003" i="4"/>
  <c r="B7002" i="4"/>
  <c r="B7001" i="4"/>
  <c r="B7000" i="4"/>
  <c r="B6999" i="4"/>
  <c r="B6998" i="4"/>
  <c r="B6997" i="4"/>
  <c r="B6996" i="4"/>
  <c r="B6995" i="4"/>
  <c r="B6994" i="4"/>
  <c r="B6993" i="4"/>
  <c r="B6992" i="4"/>
  <c r="B6991" i="4"/>
  <c r="B6990" i="4"/>
  <c r="B6989" i="4"/>
  <c r="B6988" i="4"/>
  <c r="B6987" i="4"/>
  <c r="B6986" i="4"/>
  <c r="B6985" i="4"/>
  <c r="B6984" i="4"/>
  <c r="B6983" i="4"/>
  <c r="B6982" i="4"/>
  <c r="B6981" i="4"/>
  <c r="B6980" i="4"/>
  <c r="B6979" i="4"/>
  <c r="B6978" i="4"/>
  <c r="B6977" i="4"/>
  <c r="B6976" i="4"/>
  <c r="B6975" i="4"/>
  <c r="B6974" i="4"/>
  <c r="B6973" i="4"/>
  <c r="B6972" i="4"/>
  <c r="B6971" i="4"/>
  <c r="B6970" i="4"/>
  <c r="B6969" i="4"/>
  <c r="B6968" i="4"/>
  <c r="B6967" i="4"/>
  <c r="B6966" i="4"/>
  <c r="B6965" i="4"/>
  <c r="B6964" i="4"/>
  <c r="B6963" i="4"/>
  <c r="B6962" i="4"/>
  <c r="B6961" i="4"/>
  <c r="B6960" i="4"/>
  <c r="B6959" i="4"/>
  <c r="B6958" i="4"/>
  <c r="B6957" i="4"/>
  <c r="B6956" i="4"/>
  <c r="B6955" i="4"/>
  <c r="B6954" i="4"/>
  <c r="B6953" i="4"/>
  <c r="B6952" i="4"/>
  <c r="B6951" i="4"/>
  <c r="B6950" i="4"/>
  <c r="B6949" i="4"/>
  <c r="B6948" i="4"/>
  <c r="B6947" i="4"/>
  <c r="B6946" i="4"/>
  <c r="B6945" i="4"/>
  <c r="B6944" i="4"/>
  <c r="B6943" i="4"/>
  <c r="B6942" i="4"/>
  <c r="B6941" i="4"/>
  <c r="B6940" i="4"/>
  <c r="B6939" i="4"/>
  <c r="B6938" i="4"/>
  <c r="B6937" i="4"/>
  <c r="B6936" i="4"/>
  <c r="B6935" i="4"/>
  <c r="B6934" i="4"/>
  <c r="B6933" i="4"/>
  <c r="B6932" i="4"/>
  <c r="B6931" i="4"/>
  <c r="B6930" i="4"/>
  <c r="B6929" i="4"/>
  <c r="B6928" i="4"/>
  <c r="B6927" i="4"/>
  <c r="B6926" i="4"/>
  <c r="B6925" i="4"/>
  <c r="B6924" i="4"/>
  <c r="B6923" i="4"/>
  <c r="B6922" i="4"/>
  <c r="B6921" i="4"/>
  <c r="B6920" i="4"/>
  <c r="B6919" i="4"/>
  <c r="B6918" i="4"/>
  <c r="B6917" i="4"/>
  <c r="B6916" i="4"/>
  <c r="B6915" i="4"/>
  <c r="B6914" i="4"/>
  <c r="B6913" i="4"/>
  <c r="B6912" i="4"/>
  <c r="B6911" i="4"/>
  <c r="B6910" i="4"/>
  <c r="B6909" i="4"/>
  <c r="B6908" i="4"/>
  <c r="B6907" i="4"/>
  <c r="B6906" i="4"/>
  <c r="B6905" i="4"/>
  <c r="B6904" i="4"/>
  <c r="B6903" i="4"/>
  <c r="B6902" i="4"/>
  <c r="B6901" i="4"/>
  <c r="B6900" i="4"/>
  <c r="B6899" i="4"/>
  <c r="B6898" i="4"/>
  <c r="B6897" i="4"/>
  <c r="B6896" i="4"/>
  <c r="B6895" i="4"/>
  <c r="B6894" i="4"/>
  <c r="B6893" i="4"/>
  <c r="B6892" i="4"/>
  <c r="B6891" i="4"/>
  <c r="B6890" i="4"/>
  <c r="B6889" i="4"/>
  <c r="B6888" i="4"/>
  <c r="B6887" i="4"/>
  <c r="B6886" i="4"/>
  <c r="B6885" i="4"/>
  <c r="B6884" i="4"/>
  <c r="B6883" i="4"/>
  <c r="B6882" i="4"/>
  <c r="B6881" i="4"/>
  <c r="B6880" i="4"/>
  <c r="B6879" i="4"/>
  <c r="B6878" i="4"/>
  <c r="B6877" i="4"/>
  <c r="B6876" i="4"/>
  <c r="B6875" i="4"/>
  <c r="B6874" i="4"/>
  <c r="B6873" i="4"/>
  <c r="B6872" i="4"/>
  <c r="B6871" i="4"/>
  <c r="B6870" i="4"/>
  <c r="B6869" i="4"/>
  <c r="B6868" i="4"/>
  <c r="B6867" i="4"/>
  <c r="B6866" i="4"/>
  <c r="B6865" i="4"/>
  <c r="B6864" i="4"/>
  <c r="B6863" i="4"/>
  <c r="B6862" i="4"/>
  <c r="B6861" i="4"/>
  <c r="B6860" i="4"/>
  <c r="B6859" i="4"/>
  <c r="B6858" i="4"/>
  <c r="B6857" i="4"/>
  <c r="B6856" i="4"/>
  <c r="B6855" i="4"/>
  <c r="B6854" i="4"/>
  <c r="B6853" i="4"/>
  <c r="B6852" i="4"/>
  <c r="B6851" i="4"/>
  <c r="B6850" i="4"/>
  <c r="B6849" i="4"/>
  <c r="B6848" i="4"/>
  <c r="B6847" i="4"/>
  <c r="B6846" i="4"/>
  <c r="B6845" i="4"/>
  <c r="B6844" i="4"/>
  <c r="B6843" i="4"/>
  <c r="B6842" i="4"/>
  <c r="B6841" i="4"/>
  <c r="B6840" i="4"/>
  <c r="B6839" i="4"/>
  <c r="B6838" i="4"/>
  <c r="B6837" i="4"/>
  <c r="B6836" i="4"/>
  <c r="B6835" i="4"/>
  <c r="B6834" i="4"/>
  <c r="B6833" i="4"/>
  <c r="B6832" i="4"/>
  <c r="B6831" i="4"/>
  <c r="B6830" i="4"/>
  <c r="B6829" i="4"/>
  <c r="B6828" i="4"/>
  <c r="B6827" i="4"/>
  <c r="B6826" i="4"/>
  <c r="B6825" i="4"/>
  <c r="B6824" i="4"/>
  <c r="B6823" i="4"/>
  <c r="B6822" i="4"/>
  <c r="B6821" i="4"/>
  <c r="B6820" i="4"/>
  <c r="B6819" i="4"/>
  <c r="B6818" i="4"/>
  <c r="B6817" i="4"/>
  <c r="B6816" i="4"/>
  <c r="B6815" i="4"/>
  <c r="B6814" i="4"/>
  <c r="B6813" i="4"/>
  <c r="B6812" i="4"/>
  <c r="B6811" i="4"/>
  <c r="B6810" i="4"/>
  <c r="B6809" i="4"/>
  <c r="B6808" i="4"/>
  <c r="B6807" i="4"/>
  <c r="B6806" i="4"/>
  <c r="B6805" i="4"/>
  <c r="B6804" i="4"/>
  <c r="B6803" i="4"/>
  <c r="B6802" i="4"/>
  <c r="B6801" i="4"/>
  <c r="B6800" i="4"/>
  <c r="B6799" i="4"/>
  <c r="B6798" i="4"/>
  <c r="B6797" i="4"/>
  <c r="B6796" i="4"/>
  <c r="B6795" i="4"/>
  <c r="B6794" i="4"/>
  <c r="B6793" i="4"/>
  <c r="B6792" i="4"/>
  <c r="B6791" i="4"/>
  <c r="B6790" i="4"/>
  <c r="B6789" i="4"/>
  <c r="B6788" i="4"/>
  <c r="B6787" i="4"/>
  <c r="B6786" i="4"/>
  <c r="B6785" i="4"/>
  <c r="B6784" i="4"/>
  <c r="B6783" i="4"/>
  <c r="B6782" i="4"/>
  <c r="B6781" i="4"/>
  <c r="B6780" i="4"/>
  <c r="B6779" i="4"/>
  <c r="B6778" i="4"/>
  <c r="B6777" i="4"/>
  <c r="B6776" i="4"/>
  <c r="B6775" i="4"/>
  <c r="B6774" i="4"/>
  <c r="B6773" i="4"/>
  <c r="B6772" i="4"/>
  <c r="B6771" i="4"/>
  <c r="B6770" i="4"/>
  <c r="B6769" i="4"/>
  <c r="B6768" i="4"/>
  <c r="B6767" i="4"/>
  <c r="B6766" i="4"/>
  <c r="B6765" i="4"/>
  <c r="B6764" i="4"/>
  <c r="B6763" i="4"/>
  <c r="B6762" i="4"/>
  <c r="B6761" i="4"/>
  <c r="B6760" i="4"/>
  <c r="B6759" i="4"/>
  <c r="B6758" i="4"/>
  <c r="B6757" i="4"/>
  <c r="B6756" i="4"/>
  <c r="B6755" i="4"/>
  <c r="B6754" i="4"/>
  <c r="B6753" i="4"/>
  <c r="B6752" i="4"/>
  <c r="B6751" i="4"/>
  <c r="B6750" i="4"/>
  <c r="B6749" i="4"/>
  <c r="B6748" i="4"/>
  <c r="B6747" i="4"/>
  <c r="B6746" i="4"/>
  <c r="B6745" i="4"/>
  <c r="B6744" i="4"/>
  <c r="B6743" i="4"/>
  <c r="B6742" i="4"/>
  <c r="B6741" i="4"/>
  <c r="B6740" i="4"/>
  <c r="B6739" i="4"/>
  <c r="B6738" i="4"/>
  <c r="B6737" i="4"/>
  <c r="B6736" i="4"/>
  <c r="B6735" i="4"/>
  <c r="B6734" i="4"/>
  <c r="B6733" i="4"/>
  <c r="B6732" i="4"/>
  <c r="B6731" i="4"/>
  <c r="B6730" i="4"/>
  <c r="B6729" i="4"/>
  <c r="B6728" i="4"/>
  <c r="B6727" i="4"/>
  <c r="B6726" i="4"/>
  <c r="B6725" i="4"/>
  <c r="B6724" i="4"/>
  <c r="B6723" i="4"/>
  <c r="B6722" i="4"/>
  <c r="B6721" i="4"/>
  <c r="B6720" i="4"/>
  <c r="B6719" i="4"/>
  <c r="B6718" i="4"/>
  <c r="B6717" i="4"/>
  <c r="B6716" i="4"/>
  <c r="B6715" i="4"/>
  <c r="B6714" i="4"/>
  <c r="B6713" i="4"/>
  <c r="B6712" i="4"/>
  <c r="B6711" i="4"/>
  <c r="B6710" i="4"/>
  <c r="B6709" i="4"/>
  <c r="B6708" i="4"/>
  <c r="B6707" i="4"/>
  <c r="B6706" i="4"/>
  <c r="B6705" i="4"/>
  <c r="B6704" i="4"/>
  <c r="B6703" i="4"/>
  <c r="B6702" i="4"/>
  <c r="B6701" i="4"/>
  <c r="B6700" i="4"/>
  <c r="B6699" i="4"/>
  <c r="B6698" i="4"/>
  <c r="B6697" i="4"/>
  <c r="B6696" i="4"/>
  <c r="B6695" i="4"/>
  <c r="B6694" i="4"/>
  <c r="B6693" i="4"/>
  <c r="B6692" i="4"/>
  <c r="B6691" i="4"/>
  <c r="B6690" i="4"/>
  <c r="B6689" i="4"/>
  <c r="B6688" i="4"/>
  <c r="B6687" i="4"/>
  <c r="B6686" i="4"/>
  <c r="B6685" i="4"/>
  <c r="B6684" i="4"/>
  <c r="B6683" i="4"/>
  <c r="B6682" i="4"/>
  <c r="B6681" i="4"/>
  <c r="B6680" i="4"/>
  <c r="B6679" i="4"/>
  <c r="B6678" i="4"/>
  <c r="B6677" i="4"/>
  <c r="B6676" i="4"/>
  <c r="B6675" i="4"/>
  <c r="B6674" i="4"/>
  <c r="B6673" i="4"/>
  <c r="B6672" i="4"/>
  <c r="B6671" i="4"/>
  <c r="B6670" i="4"/>
  <c r="B6669" i="4"/>
  <c r="B6668" i="4"/>
  <c r="B6667" i="4"/>
  <c r="B6666" i="4"/>
  <c r="B6665" i="4"/>
  <c r="B6664" i="4"/>
  <c r="B6663" i="4"/>
  <c r="B6662" i="4"/>
  <c r="B6661" i="4"/>
  <c r="B6660" i="4"/>
  <c r="B6659" i="4"/>
  <c r="B6658" i="4"/>
  <c r="B6657" i="4"/>
  <c r="B6656" i="4"/>
  <c r="B6655" i="4"/>
  <c r="B6654" i="4"/>
  <c r="B6653" i="4"/>
  <c r="B6652" i="4"/>
  <c r="B6651" i="4"/>
  <c r="B6650" i="4"/>
  <c r="B6649" i="4"/>
  <c r="B6648" i="4"/>
  <c r="B6647" i="4"/>
  <c r="B6646" i="4"/>
  <c r="B6645" i="4"/>
  <c r="B6644" i="4"/>
  <c r="B6643" i="4"/>
  <c r="B6642" i="4"/>
  <c r="B6641" i="4"/>
  <c r="B6640" i="4"/>
  <c r="B6639" i="4"/>
  <c r="B6638" i="4"/>
  <c r="B6637" i="4"/>
  <c r="B6636" i="4"/>
  <c r="B6635" i="4"/>
  <c r="B6634" i="4"/>
  <c r="B6633" i="4"/>
  <c r="B6632" i="4"/>
  <c r="B6631" i="4"/>
  <c r="B6630" i="4"/>
  <c r="B6629" i="4"/>
  <c r="B6628" i="4"/>
  <c r="B6627" i="4"/>
  <c r="B6626" i="4"/>
  <c r="B6625" i="4"/>
  <c r="B6624" i="4"/>
  <c r="B6623" i="4"/>
  <c r="B6622" i="4"/>
  <c r="B6621" i="4"/>
  <c r="B6620" i="4"/>
  <c r="B6619" i="4"/>
  <c r="B6618" i="4"/>
  <c r="B6617" i="4"/>
  <c r="B6616" i="4"/>
  <c r="B6615" i="4"/>
  <c r="B6614" i="4"/>
  <c r="B6613" i="4"/>
  <c r="B6612" i="4"/>
  <c r="B6611" i="4"/>
  <c r="B6610" i="4"/>
  <c r="B6609" i="4"/>
  <c r="B6608" i="4"/>
  <c r="B6607" i="4"/>
  <c r="B6606" i="4"/>
  <c r="B6605" i="4"/>
  <c r="B6604" i="4"/>
  <c r="B6603" i="4"/>
  <c r="B6602" i="4"/>
  <c r="B6601" i="4"/>
  <c r="B6600" i="4"/>
  <c r="B6599" i="4"/>
  <c r="B6598" i="4"/>
  <c r="B6597" i="4"/>
  <c r="B6596" i="4"/>
  <c r="B6595" i="4"/>
  <c r="B6594" i="4"/>
  <c r="B6593" i="4"/>
  <c r="B6592" i="4"/>
  <c r="B6591" i="4"/>
  <c r="B6590" i="4"/>
  <c r="B6589" i="4"/>
  <c r="B6588" i="4"/>
  <c r="B6587" i="4"/>
  <c r="B6586" i="4"/>
  <c r="B6585" i="4"/>
  <c r="B6584" i="4"/>
  <c r="B6583" i="4"/>
  <c r="B6582" i="4"/>
  <c r="B6581" i="4"/>
  <c r="B6580" i="4"/>
  <c r="B6579" i="4"/>
  <c r="B6578" i="4"/>
  <c r="B6577" i="4"/>
  <c r="B6576" i="4"/>
  <c r="B6575" i="4"/>
  <c r="B6574" i="4"/>
  <c r="B6573" i="4"/>
  <c r="B6572" i="4"/>
  <c r="B6571" i="4"/>
  <c r="B6570" i="4"/>
  <c r="B6569" i="4"/>
  <c r="B6568" i="4"/>
  <c r="B6567" i="4"/>
  <c r="B6566" i="4"/>
  <c r="B6565" i="4"/>
  <c r="B6564" i="4"/>
  <c r="B6563" i="4"/>
  <c r="B6562" i="4"/>
  <c r="B6561" i="4"/>
  <c r="B6560" i="4"/>
  <c r="B6559" i="4"/>
  <c r="B6558" i="4"/>
  <c r="B6557" i="4"/>
  <c r="B6556" i="4"/>
  <c r="B6555" i="4"/>
  <c r="B6554" i="4"/>
  <c r="B6553" i="4"/>
  <c r="B6552" i="4"/>
  <c r="B6551" i="4"/>
  <c r="B6550" i="4"/>
  <c r="B6549" i="4"/>
  <c r="B6548" i="4"/>
  <c r="B6547" i="4"/>
  <c r="B6546" i="4"/>
  <c r="B6545" i="4"/>
  <c r="B6544" i="4"/>
  <c r="B6543" i="4"/>
  <c r="B6542" i="4"/>
  <c r="B6541" i="4"/>
  <c r="B6540" i="4"/>
  <c r="B6539" i="4"/>
  <c r="B6538" i="4"/>
  <c r="B6537" i="4"/>
  <c r="B6536" i="4"/>
  <c r="B6535" i="4"/>
  <c r="B6534" i="4"/>
  <c r="B6533" i="4"/>
  <c r="B6532" i="4"/>
  <c r="B6531" i="4"/>
  <c r="B6530" i="4"/>
  <c r="B6529" i="4"/>
  <c r="B6528" i="4"/>
  <c r="B6527" i="4"/>
  <c r="B6526" i="4"/>
  <c r="B6525" i="4"/>
  <c r="B6524" i="4"/>
  <c r="B6523" i="4"/>
  <c r="B6522" i="4"/>
  <c r="B6521" i="4"/>
  <c r="B6520" i="4"/>
  <c r="B6519" i="4"/>
  <c r="B6518" i="4"/>
  <c r="B6517" i="4"/>
  <c r="B6516" i="4"/>
  <c r="B6515" i="4"/>
  <c r="B6514" i="4"/>
  <c r="B6513" i="4"/>
  <c r="B6512" i="4"/>
  <c r="B6511" i="4"/>
  <c r="B6510" i="4"/>
  <c r="B6509" i="4"/>
  <c r="B6508" i="4"/>
  <c r="B6507" i="4"/>
  <c r="B6506" i="4"/>
  <c r="B6505" i="4"/>
  <c r="B6504" i="4"/>
  <c r="B6503" i="4"/>
  <c r="B6502" i="4"/>
  <c r="B6501" i="4"/>
  <c r="B6500" i="4"/>
  <c r="B6499" i="4"/>
  <c r="B6498" i="4"/>
  <c r="B6497" i="4"/>
  <c r="B6496" i="4"/>
  <c r="B6495" i="4"/>
  <c r="B6494" i="4"/>
  <c r="B6493" i="4"/>
  <c r="B6492" i="4"/>
  <c r="B6491" i="4"/>
  <c r="B6490" i="4"/>
  <c r="B6489" i="4"/>
  <c r="B6488" i="4"/>
  <c r="B6487" i="4"/>
  <c r="B6486" i="4"/>
  <c r="B6485" i="4"/>
  <c r="B6484" i="4"/>
  <c r="B6483" i="4"/>
  <c r="B6482" i="4"/>
  <c r="B6481" i="4"/>
  <c r="B6480" i="4"/>
  <c r="B6479" i="4"/>
  <c r="B6478" i="4"/>
  <c r="B6477" i="4"/>
  <c r="B6476" i="4"/>
  <c r="B6475" i="4"/>
  <c r="B6474" i="4"/>
  <c r="B6473" i="4"/>
  <c r="B6472" i="4"/>
  <c r="B6471" i="4"/>
  <c r="B6470" i="4"/>
  <c r="B6469" i="4"/>
  <c r="B6468" i="4"/>
  <c r="B6467" i="4"/>
  <c r="B6466" i="4"/>
  <c r="B6465" i="4"/>
  <c r="B6464" i="4"/>
  <c r="B6463" i="4"/>
  <c r="B6462" i="4"/>
  <c r="B6461" i="4"/>
  <c r="B6460" i="4"/>
  <c r="B6459" i="4"/>
  <c r="B6458" i="4"/>
  <c r="B6457" i="4"/>
  <c r="B6456" i="4"/>
  <c r="B6455" i="4"/>
  <c r="B6454" i="4"/>
  <c r="B6453" i="4"/>
  <c r="B6452" i="4"/>
  <c r="B6451" i="4"/>
  <c r="B6450" i="4"/>
  <c r="B6449" i="4"/>
  <c r="B6448" i="4"/>
  <c r="B6447" i="4"/>
  <c r="B6446" i="4"/>
  <c r="B6445" i="4"/>
  <c r="B6444" i="4"/>
  <c r="B6443" i="4"/>
  <c r="B6442" i="4"/>
  <c r="B6441" i="4"/>
  <c r="B6440" i="4"/>
  <c r="B6439" i="4"/>
  <c r="B6438" i="4"/>
  <c r="B6437" i="4"/>
  <c r="B6436" i="4"/>
  <c r="B6435" i="4"/>
  <c r="B6434" i="4"/>
  <c r="B6433" i="4"/>
  <c r="B6432" i="4"/>
  <c r="B6431" i="4"/>
  <c r="B6430" i="4"/>
  <c r="B6429" i="4"/>
  <c r="B6428" i="4"/>
  <c r="B6427" i="4"/>
  <c r="B6426" i="4"/>
  <c r="B6425" i="4"/>
  <c r="B6424" i="4"/>
  <c r="B6423" i="4"/>
  <c r="B6422" i="4"/>
  <c r="B6421" i="4"/>
  <c r="B6420" i="4"/>
  <c r="B6419" i="4"/>
  <c r="B6418" i="4"/>
  <c r="B6417" i="4"/>
  <c r="B6416" i="4"/>
  <c r="B6415" i="4"/>
  <c r="B6414" i="4"/>
  <c r="B6413" i="4"/>
  <c r="B6412" i="4"/>
  <c r="B6411" i="4"/>
  <c r="B6410" i="4"/>
  <c r="B6409" i="4"/>
  <c r="B6408" i="4"/>
  <c r="B6407" i="4"/>
  <c r="B6406" i="4"/>
  <c r="B6405" i="4"/>
  <c r="B6404" i="4"/>
  <c r="B6403" i="4"/>
  <c r="B6402" i="4"/>
  <c r="B6401" i="4"/>
  <c r="B6400" i="4"/>
  <c r="B6399" i="4"/>
  <c r="B6398" i="4"/>
  <c r="B6397" i="4"/>
  <c r="B6396" i="4"/>
  <c r="B6395" i="4"/>
  <c r="B6394" i="4"/>
  <c r="B6393" i="4"/>
  <c r="B6392" i="4"/>
  <c r="B6391" i="4"/>
  <c r="B6390" i="4"/>
  <c r="B6389" i="4"/>
  <c r="B6388" i="4"/>
  <c r="B6387" i="4"/>
  <c r="B6386" i="4"/>
  <c r="B6385" i="4"/>
  <c r="B6384" i="4"/>
  <c r="B6383" i="4"/>
  <c r="B6382" i="4"/>
  <c r="B6381" i="4"/>
  <c r="B6380" i="4"/>
  <c r="B6379" i="4"/>
  <c r="B6378" i="4"/>
  <c r="B6377" i="4"/>
  <c r="B6376" i="4"/>
  <c r="B6375" i="4"/>
  <c r="B6374" i="4"/>
  <c r="B6373" i="4"/>
  <c r="B6372" i="4"/>
  <c r="B6371" i="4"/>
  <c r="B6370" i="4"/>
  <c r="B6369" i="4"/>
  <c r="B6368" i="4"/>
  <c r="B6367" i="4"/>
  <c r="B6366" i="4"/>
  <c r="B6365" i="4"/>
  <c r="B6364" i="4"/>
  <c r="B6363" i="4"/>
  <c r="B6362" i="4"/>
  <c r="B6361" i="4"/>
  <c r="B6360" i="4"/>
  <c r="B6359" i="4"/>
  <c r="B6358" i="4"/>
  <c r="B6357" i="4"/>
  <c r="B6356" i="4"/>
  <c r="B6355" i="4"/>
  <c r="B6354" i="4"/>
  <c r="B6353" i="4"/>
  <c r="B6352" i="4"/>
  <c r="B6351" i="4"/>
  <c r="B6350" i="4"/>
  <c r="B6349" i="4"/>
  <c r="B6348" i="4"/>
  <c r="B6347" i="4"/>
  <c r="B6346" i="4"/>
  <c r="B6345" i="4"/>
  <c r="B6344" i="4"/>
  <c r="B6343" i="4"/>
  <c r="B6342" i="4"/>
  <c r="B6341" i="4"/>
  <c r="B6340" i="4"/>
  <c r="B6339" i="4"/>
  <c r="B6338" i="4"/>
  <c r="B6337" i="4"/>
  <c r="B6336" i="4"/>
  <c r="B6335" i="4"/>
  <c r="B6334" i="4"/>
  <c r="B6333" i="4"/>
  <c r="B6332" i="4"/>
  <c r="B6331" i="4"/>
  <c r="B6330" i="4"/>
  <c r="B6329" i="4"/>
  <c r="B6328" i="4"/>
  <c r="B6327" i="4"/>
  <c r="B6326" i="4"/>
  <c r="B6325" i="4"/>
  <c r="B6324" i="4"/>
  <c r="B6323" i="4"/>
  <c r="B6322" i="4"/>
  <c r="B6321" i="4"/>
  <c r="B6320" i="4"/>
  <c r="B6319" i="4"/>
  <c r="B6318" i="4"/>
  <c r="B6317" i="4"/>
  <c r="B6316" i="4"/>
  <c r="B6315" i="4"/>
  <c r="B6314" i="4"/>
  <c r="B6313" i="4"/>
  <c r="B6312" i="4"/>
  <c r="B6311" i="4"/>
  <c r="B6310" i="4"/>
  <c r="B6309" i="4"/>
  <c r="B6308" i="4"/>
  <c r="B6307" i="4"/>
  <c r="B6306" i="4"/>
  <c r="B6305" i="4"/>
  <c r="B6304" i="4"/>
  <c r="B6303" i="4"/>
  <c r="B6302" i="4"/>
  <c r="B6301" i="4"/>
  <c r="B6300" i="4"/>
  <c r="B6299" i="4"/>
  <c r="B6298" i="4"/>
  <c r="B6297" i="4"/>
  <c r="B6296" i="4"/>
  <c r="B6295" i="4"/>
  <c r="B6294" i="4"/>
  <c r="B6293" i="4"/>
  <c r="B6292" i="4"/>
  <c r="B6291" i="4"/>
  <c r="B6290" i="4"/>
  <c r="B6289" i="4"/>
  <c r="B6288" i="4"/>
  <c r="B6287" i="4"/>
  <c r="B6286" i="4"/>
  <c r="B6285" i="4"/>
  <c r="B6284" i="4"/>
  <c r="B6283" i="4"/>
  <c r="B6282" i="4"/>
  <c r="B6281" i="4"/>
  <c r="B6280" i="4"/>
  <c r="B6279" i="4"/>
  <c r="B6278" i="4"/>
  <c r="B6277" i="4"/>
  <c r="B6276" i="4"/>
  <c r="B6275" i="4"/>
  <c r="B6274" i="4"/>
  <c r="B6273" i="4"/>
  <c r="B6272" i="4"/>
  <c r="B6271" i="4"/>
  <c r="B6270" i="4"/>
  <c r="B6269" i="4"/>
  <c r="B6268" i="4"/>
  <c r="B6267" i="4"/>
  <c r="B6266" i="4"/>
  <c r="B6265" i="4"/>
  <c r="B6264" i="4"/>
  <c r="B6263" i="4"/>
  <c r="B6262" i="4"/>
  <c r="B6261" i="4"/>
  <c r="B6260" i="4"/>
  <c r="B6259" i="4"/>
  <c r="B6258" i="4"/>
  <c r="B6257" i="4"/>
  <c r="B6256" i="4"/>
  <c r="B6255" i="4"/>
  <c r="B6254" i="4"/>
  <c r="B6253" i="4"/>
  <c r="B6252" i="4"/>
  <c r="B6251" i="4"/>
  <c r="B6250" i="4"/>
  <c r="B6249" i="4"/>
  <c r="B6248" i="4"/>
  <c r="B6247" i="4"/>
  <c r="B6246" i="4"/>
  <c r="B6245" i="4"/>
  <c r="B6244" i="4"/>
  <c r="B6243" i="4"/>
  <c r="B6242" i="4"/>
  <c r="B6241" i="4"/>
  <c r="B6240" i="4"/>
  <c r="B6239" i="4"/>
  <c r="B6238" i="4"/>
  <c r="B6237" i="4"/>
  <c r="B6236" i="4"/>
  <c r="B6235" i="4"/>
  <c r="B6234" i="4"/>
  <c r="B6233" i="4"/>
  <c r="B6232" i="4"/>
  <c r="B6231" i="4"/>
  <c r="B6230" i="4"/>
  <c r="B6229" i="4"/>
  <c r="B6228" i="4"/>
  <c r="B6227" i="4"/>
  <c r="B6226" i="4"/>
  <c r="B6225" i="4"/>
  <c r="B6224" i="4"/>
  <c r="B6223" i="4"/>
  <c r="B6222" i="4"/>
  <c r="B6221" i="4"/>
  <c r="B6220" i="4"/>
  <c r="B6219" i="4"/>
  <c r="B6218" i="4"/>
  <c r="B6217" i="4"/>
  <c r="B6216" i="4"/>
  <c r="B6215" i="4"/>
  <c r="B6214" i="4"/>
  <c r="B6213" i="4"/>
  <c r="B6212" i="4"/>
  <c r="B6211" i="4"/>
  <c r="B6210" i="4"/>
  <c r="B6209" i="4"/>
  <c r="B6208" i="4"/>
  <c r="B6207" i="4"/>
  <c r="B6206" i="4"/>
  <c r="B6205" i="4"/>
  <c r="B6204" i="4"/>
  <c r="B6203" i="4"/>
  <c r="B6202" i="4"/>
  <c r="B6201" i="4"/>
  <c r="B6200" i="4"/>
  <c r="B6199" i="4"/>
  <c r="B6198" i="4"/>
  <c r="B6197" i="4"/>
  <c r="B6196" i="4"/>
  <c r="B6195" i="4"/>
  <c r="B6194" i="4"/>
  <c r="B6193" i="4"/>
  <c r="B6192" i="4"/>
  <c r="B6191" i="4"/>
  <c r="B6190" i="4"/>
  <c r="B6189" i="4"/>
  <c r="B6188" i="4"/>
  <c r="B6187" i="4"/>
  <c r="B6186" i="4"/>
  <c r="B6185" i="4"/>
  <c r="B6184" i="4"/>
  <c r="B6183" i="4"/>
  <c r="B6182" i="4"/>
  <c r="B6181" i="4"/>
  <c r="B6180" i="4"/>
  <c r="B6179" i="4"/>
  <c r="B6178" i="4"/>
  <c r="B6177" i="4"/>
  <c r="B6176" i="4"/>
  <c r="B6175" i="4"/>
  <c r="B6174" i="4"/>
  <c r="B6173" i="4"/>
  <c r="B6172" i="4"/>
  <c r="B6171" i="4"/>
  <c r="B6170" i="4"/>
  <c r="B6169" i="4"/>
  <c r="B6168" i="4"/>
  <c r="B6167" i="4"/>
  <c r="B6166" i="4"/>
  <c r="B6165" i="4"/>
  <c r="B6164" i="4"/>
  <c r="B6163" i="4"/>
  <c r="B6162" i="4"/>
  <c r="B6161" i="4"/>
  <c r="B6160" i="4"/>
  <c r="B6159" i="4"/>
  <c r="B6158" i="4"/>
  <c r="B6157" i="4"/>
  <c r="B6156" i="4"/>
  <c r="B6155" i="4"/>
  <c r="B6154" i="4"/>
  <c r="B6153" i="4"/>
  <c r="B6152" i="4"/>
  <c r="B6151" i="4"/>
  <c r="B6150" i="4"/>
  <c r="B6149" i="4"/>
  <c r="B6148" i="4"/>
  <c r="B6147" i="4"/>
  <c r="B6146" i="4"/>
  <c r="B6145" i="4"/>
  <c r="B6144" i="4"/>
  <c r="B6143" i="4"/>
  <c r="B6142" i="4"/>
  <c r="B6141" i="4"/>
  <c r="B6140" i="4"/>
  <c r="B6139" i="4"/>
  <c r="B6138" i="4"/>
  <c r="B6137" i="4"/>
  <c r="B6136" i="4"/>
  <c r="B6135" i="4"/>
  <c r="B6134" i="4"/>
  <c r="B6133" i="4"/>
  <c r="B6132" i="4"/>
  <c r="B6131" i="4"/>
  <c r="B6130" i="4"/>
  <c r="B6129" i="4"/>
  <c r="B6128" i="4"/>
  <c r="B6127" i="4"/>
  <c r="B6126" i="4"/>
  <c r="B6125" i="4"/>
  <c r="B6124" i="4"/>
  <c r="B6123" i="4"/>
  <c r="B6122" i="4"/>
  <c r="B6121" i="4"/>
  <c r="B6120" i="4"/>
  <c r="B6119" i="4"/>
  <c r="B6118" i="4"/>
  <c r="B6117" i="4"/>
  <c r="B6116" i="4"/>
  <c r="B6115" i="4"/>
  <c r="B6114" i="4"/>
  <c r="B6113" i="4"/>
  <c r="B6112" i="4"/>
  <c r="B6111" i="4"/>
  <c r="B6110" i="4"/>
  <c r="B6109" i="4"/>
  <c r="B6108" i="4"/>
  <c r="B6107" i="4"/>
  <c r="B6106" i="4"/>
  <c r="B6105" i="4"/>
  <c r="B6104" i="4"/>
  <c r="B6103" i="4"/>
  <c r="B6102" i="4"/>
  <c r="B6101" i="4"/>
  <c r="B6100" i="4"/>
  <c r="B6099" i="4"/>
  <c r="B6098" i="4"/>
  <c r="B6097" i="4"/>
  <c r="B6096" i="4"/>
  <c r="B6095" i="4"/>
  <c r="B6094" i="4"/>
  <c r="B6093" i="4"/>
  <c r="B6092" i="4"/>
  <c r="B6091" i="4"/>
  <c r="B6090" i="4"/>
  <c r="B6089" i="4"/>
  <c r="B6088" i="4"/>
  <c r="B6087" i="4"/>
  <c r="B6086" i="4"/>
  <c r="B6085" i="4"/>
  <c r="B6084" i="4"/>
  <c r="B6083" i="4"/>
  <c r="B6082" i="4"/>
  <c r="B6081" i="4"/>
  <c r="B6080" i="4"/>
  <c r="B6079" i="4"/>
  <c r="B6078" i="4"/>
  <c r="B6077" i="4"/>
  <c r="B6076" i="4"/>
  <c r="B6075" i="4"/>
  <c r="B6074" i="4"/>
  <c r="B6073" i="4"/>
  <c r="B6072" i="4"/>
  <c r="B6071" i="4"/>
  <c r="B6070" i="4"/>
  <c r="B6069" i="4"/>
  <c r="B6068" i="4"/>
  <c r="B6067" i="4"/>
  <c r="B6066" i="4"/>
  <c r="B6065" i="4"/>
  <c r="B6064" i="4"/>
  <c r="B6063" i="4"/>
  <c r="B6062" i="4"/>
  <c r="B6061" i="4"/>
  <c r="B6060" i="4"/>
  <c r="B6059" i="4"/>
  <c r="B6058" i="4"/>
  <c r="B6057" i="4"/>
  <c r="B6056" i="4"/>
  <c r="B6055" i="4"/>
  <c r="B6054" i="4"/>
  <c r="B6053" i="4"/>
  <c r="B6052" i="4"/>
  <c r="B6051" i="4"/>
  <c r="B6050" i="4"/>
  <c r="B6049" i="4"/>
  <c r="B6048" i="4"/>
  <c r="B6047" i="4"/>
  <c r="B6046" i="4"/>
  <c r="B6045" i="4"/>
  <c r="B6044" i="4"/>
  <c r="B6043" i="4"/>
  <c r="B6042" i="4"/>
  <c r="B6041" i="4"/>
  <c r="B6040" i="4"/>
  <c r="B6039" i="4"/>
  <c r="B6038" i="4"/>
  <c r="B6037" i="4"/>
  <c r="B6036" i="4"/>
  <c r="B6035" i="4"/>
  <c r="B6034" i="4"/>
  <c r="B6033" i="4"/>
  <c r="B6032" i="4"/>
  <c r="B6031" i="4"/>
  <c r="B6030" i="4"/>
  <c r="B6029" i="4"/>
  <c r="B6028" i="4"/>
  <c r="B6027" i="4"/>
  <c r="B6026" i="4"/>
  <c r="B6025" i="4"/>
  <c r="B6024" i="4"/>
  <c r="B6023" i="4"/>
  <c r="B6022" i="4"/>
  <c r="B6021" i="4"/>
  <c r="B6020" i="4"/>
  <c r="B6019" i="4"/>
  <c r="B6018" i="4"/>
  <c r="B6017" i="4"/>
  <c r="B6016" i="4"/>
  <c r="B6015" i="4"/>
  <c r="B6014" i="4"/>
  <c r="B6013" i="4"/>
  <c r="B6012" i="4"/>
  <c r="B6011" i="4"/>
  <c r="B6010" i="4"/>
  <c r="B6009" i="4"/>
  <c r="B6008" i="4"/>
  <c r="B6007" i="4"/>
  <c r="B6006" i="4"/>
  <c r="B6005" i="4"/>
  <c r="B6004" i="4"/>
  <c r="B6003" i="4"/>
  <c r="B6002" i="4"/>
  <c r="B6001" i="4"/>
  <c r="B6000" i="4"/>
  <c r="B5999" i="4"/>
  <c r="B5998" i="4"/>
  <c r="B5997" i="4"/>
  <c r="B5996" i="4"/>
  <c r="B5995" i="4"/>
  <c r="B5994" i="4"/>
  <c r="B5993" i="4"/>
  <c r="B5992" i="4"/>
  <c r="B5991" i="4"/>
  <c r="B5990" i="4"/>
  <c r="B5989" i="4"/>
  <c r="B5988" i="4"/>
  <c r="B5987" i="4"/>
  <c r="B5986" i="4"/>
  <c r="B5985" i="4"/>
  <c r="B5984" i="4"/>
  <c r="B5983" i="4"/>
  <c r="B5982" i="4"/>
  <c r="B5981" i="4"/>
  <c r="B5980" i="4"/>
  <c r="B5979" i="4"/>
  <c r="B5978" i="4"/>
  <c r="B5977" i="4"/>
  <c r="B5976" i="4"/>
  <c r="B5975" i="4"/>
  <c r="B5974" i="4"/>
  <c r="B5973" i="4"/>
  <c r="B5972" i="4"/>
  <c r="B5971" i="4"/>
  <c r="B5970" i="4"/>
  <c r="B5969" i="4"/>
  <c r="B5968" i="4"/>
  <c r="B5967" i="4"/>
  <c r="B5966" i="4"/>
  <c r="B5965" i="4"/>
  <c r="B5964" i="4"/>
  <c r="B5963" i="4"/>
  <c r="B5962" i="4"/>
  <c r="B5961" i="4"/>
  <c r="B5960" i="4"/>
  <c r="B5959" i="4"/>
  <c r="B5958" i="4"/>
  <c r="B5957" i="4"/>
  <c r="B5956" i="4"/>
  <c r="B5955" i="4"/>
  <c r="B5954" i="4"/>
  <c r="B5953" i="4"/>
  <c r="B5952" i="4"/>
  <c r="B5951" i="4"/>
  <c r="B5950" i="4"/>
  <c r="B5949" i="4"/>
  <c r="B5948" i="4"/>
  <c r="B5947" i="4"/>
  <c r="B5946" i="4"/>
  <c r="B5945" i="4"/>
  <c r="B5944" i="4"/>
  <c r="B5943" i="4"/>
  <c r="B5942" i="4"/>
  <c r="B5941" i="4"/>
  <c r="B5940" i="4"/>
  <c r="B5939" i="4"/>
  <c r="B5938" i="4"/>
  <c r="B5937" i="4"/>
  <c r="B5936" i="4"/>
  <c r="B5935" i="4"/>
  <c r="B5934" i="4"/>
  <c r="B5933" i="4"/>
  <c r="B5932" i="4"/>
  <c r="B5931" i="4"/>
  <c r="B5930" i="4"/>
  <c r="B5929" i="4"/>
  <c r="B5928" i="4"/>
  <c r="B5927" i="4"/>
  <c r="B5926" i="4"/>
  <c r="B5925" i="4"/>
  <c r="B5924" i="4"/>
  <c r="B5923" i="4"/>
  <c r="B5922" i="4"/>
  <c r="B5921" i="4"/>
  <c r="B5920" i="4"/>
  <c r="B5919" i="4"/>
  <c r="B5918" i="4"/>
  <c r="B5917" i="4"/>
  <c r="B5916" i="4"/>
  <c r="B5915" i="4"/>
  <c r="B5914" i="4"/>
  <c r="B5913" i="4"/>
  <c r="B5912" i="4"/>
  <c r="B5911" i="4"/>
  <c r="B5910" i="4"/>
  <c r="B5909" i="4"/>
  <c r="B5908" i="4"/>
  <c r="B5907" i="4"/>
  <c r="B5906" i="4"/>
  <c r="B5905" i="4"/>
  <c r="B5904" i="4"/>
  <c r="B5903" i="4"/>
  <c r="B5902" i="4"/>
  <c r="B5901" i="4"/>
  <c r="B5900" i="4"/>
  <c r="B5899" i="4"/>
  <c r="B5898" i="4"/>
  <c r="B5897" i="4"/>
  <c r="B5896" i="4"/>
  <c r="B5895" i="4"/>
  <c r="B5894" i="4"/>
  <c r="B5893" i="4"/>
  <c r="B5892" i="4"/>
  <c r="B5891" i="4"/>
  <c r="B5890" i="4"/>
  <c r="B5889" i="4"/>
  <c r="B5888" i="4"/>
  <c r="B5887" i="4"/>
  <c r="B5886" i="4"/>
  <c r="B5885" i="4"/>
  <c r="B5884" i="4"/>
  <c r="B5883" i="4"/>
  <c r="B5882" i="4"/>
  <c r="B5881" i="4"/>
  <c r="B5880" i="4"/>
  <c r="B5879" i="4"/>
  <c r="B5878" i="4"/>
  <c r="B5877" i="4"/>
  <c r="B5876" i="4"/>
  <c r="B5875" i="4"/>
  <c r="B5874" i="4"/>
  <c r="B5873" i="4"/>
  <c r="B5872" i="4"/>
  <c r="B5871" i="4"/>
  <c r="B5870" i="4"/>
  <c r="B5869" i="4"/>
  <c r="B5868" i="4"/>
  <c r="B5867" i="4"/>
  <c r="B5866" i="4"/>
  <c r="B5865" i="4"/>
  <c r="B5864" i="4"/>
  <c r="B5863" i="4"/>
  <c r="B5862" i="4"/>
  <c r="B5861" i="4"/>
  <c r="B5860" i="4"/>
  <c r="B5859" i="4"/>
  <c r="B5858" i="4"/>
  <c r="B5857" i="4"/>
  <c r="B5856" i="4"/>
  <c r="B5855" i="4"/>
  <c r="B5854" i="4"/>
  <c r="B5853" i="4"/>
  <c r="B5852" i="4"/>
  <c r="B5851" i="4"/>
  <c r="B5850" i="4"/>
  <c r="B5849" i="4"/>
  <c r="B5848" i="4"/>
  <c r="B5847" i="4"/>
  <c r="B5846" i="4"/>
  <c r="B5845" i="4"/>
  <c r="B5844" i="4"/>
  <c r="B5843" i="4"/>
  <c r="B5842" i="4"/>
  <c r="B5841" i="4"/>
  <c r="B5840" i="4"/>
  <c r="B5839" i="4"/>
  <c r="B5838" i="4"/>
  <c r="B5837" i="4"/>
  <c r="B5836" i="4"/>
  <c r="B5835" i="4"/>
  <c r="B5834" i="4"/>
  <c r="B5833" i="4"/>
  <c r="B5832" i="4"/>
  <c r="B5831" i="4"/>
  <c r="B5830" i="4"/>
  <c r="B5829" i="4"/>
  <c r="B5828" i="4"/>
  <c r="B5827" i="4"/>
  <c r="B5826" i="4"/>
  <c r="B5825" i="4"/>
  <c r="B5824" i="4"/>
  <c r="B5823" i="4"/>
  <c r="B5822" i="4"/>
  <c r="B5821" i="4"/>
  <c r="B5820" i="4"/>
  <c r="B5819" i="4"/>
  <c r="B5818" i="4"/>
  <c r="B5817" i="4"/>
  <c r="B5816" i="4"/>
  <c r="B5815" i="4"/>
  <c r="B5814" i="4"/>
  <c r="B5813" i="4"/>
  <c r="B5812" i="4"/>
  <c r="B5811" i="4"/>
  <c r="B5810" i="4"/>
  <c r="B5809" i="4"/>
  <c r="B5808" i="4"/>
  <c r="B5807" i="4"/>
  <c r="B5806" i="4"/>
  <c r="B5805" i="4"/>
  <c r="B5804" i="4"/>
  <c r="B5803" i="4"/>
  <c r="B5802" i="4"/>
  <c r="B5801" i="4"/>
  <c r="B5800" i="4"/>
  <c r="B5799" i="4"/>
  <c r="B5798" i="4"/>
  <c r="B5797" i="4"/>
  <c r="B5796" i="4"/>
  <c r="B5795" i="4"/>
  <c r="B5794" i="4"/>
  <c r="B5793" i="4"/>
  <c r="B5792" i="4"/>
  <c r="B5791" i="4"/>
  <c r="B5790" i="4"/>
  <c r="B5789" i="4"/>
  <c r="B5788" i="4"/>
  <c r="B5787" i="4"/>
  <c r="B5786" i="4"/>
  <c r="B5785" i="4"/>
  <c r="B5784" i="4"/>
  <c r="B5783" i="4"/>
  <c r="B5782" i="4"/>
  <c r="B5781" i="4"/>
  <c r="B5780" i="4"/>
  <c r="B5779" i="4"/>
  <c r="B5778" i="4"/>
  <c r="B5777" i="4"/>
  <c r="B5776" i="4"/>
  <c r="B5775" i="4"/>
  <c r="B5774" i="4"/>
  <c r="B5773" i="4"/>
  <c r="B5772" i="4"/>
  <c r="B5771" i="4"/>
  <c r="B5770" i="4"/>
  <c r="B5769" i="4"/>
  <c r="B5768" i="4"/>
  <c r="B5767" i="4"/>
  <c r="B5766" i="4"/>
  <c r="B5765" i="4"/>
  <c r="B5764" i="4"/>
  <c r="B5763" i="4"/>
  <c r="B5762" i="4"/>
  <c r="B5761" i="4"/>
  <c r="B5760" i="4"/>
  <c r="B5759" i="4"/>
  <c r="B5758" i="4"/>
  <c r="B5757" i="4"/>
  <c r="B5756" i="4"/>
  <c r="B5755" i="4"/>
  <c r="B5754" i="4"/>
  <c r="B5753" i="4"/>
  <c r="B5752" i="4"/>
  <c r="B5751" i="4"/>
  <c r="B5750" i="4"/>
  <c r="B5749" i="4"/>
  <c r="B5748" i="4"/>
  <c r="B5747" i="4"/>
  <c r="B5746" i="4"/>
  <c r="B5745" i="4"/>
  <c r="B5744" i="4"/>
  <c r="B5743" i="4"/>
  <c r="B5742" i="4"/>
  <c r="B5741" i="4"/>
  <c r="B5740" i="4"/>
  <c r="B5739" i="4"/>
  <c r="B5738" i="4"/>
  <c r="B5737" i="4"/>
  <c r="B5736" i="4"/>
  <c r="B5735" i="4"/>
  <c r="B5734" i="4"/>
  <c r="B5733" i="4"/>
  <c r="B5732" i="4"/>
  <c r="B5731" i="4"/>
  <c r="B5730" i="4"/>
  <c r="B5729" i="4"/>
  <c r="B5728" i="4"/>
  <c r="B5727" i="4"/>
  <c r="B5726" i="4"/>
  <c r="B5725" i="4"/>
  <c r="B5724" i="4"/>
  <c r="B5723" i="4"/>
  <c r="B5722" i="4"/>
  <c r="B5721" i="4"/>
  <c r="B5720" i="4"/>
  <c r="B5719" i="4"/>
  <c r="B5718" i="4"/>
  <c r="B5717" i="4"/>
  <c r="B5716" i="4"/>
  <c r="B5715" i="4"/>
  <c r="B5714" i="4"/>
  <c r="B5713" i="4"/>
  <c r="B5712" i="4"/>
  <c r="B5711" i="4"/>
  <c r="B5710" i="4"/>
  <c r="B5709" i="4"/>
  <c r="B5708" i="4"/>
  <c r="B5707" i="4"/>
  <c r="B5706" i="4"/>
  <c r="B5705" i="4"/>
  <c r="B5704" i="4"/>
  <c r="B5703" i="4"/>
  <c r="B5702" i="4"/>
  <c r="B5701" i="4"/>
  <c r="B5700" i="4"/>
  <c r="B5699" i="4"/>
  <c r="B5698" i="4"/>
  <c r="B5697" i="4"/>
  <c r="B5696" i="4"/>
  <c r="B5695" i="4"/>
  <c r="B5694" i="4"/>
  <c r="B5693" i="4"/>
  <c r="B5692" i="4"/>
  <c r="B5691" i="4"/>
  <c r="B5690" i="4"/>
  <c r="B5689" i="4"/>
  <c r="B5688" i="4"/>
  <c r="B5687" i="4"/>
  <c r="B5686" i="4"/>
  <c r="B5685" i="4"/>
  <c r="B5684" i="4"/>
  <c r="B5683" i="4"/>
  <c r="B5682" i="4"/>
  <c r="B5681" i="4"/>
  <c r="B5680" i="4"/>
  <c r="B5679" i="4"/>
  <c r="B5678" i="4"/>
  <c r="B5677" i="4"/>
  <c r="B5676" i="4"/>
  <c r="B5675" i="4"/>
  <c r="B5674" i="4"/>
  <c r="B5673" i="4"/>
  <c r="B5672" i="4"/>
  <c r="B5671" i="4"/>
  <c r="B5670" i="4"/>
  <c r="B5669" i="4"/>
  <c r="B5668" i="4"/>
  <c r="B5667" i="4"/>
  <c r="B5666" i="4"/>
  <c r="B5665" i="4"/>
  <c r="B5664" i="4"/>
  <c r="B5663" i="4"/>
  <c r="B5662" i="4"/>
  <c r="B5661" i="4"/>
  <c r="B5660" i="4"/>
  <c r="B5659" i="4"/>
  <c r="B5658" i="4"/>
  <c r="B5657" i="4"/>
  <c r="B5656" i="4"/>
  <c r="B5655" i="4"/>
  <c r="B5654" i="4"/>
  <c r="B5653" i="4"/>
  <c r="B5652" i="4"/>
  <c r="B5651" i="4"/>
  <c r="B5650" i="4"/>
  <c r="B5649" i="4"/>
  <c r="B5648" i="4"/>
  <c r="B5647" i="4"/>
  <c r="B5646" i="4"/>
  <c r="B5645" i="4"/>
  <c r="B5644" i="4"/>
  <c r="B5643" i="4"/>
  <c r="B5642" i="4"/>
  <c r="B5641" i="4"/>
  <c r="B5640" i="4"/>
  <c r="B5639" i="4"/>
  <c r="B5638" i="4"/>
  <c r="B5637" i="4"/>
  <c r="B5636" i="4"/>
  <c r="B5635" i="4"/>
  <c r="B5634" i="4"/>
  <c r="B5633" i="4"/>
  <c r="B5632" i="4"/>
  <c r="B5631" i="4"/>
  <c r="B5630" i="4"/>
  <c r="B5629" i="4"/>
  <c r="B5628" i="4"/>
  <c r="B5627" i="4"/>
  <c r="B5626" i="4"/>
  <c r="B5625" i="4"/>
  <c r="B5624" i="4"/>
  <c r="B5623" i="4"/>
  <c r="B5622" i="4"/>
  <c r="B5621" i="4"/>
  <c r="B5620" i="4"/>
  <c r="B5619" i="4"/>
  <c r="B5618" i="4"/>
  <c r="B5617" i="4"/>
  <c r="B5616" i="4"/>
  <c r="B5615" i="4"/>
  <c r="B5614" i="4"/>
  <c r="B5613" i="4"/>
  <c r="B5612" i="4"/>
  <c r="B5611" i="4"/>
  <c r="B5610" i="4"/>
  <c r="B5609" i="4"/>
  <c r="B5608" i="4"/>
  <c r="B5607" i="4"/>
  <c r="B5606" i="4"/>
  <c r="B5605" i="4"/>
  <c r="B5604" i="4"/>
  <c r="B5603" i="4"/>
  <c r="B5602" i="4"/>
  <c r="B5601" i="4"/>
  <c r="B5600" i="4"/>
  <c r="B5599" i="4"/>
  <c r="B5598" i="4"/>
  <c r="B5597" i="4"/>
  <c r="B5596" i="4"/>
  <c r="B5595" i="4"/>
  <c r="B5594" i="4"/>
  <c r="B5593" i="4"/>
  <c r="B5592" i="4"/>
  <c r="B5591" i="4"/>
  <c r="B5590" i="4"/>
  <c r="B5589" i="4"/>
  <c r="B5588" i="4"/>
  <c r="B5587" i="4"/>
  <c r="B5586" i="4"/>
  <c r="B5585" i="4"/>
  <c r="B5584" i="4"/>
  <c r="B5583" i="4"/>
  <c r="B5582" i="4"/>
  <c r="B5581" i="4"/>
  <c r="B5580" i="4"/>
  <c r="B5579" i="4"/>
  <c r="B5578" i="4"/>
  <c r="B5577" i="4"/>
  <c r="B5576" i="4"/>
  <c r="B5575" i="4"/>
  <c r="B5574" i="4"/>
  <c r="B5573" i="4"/>
  <c r="B5572" i="4"/>
  <c r="B5571" i="4"/>
  <c r="B5570" i="4"/>
  <c r="B5569" i="4"/>
  <c r="B5568" i="4"/>
  <c r="B5567" i="4"/>
  <c r="B5566" i="4"/>
  <c r="B5565" i="4"/>
  <c r="B5564" i="4"/>
  <c r="B5563" i="4"/>
  <c r="B5562" i="4"/>
  <c r="B5561" i="4"/>
  <c r="B5560" i="4"/>
  <c r="B5559" i="4"/>
  <c r="B5558" i="4"/>
  <c r="B5557" i="4"/>
  <c r="B5556" i="4"/>
  <c r="B5555" i="4"/>
  <c r="B5554" i="4"/>
  <c r="B5553" i="4"/>
  <c r="B5552" i="4"/>
  <c r="B5551" i="4"/>
  <c r="B5550" i="4"/>
  <c r="B5549" i="4"/>
  <c r="B5548" i="4"/>
  <c r="B5547" i="4"/>
  <c r="B5546" i="4"/>
  <c r="B5545" i="4"/>
  <c r="B5544" i="4"/>
  <c r="B5543" i="4"/>
  <c r="B5542" i="4"/>
  <c r="B5541" i="4"/>
  <c r="B5540" i="4"/>
  <c r="B5539" i="4"/>
  <c r="B5538" i="4"/>
  <c r="B5537" i="4"/>
  <c r="B5536" i="4"/>
  <c r="B5535" i="4"/>
  <c r="B5534" i="4"/>
  <c r="B5533" i="4"/>
  <c r="B5532" i="4"/>
  <c r="B5531" i="4"/>
  <c r="B5530" i="4"/>
  <c r="B5529" i="4"/>
  <c r="B5528" i="4"/>
  <c r="B5527" i="4"/>
  <c r="B5526" i="4"/>
  <c r="B5525" i="4"/>
  <c r="B5524" i="4"/>
  <c r="B5523" i="4"/>
  <c r="B5522" i="4"/>
  <c r="B5521" i="4"/>
  <c r="B5520" i="4"/>
  <c r="B5519" i="4"/>
  <c r="B5518" i="4"/>
  <c r="B5517" i="4"/>
  <c r="B5516" i="4"/>
  <c r="B5515" i="4"/>
  <c r="B5514" i="4"/>
  <c r="B5513" i="4"/>
  <c r="B5512" i="4"/>
  <c r="B5511" i="4"/>
  <c r="B5510" i="4"/>
  <c r="B5509" i="4"/>
  <c r="B5508" i="4"/>
  <c r="B5507" i="4"/>
  <c r="B5506" i="4"/>
  <c r="B5505" i="4"/>
  <c r="B5504" i="4"/>
  <c r="B5503" i="4"/>
  <c r="B5502" i="4"/>
  <c r="B5501" i="4"/>
  <c r="B5500" i="4"/>
  <c r="B5499" i="4"/>
  <c r="B5498" i="4"/>
  <c r="B5497" i="4"/>
  <c r="B5496" i="4"/>
  <c r="B5495" i="4"/>
  <c r="B5494" i="4"/>
  <c r="B5493" i="4"/>
  <c r="B5492" i="4"/>
  <c r="B5491" i="4"/>
  <c r="B5490" i="4"/>
  <c r="B5489" i="4"/>
  <c r="B5488" i="4"/>
  <c r="B5487" i="4"/>
  <c r="B5486" i="4"/>
  <c r="B5485" i="4"/>
  <c r="B5484" i="4"/>
  <c r="B5483" i="4"/>
  <c r="B5482" i="4"/>
  <c r="B5481" i="4"/>
  <c r="B5480" i="4"/>
  <c r="B5479" i="4"/>
  <c r="B5478" i="4"/>
  <c r="B5477" i="4"/>
  <c r="B5476" i="4"/>
  <c r="B5475" i="4"/>
  <c r="B5474" i="4"/>
  <c r="B5473" i="4"/>
  <c r="B5472" i="4"/>
  <c r="B5471" i="4"/>
  <c r="B5470" i="4"/>
  <c r="B5469" i="4"/>
  <c r="B5468" i="4"/>
  <c r="B5467" i="4"/>
  <c r="B5466" i="4"/>
  <c r="B5465" i="4"/>
  <c r="B5464" i="4"/>
  <c r="B5463" i="4"/>
  <c r="B5462" i="4"/>
  <c r="B5461" i="4"/>
  <c r="B5460" i="4"/>
  <c r="B5459" i="4"/>
  <c r="B5458" i="4"/>
  <c r="B5457" i="4"/>
  <c r="B5456" i="4"/>
  <c r="B5455" i="4"/>
  <c r="B5454" i="4"/>
  <c r="B5453" i="4"/>
  <c r="B5452" i="4"/>
  <c r="B5451" i="4"/>
  <c r="B5450" i="4"/>
  <c r="B5449" i="4"/>
  <c r="B5448" i="4"/>
  <c r="B5447" i="4"/>
  <c r="B5446" i="4"/>
  <c r="B5445" i="4"/>
  <c r="B5444" i="4"/>
  <c r="B5443" i="4"/>
  <c r="B5442" i="4"/>
  <c r="B5441" i="4"/>
  <c r="B5440" i="4"/>
  <c r="B5439" i="4"/>
  <c r="B5438" i="4"/>
  <c r="B5437" i="4"/>
  <c r="B5436" i="4"/>
  <c r="B5435" i="4"/>
  <c r="B5434" i="4"/>
  <c r="B5433" i="4"/>
  <c r="B5432" i="4"/>
  <c r="B5431" i="4"/>
  <c r="B5430" i="4"/>
  <c r="B5429" i="4"/>
  <c r="B5428" i="4"/>
  <c r="B5427" i="4"/>
  <c r="B5426" i="4"/>
  <c r="B5425" i="4"/>
  <c r="B5424" i="4"/>
  <c r="B5423" i="4"/>
  <c r="B5422" i="4"/>
  <c r="B5421" i="4"/>
  <c r="B5420" i="4"/>
  <c r="B5419" i="4"/>
  <c r="B5418" i="4"/>
  <c r="B5417" i="4"/>
  <c r="B5416" i="4"/>
  <c r="B5415" i="4"/>
  <c r="B5414" i="4"/>
  <c r="B5413" i="4"/>
  <c r="B5412" i="4"/>
  <c r="B5411" i="4"/>
  <c r="B5410" i="4"/>
  <c r="B5409" i="4"/>
  <c r="B5408" i="4"/>
  <c r="B5407" i="4"/>
  <c r="B5406" i="4"/>
  <c r="B5405" i="4"/>
  <c r="B5404" i="4"/>
  <c r="B5403" i="4"/>
  <c r="B5402" i="4"/>
  <c r="B5401" i="4"/>
  <c r="B5400" i="4"/>
  <c r="B5399" i="4"/>
  <c r="B5398" i="4"/>
  <c r="B5397" i="4"/>
  <c r="B5396" i="4"/>
  <c r="B5395" i="4"/>
  <c r="B5394" i="4"/>
  <c r="B5393" i="4"/>
  <c r="B5392" i="4"/>
  <c r="B5391" i="4"/>
  <c r="B5390" i="4"/>
  <c r="B5389" i="4"/>
  <c r="B5388" i="4"/>
  <c r="B5387" i="4"/>
  <c r="B5386" i="4"/>
  <c r="B5385" i="4"/>
  <c r="B5384" i="4"/>
  <c r="B5383" i="4"/>
  <c r="B5382" i="4"/>
  <c r="B5381" i="4"/>
  <c r="B5380" i="4"/>
  <c r="B5379" i="4"/>
  <c r="B5378" i="4"/>
  <c r="B5377" i="4"/>
  <c r="B5376" i="4"/>
  <c r="B5375" i="4"/>
  <c r="B5374" i="4"/>
  <c r="B5373" i="4"/>
  <c r="B5372" i="4"/>
  <c r="B5371" i="4"/>
  <c r="B5370" i="4"/>
  <c r="B5369" i="4"/>
  <c r="B5368" i="4"/>
  <c r="B5367" i="4"/>
  <c r="B5366" i="4"/>
  <c r="B5365" i="4"/>
  <c r="B5364" i="4"/>
  <c r="B5363" i="4"/>
  <c r="B5362" i="4"/>
  <c r="B5361" i="4"/>
  <c r="B5360" i="4"/>
  <c r="B5359" i="4"/>
  <c r="B5358" i="4"/>
  <c r="B5357" i="4"/>
  <c r="B5356" i="4"/>
  <c r="B5355" i="4"/>
  <c r="B5354" i="4"/>
  <c r="B5353" i="4"/>
  <c r="B5352" i="4"/>
  <c r="B5351" i="4"/>
  <c r="B5350" i="4"/>
  <c r="B5349" i="4"/>
  <c r="B5348" i="4"/>
  <c r="B5347" i="4"/>
  <c r="B5346" i="4"/>
  <c r="B5345" i="4"/>
  <c r="B5344" i="4"/>
  <c r="B5343" i="4"/>
  <c r="B5342" i="4"/>
  <c r="B5341" i="4"/>
  <c r="B5340" i="4"/>
  <c r="B5339" i="4"/>
  <c r="B5338" i="4"/>
  <c r="B5337" i="4"/>
  <c r="B5336" i="4"/>
  <c r="B5335" i="4"/>
  <c r="B5334" i="4"/>
  <c r="B5333" i="4"/>
  <c r="B5332" i="4"/>
  <c r="B5331" i="4"/>
  <c r="B5330" i="4"/>
  <c r="B5329" i="4"/>
  <c r="B5328" i="4"/>
  <c r="B5327" i="4"/>
  <c r="B5326" i="4"/>
  <c r="B5325" i="4"/>
  <c r="B5324" i="4"/>
  <c r="B5323" i="4"/>
  <c r="B5322" i="4"/>
  <c r="B5321" i="4"/>
  <c r="B5320" i="4"/>
  <c r="B5319" i="4"/>
  <c r="B5318" i="4"/>
  <c r="B5317" i="4"/>
  <c r="B5316" i="4"/>
  <c r="B5315" i="4"/>
  <c r="B5314" i="4"/>
  <c r="B5313" i="4"/>
  <c r="B5312" i="4"/>
  <c r="B5311" i="4"/>
  <c r="B5310" i="4"/>
  <c r="B5309" i="4"/>
  <c r="B5308" i="4"/>
  <c r="B5307" i="4"/>
  <c r="B5306" i="4"/>
  <c r="B5305" i="4"/>
  <c r="B5304" i="4"/>
  <c r="B5303" i="4"/>
  <c r="B5302" i="4"/>
  <c r="B5301" i="4"/>
  <c r="B5300" i="4"/>
  <c r="B5299" i="4"/>
  <c r="B5298" i="4"/>
  <c r="B5297" i="4"/>
  <c r="B5296" i="4"/>
  <c r="B5295" i="4"/>
  <c r="B5294" i="4"/>
  <c r="B5293" i="4"/>
  <c r="B5292" i="4"/>
  <c r="B5291" i="4"/>
  <c r="B5290" i="4"/>
  <c r="B5289" i="4"/>
  <c r="B5288" i="4"/>
  <c r="B5287" i="4"/>
  <c r="B5286" i="4"/>
  <c r="B5285" i="4"/>
  <c r="B5284" i="4"/>
  <c r="B5283" i="4"/>
  <c r="B5282" i="4"/>
  <c r="B5281" i="4"/>
  <c r="B5280" i="4"/>
  <c r="B5279" i="4"/>
  <c r="B5278" i="4"/>
  <c r="B5277" i="4"/>
  <c r="B5276" i="4"/>
  <c r="B5275" i="4"/>
  <c r="B5274" i="4"/>
  <c r="B5273" i="4"/>
  <c r="B5272" i="4"/>
  <c r="B5271" i="4"/>
  <c r="B5270" i="4"/>
  <c r="B5269" i="4"/>
  <c r="B5268" i="4"/>
  <c r="B5267" i="4"/>
  <c r="B5266" i="4"/>
  <c r="B5265" i="4"/>
  <c r="B5264" i="4"/>
  <c r="B5263" i="4"/>
  <c r="B5262" i="4"/>
  <c r="B5261" i="4"/>
  <c r="B5260" i="4"/>
  <c r="B5259" i="4"/>
  <c r="B5258" i="4"/>
  <c r="B5257" i="4"/>
  <c r="B5256" i="4"/>
  <c r="B5255" i="4"/>
  <c r="B5254" i="4"/>
  <c r="B5253" i="4"/>
  <c r="B5252" i="4"/>
  <c r="B5251" i="4"/>
  <c r="B5250" i="4"/>
  <c r="B5249" i="4"/>
  <c r="B5248" i="4"/>
  <c r="B5247" i="4"/>
  <c r="B5246" i="4"/>
  <c r="B5245" i="4"/>
  <c r="B5244" i="4"/>
  <c r="B5243" i="4"/>
  <c r="B5242" i="4"/>
  <c r="B5241" i="4"/>
  <c r="B5240" i="4"/>
  <c r="B5239" i="4"/>
  <c r="B5238" i="4"/>
  <c r="B5237" i="4"/>
  <c r="B5236" i="4"/>
  <c r="B5235" i="4"/>
  <c r="B5234" i="4"/>
  <c r="B5233" i="4"/>
  <c r="B5232" i="4"/>
  <c r="B5231" i="4"/>
  <c r="B5230" i="4"/>
  <c r="B5229" i="4"/>
  <c r="B5228" i="4"/>
  <c r="B5227" i="4"/>
  <c r="B5226" i="4"/>
  <c r="B5225" i="4"/>
  <c r="B5224" i="4"/>
  <c r="B5223" i="4"/>
  <c r="B5222" i="4"/>
  <c r="B5221" i="4"/>
  <c r="B5220" i="4"/>
  <c r="B5219" i="4"/>
  <c r="B5218" i="4"/>
  <c r="B5217" i="4"/>
  <c r="B5216" i="4"/>
  <c r="B5215" i="4"/>
  <c r="B5214" i="4"/>
  <c r="B5213" i="4"/>
  <c r="B5212" i="4"/>
  <c r="B5211" i="4"/>
  <c r="B5210" i="4"/>
  <c r="B5209" i="4"/>
  <c r="B5208" i="4"/>
  <c r="B5207" i="4"/>
  <c r="B5206" i="4"/>
  <c r="B5205" i="4"/>
  <c r="B5204" i="4"/>
  <c r="B5203" i="4"/>
  <c r="B5202" i="4"/>
  <c r="B5201" i="4"/>
  <c r="B5200" i="4"/>
  <c r="B5199" i="4"/>
  <c r="B5198" i="4"/>
  <c r="B5197" i="4"/>
  <c r="B5196" i="4"/>
  <c r="B5195" i="4"/>
  <c r="B5194" i="4"/>
  <c r="B5193" i="4"/>
  <c r="B5192" i="4"/>
  <c r="B5191" i="4"/>
  <c r="B5190" i="4"/>
  <c r="B5189" i="4"/>
  <c r="B5188" i="4"/>
  <c r="B5187" i="4"/>
  <c r="B5186" i="4"/>
  <c r="B5185" i="4"/>
  <c r="B5184" i="4"/>
  <c r="B5183" i="4"/>
  <c r="B5182" i="4"/>
  <c r="B5181" i="4"/>
  <c r="B5180" i="4"/>
  <c r="B5179" i="4"/>
  <c r="B5178" i="4"/>
  <c r="B5177" i="4"/>
  <c r="B5176" i="4"/>
  <c r="B5175" i="4"/>
  <c r="B5174" i="4"/>
  <c r="B5173" i="4"/>
  <c r="B5172" i="4"/>
  <c r="B5171" i="4"/>
  <c r="B5170" i="4"/>
  <c r="B5169" i="4"/>
  <c r="B5168" i="4"/>
  <c r="B5167" i="4"/>
  <c r="B5166" i="4"/>
  <c r="B5165" i="4"/>
  <c r="B5164" i="4"/>
  <c r="B5163" i="4"/>
  <c r="B5162" i="4"/>
  <c r="B5161" i="4"/>
  <c r="B5160" i="4"/>
  <c r="B5159" i="4"/>
  <c r="B5158" i="4"/>
  <c r="B5157" i="4"/>
  <c r="B5156" i="4"/>
  <c r="B5155" i="4"/>
  <c r="B5154" i="4"/>
  <c r="B5153" i="4"/>
  <c r="B5152" i="4"/>
  <c r="B5151" i="4"/>
  <c r="B5150" i="4"/>
  <c r="B5149" i="4"/>
  <c r="B5148" i="4"/>
  <c r="B5147" i="4"/>
  <c r="B5146" i="4"/>
  <c r="B5145" i="4"/>
  <c r="B5144" i="4"/>
  <c r="B5143" i="4"/>
  <c r="B5142" i="4"/>
  <c r="B5141" i="4"/>
  <c r="B5140" i="4"/>
  <c r="B5139" i="4"/>
  <c r="B5138" i="4"/>
  <c r="B5137" i="4"/>
  <c r="B5136" i="4"/>
  <c r="B5135" i="4"/>
  <c r="B5134" i="4"/>
  <c r="B5133" i="4"/>
  <c r="B5132" i="4"/>
  <c r="B5131" i="4"/>
  <c r="B5130" i="4"/>
  <c r="B5129" i="4"/>
  <c r="B5128" i="4"/>
  <c r="B5127" i="4"/>
  <c r="B5126" i="4"/>
  <c r="B5125" i="4"/>
  <c r="B5124" i="4"/>
  <c r="B5123" i="4"/>
  <c r="B5122" i="4"/>
  <c r="B5121" i="4"/>
  <c r="B5120" i="4"/>
  <c r="B5119" i="4"/>
  <c r="B5118" i="4"/>
  <c r="B5117" i="4"/>
  <c r="B5116" i="4"/>
  <c r="B5115" i="4"/>
  <c r="B5114" i="4"/>
  <c r="B5113" i="4"/>
  <c r="B5112" i="4"/>
  <c r="B5111" i="4"/>
  <c r="B5110" i="4"/>
  <c r="B5109" i="4"/>
  <c r="B5108" i="4"/>
  <c r="B5107" i="4"/>
  <c r="B5106" i="4"/>
  <c r="B5105" i="4"/>
  <c r="B5104" i="4"/>
  <c r="B5103" i="4"/>
  <c r="B5102" i="4"/>
  <c r="B5101" i="4"/>
  <c r="B5100" i="4"/>
  <c r="B5099" i="4"/>
  <c r="B5098" i="4"/>
  <c r="B5097" i="4"/>
  <c r="B5096" i="4"/>
  <c r="B5095" i="4"/>
  <c r="B5094" i="4"/>
  <c r="B5093" i="4"/>
  <c r="B5092" i="4"/>
  <c r="B5091" i="4"/>
  <c r="B5090" i="4"/>
  <c r="B5089" i="4"/>
  <c r="B5088" i="4"/>
  <c r="B5087" i="4"/>
  <c r="B5086" i="4"/>
  <c r="B5085" i="4"/>
  <c r="B5084" i="4"/>
  <c r="B5083" i="4"/>
  <c r="B5082" i="4"/>
  <c r="B5081" i="4"/>
  <c r="B5080" i="4"/>
  <c r="B5079" i="4"/>
  <c r="B5078" i="4"/>
  <c r="B5077" i="4"/>
  <c r="B5076" i="4"/>
  <c r="B5075" i="4"/>
  <c r="B5074" i="4"/>
  <c r="B5073" i="4"/>
  <c r="B5072" i="4"/>
  <c r="B5071" i="4"/>
  <c r="B5070" i="4"/>
  <c r="B5069" i="4"/>
  <c r="B5068" i="4"/>
  <c r="B5067" i="4"/>
  <c r="B5066" i="4"/>
  <c r="B5065" i="4"/>
  <c r="B5064" i="4"/>
  <c r="B5063" i="4"/>
  <c r="B5062" i="4"/>
  <c r="B5061" i="4"/>
  <c r="B5060" i="4"/>
  <c r="B5059" i="4"/>
  <c r="B5058" i="4"/>
  <c r="B5057" i="4"/>
  <c r="B5056" i="4"/>
  <c r="B5055" i="4"/>
  <c r="B5054" i="4"/>
  <c r="B5053" i="4"/>
  <c r="B5052" i="4"/>
  <c r="B5051" i="4"/>
  <c r="B5050" i="4"/>
  <c r="B5049" i="4"/>
  <c r="B5048" i="4"/>
  <c r="B5047" i="4"/>
  <c r="B5046" i="4"/>
  <c r="B5045" i="4"/>
  <c r="B5044" i="4"/>
  <c r="B5043" i="4"/>
  <c r="B5042" i="4"/>
  <c r="B5041" i="4"/>
  <c r="B5040" i="4"/>
  <c r="B5039" i="4"/>
  <c r="B5038" i="4"/>
  <c r="B5037" i="4"/>
  <c r="B5036" i="4"/>
  <c r="B5035" i="4"/>
  <c r="B5034" i="4"/>
  <c r="B5033" i="4"/>
  <c r="B5032" i="4"/>
  <c r="B5031" i="4"/>
  <c r="B5030" i="4"/>
  <c r="B5029" i="4"/>
  <c r="B5028" i="4"/>
  <c r="B5027" i="4"/>
  <c r="B5026" i="4"/>
  <c r="B5025" i="4"/>
  <c r="B5024" i="4"/>
  <c r="B5023" i="4"/>
  <c r="B5022" i="4"/>
  <c r="B5021" i="4"/>
  <c r="B5020" i="4"/>
  <c r="B5019" i="4"/>
  <c r="B5018" i="4"/>
  <c r="B5017" i="4"/>
  <c r="B5016" i="4"/>
  <c r="B5015" i="4"/>
  <c r="B5014" i="4"/>
  <c r="B5013" i="4"/>
  <c r="B5012" i="4"/>
  <c r="B5011" i="4"/>
  <c r="B5010" i="4"/>
  <c r="B5009" i="4"/>
  <c r="B5008" i="4"/>
  <c r="B5007" i="4"/>
  <c r="B5006" i="4"/>
  <c r="B5005" i="4"/>
  <c r="B5004" i="4"/>
  <c r="B5003" i="4"/>
  <c r="B5002" i="4"/>
  <c r="B5001" i="4"/>
  <c r="B5000" i="4"/>
  <c r="B4999" i="4"/>
  <c r="B4998" i="4"/>
  <c r="B4997" i="4"/>
  <c r="B4996" i="4"/>
  <c r="B4995" i="4"/>
  <c r="B4994" i="4"/>
  <c r="B4993" i="4"/>
  <c r="B4992" i="4"/>
  <c r="B4991" i="4"/>
  <c r="B4990" i="4"/>
  <c r="B4989" i="4"/>
  <c r="B4988" i="4"/>
  <c r="B4987" i="4"/>
  <c r="B4986" i="4"/>
  <c r="B4985" i="4"/>
  <c r="B4984" i="4"/>
  <c r="B4983" i="4"/>
  <c r="B4982" i="4"/>
  <c r="B4981" i="4"/>
  <c r="B4980" i="4"/>
  <c r="B4979" i="4"/>
  <c r="B4978" i="4"/>
  <c r="B4977" i="4"/>
  <c r="B4976" i="4"/>
  <c r="B4975" i="4"/>
  <c r="B4974" i="4"/>
  <c r="B4973" i="4"/>
  <c r="B4972" i="4"/>
  <c r="B4971" i="4"/>
  <c r="B4970" i="4"/>
  <c r="B4969" i="4"/>
  <c r="B4968" i="4"/>
  <c r="B4967" i="4"/>
  <c r="B4966" i="4"/>
  <c r="B4965" i="4"/>
  <c r="B4964" i="4"/>
  <c r="B4963" i="4"/>
  <c r="B4962" i="4"/>
  <c r="B4961" i="4"/>
  <c r="B4960" i="4"/>
  <c r="B4959" i="4"/>
  <c r="B4958" i="4"/>
  <c r="B4957" i="4"/>
  <c r="B4956" i="4"/>
  <c r="B4955" i="4"/>
  <c r="B4954" i="4"/>
  <c r="B4953" i="4"/>
  <c r="B4952" i="4"/>
  <c r="B4951" i="4"/>
  <c r="B4950" i="4"/>
  <c r="B4949" i="4"/>
  <c r="B4948" i="4"/>
  <c r="B4947" i="4"/>
  <c r="B4946" i="4"/>
  <c r="B4945" i="4"/>
  <c r="B4944" i="4"/>
  <c r="B4943" i="4"/>
  <c r="B4942" i="4"/>
  <c r="B4941" i="4"/>
  <c r="B4940" i="4"/>
  <c r="B4939" i="4"/>
  <c r="B4938" i="4"/>
  <c r="B4937" i="4"/>
  <c r="B4936" i="4"/>
  <c r="B4935" i="4"/>
  <c r="B4934" i="4"/>
  <c r="B4933" i="4"/>
  <c r="B4932" i="4"/>
  <c r="B4931" i="4"/>
  <c r="B4930" i="4"/>
  <c r="B4929" i="4"/>
  <c r="B4928" i="4"/>
  <c r="B4927" i="4"/>
  <c r="B4926" i="4"/>
  <c r="B4925" i="4"/>
  <c r="B4924" i="4"/>
  <c r="B4923" i="4"/>
  <c r="B4922" i="4"/>
  <c r="B4921" i="4"/>
  <c r="B4920" i="4"/>
  <c r="B4919" i="4"/>
  <c r="B4918" i="4"/>
  <c r="B4917" i="4"/>
  <c r="B4916" i="4"/>
  <c r="B4915" i="4"/>
  <c r="B4914" i="4"/>
  <c r="B4913" i="4"/>
  <c r="B4912" i="4"/>
  <c r="B4911" i="4"/>
  <c r="B4910" i="4"/>
  <c r="B4909" i="4"/>
  <c r="B4908" i="4"/>
  <c r="B4907" i="4"/>
  <c r="B4906" i="4"/>
  <c r="B4905" i="4"/>
  <c r="B4904" i="4"/>
  <c r="B4903" i="4"/>
  <c r="B4902" i="4"/>
  <c r="B4901" i="4"/>
  <c r="B4900" i="4"/>
  <c r="B4899" i="4"/>
  <c r="B4898" i="4"/>
  <c r="B4897" i="4"/>
  <c r="B4896" i="4"/>
  <c r="B4895" i="4"/>
  <c r="B4894" i="4"/>
  <c r="B4893" i="4"/>
  <c r="B4892" i="4"/>
  <c r="B4891" i="4"/>
  <c r="B4890" i="4"/>
  <c r="B4889" i="4"/>
  <c r="B4888" i="4"/>
  <c r="B4887" i="4"/>
  <c r="B4886" i="4"/>
  <c r="B4885" i="4"/>
  <c r="B4884" i="4"/>
  <c r="B4883" i="4"/>
  <c r="B4882" i="4"/>
  <c r="B4881" i="4"/>
  <c r="B4880" i="4"/>
  <c r="B4879" i="4"/>
  <c r="B4878" i="4"/>
  <c r="B4877" i="4"/>
  <c r="B4876" i="4"/>
  <c r="B4875" i="4"/>
  <c r="B4874" i="4"/>
  <c r="B4873" i="4"/>
  <c r="B4872" i="4"/>
  <c r="B4871" i="4"/>
  <c r="B4870" i="4"/>
  <c r="B4869" i="4"/>
  <c r="B4868" i="4"/>
  <c r="B4867" i="4"/>
  <c r="B4866" i="4"/>
  <c r="B4865" i="4"/>
  <c r="B4864" i="4"/>
  <c r="B4863" i="4"/>
  <c r="B4862" i="4"/>
  <c r="B4861" i="4"/>
  <c r="B4860" i="4"/>
  <c r="B4859" i="4"/>
  <c r="B4858" i="4"/>
  <c r="B4857" i="4"/>
  <c r="B4856" i="4"/>
  <c r="B4855" i="4"/>
  <c r="B4854" i="4"/>
  <c r="B4853" i="4"/>
  <c r="B4852" i="4"/>
  <c r="B4851" i="4"/>
  <c r="B4850" i="4"/>
  <c r="B4849" i="4"/>
  <c r="B4848" i="4"/>
  <c r="B4847" i="4"/>
  <c r="B4846" i="4"/>
  <c r="B4845" i="4"/>
  <c r="B4844" i="4"/>
  <c r="B4843" i="4"/>
  <c r="B4842" i="4"/>
  <c r="B4841" i="4"/>
  <c r="B4840" i="4"/>
  <c r="B4839" i="4"/>
  <c r="B4838" i="4"/>
  <c r="B4837" i="4"/>
  <c r="B4836" i="4"/>
  <c r="B4835" i="4"/>
  <c r="B4834" i="4"/>
  <c r="B4833" i="4"/>
  <c r="B4832" i="4"/>
  <c r="B4831" i="4"/>
  <c r="B4830" i="4"/>
  <c r="B4829" i="4"/>
  <c r="B4828" i="4"/>
  <c r="B4827" i="4"/>
  <c r="B4826" i="4"/>
  <c r="B4825" i="4"/>
  <c r="B4824" i="4"/>
  <c r="B4823" i="4"/>
  <c r="B4822" i="4"/>
  <c r="B4821" i="4"/>
  <c r="B4820" i="4"/>
  <c r="B4819" i="4"/>
  <c r="B4818" i="4"/>
  <c r="B4817" i="4"/>
  <c r="B4816" i="4"/>
  <c r="B4815" i="4"/>
  <c r="B4814" i="4"/>
  <c r="B4813" i="4"/>
  <c r="B4812" i="4"/>
  <c r="B4811" i="4"/>
  <c r="B4810" i="4"/>
  <c r="B4809" i="4"/>
  <c r="B4808" i="4"/>
  <c r="B4807" i="4"/>
  <c r="B4806" i="4"/>
  <c r="B4805" i="4"/>
  <c r="B4804" i="4"/>
  <c r="B4803" i="4"/>
  <c r="B4802" i="4"/>
  <c r="B4801" i="4"/>
  <c r="B4800" i="4"/>
  <c r="B4799" i="4"/>
  <c r="B4798" i="4"/>
  <c r="B4797" i="4"/>
  <c r="B4796" i="4"/>
  <c r="B4795" i="4"/>
  <c r="B4794" i="4"/>
  <c r="B4793" i="4"/>
  <c r="B4792" i="4"/>
  <c r="B4791" i="4"/>
  <c r="B4790" i="4"/>
  <c r="B4789" i="4"/>
  <c r="B4788" i="4"/>
  <c r="B4787" i="4"/>
  <c r="B4786" i="4"/>
  <c r="B4785" i="4"/>
  <c r="B4784" i="4"/>
  <c r="B4783" i="4"/>
  <c r="B4782" i="4"/>
  <c r="B4781" i="4"/>
  <c r="B4780" i="4"/>
  <c r="B4779" i="4"/>
  <c r="B4778" i="4"/>
  <c r="B4777" i="4"/>
  <c r="B4776" i="4"/>
  <c r="B4775" i="4"/>
  <c r="B4774" i="4"/>
  <c r="B4773" i="4"/>
  <c r="B4772" i="4"/>
  <c r="B4771" i="4"/>
  <c r="B4770" i="4"/>
  <c r="B4769" i="4"/>
  <c r="B4768" i="4"/>
  <c r="B4767" i="4"/>
  <c r="B4766" i="4"/>
  <c r="B4765" i="4"/>
  <c r="B4764" i="4"/>
  <c r="B4763" i="4"/>
  <c r="B4762" i="4"/>
  <c r="B4761" i="4"/>
  <c r="B4760" i="4"/>
  <c r="B4759" i="4"/>
  <c r="B4758" i="4"/>
  <c r="B4757" i="4"/>
  <c r="B4756" i="4"/>
  <c r="B4755" i="4"/>
  <c r="B4754" i="4"/>
  <c r="B4753" i="4"/>
  <c r="B4752" i="4"/>
  <c r="B4751" i="4"/>
  <c r="B4750" i="4"/>
  <c r="B4749" i="4"/>
  <c r="B4748" i="4"/>
  <c r="B4747" i="4"/>
  <c r="B4746" i="4"/>
  <c r="B4745" i="4"/>
  <c r="B4744" i="4"/>
  <c r="B4743" i="4"/>
  <c r="B4742" i="4"/>
  <c r="B4741" i="4"/>
  <c r="B4740" i="4"/>
  <c r="B4739" i="4"/>
  <c r="B4738" i="4"/>
  <c r="B4737" i="4"/>
  <c r="B4736" i="4"/>
  <c r="B4735" i="4"/>
  <c r="B4734" i="4"/>
  <c r="B4733" i="4"/>
  <c r="B4732" i="4"/>
  <c r="B4731" i="4"/>
  <c r="B4730" i="4"/>
  <c r="B4729" i="4"/>
  <c r="B4728" i="4"/>
  <c r="B4727" i="4"/>
  <c r="B4726" i="4"/>
  <c r="B4725" i="4"/>
  <c r="B4724" i="4"/>
  <c r="B4723" i="4"/>
  <c r="B4722" i="4"/>
  <c r="B4721" i="4"/>
  <c r="B4720" i="4"/>
  <c r="B4719" i="4"/>
  <c r="B4718" i="4"/>
  <c r="B4717" i="4"/>
  <c r="B4716" i="4"/>
  <c r="B4715" i="4"/>
  <c r="B4714" i="4"/>
  <c r="B4713" i="4"/>
  <c r="B4712" i="4"/>
  <c r="B4711" i="4"/>
  <c r="B4710" i="4"/>
  <c r="B4709" i="4"/>
  <c r="B4708" i="4"/>
  <c r="B4707" i="4"/>
  <c r="B4706" i="4"/>
  <c r="B4705" i="4"/>
  <c r="B4704" i="4"/>
  <c r="B4703" i="4"/>
  <c r="B4702" i="4"/>
  <c r="B4701" i="4"/>
  <c r="B4700" i="4"/>
  <c r="B4699" i="4"/>
  <c r="B4698" i="4"/>
  <c r="B4697" i="4"/>
  <c r="B4696" i="4"/>
  <c r="B4695" i="4"/>
  <c r="B4694" i="4"/>
  <c r="B4693" i="4"/>
  <c r="B4692" i="4"/>
  <c r="B4691" i="4"/>
  <c r="B4690" i="4"/>
  <c r="B4689" i="4"/>
  <c r="B4688" i="4"/>
  <c r="B4687" i="4"/>
  <c r="B4686" i="4"/>
  <c r="B4685" i="4"/>
  <c r="B4684" i="4"/>
  <c r="B4683" i="4"/>
  <c r="B4682" i="4"/>
  <c r="B4681" i="4"/>
  <c r="B4680" i="4"/>
  <c r="B4679" i="4"/>
  <c r="B4678" i="4"/>
  <c r="B4677" i="4"/>
  <c r="B4676" i="4"/>
  <c r="B4675" i="4"/>
  <c r="B4674" i="4"/>
  <c r="B4673" i="4"/>
  <c r="B4672" i="4"/>
  <c r="B4671" i="4"/>
  <c r="B4670" i="4"/>
  <c r="B4669" i="4"/>
  <c r="B4668" i="4"/>
  <c r="B4667" i="4"/>
  <c r="B4666" i="4"/>
  <c r="B4665" i="4"/>
  <c r="B4664" i="4"/>
  <c r="B4663" i="4"/>
  <c r="B4662" i="4"/>
  <c r="B4661" i="4"/>
  <c r="B4660" i="4"/>
  <c r="B4659" i="4"/>
  <c r="B4658" i="4"/>
  <c r="B4657" i="4"/>
  <c r="B4656" i="4"/>
  <c r="B4655" i="4"/>
  <c r="B4654" i="4"/>
  <c r="B4653" i="4"/>
  <c r="B4652" i="4"/>
  <c r="B4651" i="4"/>
  <c r="B4650" i="4"/>
  <c r="B4649" i="4"/>
  <c r="B4648" i="4"/>
  <c r="B4647" i="4"/>
  <c r="B4646" i="4"/>
  <c r="B4645" i="4"/>
  <c r="B4644" i="4"/>
  <c r="B4643" i="4"/>
  <c r="B4642" i="4"/>
  <c r="B4641" i="4"/>
  <c r="B4640" i="4"/>
  <c r="B4639" i="4"/>
  <c r="B4638" i="4"/>
  <c r="B4637" i="4"/>
  <c r="B4636" i="4"/>
  <c r="B4635" i="4"/>
  <c r="B4634" i="4"/>
  <c r="B4633" i="4"/>
  <c r="B4632" i="4"/>
  <c r="B4631" i="4"/>
  <c r="B4630" i="4"/>
  <c r="B4629" i="4"/>
  <c r="B4628" i="4"/>
  <c r="B4627" i="4"/>
  <c r="B4626" i="4"/>
  <c r="B4625" i="4"/>
  <c r="B4624" i="4"/>
  <c r="B4623" i="4"/>
  <c r="B4622" i="4"/>
  <c r="B4621" i="4"/>
  <c r="B4620" i="4"/>
  <c r="B4619" i="4"/>
  <c r="B4618" i="4"/>
  <c r="B4617" i="4"/>
  <c r="B4616" i="4"/>
  <c r="B4615" i="4"/>
  <c r="B4614" i="4"/>
  <c r="B4613" i="4"/>
  <c r="B4612" i="4"/>
  <c r="B4611" i="4"/>
  <c r="B4610" i="4"/>
  <c r="B4609" i="4"/>
  <c r="B4608" i="4"/>
  <c r="B4607" i="4"/>
  <c r="B4606" i="4"/>
  <c r="B4605" i="4"/>
  <c r="B4604" i="4"/>
  <c r="B4603" i="4"/>
  <c r="B4602" i="4"/>
  <c r="B4601" i="4"/>
  <c r="B4600" i="4"/>
  <c r="B4599" i="4"/>
  <c r="B4598" i="4"/>
  <c r="B4597" i="4"/>
  <c r="B4596" i="4"/>
  <c r="B4595" i="4"/>
  <c r="B4594" i="4"/>
  <c r="B4593" i="4"/>
  <c r="B4592" i="4"/>
  <c r="B4591" i="4"/>
  <c r="B4590" i="4"/>
  <c r="B4589" i="4"/>
  <c r="B4588" i="4"/>
  <c r="B4587" i="4"/>
  <c r="B4586" i="4"/>
  <c r="B4585" i="4"/>
  <c r="B4584" i="4"/>
  <c r="B4583" i="4"/>
  <c r="B4582" i="4"/>
  <c r="B4581" i="4"/>
  <c r="B4580" i="4"/>
  <c r="B4579" i="4"/>
  <c r="B4578" i="4"/>
  <c r="B4577" i="4"/>
  <c r="B4576" i="4"/>
  <c r="B4575" i="4"/>
  <c r="B4574" i="4"/>
  <c r="B4573" i="4"/>
  <c r="B4572" i="4"/>
  <c r="B4571" i="4"/>
  <c r="B4570" i="4"/>
  <c r="B4569" i="4"/>
  <c r="B4568" i="4"/>
  <c r="B4567" i="4"/>
  <c r="B4566" i="4"/>
  <c r="B4565" i="4"/>
  <c r="B4564" i="4"/>
  <c r="B4563" i="4"/>
  <c r="B4562" i="4"/>
  <c r="B4561" i="4"/>
  <c r="B4560" i="4"/>
  <c r="B4559" i="4"/>
  <c r="B4558" i="4"/>
  <c r="B4557" i="4"/>
  <c r="B4556" i="4"/>
  <c r="B4555" i="4"/>
  <c r="B4554" i="4"/>
  <c r="B4553" i="4"/>
  <c r="B4552" i="4"/>
  <c r="B4551" i="4"/>
  <c r="B4550" i="4"/>
  <c r="B4549" i="4"/>
  <c r="B4548" i="4"/>
  <c r="B4547" i="4"/>
  <c r="B4546" i="4"/>
  <c r="B4545" i="4"/>
  <c r="B4544" i="4"/>
  <c r="B4543" i="4"/>
  <c r="B4542" i="4"/>
  <c r="B4541" i="4"/>
  <c r="B4540" i="4"/>
  <c r="B4539" i="4"/>
  <c r="B4538" i="4"/>
  <c r="B4537" i="4"/>
  <c r="B4536" i="4"/>
  <c r="B4535" i="4"/>
  <c r="B4534" i="4"/>
  <c r="B4533" i="4"/>
  <c r="B4532" i="4"/>
  <c r="B4531" i="4"/>
  <c r="B4530" i="4"/>
  <c r="B4529" i="4"/>
  <c r="B4528" i="4"/>
  <c r="B4527" i="4"/>
  <c r="B4526" i="4"/>
  <c r="B4525" i="4"/>
  <c r="B4524" i="4"/>
  <c r="B4523" i="4"/>
  <c r="B4522" i="4"/>
  <c r="B4521" i="4"/>
  <c r="B4520" i="4"/>
  <c r="B4519" i="4"/>
  <c r="B4518" i="4"/>
  <c r="B4517" i="4"/>
  <c r="B4516" i="4"/>
  <c r="B4515" i="4"/>
  <c r="B4514" i="4"/>
  <c r="B4513" i="4"/>
  <c r="B4512" i="4"/>
  <c r="B4511" i="4"/>
  <c r="B4510" i="4"/>
  <c r="B4509" i="4"/>
  <c r="B4508" i="4"/>
  <c r="B4507" i="4"/>
  <c r="B4506" i="4"/>
  <c r="B4505" i="4"/>
  <c r="B4504" i="4"/>
  <c r="B4503" i="4"/>
  <c r="B4502" i="4"/>
  <c r="B4501" i="4"/>
  <c r="B4500" i="4"/>
  <c r="B4499" i="4"/>
  <c r="B4498" i="4"/>
  <c r="B4497" i="4"/>
  <c r="B4496" i="4"/>
  <c r="B4495" i="4"/>
  <c r="B4494" i="4"/>
  <c r="B4493" i="4"/>
  <c r="B4492" i="4"/>
  <c r="B4491" i="4"/>
  <c r="B4490" i="4"/>
  <c r="B4489" i="4"/>
  <c r="B4488" i="4"/>
  <c r="B4487" i="4"/>
  <c r="B4486" i="4"/>
  <c r="B4485" i="4"/>
  <c r="B4484" i="4"/>
  <c r="B4483" i="4"/>
  <c r="B4482" i="4"/>
  <c r="B4481" i="4"/>
  <c r="B4480" i="4"/>
  <c r="B4479" i="4"/>
  <c r="B4478" i="4"/>
  <c r="B4477" i="4"/>
  <c r="B4476" i="4"/>
  <c r="B4475" i="4"/>
  <c r="B4474" i="4"/>
  <c r="B4473" i="4"/>
  <c r="B4472" i="4"/>
  <c r="B4471" i="4"/>
  <c r="B4470" i="4"/>
  <c r="B4469" i="4"/>
  <c r="B4468" i="4"/>
  <c r="B4467" i="4"/>
  <c r="B4466" i="4"/>
  <c r="B4465" i="4"/>
  <c r="B4464" i="4"/>
  <c r="B4463" i="4"/>
  <c r="B4462" i="4"/>
  <c r="B4461" i="4"/>
  <c r="B4460" i="4"/>
  <c r="B4459" i="4"/>
  <c r="B4458" i="4"/>
  <c r="B4457" i="4"/>
  <c r="B4456" i="4"/>
  <c r="B4455" i="4"/>
  <c r="B4454" i="4"/>
  <c r="B4453" i="4"/>
  <c r="B4452" i="4"/>
  <c r="B4451" i="4"/>
  <c r="B4450" i="4"/>
  <c r="B4449" i="4"/>
  <c r="B4448" i="4"/>
  <c r="B4447" i="4"/>
  <c r="B4446" i="4"/>
  <c r="B4445" i="4"/>
  <c r="B4444" i="4"/>
  <c r="B4443" i="4"/>
  <c r="B4442" i="4"/>
  <c r="B4441" i="4"/>
  <c r="B4440" i="4"/>
  <c r="B4439" i="4"/>
  <c r="B4438" i="4"/>
  <c r="B4437" i="4"/>
  <c r="B4436" i="4"/>
  <c r="B4435" i="4"/>
  <c r="B4434" i="4"/>
  <c r="B4433" i="4"/>
  <c r="B4432" i="4"/>
  <c r="B4431" i="4"/>
  <c r="B4430" i="4"/>
  <c r="B4429" i="4"/>
  <c r="B4428" i="4"/>
  <c r="B4427" i="4"/>
  <c r="B4426" i="4"/>
  <c r="B4425" i="4"/>
  <c r="B4424" i="4"/>
  <c r="B4423" i="4"/>
  <c r="B4422" i="4"/>
  <c r="B4421" i="4"/>
  <c r="B4420" i="4"/>
  <c r="B4419" i="4"/>
  <c r="B4418" i="4"/>
  <c r="B4417" i="4"/>
  <c r="B4416" i="4"/>
  <c r="B4415" i="4"/>
  <c r="B4414" i="4"/>
  <c r="B4413" i="4"/>
  <c r="B4412" i="4"/>
  <c r="B4411" i="4"/>
  <c r="B4410" i="4"/>
  <c r="B4409" i="4"/>
  <c r="B4408" i="4"/>
  <c r="B4407" i="4"/>
  <c r="B4406" i="4"/>
  <c r="B4405" i="4"/>
  <c r="B4404" i="4"/>
  <c r="B4403" i="4"/>
  <c r="B4402" i="4"/>
  <c r="B4401" i="4"/>
  <c r="B4400" i="4"/>
  <c r="B4399" i="4"/>
  <c r="B4398" i="4"/>
  <c r="B4397" i="4"/>
  <c r="B4396" i="4"/>
  <c r="B4395" i="4"/>
  <c r="B4394" i="4"/>
  <c r="B4393" i="4"/>
  <c r="B4392" i="4"/>
  <c r="B4391" i="4"/>
  <c r="B4390" i="4"/>
  <c r="B4389" i="4"/>
  <c r="B4388" i="4"/>
  <c r="B4387" i="4"/>
  <c r="B4386" i="4"/>
  <c r="B4385" i="4"/>
  <c r="B4384" i="4"/>
  <c r="B4383" i="4"/>
  <c r="B4382" i="4"/>
  <c r="B4381" i="4"/>
  <c r="B4380" i="4"/>
  <c r="B4379" i="4"/>
  <c r="B4378" i="4"/>
  <c r="B4377" i="4"/>
  <c r="B4376" i="4"/>
  <c r="B4375" i="4"/>
  <c r="B4374" i="4"/>
  <c r="B4373" i="4"/>
  <c r="B4372" i="4"/>
  <c r="B4371" i="4"/>
  <c r="B4370" i="4"/>
  <c r="B4369" i="4"/>
  <c r="B4368" i="4"/>
  <c r="B4367" i="4"/>
  <c r="B4366" i="4"/>
  <c r="B4365" i="4"/>
  <c r="B4364" i="4"/>
  <c r="B4363" i="4"/>
  <c r="B4362" i="4"/>
  <c r="B4361" i="4"/>
  <c r="B4360" i="4"/>
  <c r="B4359" i="4"/>
  <c r="B4358" i="4"/>
  <c r="B4357" i="4"/>
  <c r="B4356" i="4"/>
  <c r="B4355" i="4"/>
  <c r="B4354" i="4"/>
  <c r="B4353" i="4"/>
  <c r="B4352" i="4"/>
  <c r="B4351" i="4"/>
  <c r="B4350" i="4"/>
  <c r="B4349" i="4"/>
  <c r="B4348" i="4"/>
  <c r="B4347" i="4"/>
  <c r="B4346" i="4"/>
  <c r="B4345" i="4"/>
  <c r="B4344" i="4"/>
  <c r="B4343" i="4"/>
  <c r="B4342" i="4"/>
  <c r="B4341" i="4"/>
  <c r="B4340" i="4"/>
  <c r="B4339" i="4"/>
  <c r="B4338" i="4"/>
  <c r="B4337" i="4"/>
  <c r="B4336" i="4"/>
  <c r="B4335" i="4"/>
  <c r="B4334" i="4"/>
  <c r="B4333" i="4"/>
  <c r="B4332" i="4"/>
  <c r="B4331" i="4"/>
  <c r="B4330" i="4"/>
  <c r="B4329" i="4"/>
  <c r="B4328" i="4"/>
  <c r="B4327" i="4"/>
  <c r="B4326" i="4"/>
  <c r="B4325" i="4"/>
  <c r="B4324" i="4"/>
  <c r="B4323" i="4"/>
  <c r="B4322" i="4"/>
  <c r="B4321" i="4"/>
  <c r="B4320" i="4"/>
  <c r="B4319" i="4"/>
  <c r="B4318" i="4"/>
  <c r="B4317" i="4"/>
  <c r="B4316" i="4"/>
  <c r="B4315" i="4"/>
  <c r="B4314" i="4"/>
  <c r="B4313" i="4"/>
  <c r="B4312" i="4"/>
  <c r="B4311" i="4"/>
  <c r="B4310" i="4"/>
  <c r="B4309" i="4"/>
  <c r="B4308" i="4"/>
  <c r="B4307" i="4"/>
  <c r="B4306" i="4"/>
  <c r="B4305" i="4"/>
  <c r="B4304" i="4"/>
  <c r="B4303" i="4"/>
  <c r="B4302" i="4"/>
  <c r="B4301" i="4"/>
  <c r="B4300" i="4"/>
  <c r="B4299" i="4"/>
  <c r="B4298" i="4"/>
  <c r="B4297" i="4"/>
  <c r="B4296" i="4"/>
  <c r="B4295" i="4"/>
  <c r="B4294" i="4"/>
  <c r="B4293" i="4"/>
  <c r="B4292" i="4"/>
  <c r="B4291" i="4"/>
  <c r="B4290" i="4"/>
  <c r="B4289" i="4"/>
  <c r="B4288" i="4"/>
  <c r="B4287" i="4"/>
  <c r="B4286" i="4"/>
  <c r="B4285" i="4"/>
  <c r="B4284" i="4"/>
  <c r="B4283" i="4"/>
  <c r="B4282" i="4"/>
  <c r="B4281" i="4"/>
  <c r="B4280" i="4"/>
  <c r="B4279" i="4"/>
  <c r="B4278" i="4"/>
  <c r="B4277" i="4"/>
  <c r="B4276" i="4"/>
  <c r="B4275" i="4"/>
  <c r="B4274" i="4"/>
  <c r="B4273" i="4"/>
  <c r="B4272" i="4"/>
  <c r="B4271" i="4"/>
  <c r="B4270" i="4"/>
  <c r="B4269" i="4"/>
  <c r="B4268" i="4"/>
  <c r="B4267" i="4"/>
  <c r="B4266" i="4"/>
  <c r="B4265" i="4"/>
  <c r="B4264" i="4"/>
  <c r="B4263" i="4"/>
  <c r="B4262" i="4"/>
  <c r="B4261" i="4"/>
  <c r="B4260" i="4"/>
  <c r="B4259" i="4"/>
  <c r="B4258" i="4"/>
  <c r="B4257" i="4"/>
  <c r="B4256" i="4"/>
  <c r="B4255" i="4"/>
  <c r="B4254" i="4"/>
  <c r="B4253" i="4"/>
  <c r="B4252" i="4"/>
  <c r="B4251" i="4"/>
  <c r="B4250" i="4"/>
  <c r="B4249" i="4"/>
  <c r="B4248" i="4"/>
  <c r="B4247" i="4"/>
  <c r="B4246" i="4"/>
  <c r="B4245" i="4"/>
  <c r="B4244" i="4"/>
  <c r="B4243" i="4"/>
  <c r="B4242" i="4"/>
  <c r="B4241" i="4"/>
  <c r="B4240" i="4"/>
  <c r="B4239" i="4"/>
  <c r="B4238" i="4"/>
  <c r="B4237" i="4"/>
  <c r="B4236" i="4"/>
  <c r="B4235" i="4"/>
  <c r="B4234" i="4"/>
  <c r="B4233" i="4"/>
  <c r="B4232" i="4"/>
  <c r="B4231" i="4"/>
  <c r="B4230" i="4"/>
  <c r="B4229" i="4"/>
  <c r="B4228" i="4"/>
  <c r="B4227" i="4"/>
  <c r="B4226" i="4"/>
  <c r="B4225" i="4"/>
  <c r="B4224" i="4"/>
  <c r="B4223" i="4"/>
  <c r="B4222" i="4"/>
  <c r="B4221" i="4"/>
  <c r="B4220" i="4"/>
  <c r="B4219" i="4"/>
  <c r="B4218" i="4"/>
  <c r="B4217" i="4"/>
  <c r="B4216" i="4"/>
  <c r="B4215" i="4"/>
  <c r="B4214" i="4"/>
  <c r="B4213" i="4"/>
  <c r="B4212" i="4"/>
  <c r="B4211" i="4"/>
  <c r="B4210" i="4"/>
  <c r="B4209" i="4"/>
  <c r="B4208" i="4"/>
  <c r="B4207" i="4"/>
  <c r="B4206" i="4"/>
  <c r="B4205" i="4"/>
  <c r="B4204" i="4"/>
  <c r="B4203" i="4"/>
  <c r="B4202" i="4"/>
  <c r="B4201" i="4"/>
  <c r="B4200" i="4"/>
  <c r="B4199" i="4"/>
  <c r="B4198" i="4"/>
  <c r="B4197" i="4"/>
  <c r="B4196" i="4"/>
  <c r="B4195" i="4"/>
  <c r="B4194" i="4"/>
  <c r="B4193" i="4"/>
  <c r="B4192" i="4"/>
  <c r="B4191" i="4"/>
  <c r="B4190" i="4"/>
  <c r="B4189" i="4"/>
  <c r="B4188" i="4"/>
  <c r="B4187" i="4"/>
  <c r="B4186" i="4"/>
  <c r="B4185" i="4"/>
  <c r="B4184" i="4"/>
  <c r="B4183" i="4"/>
  <c r="B4182" i="4"/>
  <c r="B4181" i="4"/>
  <c r="B4180" i="4"/>
  <c r="B4179" i="4"/>
  <c r="B4178" i="4"/>
  <c r="B4177" i="4"/>
  <c r="B4176" i="4"/>
  <c r="B4175" i="4"/>
  <c r="B4174" i="4"/>
  <c r="B4173" i="4"/>
  <c r="B4172" i="4"/>
  <c r="B4171" i="4"/>
  <c r="B4170" i="4"/>
  <c r="B4169" i="4"/>
  <c r="B4168" i="4"/>
  <c r="B4167" i="4"/>
  <c r="B4166" i="4"/>
  <c r="B4165" i="4"/>
  <c r="B4164" i="4"/>
  <c r="B4163" i="4"/>
  <c r="B4162" i="4"/>
  <c r="B4161" i="4"/>
  <c r="B4160" i="4"/>
  <c r="B4159" i="4"/>
  <c r="B4158" i="4"/>
  <c r="B4157" i="4"/>
  <c r="B4156" i="4"/>
  <c r="B4155" i="4"/>
  <c r="B4154" i="4"/>
  <c r="B4153" i="4"/>
  <c r="B4152" i="4"/>
  <c r="B4151" i="4"/>
  <c r="B4150" i="4"/>
  <c r="B4149" i="4"/>
  <c r="B4148" i="4"/>
  <c r="B4147" i="4"/>
  <c r="B4146" i="4"/>
  <c r="B4145" i="4"/>
  <c r="B4144" i="4"/>
  <c r="B4143" i="4"/>
  <c r="B4142" i="4"/>
  <c r="B4141" i="4"/>
  <c r="B4140" i="4"/>
  <c r="B4139" i="4"/>
  <c r="B4138" i="4"/>
  <c r="B4137" i="4"/>
  <c r="B4136" i="4"/>
  <c r="B4135" i="4"/>
  <c r="B4134" i="4"/>
  <c r="B4133" i="4"/>
  <c r="B4132" i="4"/>
  <c r="B4131" i="4"/>
  <c r="B4130" i="4"/>
  <c r="B4129" i="4"/>
  <c r="B4128" i="4"/>
  <c r="B4127" i="4"/>
  <c r="B4126" i="4"/>
  <c r="B4125" i="4"/>
  <c r="B4124" i="4"/>
  <c r="B4123" i="4"/>
  <c r="B4122" i="4"/>
  <c r="B4121" i="4"/>
  <c r="B4120" i="4"/>
  <c r="B4119" i="4"/>
  <c r="B4118" i="4"/>
  <c r="B4117" i="4"/>
  <c r="B4116" i="4"/>
  <c r="B4115" i="4"/>
  <c r="B4114" i="4"/>
  <c r="B4113" i="4"/>
  <c r="B4112" i="4"/>
  <c r="B4111" i="4"/>
  <c r="B4110" i="4"/>
  <c r="B4109" i="4"/>
  <c r="B4108" i="4"/>
  <c r="B4107" i="4"/>
  <c r="B4106" i="4"/>
  <c r="B4105" i="4"/>
  <c r="B4104" i="4"/>
  <c r="B4103" i="4"/>
  <c r="B4102" i="4"/>
  <c r="B4101" i="4"/>
  <c r="B4100" i="4"/>
  <c r="B4099" i="4"/>
  <c r="B4098" i="4"/>
  <c r="B4097" i="4"/>
  <c r="B4096" i="4"/>
  <c r="B4095" i="4"/>
  <c r="B4094" i="4"/>
  <c r="B4093" i="4"/>
  <c r="B4092" i="4"/>
  <c r="B4091" i="4"/>
  <c r="B4090" i="4"/>
  <c r="B4089" i="4"/>
  <c r="B4088" i="4"/>
  <c r="B4087" i="4"/>
  <c r="B4086" i="4"/>
  <c r="B4085" i="4"/>
  <c r="B4084" i="4"/>
  <c r="B4083" i="4"/>
  <c r="B4082" i="4"/>
  <c r="B4081" i="4"/>
  <c r="B4080" i="4"/>
  <c r="B4079" i="4"/>
  <c r="B4078" i="4"/>
  <c r="B4077" i="4"/>
  <c r="B4076" i="4"/>
  <c r="B4075" i="4"/>
  <c r="B4074" i="4"/>
  <c r="B4073" i="4"/>
  <c r="B4072" i="4"/>
  <c r="B4071" i="4"/>
  <c r="B4070" i="4"/>
  <c r="B4069" i="4"/>
  <c r="B4068" i="4"/>
  <c r="B4067" i="4"/>
  <c r="B4066" i="4"/>
  <c r="B4065" i="4"/>
  <c r="B4064" i="4"/>
  <c r="B4063" i="4"/>
  <c r="B4062" i="4"/>
  <c r="B4061" i="4"/>
  <c r="B4060" i="4"/>
  <c r="B4059" i="4"/>
  <c r="B4058" i="4"/>
  <c r="B4057" i="4"/>
  <c r="B4056" i="4"/>
  <c r="B4055" i="4"/>
  <c r="B4054" i="4"/>
  <c r="B4053" i="4"/>
  <c r="B4052" i="4"/>
  <c r="B4051" i="4"/>
  <c r="B4050" i="4"/>
  <c r="B4049" i="4"/>
  <c r="B4048" i="4"/>
  <c r="B4047" i="4"/>
  <c r="B4046" i="4"/>
  <c r="B4045" i="4"/>
  <c r="B4044" i="4"/>
  <c r="B4043" i="4"/>
  <c r="B4042" i="4"/>
  <c r="B4041" i="4"/>
  <c r="B4040" i="4"/>
  <c r="B4039" i="4"/>
  <c r="B4038" i="4"/>
  <c r="B4037" i="4"/>
  <c r="B4036" i="4"/>
  <c r="B4035" i="4"/>
  <c r="B4034" i="4"/>
  <c r="B4033" i="4"/>
  <c r="B4032" i="4"/>
  <c r="B4031" i="4"/>
  <c r="B4030" i="4"/>
  <c r="B4029" i="4"/>
  <c r="B4028" i="4"/>
  <c r="B4027" i="4"/>
  <c r="B4026" i="4"/>
  <c r="B4025" i="4"/>
  <c r="B4024" i="4"/>
  <c r="B4023" i="4"/>
  <c r="B4022" i="4"/>
  <c r="B4021" i="4"/>
  <c r="B4020" i="4"/>
  <c r="B4019" i="4"/>
  <c r="B4018" i="4"/>
  <c r="B4017" i="4"/>
  <c r="B4016" i="4"/>
  <c r="B4015" i="4"/>
  <c r="B4014" i="4"/>
  <c r="B4013" i="4"/>
  <c r="B4012" i="4"/>
  <c r="B4011" i="4"/>
  <c r="B4010" i="4"/>
  <c r="B4009" i="4"/>
  <c r="B4008" i="4"/>
  <c r="B4007" i="4"/>
  <c r="B4006" i="4"/>
  <c r="B4005" i="4"/>
  <c r="B4004" i="4"/>
  <c r="B4003" i="4"/>
  <c r="B4002" i="4"/>
  <c r="B4001" i="4"/>
  <c r="B4000" i="4"/>
  <c r="B3999" i="4"/>
  <c r="B3998" i="4"/>
  <c r="B3997" i="4"/>
  <c r="B3996" i="4"/>
  <c r="B3995" i="4"/>
  <c r="B3994" i="4"/>
  <c r="B3993" i="4"/>
  <c r="B3992" i="4"/>
  <c r="B3991" i="4"/>
  <c r="B3990" i="4"/>
  <c r="B3989" i="4"/>
  <c r="B3988" i="4"/>
  <c r="B3987" i="4"/>
  <c r="B3986" i="4"/>
  <c r="B3985" i="4"/>
  <c r="B3984" i="4"/>
  <c r="B3983" i="4"/>
  <c r="B3982" i="4"/>
  <c r="B3981" i="4"/>
  <c r="B3980" i="4"/>
  <c r="B3979" i="4"/>
  <c r="B3978" i="4"/>
  <c r="B3977" i="4"/>
  <c r="B3976" i="4"/>
  <c r="B3975" i="4"/>
  <c r="B3974" i="4"/>
  <c r="B3973" i="4"/>
  <c r="B3972" i="4"/>
  <c r="B3971" i="4"/>
  <c r="B3970" i="4"/>
  <c r="B3969" i="4"/>
  <c r="B3968" i="4"/>
  <c r="B3967" i="4"/>
  <c r="B3966" i="4"/>
  <c r="B3965" i="4"/>
  <c r="B3964" i="4"/>
  <c r="B3963" i="4"/>
  <c r="B3962" i="4"/>
  <c r="B3961" i="4"/>
  <c r="B3960" i="4"/>
  <c r="B3959" i="4"/>
  <c r="B3958" i="4"/>
  <c r="B3957" i="4"/>
  <c r="B3956" i="4"/>
  <c r="B3955" i="4"/>
  <c r="B3954" i="4"/>
  <c r="B3953" i="4"/>
  <c r="B3952" i="4"/>
  <c r="B3951" i="4"/>
  <c r="B3950" i="4"/>
  <c r="B3949" i="4"/>
  <c r="B3948" i="4"/>
  <c r="B3947" i="4"/>
  <c r="B3946" i="4"/>
  <c r="B3945" i="4"/>
  <c r="B3944" i="4"/>
  <c r="B3943" i="4"/>
  <c r="B3942" i="4"/>
  <c r="B3941" i="4"/>
  <c r="B3940" i="4"/>
  <c r="B3939" i="4"/>
  <c r="B3938" i="4"/>
  <c r="B3937" i="4"/>
  <c r="B3936" i="4"/>
  <c r="B3935" i="4"/>
  <c r="B3934" i="4"/>
  <c r="B3933" i="4"/>
  <c r="B3932" i="4"/>
  <c r="B3931" i="4"/>
  <c r="B3930" i="4"/>
  <c r="B3929" i="4"/>
  <c r="B3928" i="4"/>
  <c r="B3927" i="4"/>
  <c r="B3926" i="4"/>
  <c r="B3925" i="4"/>
  <c r="B3924" i="4"/>
  <c r="B3923" i="4"/>
  <c r="B3922" i="4"/>
  <c r="B3921" i="4"/>
  <c r="B3920" i="4"/>
  <c r="B3919" i="4"/>
  <c r="B3918" i="4"/>
  <c r="B3917" i="4"/>
  <c r="B3916" i="4"/>
  <c r="B3915" i="4"/>
  <c r="B3914" i="4"/>
  <c r="B3913" i="4"/>
  <c r="B3912" i="4"/>
  <c r="B3911" i="4"/>
  <c r="B3910" i="4"/>
  <c r="B3909" i="4"/>
  <c r="B3908" i="4"/>
  <c r="B3907" i="4"/>
  <c r="B3906" i="4"/>
  <c r="B3905" i="4"/>
  <c r="B3904" i="4"/>
  <c r="B3903" i="4"/>
  <c r="B3902" i="4"/>
  <c r="B3901" i="4"/>
  <c r="B3900" i="4"/>
  <c r="B3899" i="4"/>
  <c r="B3898" i="4"/>
  <c r="B3897" i="4"/>
  <c r="B3896" i="4"/>
  <c r="B3895" i="4"/>
  <c r="B3894" i="4"/>
  <c r="B3893" i="4"/>
  <c r="B3892" i="4"/>
  <c r="B3891" i="4"/>
  <c r="B3890" i="4"/>
  <c r="B3889" i="4"/>
  <c r="B3888" i="4"/>
  <c r="B3887" i="4"/>
  <c r="B3886" i="4"/>
  <c r="B3885" i="4"/>
  <c r="B3884" i="4"/>
  <c r="B3883" i="4"/>
  <c r="B3882" i="4"/>
  <c r="B3881" i="4"/>
  <c r="B3880" i="4"/>
  <c r="B3879" i="4"/>
  <c r="B3878" i="4"/>
  <c r="B3877" i="4"/>
  <c r="B3876" i="4"/>
  <c r="B3875" i="4"/>
  <c r="B3874" i="4"/>
  <c r="B3873" i="4"/>
  <c r="B3872" i="4"/>
  <c r="B3871" i="4"/>
  <c r="B3870" i="4"/>
  <c r="B3869" i="4"/>
  <c r="B3868" i="4"/>
  <c r="B3867" i="4"/>
  <c r="B3866" i="4"/>
  <c r="B3865" i="4"/>
  <c r="B3864" i="4"/>
  <c r="B3863" i="4"/>
  <c r="B3862" i="4"/>
  <c r="B3861" i="4"/>
  <c r="B3860" i="4"/>
  <c r="B3859" i="4"/>
  <c r="B3858" i="4"/>
  <c r="B3857" i="4"/>
  <c r="B3856" i="4"/>
  <c r="B3855" i="4"/>
  <c r="B3854" i="4"/>
  <c r="B3853" i="4"/>
  <c r="B3852" i="4"/>
  <c r="B3851" i="4"/>
  <c r="B3850" i="4"/>
  <c r="B3849" i="4"/>
  <c r="B3848" i="4"/>
  <c r="B3847" i="4"/>
  <c r="B3846" i="4"/>
  <c r="B3845" i="4"/>
  <c r="B3844" i="4"/>
  <c r="B3843" i="4"/>
  <c r="B3842" i="4"/>
  <c r="B3841" i="4"/>
  <c r="B3840" i="4"/>
  <c r="B3839" i="4"/>
  <c r="B3838" i="4"/>
  <c r="B3837" i="4"/>
  <c r="B3836" i="4"/>
  <c r="B3835" i="4"/>
  <c r="B3834" i="4"/>
  <c r="B3833" i="4"/>
  <c r="B3832" i="4"/>
  <c r="B3831" i="4"/>
  <c r="B3830" i="4"/>
  <c r="B3829" i="4"/>
  <c r="B3828" i="4"/>
  <c r="B3827" i="4"/>
  <c r="B3826" i="4"/>
  <c r="B3825" i="4"/>
  <c r="B3824" i="4"/>
  <c r="B3823" i="4"/>
  <c r="B3822" i="4"/>
  <c r="B3821" i="4"/>
  <c r="B3820" i="4"/>
  <c r="B3819" i="4"/>
  <c r="B3818" i="4"/>
  <c r="B3817" i="4"/>
  <c r="B3816" i="4"/>
  <c r="B3815" i="4"/>
  <c r="B3814" i="4"/>
  <c r="B3813" i="4"/>
  <c r="B3812" i="4"/>
  <c r="B3811" i="4"/>
  <c r="B3810" i="4"/>
  <c r="B3809" i="4"/>
  <c r="B3808" i="4"/>
  <c r="B3807" i="4"/>
  <c r="B3806" i="4"/>
  <c r="B3805" i="4"/>
  <c r="B3804" i="4"/>
  <c r="B3803" i="4"/>
  <c r="B3802" i="4"/>
  <c r="B3801" i="4"/>
  <c r="B3800" i="4"/>
  <c r="B3799" i="4"/>
  <c r="B3798" i="4"/>
  <c r="B3797" i="4"/>
  <c r="B3796" i="4"/>
  <c r="B3795" i="4"/>
  <c r="B3794" i="4"/>
  <c r="B3793" i="4"/>
  <c r="B3792" i="4"/>
  <c r="B3791" i="4"/>
  <c r="B3790" i="4"/>
  <c r="B3789" i="4"/>
  <c r="B3788" i="4"/>
  <c r="B3787" i="4"/>
  <c r="B3786" i="4"/>
  <c r="B3785" i="4"/>
  <c r="B3784" i="4"/>
  <c r="B3783" i="4"/>
  <c r="B3782" i="4"/>
  <c r="B3781" i="4"/>
  <c r="B3780" i="4"/>
  <c r="B3779" i="4"/>
  <c r="B3778" i="4"/>
  <c r="B3777" i="4"/>
  <c r="B3776" i="4"/>
  <c r="B3775" i="4"/>
  <c r="B3774" i="4"/>
  <c r="B3773" i="4"/>
  <c r="B3772" i="4"/>
  <c r="B3771" i="4"/>
  <c r="B3770" i="4"/>
  <c r="B3769" i="4"/>
  <c r="B3768" i="4"/>
  <c r="B3767" i="4"/>
  <c r="B3766" i="4"/>
  <c r="B3765" i="4"/>
  <c r="B3764" i="4"/>
  <c r="B3763" i="4"/>
  <c r="B3762" i="4"/>
  <c r="B3761" i="4"/>
  <c r="B3760" i="4"/>
  <c r="B3759" i="4"/>
  <c r="B3758" i="4"/>
  <c r="B3757" i="4"/>
  <c r="B3756" i="4"/>
  <c r="B3755" i="4"/>
  <c r="B3754" i="4"/>
  <c r="B3753" i="4"/>
  <c r="B3752" i="4"/>
  <c r="B3751" i="4"/>
  <c r="B3750" i="4"/>
  <c r="B3749" i="4"/>
  <c r="B3748" i="4"/>
  <c r="B3747" i="4"/>
  <c r="B3746" i="4"/>
  <c r="B3745" i="4"/>
  <c r="B3744" i="4"/>
  <c r="B3743" i="4"/>
  <c r="B3742" i="4"/>
  <c r="B3741" i="4"/>
  <c r="B3740" i="4"/>
  <c r="B3739" i="4"/>
  <c r="B3738" i="4"/>
  <c r="B3737" i="4"/>
  <c r="B3736" i="4"/>
  <c r="B3735" i="4"/>
  <c r="B3734" i="4"/>
  <c r="B3733" i="4"/>
  <c r="B3732" i="4"/>
  <c r="B3731" i="4"/>
  <c r="B3730" i="4"/>
  <c r="B3729" i="4"/>
  <c r="B3728" i="4"/>
  <c r="B3727" i="4"/>
  <c r="B3726" i="4"/>
  <c r="B3725" i="4"/>
  <c r="B3724" i="4"/>
  <c r="B3723" i="4"/>
  <c r="B3722" i="4"/>
  <c r="B3721" i="4"/>
  <c r="B3720" i="4"/>
  <c r="B3719" i="4"/>
  <c r="B3718" i="4"/>
  <c r="B3717" i="4"/>
  <c r="B3716" i="4"/>
  <c r="B3715" i="4"/>
  <c r="B3714" i="4"/>
  <c r="B3713" i="4"/>
  <c r="B3712" i="4"/>
  <c r="B3711" i="4"/>
  <c r="B3710" i="4"/>
  <c r="B3709" i="4"/>
  <c r="B3708" i="4"/>
  <c r="B3707" i="4"/>
  <c r="B3706" i="4"/>
  <c r="B3705" i="4"/>
  <c r="B3704" i="4"/>
  <c r="B3703" i="4"/>
  <c r="B3702" i="4"/>
  <c r="B3701" i="4"/>
  <c r="B3700" i="4"/>
  <c r="B3699" i="4"/>
  <c r="B3698" i="4"/>
  <c r="B3697" i="4"/>
  <c r="B3696" i="4"/>
  <c r="B3695" i="4"/>
  <c r="B3694" i="4"/>
  <c r="B3693" i="4"/>
  <c r="B3692" i="4"/>
  <c r="B3691" i="4"/>
  <c r="B3690" i="4"/>
  <c r="B3689" i="4"/>
  <c r="B3688" i="4"/>
  <c r="B3687" i="4"/>
  <c r="B3686" i="4"/>
  <c r="B3685" i="4"/>
  <c r="B3684" i="4"/>
  <c r="B3683" i="4"/>
  <c r="B3682" i="4"/>
  <c r="B3681" i="4"/>
  <c r="B3680" i="4"/>
  <c r="B3679" i="4"/>
  <c r="B3678" i="4"/>
  <c r="B3677" i="4"/>
  <c r="B3676" i="4"/>
  <c r="B3675" i="4"/>
  <c r="B3674" i="4"/>
  <c r="B3673" i="4"/>
  <c r="B3672" i="4"/>
  <c r="B3671" i="4"/>
  <c r="B3670" i="4"/>
  <c r="B3669" i="4"/>
  <c r="B3668" i="4"/>
  <c r="B3667" i="4"/>
  <c r="B3666" i="4"/>
  <c r="B3665" i="4"/>
  <c r="B3664" i="4"/>
  <c r="B3663" i="4"/>
  <c r="B3662" i="4"/>
  <c r="B3661" i="4"/>
  <c r="B3660" i="4"/>
  <c r="B3659" i="4"/>
  <c r="B3658" i="4"/>
  <c r="B3657" i="4"/>
  <c r="B3656" i="4"/>
  <c r="B3655" i="4"/>
  <c r="B3654" i="4"/>
  <c r="B3653" i="4"/>
  <c r="B3652" i="4"/>
  <c r="B3651" i="4"/>
  <c r="B3650" i="4"/>
  <c r="B3649" i="4"/>
  <c r="B3648" i="4"/>
  <c r="B3647" i="4"/>
  <c r="B3646" i="4"/>
  <c r="B3645" i="4"/>
  <c r="B3644" i="4"/>
  <c r="B3643" i="4"/>
  <c r="B3642" i="4"/>
  <c r="B3641" i="4"/>
  <c r="B3640" i="4"/>
  <c r="B3639" i="4"/>
  <c r="B3638" i="4"/>
  <c r="B3637" i="4"/>
  <c r="B3636" i="4"/>
  <c r="B3635" i="4"/>
  <c r="B3634" i="4"/>
  <c r="B3633" i="4"/>
  <c r="B3632" i="4"/>
  <c r="B3631" i="4"/>
  <c r="B3630" i="4"/>
  <c r="B3629" i="4"/>
  <c r="B3628" i="4"/>
  <c r="B3627" i="4"/>
  <c r="B3626" i="4"/>
  <c r="B3625" i="4"/>
  <c r="B3624" i="4"/>
  <c r="B3623" i="4"/>
  <c r="B3622" i="4"/>
  <c r="B3621" i="4"/>
  <c r="B3620" i="4"/>
  <c r="B3619" i="4"/>
  <c r="B3618" i="4"/>
  <c r="B3617" i="4"/>
  <c r="B3616" i="4"/>
  <c r="B3615" i="4"/>
  <c r="B3614" i="4"/>
  <c r="B3613" i="4"/>
  <c r="B3612" i="4"/>
  <c r="B3611" i="4"/>
  <c r="B3610" i="4"/>
  <c r="B3609" i="4"/>
  <c r="B3608" i="4"/>
  <c r="B3607" i="4"/>
  <c r="B3606" i="4"/>
  <c r="B3605" i="4"/>
  <c r="B3604" i="4"/>
  <c r="B3603" i="4"/>
  <c r="B3602" i="4"/>
  <c r="B3601" i="4"/>
  <c r="B3600" i="4"/>
  <c r="B3599" i="4"/>
  <c r="B3598" i="4"/>
  <c r="B3597" i="4"/>
  <c r="B3596" i="4"/>
  <c r="B3595" i="4"/>
  <c r="B3594" i="4"/>
  <c r="B3593" i="4"/>
  <c r="B3592" i="4"/>
  <c r="B3591" i="4"/>
  <c r="B3590" i="4"/>
  <c r="B3589" i="4"/>
  <c r="B3588" i="4"/>
  <c r="B3587" i="4"/>
  <c r="B3586" i="4"/>
  <c r="B3585" i="4"/>
  <c r="B3584" i="4"/>
  <c r="B3583" i="4"/>
  <c r="B3582" i="4"/>
  <c r="B3581" i="4"/>
  <c r="B3580" i="4"/>
  <c r="B3579" i="4"/>
  <c r="B3578" i="4"/>
  <c r="B3577" i="4"/>
  <c r="B3576" i="4"/>
  <c r="B3575" i="4"/>
  <c r="B3574" i="4"/>
  <c r="B3573" i="4"/>
  <c r="B3572" i="4"/>
  <c r="B3571" i="4"/>
  <c r="B3570" i="4"/>
  <c r="B3569" i="4"/>
  <c r="B3568" i="4"/>
  <c r="B3567" i="4"/>
  <c r="B3566" i="4"/>
  <c r="B3565" i="4"/>
  <c r="B3564" i="4"/>
  <c r="B3563" i="4"/>
  <c r="B3562" i="4"/>
  <c r="B3561" i="4"/>
  <c r="B3560" i="4"/>
  <c r="B3559" i="4"/>
  <c r="B3558" i="4"/>
  <c r="B3557" i="4"/>
  <c r="B3556" i="4"/>
  <c r="B3555" i="4"/>
  <c r="B3554" i="4"/>
  <c r="B3553" i="4"/>
  <c r="B3552" i="4"/>
  <c r="B3551" i="4"/>
  <c r="B3550" i="4"/>
  <c r="B3549" i="4"/>
  <c r="B3548" i="4"/>
  <c r="B3547" i="4"/>
  <c r="B3546" i="4"/>
  <c r="B3545" i="4"/>
  <c r="B3544" i="4"/>
  <c r="B3543" i="4"/>
  <c r="B3542" i="4"/>
  <c r="B3541" i="4"/>
  <c r="B3540" i="4"/>
  <c r="B3539" i="4"/>
  <c r="B3538" i="4"/>
  <c r="B3537" i="4"/>
  <c r="B3536" i="4"/>
  <c r="B3535" i="4"/>
  <c r="B3534" i="4"/>
  <c r="B3533" i="4"/>
  <c r="B3532" i="4"/>
  <c r="B3531" i="4"/>
  <c r="B3530" i="4"/>
  <c r="B3529" i="4"/>
  <c r="B3528" i="4"/>
  <c r="B3527" i="4"/>
  <c r="B3526" i="4"/>
  <c r="B3525" i="4"/>
  <c r="B3524" i="4"/>
  <c r="B3523" i="4"/>
  <c r="B3522" i="4"/>
  <c r="B3521" i="4"/>
  <c r="B3520" i="4"/>
  <c r="B3519" i="4"/>
  <c r="B3518" i="4"/>
  <c r="B3517" i="4"/>
  <c r="B3516" i="4"/>
  <c r="B3515" i="4"/>
  <c r="B3514" i="4"/>
  <c r="B3513" i="4"/>
  <c r="B3512" i="4"/>
  <c r="B3511" i="4"/>
  <c r="B3510" i="4"/>
  <c r="B3509" i="4"/>
  <c r="B3508" i="4"/>
  <c r="B3507" i="4"/>
  <c r="B3506" i="4"/>
  <c r="B3505" i="4"/>
  <c r="B3504" i="4"/>
  <c r="B3503" i="4"/>
  <c r="B3502" i="4"/>
  <c r="B3501" i="4"/>
  <c r="B3500" i="4"/>
  <c r="B3499" i="4"/>
  <c r="B3498" i="4"/>
  <c r="B3497" i="4"/>
  <c r="B3496" i="4"/>
  <c r="B3495" i="4"/>
  <c r="B3494" i="4"/>
  <c r="B3493" i="4"/>
  <c r="B3492" i="4"/>
  <c r="B3491" i="4"/>
  <c r="B3490" i="4"/>
  <c r="B3489" i="4"/>
  <c r="B3488" i="4"/>
  <c r="B3487" i="4"/>
  <c r="B3486" i="4"/>
  <c r="B3485" i="4"/>
  <c r="B3484" i="4"/>
  <c r="B3483" i="4"/>
  <c r="B3482" i="4"/>
  <c r="B3481" i="4"/>
  <c r="B3480" i="4"/>
  <c r="B3479" i="4"/>
  <c r="B3478" i="4"/>
  <c r="B3477" i="4"/>
  <c r="B3476" i="4"/>
  <c r="B3475" i="4"/>
  <c r="B3474" i="4"/>
  <c r="B3473" i="4"/>
  <c r="B3472" i="4"/>
  <c r="B3471" i="4"/>
  <c r="B3470" i="4"/>
  <c r="B3469" i="4"/>
  <c r="B3468" i="4"/>
  <c r="B3467" i="4"/>
  <c r="B3466" i="4"/>
  <c r="B3465" i="4"/>
  <c r="B3464" i="4"/>
  <c r="B3463" i="4"/>
  <c r="B3462" i="4"/>
  <c r="B3461" i="4"/>
  <c r="B3460" i="4"/>
  <c r="B3459" i="4"/>
  <c r="B3458" i="4"/>
  <c r="B3457" i="4"/>
  <c r="B3456" i="4"/>
  <c r="B3455" i="4"/>
  <c r="B3454" i="4"/>
  <c r="B3453" i="4"/>
  <c r="B3452" i="4"/>
  <c r="B3451" i="4"/>
  <c r="B3450" i="4"/>
  <c r="B3449" i="4"/>
  <c r="B3448" i="4"/>
  <c r="B3447" i="4"/>
  <c r="B3446" i="4"/>
  <c r="B3445" i="4"/>
  <c r="B3444" i="4"/>
  <c r="B3443" i="4"/>
  <c r="B3442" i="4"/>
  <c r="B3441" i="4"/>
  <c r="B3440" i="4"/>
  <c r="B3439" i="4"/>
  <c r="B3438" i="4"/>
  <c r="B3437" i="4"/>
  <c r="B3436" i="4"/>
  <c r="B3435" i="4"/>
  <c r="B3434" i="4"/>
  <c r="B3433" i="4"/>
  <c r="B3432" i="4"/>
  <c r="B3431" i="4"/>
  <c r="B3430" i="4"/>
  <c r="B3429" i="4"/>
  <c r="B3428" i="4"/>
  <c r="B3427" i="4"/>
  <c r="B3426" i="4"/>
  <c r="B3425" i="4"/>
  <c r="B3424" i="4"/>
  <c r="B3423" i="4"/>
  <c r="B3422" i="4"/>
  <c r="B3421" i="4"/>
  <c r="B3420" i="4"/>
  <c r="B3419" i="4"/>
  <c r="B3418" i="4"/>
  <c r="B3417" i="4"/>
  <c r="B3416" i="4"/>
  <c r="B3415" i="4"/>
  <c r="B3414" i="4"/>
  <c r="B3413" i="4"/>
  <c r="B3412" i="4"/>
  <c r="B3411" i="4"/>
  <c r="B3410" i="4"/>
  <c r="B3409" i="4"/>
  <c r="B3408" i="4"/>
  <c r="B3407" i="4"/>
  <c r="B3406" i="4"/>
  <c r="B3405" i="4"/>
  <c r="B3404" i="4"/>
  <c r="B3403" i="4"/>
  <c r="B3402" i="4"/>
  <c r="B3401" i="4"/>
  <c r="B3400" i="4"/>
  <c r="B3399" i="4"/>
  <c r="B3398" i="4"/>
  <c r="B3397" i="4"/>
  <c r="B3396" i="4"/>
  <c r="B3395" i="4"/>
  <c r="B3394" i="4"/>
  <c r="B3393" i="4"/>
  <c r="B3392" i="4"/>
  <c r="B3391" i="4"/>
  <c r="B3390" i="4"/>
  <c r="B3389" i="4"/>
  <c r="B3388" i="4"/>
  <c r="B3387" i="4"/>
  <c r="B3386" i="4"/>
  <c r="B3385" i="4"/>
  <c r="B3384" i="4"/>
  <c r="B3383" i="4"/>
  <c r="B3382" i="4"/>
  <c r="B3381" i="4"/>
  <c r="B3380" i="4"/>
  <c r="B3379" i="4"/>
  <c r="B3378" i="4"/>
  <c r="B3377" i="4"/>
  <c r="B3376" i="4"/>
  <c r="B3375" i="4"/>
  <c r="B3374" i="4"/>
  <c r="B3373" i="4"/>
  <c r="B3372" i="4"/>
  <c r="B3371" i="4"/>
  <c r="B3370" i="4"/>
  <c r="B3369" i="4"/>
  <c r="B3368" i="4"/>
  <c r="B3367" i="4"/>
  <c r="B3366" i="4"/>
  <c r="B3365" i="4"/>
  <c r="B3364" i="4"/>
  <c r="B3363" i="4"/>
  <c r="B3362" i="4"/>
  <c r="B3361" i="4"/>
  <c r="B3360" i="4"/>
  <c r="B3359" i="4"/>
  <c r="B3358" i="4"/>
  <c r="B3357" i="4"/>
  <c r="B3356" i="4"/>
  <c r="B3355" i="4"/>
  <c r="B3354" i="4"/>
  <c r="B3353" i="4"/>
  <c r="B3352" i="4"/>
  <c r="B3351" i="4"/>
  <c r="B3350" i="4"/>
  <c r="B3349" i="4"/>
  <c r="B3348" i="4"/>
  <c r="B3347" i="4"/>
  <c r="B3346" i="4"/>
  <c r="B3345" i="4"/>
  <c r="B3344" i="4"/>
  <c r="B3343" i="4"/>
  <c r="B3342" i="4"/>
  <c r="B3341" i="4"/>
  <c r="B3340" i="4"/>
  <c r="B3339" i="4"/>
  <c r="B3338" i="4"/>
  <c r="B3337" i="4"/>
  <c r="B3336" i="4"/>
  <c r="B3335" i="4"/>
  <c r="B3334" i="4"/>
  <c r="B3333" i="4"/>
  <c r="B3332" i="4"/>
  <c r="B3331" i="4"/>
  <c r="B3330" i="4"/>
  <c r="B3329" i="4"/>
  <c r="B3328" i="4"/>
  <c r="B3327" i="4"/>
  <c r="B3326" i="4"/>
  <c r="B3325" i="4"/>
  <c r="B3324" i="4"/>
  <c r="B3323" i="4"/>
  <c r="B3322" i="4"/>
  <c r="B3321" i="4"/>
  <c r="B3320" i="4"/>
  <c r="B3319" i="4"/>
  <c r="B3318" i="4"/>
  <c r="B3317" i="4"/>
  <c r="B3316" i="4"/>
  <c r="B3315" i="4"/>
  <c r="B3314" i="4"/>
  <c r="B3313" i="4"/>
  <c r="B3312" i="4"/>
  <c r="B3311" i="4"/>
  <c r="B3310" i="4"/>
  <c r="B3309" i="4"/>
  <c r="B3308" i="4"/>
  <c r="B3307" i="4"/>
  <c r="B3306" i="4"/>
  <c r="B3305" i="4"/>
  <c r="B3304" i="4"/>
  <c r="B3303" i="4"/>
  <c r="B3302" i="4"/>
  <c r="B3301" i="4"/>
  <c r="B3300" i="4"/>
  <c r="B3299" i="4"/>
  <c r="B3298" i="4"/>
  <c r="B3297" i="4"/>
  <c r="B3296" i="4"/>
  <c r="B3295" i="4"/>
  <c r="B3294" i="4"/>
  <c r="B3293" i="4"/>
  <c r="B3292" i="4"/>
  <c r="B3291" i="4"/>
  <c r="B3290" i="4"/>
  <c r="B3289" i="4"/>
  <c r="B3288" i="4"/>
  <c r="B3287" i="4"/>
  <c r="B3286" i="4"/>
  <c r="B3285" i="4"/>
  <c r="B3284" i="4"/>
  <c r="B3283" i="4"/>
  <c r="B3282" i="4"/>
  <c r="B3281" i="4"/>
  <c r="B3280" i="4"/>
  <c r="B3279" i="4"/>
  <c r="B3278" i="4"/>
  <c r="B3277" i="4"/>
  <c r="B3276" i="4"/>
  <c r="B3275" i="4"/>
  <c r="B3274" i="4"/>
  <c r="B3273" i="4"/>
  <c r="B3272" i="4"/>
  <c r="B3271" i="4"/>
  <c r="B3270" i="4"/>
  <c r="B3269" i="4"/>
  <c r="B3268" i="4"/>
  <c r="B3267" i="4"/>
  <c r="B3266" i="4"/>
  <c r="B3265" i="4"/>
  <c r="B3264" i="4"/>
  <c r="B3263" i="4"/>
  <c r="B3262" i="4"/>
  <c r="B3261" i="4"/>
  <c r="B3260" i="4"/>
  <c r="B3259" i="4"/>
  <c r="B3258" i="4"/>
  <c r="B3257" i="4"/>
  <c r="B3256" i="4"/>
  <c r="B3255" i="4"/>
  <c r="B3254" i="4"/>
  <c r="B3253" i="4"/>
  <c r="B3252" i="4"/>
  <c r="B3251" i="4"/>
  <c r="B3250" i="4"/>
  <c r="B3249" i="4"/>
  <c r="B3248" i="4"/>
  <c r="B3247" i="4"/>
  <c r="B3246" i="4"/>
  <c r="B3245" i="4"/>
  <c r="B3244" i="4"/>
  <c r="B3243" i="4"/>
  <c r="B3242" i="4"/>
  <c r="B3241" i="4"/>
  <c r="B3240" i="4"/>
  <c r="B3239" i="4"/>
  <c r="B3238" i="4"/>
  <c r="B3237" i="4"/>
  <c r="B3236" i="4"/>
  <c r="B3235" i="4"/>
  <c r="B3234" i="4"/>
  <c r="B3233" i="4"/>
  <c r="B3232" i="4"/>
  <c r="B3231" i="4"/>
  <c r="B3230" i="4"/>
  <c r="B3229" i="4"/>
  <c r="B3228" i="4"/>
  <c r="B3227" i="4"/>
  <c r="B3226" i="4"/>
  <c r="B3225" i="4"/>
  <c r="B3224" i="4"/>
  <c r="B3223" i="4"/>
  <c r="B3222" i="4"/>
  <c r="B3221" i="4"/>
  <c r="B3220" i="4"/>
  <c r="B3219" i="4"/>
  <c r="B3218" i="4"/>
  <c r="B3217" i="4"/>
  <c r="B3216" i="4"/>
  <c r="B3215" i="4"/>
  <c r="B3214" i="4"/>
  <c r="B3213" i="4"/>
  <c r="B3212" i="4"/>
  <c r="B3211" i="4"/>
  <c r="B3210" i="4"/>
  <c r="B3209" i="4"/>
  <c r="B3208" i="4"/>
  <c r="B3207" i="4"/>
  <c r="B3206" i="4"/>
  <c r="B3205" i="4"/>
  <c r="B3204" i="4"/>
  <c r="B3203" i="4"/>
  <c r="B3202" i="4"/>
  <c r="B3201" i="4"/>
  <c r="B3200" i="4"/>
  <c r="B3199" i="4"/>
  <c r="B3198" i="4"/>
  <c r="B3197" i="4"/>
  <c r="B3196" i="4"/>
  <c r="B3195" i="4"/>
  <c r="B3194" i="4"/>
  <c r="B3193" i="4"/>
  <c r="B3192" i="4"/>
  <c r="B3191" i="4"/>
  <c r="B3190" i="4"/>
  <c r="B3189" i="4"/>
  <c r="B3188" i="4"/>
  <c r="B3187" i="4"/>
  <c r="B3186" i="4"/>
  <c r="B3185" i="4"/>
  <c r="B3184" i="4"/>
  <c r="B3183" i="4"/>
  <c r="B3182" i="4"/>
  <c r="B3181" i="4"/>
  <c r="B3180" i="4"/>
  <c r="B3179" i="4"/>
  <c r="B3178" i="4"/>
  <c r="B3177" i="4"/>
  <c r="B3176" i="4"/>
  <c r="B3175" i="4"/>
  <c r="B3174" i="4"/>
  <c r="B3173" i="4"/>
  <c r="B3172" i="4"/>
  <c r="B3171" i="4"/>
  <c r="B3170" i="4"/>
  <c r="B3169" i="4"/>
  <c r="B3168" i="4"/>
  <c r="B3167" i="4"/>
  <c r="B3166" i="4"/>
  <c r="B3165" i="4"/>
  <c r="B3164" i="4"/>
  <c r="B3163" i="4"/>
  <c r="B3162" i="4"/>
  <c r="B3161" i="4"/>
  <c r="B3160" i="4"/>
  <c r="B3159" i="4"/>
  <c r="B3158" i="4"/>
  <c r="B3157" i="4"/>
  <c r="B3156" i="4"/>
  <c r="B3155" i="4"/>
  <c r="B3154" i="4"/>
  <c r="B3153" i="4"/>
  <c r="B3152" i="4"/>
  <c r="B3151" i="4"/>
  <c r="B3150" i="4"/>
  <c r="B3149" i="4"/>
  <c r="B3148" i="4"/>
  <c r="B3147" i="4"/>
  <c r="B3146" i="4"/>
  <c r="B3145" i="4"/>
  <c r="B3144" i="4"/>
  <c r="B3143" i="4"/>
  <c r="B3142" i="4"/>
  <c r="B3141" i="4"/>
  <c r="B3140" i="4"/>
  <c r="B3139" i="4"/>
  <c r="B3138" i="4"/>
  <c r="B3137" i="4"/>
  <c r="B3136" i="4"/>
  <c r="B3135" i="4"/>
  <c r="B3134" i="4"/>
  <c r="B3133" i="4"/>
  <c r="B3132" i="4"/>
  <c r="B3131" i="4"/>
  <c r="B3130" i="4"/>
  <c r="B3129" i="4"/>
  <c r="B3128" i="4"/>
  <c r="B3127" i="4"/>
  <c r="B3126" i="4"/>
  <c r="B3125" i="4"/>
  <c r="B3124" i="4"/>
  <c r="B3123" i="4"/>
  <c r="B3122" i="4"/>
  <c r="B3121" i="4"/>
  <c r="B3120" i="4"/>
  <c r="B3119" i="4"/>
  <c r="B3118" i="4"/>
  <c r="B3117" i="4"/>
  <c r="B3116" i="4"/>
  <c r="B3115" i="4"/>
  <c r="B3114" i="4"/>
  <c r="B3113" i="4"/>
  <c r="B3112" i="4"/>
  <c r="B3111" i="4"/>
  <c r="B3110" i="4"/>
  <c r="B3109" i="4"/>
  <c r="B3108" i="4"/>
  <c r="B3107" i="4"/>
  <c r="B3106" i="4"/>
  <c r="B3105" i="4"/>
  <c r="B3104" i="4"/>
  <c r="B3103" i="4"/>
  <c r="B3102" i="4"/>
  <c r="B3101" i="4"/>
  <c r="B3100" i="4"/>
  <c r="B3099" i="4"/>
  <c r="B3098" i="4"/>
  <c r="B3097" i="4"/>
  <c r="B3096" i="4"/>
  <c r="B3095" i="4"/>
  <c r="B3094" i="4"/>
  <c r="B3093" i="4"/>
  <c r="B3092" i="4"/>
  <c r="B3091" i="4"/>
  <c r="B3090" i="4"/>
  <c r="B3089" i="4"/>
  <c r="B3088" i="4"/>
  <c r="B3087" i="4"/>
  <c r="B3086" i="4"/>
  <c r="B3085" i="4"/>
  <c r="B3084" i="4"/>
  <c r="B3083" i="4"/>
  <c r="B3082" i="4"/>
  <c r="B3081" i="4"/>
  <c r="B3080" i="4"/>
  <c r="B3079" i="4"/>
  <c r="B3078" i="4"/>
  <c r="B3077" i="4"/>
  <c r="B3076" i="4"/>
  <c r="B3075" i="4"/>
  <c r="B3074" i="4"/>
  <c r="B3073" i="4"/>
  <c r="B3072" i="4"/>
  <c r="B3071" i="4"/>
  <c r="B3070" i="4"/>
  <c r="B3069" i="4"/>
  <c r="B3068" i="4"/>
  <c r="B3067" i="4"/>
  <c r="B3066" i="4"/>
  <c r="B3065" i="4"/>
  <c r="B3064" i="4"/>
  <c r="B3063" i="4"/>
  <c r="B3062" i="4"/>
  <c r="B3061" i="4"/>
  <c r="B3060" i="4"/>
  <c r="B3059" i="4"/>
  <c r="B3058" i="4"/>
  <c r="B3057" i="4"/>
  <c r="B3056" i="4"/>
  <c r="B3055" i="4"/>
  <c r="B3054" i="4"/>
  <c r="B3053" i="4"/>
  <c r="B3052" i="4"/>
  <c r="B3051" i="4"/>
  <c r="B3050" i="4"/>
  <c r="B3049" i="4"/>
  <c r="B3048" i="4"/>
  <c r="B3047" i="4"/>
  <c r="B3046" i="4"/>
  <c r="B3045" i="4"/>
  <c r="B3044" i="4"/>
  <c r="B3043" i="4"/>
  <c r="B3042" i="4"/>
  <c r="B3041" i="4"/>
  <c r="B3040" i="4"/>
  <c r="B3039" i="4"/>
  <c r="B3038" i="4"/>
  <c r="B3037" i="4"/>
  <c r="B3036" i="4"/>
  <c r="B3035" i="4"/>
  <c r="B3034" i="4"/>
  <c r="B3033" i="4"/>
  <c r="B3032" i="4"/>
  <c r="B3031" i="4"/>
  <c r="B3030" i="4"/>
  <c r="B3029" i="4"/>
  <c r="B3028" i="4"/>
  <c r="B3027" i="4"/>
  <c r="B3026" i="4"/>
  <c r="B3025" i="4"/>
  <c r="B3024" i="4"/>
  <c r="B3023" i="4"/>
  <c r="B3022" i="4"/>
  <c r="B3021" i="4"/>
  <c r="B3020" i="4"/>
  <c r="B3019" i="4"/>
  <c r="B3018" i="4"/>
  <c r="B3017" i="4"/>
  <c r="B3016" i="4"/>
  <c r="B3015" i="4"/>
  <c r="B3014" i="4"/>
  <c r="B3013" i="4"/>
  <c r="B3012" i="4"/>
  <c r="B3011" i="4"/>
  <c r="B3010" i="4"/>
  <c r="B3009" i="4"/>
  <c r="B3008" i="4"/>
  <c r="B3007" i="4"/>
  <c r="B3006" i="4"/>
  <c r="B3005" i="4"/>
  <c r="B3004" i="4"/>
  <c r="B3003" i="4"/>
  <c r="B3002" i="4"/>
  <c r="B3001" i="4"/>
  <c r="B3000" i="4"/>
  <c r="B2999" i="4"/>
  <c r="B2998" i="4"/>
  <c r="B2997" i="4"/>
  <c r="B2996" i="4"/>
  <c r="B2995" i="4"/>
  <c r="B2994" i="4"/>
  <c r="B2993" i="4"/>
  <c r="B2992" i="4"/>
  <c r="B2991" i="4"/>
  <c r="B2990" i="4"/>
  <c r="B2989" i="4"/>
  <c r="B2988" i="4"/>
  <c r="B2987" i="4"/>
  <c r="B2986" i="4"/>
  <c r="B2985" i="4"/>
  <c r="B2984" i="4"/>
  <c r="B2983" i="4"/>
  <c r="B2982" i="4"/>
  <c r="B2981" i="4"/>
  <c r="B2980" i="4"/>
  <c r="B2979" i="4"/>
  <c r="B2978" i="4"/>
  <c r="B2977" i="4"/>
  <c r="B2976" i="4"/>
  <c r="B2975" i="4"/>
  <c r="B2974" i="4"/>
  <c r="B2973" i="4"/>
  <c r="B2972" i="4"/>
  <c r="B2971" i="4"/>
  <c r="B2970" i="4"/>
  <c r="B2969" i="4"/>
  <c r="B2968" i="4"/>
  <c r="B2967" i="4"/>
  <c r="B2966" i="4"/>
  <c r="B2965" i="4"/>
  <c r="B2964" i="4"/>
  <c r="B2963" i="4"/>
  <c r="B2962" i="4"/>
  <c r="B2961" i="4"/>
  <c r="B2960" i="4"/>
  <c r="B2959" i="4"/>
  <c r="B2958" i="4"/>
  <c r="B2957" i="4"/>
  <c r="B2956" i="4"/>
  <c r="B2955" i="4"/>
  <c r="B2954" i="4"/>
  <c r="B2953" i="4"/>
  <c r="B2952" i="4"/>
  <c r="B2951" i="4"/>
  <c r="B2950" i="4"/>
  <c r="B2949" i="4"/>
  <c r="B2948" i="4"/>
  <c r="B2947" i="4"/>
  <c r="B2946" i="4"/>
  <c r="B2945" i="4"/>
  <c r="B2944" i="4"/>
  <c r="B2943" i="4"/>
  <c r="B2942" i="4"/>
  <c r="B2941" i="4"/>
  <c r="B2940" i="4"/>
  <c r="B2939" i="4"/>
  <c r="B2938" i="4"/>
  <c r="B2937" i="4"/>
  <c r="B2936" i="4"/>
  <c r="B2935" i="4"/>
  <c r="B2934" i="4"/>
  <c r="B2933" i="4"/>
  <c r="B2932" i="4"/>
  <c r="B2931" i="4"/>
  <c r="B2930" i="4"/>
  <c r="B2929" i="4"/>
  <c r="B2928" i="4"/>
  <c r="B2927" i="4"/>
  <c r="B2926" i="4"/>
  <c r="B2925" i="4"/>
  <c r="B2924" i="4"/>
  <c r="B2923" i="4"/>
  <c r="B2922" i="4"/>
  <c r="B2921" i="4"/>
  <c r="B2920" i="4"/>
  <c r="B2919" i="4"/>
  <c r="B2918" i="4"/>
  <c r="B2917" i="4"/>
  <c r="B2916" i="4"/>
  <c r="B2915" i="4"/>
  <c r="B2914" i="4"/>
  <c r="B2913" i="4"/>
  <c r="B2912" i="4"/>
  <c r="B2911" i="4"/>
  <c r="B2910" i="4"/>
  <c r="B2909" i="4"/>
  <c r="B2908" i="4"/>
  <c r="B2907" i="4"/>
  <c r="B2906" i="4"/>
  <c r="B2905" i="4"/>
  <c r="B2904" i="4"/>
  <c r="B2903" i="4"/>
  <c r="B2902" i="4"/>
  <c r="B2901" i="4"/>
  <c r="B2900" i="4"/>
  <c r="B2899" i="4"/>
  <c r="B2898" i="4"/>
  <c r="B2897" i="4"/>
  <c r="B2896" i="4"/>
  <c r="B2895" i="4"/>
  <c r="B2894" i="4"/>
  <c r="B2893" i="4"/>
  <c r="B2892" i="4"/>
  <c r="B2891" i="4"/>
  <c r="B2890" i="4"/>
  <c r="B2889" i="4"/>
  <c r="B2888" i="4"/>
  <c r="B2887" i="4"/>
  <c r="B2886" i="4"/>
  <c r="B2885" i="4"/>
  <c r="B2884" i="4"/>
  <c r="B2883" i="4"/>
  <c r="B2882" i="4"/>
  <c r="B2881" i="4"/>
  <c r="B2880" i="4"/>
  <c r="B2879" i="4"/>
  <c r="B2878" i="4"/>
  <c r="B2877" i="4"/>
  <c r="B2876" i="4"/>
  <c r="B2875" i="4"/>
  <c r="B2874" i="4"/>
  <c r="B2873" i="4"/>
  <c r="B2872" i="4"/>
  <c r="B2871" i="4"/>
  <c r="B2870" i="4"/>
  <c r="B2869" i="4"/>
  <c r="B2868" i="4"/>
  <c r="B2867" i="4"/>
  <c r="B2866" i="4"/>
  <c r="B2865" i="4"/>
  <c r="B2864" i="4"/>
  <c r="B2863" i="4"/>
  <c r="B2862" i="4"/>
  <c r="B2861" i="4"/>
  <c r="B2860" i="4"/>
  <c r="B2859" i="4"/>
  <c r="B2858" i="4"/>
  <c r="B2857" i="4"/>
  <c r="B2856" i="4"/>
  <c r="B2855" i="4"/>
  <c r="B2854" i="4"/>
  <c r="B2853" i="4"/>
  <c r="B2852" i="4"/>
  <c r="B2851" i="4"/>
  <c r="B2850" i="4"/>
  <c r="B2849" i="4"/>
  <c r="B2848" i="4"/>
  <c r="B2847" i="4"/>
  <c r="B2846" i="4"/>
  <c r="B2845" i="4"/>
  <c r="B2844" i="4"/>
  <c r="B2843" i="4"/>
  <c r="B2842" i="4"/>
  <c r="B2841" i="4"/>
  <c r="B2840" i="4"/>
  <c r="B2839" i="4"/>
  <c r="B2838" i="4"/>
  <c r="B2837" i="4"/>
  <c r="B2836" i="4"/>
  <c r="B2835" i="4"/>
  <c r="B2834" i="4"/>
  <c r="B2833" i="4"/>
  <c r="B2832" i="4"/>
  <c r="B2831" i="4"/>
  <c r="B2830" i="4"/>
  <c r="B2829" i="4"/>
  <c r="B2828" i="4"/>
  <c r="B2827" i="4"/>
  <c r="B2826" i="4"/>
  <c r="B2825" i="4"/>
  <c r="B2824" i="4"/>
  <c r="B2823" i="4"/>
  <c r="B2822" i="4"/>
  <c r="B2821" i="4"/>
  <c r="B2820" i="4"/>
  <c r="B2819" i="4"/>
  <c r="B2818" i="4"/>
  <c r="B2817" i="4"/>
  <c r="B2816" i="4"/>
  <c r="B2815" i="4"/>
  <c r="B2814" i="4"/>
  <c r="B2813" i="4"/>
  <c r="B2812" i="4"/>
  <c r="B2811" i="4"/>
  <c r="B2810" i="4"/>
  <c r="B2809" i="4"/>
  <c r="B2808" i="4"/>
  <c r="B2807" i="4"/>
  <c r="B2806" i="4"/>
  <c r="B2805" i="4"/>
  <c r="B2804" i="4"/>
  <c r="B2803" i="4"/>
  <c r="B2802" i="4"/>
  <c r="B2801" i="4"/>
  <c r="B2800" i="4"/>
  <c r="B2799" i="4"/>
  <c r="B2798" i="4"/>
  <c r="B2797" i="4"/>
  <c r="B2796" i="4"/>
  <c r="B2795" i="4"/>
  <c r="B2794" i="4"/>
  <c r="B2793" i="4"/>
  <c r="B2792" i="4"/>
  <c r="B2791" i="4"/>
  <c r="B2790" i="4"/>
  <c r="B2789" i="4"/>
  <c r="B2788" i="4"/>
  <c r="B2787" i="4"/>
  <c r="B2786" i="4"/>
  <c r="B2785" i="4"/>
  <c r="B2784" i="4"/>
  <c r="B2783" i="4"/>
  <c r="B2782" i="4"/>
  <c r="B2781" i="4"/>
  <c r="B2780" i="4"/>
  <c r="B2779" i="4"/>
  <c r="B2778" i="4"/>
  <c r="B2777" i="4"/>
  <c r="B2776" i="4"/>
  <c r="B2775" i="4"/>
  <c r="B2774" i="4"/>
  <c r="B2773" i="4"/>
  <c r="B2772" i="4"/>
  <c r="B2771" i="4"/>
  <c r="B2770" i="4"/>
  <c r="B2769" i="4"/>
  <c r="B2768" i="4"/>
  <c r="B2767" i="4"/>
  <c r="B2766" i="4"/>
  <c r="B2765" i="4"/>
  <c r="B2764" i="4"/>
  <c r="B2763" i="4"/>
  <c r="B2762" i="4"/>
  <c r="B2761" i="4"/>
  <c r="B2760" i="4"/>
  <c r="B2759" i="4"/>
  <c r="B2758" i="4"/>
  <c r="B2757" i="4"/>
  <c r="B2756" i="4"/>
  <c r="B2755" i="4"/>
  <c r="B2754" i="4"/>
  <c r="B2753" i="4"/>
  <c r="B2752" i="4"/>
  <c r="B2751" i="4"/>
  <c r="B2750" i="4"/>
  <c r="B2749" i="4"/>
  <c r="B2748" i="4"/>
  <c r="B2747" i="4"/>
  <c r="B2746" i="4"/>
  <c r="B2745" i="4"/>
  <c r="B2744" i="4"/>
  <c r="B2743" i="4"/>
  <c r="B2742" i="4"/>
  <c r="B2741" i="4"/>
  <c r="B2740" i="4"/>
  <c r="B2739" i="4"/>
  <c r="B2738" i="4"/>
  <c r="B2737" i="4"/>
  <c r="B2736" i="4"/>
  <c r="B2735" i="4"/>
  <c r="B2734" i="4"/>
  <c r="B2733" i="4"/>
  <c r="B2732" i="4"/>
  <c r="B2731" i="4"/>
  <c r="B2730" i="4"/>
  <c r="B2729" i="4"/>
  <c r="B2728" i="4"/>
  <c r="B2727" i="4"/>
  <c r="B2726" i="4"/>
  <c r="B2725" i="4"/>
  <c r="B2724" i="4"/>
  <c r="B2723" i="4"/>
  <c r="B2722" i="4"/>
  <c r="B2721" i="4"/>
  <c r="B2720" i="4"/>
  <c r="B2719" i="4"/>
  <c r="B2718" i="4"/>
  <c r="B2717" i="4"/>
  <c r="B2716" i="4"/>
  <c r="B2715" i="4"/>
  <c r="B2714" i="4"/>
  <c r="B2713" i="4"/>
  <c r="B2712" i="4"/>
  <c r="B2711" i="4"/>
  <c r="B2710" i="4"/>
  <c r="B2709" i="4"/>
  <c r="B2708" i="4"/>
  <c r="B2707" i="4"/>
  <c r="B2706" i="4"/>
  <c r="B2705" i="4"/>
  <c r="B2704" i="4"/>
  <c r="B2703" i="4"/>
  <c r="B2702" i="4"/>
  <c r="B2701" i="4"/>
  <c r="B2700" i="4"/>
  <c r="B2699" i="4"/>
  <c r="B2698" i="4"/>
  <c r="B2697" i="4"/>
  <c r="B2696" i="4"/>
  <c r="B2695" i="4"/>
  <c r="B2694" i="4"/>
  <c r="B2693" i="4"/>
  <c r="B2692" i="4"/>
  <c r="B2691" i="4"/>
  <c r="B2690" i="4"/>
  <c r="B2689" i="4"/>
  <c r="B2688" i="4"/>
  <c r="B2687" i="4"/>
  <c r="B2686" i="4"/>
  <c r="B2685" i="4"/>
  <c r="B2684" i="4"/>
  <c r="B2683" i="4"/>
  <c r="B2682" i="4"/>
  <c r="B2681" i="4"/>
  <c r="B2680" i="4"/>
  <c r="B2679" i="4"/>
  <c r="B2678" i="4"/>
  <c r="B2677" i="4"/>
  <c r="B2676" i="4"/>
  <c r="B2675" i="4"/>
  <c r="B2674" i="4"/>
  <c r="B2673" i="4"/>
  <c r="B2672" i="4"/>
  <c r="B2671" i="4"/>
  <c r="B2670" i="4"/>
  <c r="B2669" i="4"/>
  <c r="B2668" i="4"/>
  <c r="B2667" i="4"/>
  <c r="B2666" i="4"/>
  <c r="B2665" i="4"/>
  <c r="B2664" i="4"/>
  <c r="B2663" i="4"/>
  <c r="B2662" i="4"/>
  <c r="B2661" i="4"/>
  <c r="B2660" i="4"/>
  <c r="B2659" i="4"/>
  <c r="B2658" i="4"/>
  <c r="B2657" i="4"/>
  <c r="B2656" i="4"/>
  <c r="B2655" i="4"/>
  <c r="B2654" i="4"/>
  <c r="B2653" i="4"/>
  <c r="B2652" i="4"/>
  <c r="B2651" i="4"/>
  <c r="B2650" i="4"/>
  <c r="B2649" i="4"/>
  <c r="B2648" i="4"/>
  <c r="B2647" i="4"/>
  <c r="B2646" i="4"/>
  <c r="B2645" i="4"/>
  <c r="B2644" i="4"/>
  <c r="B2643" i="4"/>
  <c r="B2642" i="4"/>
  <c r="B2641" i="4"/>
  <c r="B2640" i="4"/>
  <c r="B2639" i="4"/>
  <c r="B2638" i="4"/>
  <c r="B2637" i="4"/>
  <c r="B2636" i="4"/>
  <c r="B2635" i="4"/>
  <c r="B2634" i="4"/>
  <c r="B2633" i="4"/>
  <c r="B2632" i="4"/>
  <c r="B2631" i="4"/>
  <c r="B2630" i="4"/>
  <c r="B2629" i="4"/>
  <c r="B2628" i="4"/>
  <c r="B2627" i="4"/>
  <c r="B2626" i="4"/>
  <c r="B2625" i="4"/>
  <c r="B2624" i="4"/>
  <c r="B2623" i="4"/>
  <c r="B2622" i="4"/>
  <c r="B2621" i="4"/>
  <c r="B2620" i="4"/>
  <c r="B2619" i="4"/>
  <c r="B2618" i="4"/>
  <c r="B2617" i="4"/>
  <c r="B2616" i="4"/>
  <c r="B2615" i="4"/>
  <c r="B2614" i="4"/>
  <c r="B2613" i="4"/>
  <c r="B2612" i="4"/>
  <c r="B2611" i="4"/>
  <c r="B2610" i="4"/>
  <c r="B2609" i="4"/>
  <c r="B2608" i="4"/>
  <c r="B2607" i="4"/>
  <c r="B2606" i="4"/>
  <c r="B2605" i="4"/>
  <c r="B2604" i="4"/>
  <c r="B2603" i="4"/>
  <c r="B2602" i="4"/>
  <c r="B2601" i="4"/>
  <c r="B2600" i="4"/>
  <c r="B2599" i="4"/>
  <c r="B2598" i="4"/>
  <c r="B2597" i="4"/>
  <c r="B2596" i="4"/>
  <c r="B2595" i="4"/>
  <c r="B2594" i="4"/>
  <c r="B2593" i="4"/>
  <c r="B2592" i="4"/>
  <c r="B2591" i="4"/>
  <c r="B2590" i="4"/>
  <c r="B2589" i="4"/>
  <c r="B2588" i="4"/>
  <c r="B2587" i="4"/>
  <c r="B2586" i="4"/>
  <c r="B2585" i="4"/>
  <c r="B2584" i="4"/>
  <c r="B2583" i="4"/>
  <c r="B2582" i="4"/>
  <c r="B2581" i="4"/>
  <c r="B2580" i="4"/>
  <c r="B2579" i="4"/>
  <c r="B2578" i="4"/>
  <c r="B2577" i="4"/>
  <c r="B2576" i="4"/>
  <c r="B2575" i="4"/>
  <c r="B2574" i="4"/>
  <c r="B2573" i="4"/>
  <c r="B2572" i="4"/>
  <c r="B2571" i="4"/>
  <c r="B2570" i="4"/>
  <c r="B2569" i="4"/>
  <c r="B2568" i="4"/>
  <c r="B2567" i="4"/>
  <c r="B2566" i="4"/>
  <c r="B2565" i="4"/>
  <c r="B2564" i="4"/>
  <c r="B2563" i="4"/>
  <c r="B2562" i="4"/>
  <c r="B2561" i="4"/>
  <c r="B2560" i="4"/>
  <c r="B2559" i="4"/>
  <c r="B2558" i="4"/>
  <c r="B2557" i="4"/>
  <c r="B2556" i="4"/>
  <c r="B2555" i="4"/>
  <c r="B2554" i="4"/>
  <c r="B2553" i="4"/>
  <c r="B2552" i="4"/>
  <c r="B2551" i="4"/>
  <c r="B2550" i="4"/>
  <c r="B2549" i="4"/>
  <c r="B2548" i="4"/>
  <c r="B2547" i="4"/>
  <c r="B2546" i="4"/>
  <c r="B2545" i="4"/>
  <c r="B2544" i="4"/>
  <c r="B2543" i="4"/>
  <c r="B2542" i="4"/>
  <c r="B2541" i="4"/>
  <c r="B2540" i="4"/>
  <c r="B2539" i="4"/>
  <c r="B2538" i="4"/>
  <c r="B2537" i="4"/>
  <c r="B2536" i="4"/>
  <c r="B2535" i="4"/>
  <c r="B2534" i="4"/>
  <c r="B2533" i="4"/>
  <c r="B2532" i="4"/>
  <c r="B2531" i="4"/>
  <c r="B2530" i="4"/>
  <c r="B2529" i="4"/>
  <c r="B2528" i="4"/>
  <c r="B2527" i="4"/>
  <c r="B2526" i="4"/>
  <c r="B2525" i="4"/>
  <c r="B2524" i="4"/>
  <c r="B2523" i="4"/>
  <c r="B2522" i="4"/>
  <c r="B2521" i="4"/>
  <c r="B2520" i="4"/>
  <c r="B2519" i="4"/>
  <c r="B2518" i="4"/>
  <c r="B2517" i="4"/>
  <c r="B2516" i="4"/>
  <c r="B2515" i="4"/>
  <c r="B2514" i="4"/>
  <c r="B2513" i="4"/>
  <c r="B2512" i="4"/>
  <c r="B2511" i="4"/>
  <c r="B2510" i="4"/>
  <c r="B2509" i="4"/>
  <c r="B2508" i="4"/>
  <c r="B2507" i="4"/>
  <c r="B2506" i="4"/>
  <c r="B2505" i="4"/>
  <c r="B2504" i="4"/>
  <c r="B2503" i="4"/>
  <c r="B2502" i="4"/>
  <c r="B2501" i="4"/>
  <c r="B2500" i="4"/>
  <c r="B2499" i="4"/>
  <c r="B2498" i="4"/>
  <c r="B2497" i="4"/>
  <c r="B2496" i="4"/>
  <c r="B2495" i="4"/>
  <c r="B2494" i="4"/>
  <c r="B2493" i="4"/>
  <c r="B2492" i="4"/>
  <c r="B2491" i="4"/>
  <c r="B2490" i="4"/>
  <c r="B2489" i="4"/>
  <c r="B2488" i="4"/>
  <c r="B2487" i="4"/>
  <c r="B2486" i="4"/>
  <c r="B2485" i="4"/>
  <c r="B2484" i="4"/>
  <c r="B2483" i="4"/>
  <c r="B2482" i="4"/>
  <c r="B2481" i="4"/>
  <c r="B2480" i="4"/>
  <c r="B2479" i="4"/>
  <c r="B2478" i="4"/>
  <c r="B2477" i="4"/>
  <c r="B2476" i="4"/>
  <c r="B2475" i="4"/>
  <c r="B2474" i="4"/>
  <c r="B2473" i="4"/>
  <c r="B2472" i="4"/>
  <c r="B2471" i="4"/>
  <c r="B2470" i="4"/>
  <c r="B2469" i="4"/>
  <c r="B2468" i="4"/>
  <c r="B2467" i="4"/>
  <c r="B2466" i="4"/>
  <c r="B2465" i="4"/>
  <c r="B2464" i="4"/>
  <c r="B2463" i="4"/>
  <c r="B2462" i="4"/>
  <c r="B2461" i="4"/>
  <c r="B2460" i="4"/>
  <c r="B2459" i="4"/>
  <c r="B2458" i="4"/>
  <c r="B2457" i="4"/>
  <c r="B2456" i="4"/>
  <c r="B2455" i="4"/>
  <c r="B2454" i="4"/>
  <c r="B2453" i="4"/>
  <c r="B2452" i="4"/>
  <c r="B2451" i="4"/>
  <c r="B2450" i="4"/>
  <c r="B2449" i="4"/>
  <c r="B2448" i="4"/>
  <c r="B2447" i="4"/>
  <c r="B2446" i="4"/>
  <c r="B2445" i="4"/>
  <c r="B2444" i="4"/>
  <c r="B2443" i="4"/>
  <c r="B2442" i="4"/>
  <c r="B2441" i="4"/>
  <c r="B2440" i="4"/>
  <c r="B2439" i="4"/>
  <c r="B2438" i="4"/>
  <c r="B2437" i="4"/>
  <c r="B2436" i="4"/>
  <c r="B2435" i="4"/>
  <c r="B2434" i="4"/>
  <c r="B2433" i="4"/>
  <c r="B2432" i="4"/>
  <c r="B2431" i="4"/>
  <c r="B2430" i="4"/>
  <c r="B2429" i="4"/>
  <c r="B2428" i="4"/>
  <c r="B2427" i="4"/>
  <c r="B2426" i="4"/>
  <c r="B2425" i="4"/>
  <c r="B2424" i="4"/>
  <c r="B2423" i="4"/>
  <c r="B2422" i="4"/>
  <c r="B2421" i="4"/>
  <c r="B2420" i="4"/>
  <c r="B2419" i="4"/>
  <c r="B2418" i="4"/>
  <c r="B2417" i="4"/>
  <c r="B2416" i="4"/>
  <c r="B2415" i="4"/>
  <c r="B2414" i="4"/>
  <c r="B2413" i="4"/>
  <c r="B2412" i="4"/>
  <c r="B2411" i="4"/>
  <c r="B2410" i="4"/>
  <c r="B2409" i="4"/>
  <c r="B2408" i="4"/>
  <c r="B2407" i="4"/>
  <c r="B2406" i="4"/>
  <c r="B2405" i="4"/>
  <c r="B2404" i="4"/>
  <c r="B2403" i="4"/>
  <c r="B2402" i="4"/>
  <c r="B2401" i="4"/>
  <c r="B2400" i="4"/>
  <c r="B2399" i="4"/>
  <c r="B2398" i="4"/>
  <c r="B2397" i="4"/>
  <c r="B2396" i="4"/>
  <c r="B2395" i="4"/>
  <c r="B2394" i="4"/>
  <c r="B2393" i="4"/>
  <c r="B2392" i="4"/>
  <c r="B2391" i="4"/>
  <c r="B2390" i="4"/>
  <c r="B2389" i="4"/>
  <c r="B2388" i="4"/>
  <c r="B2387" i="4"/>
  <c r="B2386" i="4"/>
  <c r="B2385" i="4"/>
  <c r="B2384" i="4"/>
  <c r="B2383" i="4"/>
  <c r="B2382" i="4"/>
  <c r="B2381" i="4"/>
  <c r="B2380" i="4"/>
  <c r="B2379" i="4"/>
  <c r="B2378" i="4"/>
  <c r="B2377" i="4"/>
  <c r="B2376" i="4"/>
  <c r="B2375" i="4"/>
  <c r="B2374" i="4"/>
  <c r="B2373" i="4"/>
  <c r="B2372" i="4"/>
  <c r="B2371" i="4"/>
  <c r="B2370" i="4"/>
  <c r="B2369" i="4"/>
  <c r="B2368" i="4"/>
  <c r="B2367" i="4"/>
  <c r="B2366" i="4"/>
  <c r="B2365" i="4"/>
  <c r="B2364" i="4"/>
  <c r="B2363" i="4"/>
  <c r="B2362" i="4"/>
  <c r="B2361" i="4"/>
  <c r="B2360" i="4"/>
  <c r="B2359" i="4"/>
  <c r="B2358" i="4"/>
  <c r="B2357" i="4"/>
  <c r="B2356" i="4"/>
  <c r="B2355" i="4"/>
  <c r="B2354" i="4"/>
  <c r="B2353" i="4"/>
  <c r="B2352" i="4"/>
  <c r="B2351" i="4"/>
  <c r="B2350" i="4"/>
  <c r="B2349" i="4"/>
  <c r="B2348" i="4"/>
  <c r="B2347" i="4"/>
  <c r="B2346" i="4"/>
  <c r="B2345" i="4"/>
  <c r="B2344" i="4"/>
  <c r="B2343" i="4"/>
  <c r="B2342" i="4"/>
  <c r="B2341" i="4"/>
  <c r="B2340" i="4"/>
  <c r="B2339" i="4"/>
  <c r="B2338" i="4"/>
  <c r="B2337" i="4"/>
  <c r="B2336" i="4"/>
  <c r="B2335" i="4"/>
  <c r="B2334" i="4"/>
  <c r="B2333" i="4"/>
  <c r="B2332" i="4"/>
  <c r="B2331" i="4"/>
  <c r="B2330" i="4"/>
  <c r="B2329" i="4"/>
  <c r="B2328" i="4"/>
  <c r="B2327" i="4"/>
  <c r="B2326" i="4"/>
  <c r="B2325" i="4"/>
  <c r="B2324" i="4"/>
  <c r="B2323" i="4"/>
  <c r="B2322" i="4"/>
  <c r="B2321" i="4"/>
  <c r="B2320" i="4"/>
  <c r="B2319" i="4"/>
  <c r="B2318" i="4"/>
  <c r="B2317" i="4"/>
  <c r="B2316" i="4"/>
  <c r="B2315" i="4"/>
  <c r="B2314" i="4"/>
  <c r="B2313" i="4"/>
  <c r="B2312" i="4"/>
  <c r="B2311" i="4"/>
  <c r="B2310" i="4"/>
  <c r="B2309" i="4"/>
  <c r="B2308" i="4"/>
  <c r="B2307" i="4"/>
  <c r="B2306" i="4"/>
  <c r="B2305" i="4"/>
  <c r="B2304" i="4"/>
  <c r="B2303" i="4"/>
  <c r="B2302" i="4"/>
  <c r="B2301" i="4"/>
  <c r="B2300" i="4"/>
  <c r="B2299" i="4"/>
  <c r="B2298" i="4"/>
  <c r="B2297" i="4"/>
  <c r="B2296" i="4"/>
  <c r="B2295" i="4"/>
  <c r="B2294" i="4"/>
  <c r="B2293" i="4"/>
  <c r="B2292" i="4"/>
  <c r="B2291" i="4"/>
  <c r="B2290" i="4"/>
  <c r="B2289" i="4"/>
  <c r="B2288" i="4"/>
  <c r="B2287" i="4"/>
  <c r="B2286" i="4"/>
  <c r="B2285" i="4"/>
  <c r="B2284" i="4"/>
  <c r="B2283" i="4"/>
  <c r="B2282" i="4"/>
  <c r="B2281" i="4"/>
  <c r="B2280" i="4"/>
  <c r="B2279" i="4"/>
  <c r="B2278" i="4"/>
  <c r="B2277" i="4"/>
  <c r="B2276" i="4"/>
  <c r="B2275" i="4"/>
  <c r="B2274" i="4"/>
  <c r="B2273" i="4"/>
  <c r="B2272" i="4"/>
  <c r="B2271" i="4"/>
  <c r="B2270" i="4"/>
  <c r="B2269" i="4"/>
  <c r="B2268" i="4"/>
  <c r="B2267" i="4"/>
  <c r="B2266" i="4"/>
  <c r="B2265" i="4"/>
  <c r="B2264" i="4"/>
  <c r="B2263" i="4"/>
  <c r="B2262" i="4"/>
  <c r="B2261" i="4"/>
  <c r="B2260" i="4"/>
  <c r="B2259" i="4"/>
  <c r="B2258" i="4"/>
  <c r="B2257" i="4"/>
  <c r="B2256" i="4"/>
  <c r="B2255" i="4"/>
  <c r="B2254" i="4"/>
  <c r="B2253" i="4"/>
  <c r="B2252" i="4"/>
  <c r="B2251" i="4"/>
  <c r="B2250" i="4"/>
  <c r="B2249" i="4"/>
  <c r="B2248" i="4"/>
  <c r="B2247" i="4"/>
  <c r="B2246" i="4"/>
  <c r="B2245" i="4"/>
  <c r="B2244" i="4"/>
  <c r="B2243" i="4"/>
  <c r="B2242" i="4"/>
  <c r="B2241" i="4"/>
  <c r="B2240" i="4"/>
  <c r="B2239" i="4"/>
  <c r="B2238" i="4"/>
  <c r="B2237" i="4"/>
  <c r="B2236" i="4"/>
  <c r="B2235" i="4"/>
  <c r="B2234" i="4"/>
  <c r="B2233" i="4"/>
  <c r="B2232" i="4"/>
  <c r="B2231" i="4"/>
  <c r="B2230" i="4"/>
  <c r="B2229" i="4"/>
  <c r="B2228" i="4"/>
  <c r="B2227" i="4"/>
  <c r="B2226" i="4"/>
  <c r="B2225" i="4"/>
  <c r="B2224" i="4"/>
  <c r="B2223" i="4"/>
  <c r="B2222" i="4"/>
  <c r="B2221" i="4"/>
  <c r="B2220" i="4"/>
  <c r="B2219" i="4"/>
  <c r="B2218" i="4"/>
  <c r="B2217" i="4"/>
  <c r="B2216" i="4"/>
  <c r="B2215" i="4"/>
  <c r="B2214" i="4"/>
  <c r="B2213" i="4"/>
  <c r="B2212" i="4"/>
  <c r="B2211" i="4"/>
  <c r="B2210" i="4"/>
  <c r="B2209" i="4"/>
  <c r="B2208" i="4"/>
  <c r="B2207" i="4"/>
  <c r="B2206" i="4"/>
  <c r="B2205" i="4"/>
  <c r="B2204" i="4"/>
  <c r="B2203" i="4"/>
  <c r="B2202" i="4"/>
  <c r="B2201" i="4"/>
  <c r="B2200" i="4"/>
  <c r="B2199" i="4"/>
  <c r="B2198" i="4"/>
  <c r="B2197" i="4"/>
  <c r="B2196" i="4"/>
  <c r="B2195" i="4"/>
  <c r="B2194" i="4"/>
  <c r="B2193" i="4"/>
  <c r="B2192" i="4"/>
  <c r="B2191" i="4"/>
  <c r="B2190" i="4"/>
  <c r="B2189" i="4"/>
  <c r="B2188" i="4"/>
  <c r="B2187" i="4"/>
  <c r="B2186" i="4"/>
  <c r="B2185" i="4"/>
  <c r="B2184" i="4"/>
  <c r="B2183" i="4"/>
  <c r="B2182" i="4"/>
  <c r="B2181" i="4"/>
  <c r="B2180" i="4"/>
  <c r="B2179" i="4"/>
  <c r="B2178" i="4"/>
  <c r="B2177" i="4"/>
  <c r="B2176" i="4"/>
  <c r="B2175" i="4"/>
  <c r="B2174" i="4"/>
  <c r="B2173" i="4"/>
  <c r="B2172" i="4"/>
  <c r="B2171" i="4"/>
  <c r="B2170" i="4"/>
  <c r="B2169" i="4"/>
  <c r="B2168" i="4"/>
  <c r="B2167" i="4"/>
  <c r="B2166" i="4"/>
  <c r="B2165" i="4"/>
  <c r="B2164" i="4"/>
  <c r="B2163" i="4"/>
  <c r="B2162" i="4"/>
  <c r="B2161" i="4"/>
  <c r="B2160" i="4"/>
  <c r="B2159" i="4"/>
  <c r="B2158" i="4"/>
  <c r="B2157" i="4"/>
  <c r="B2156" i="4"/>
  <c r="B2155" i="4"/>
  <c r="B2154" i="4"/>
  <c r="B2153" i="4"/>
  <c r="B2152" i="4"/>
  <c r="B2151" i="4"/>
  <c r="B2150" i="4"/>
  <c r="B2149" i="4"/>
  <c r="B2148" i="4"/>
  <c r="B2147" i="4"/>
  <c r="B2146" i="4"/>
  <c r="B2145" i="4"/>
  <c r="B2144" i="4"/>
  <c r="B2143" i="4"/>
  <c r="B2142" i="4"/>
  <c r="B2141" i="4"/>
  <c r="B2140" i="4"/>
  <c r="B2139" i="4"/>
  <c r="B2138" i="4"/>
  <c r="B2137" i="4"/>
  <c r="B2136" i="4"/>
  <c r="B2135" i="4"/>
  <c r="B2134" i="4"/>
  <c r="B2133" i="4"/>
  <c r="B2132" i="4"/>
  <c r="B2131" i="4"/>
  <c r="B2130" i="4"/>
  <c r="B2129" i="4"/>
  <c r="B2128" i="4"/>
  <c r="B2127" i="4"/>
  <c r="B2126" i="4"/>
  <c r="B2125" i="4"/>
  <c r="B2124" i="4"/>
  <c r="B2123" i="4"/>
  <c r="B2122" i="4"/>
  <c r="B2121" i="4"/>
  <c r="B2120" i="4"/>
  <c r="B2119" i="4"/>
  <c r="B2118" i="4"/>
  <c r="B2117" i="4"/>
  <c r="B2116" i="4"/>
  <c r="B2115" i="4"/>
  <c r="B2114" i="4"/>
  <c r="B2113" i="4"/>
  <c r="B2112" i="4"/>
  <c r="B2111" i="4"/>
  <c r="B2110" i="4"/>
  <c r="B2109" i="4"/>
  <c r="B2108" i="4"/>
  <c r="B2107" i="4"/>
  <c r="B2106" i="4"/>
  <c r="B2105" i="4"/>
  <c r="B2104" i="4"/>
  <c r="B2103" i="4"/>
  <c r="B2102" i="4"/>
  <c r="B2101" i="4"/>
  <c r="B2100" i="4"/>
  <c r="B2099" i="4"/>
  <c r="B2098" i="4"/>
  <c r="B2097" i="4"/>
  <c r="B2096" i="4"/>
  <c r="B2095" i="4"/>
  <c r="B2094" i="4"/>
  <c r="B2093" i="4"/>
  <c r="B2092" i="4"/>
  <c r="B2091" i="4"/>
  <c r="B2090" i="4"/>
  <c r="B2089" i="4"/>
  <c r="B2088" i="4"/>
  <c r="B2087" i="4"/>
  <c r="B2086" i="4"/>
  <c r="B2085" i="4"/>
  <c r="B2084" i="4"/>
  <c r="B2083" i="4"/>
  <c r="B2082" i="4"/>
  <c r="B2081" i="4"/>
  <c r="B2080" i="4"/>
  <c r="B2079" i="4"/>
  <c r="B2078" i="4"/>
  <c r="B2077" i="4"/>
  <c r="B2076" i="4"/>
  <c r="B2075" i="4"/>
  <c r="B2074" i="4"/>
  <c r="B2073" i="4"/>
  <c r="B2072" i="4"/>
  <c r="B2071" i="4"/>
  <c r="B2070" i="4"/>
  <c r="B2069" i="4"/>
  <c r="B2068" i="4"/>
  <c r="B2067" i="4"/>
  <c r="B2066" i="4"/>
  <c r="B2065" i="4"/>
  <c r="B2064" i="4"/>
  <c r="B2063" i="4"/>
  <c r="B2062" i="4"/>
  <c r="B2061" i="4"/>
  <c r="B2060" i="4"/>
  <c r="B2059" i="4"/>
  <c r="B2058" i="4"/>
  <c r="B2057" i="4"/>
  <c r="B2056" i="4"/>
  <c r="B2055" i="4"/>
  <c r="B2054" i="4"/>
  <c r="B2053" i="4"/>
  <c r="B2052" i="4"/>
  <c r="B2051" i="4"/>
  <c r="B2050" i="4"/>
  <c r="B2049" i="4"/>
  <c r="B2048" i="4"/>
  <c r="B2047" i="4"/>
  <c r="B2046" i="4"/>
  <c r="B2045" i="4"/>
  <c r="B2044" i="4"/>
  <c r="B2043" i="4"/>
  <c r="B2042" i="4"/>
  <c r="B2041" i="4"/>
  <c r="B2040" i="4"/>
  <c r="B2039" i="4"/>
  <c r="B2038" i="4"/>
  <c r="B2037" i="4"/>
  <c r="B2036" i="4"/>
  <c r="B2035" i="4"/>
  <c r="B2034" i="4"/>
  <c r="B2033" i="4"/>
  <c r="B2032" i="4"/>
  <c r="B2031" i="4"/>
  <c r="B2030" i="4"/>
  <c r="B2029" i="4"/>
  <c r="B2028" i="4"/>
  <c r="B2027" i="4"/>
  <c r="B2026" i="4"/>
  <c r="B2025" i="4"/>
  <c r="B2024" i="4"/>
  <c r="B2023" i="4"/>
  <c r="B2022" i="4"/>
  <c r="B2021" i="4"/>
  <c r="B2020" i="4"/>
  <c r="B2019" i="4"/>
  <c r="B2018" i="4"/>
  <c r="B2017" i="4"/>
  <c r="B2016" i="4"/>
  <c r="B2015" i="4"/>
  <c r="B2014" i="4"/>
  <c r="B2013" i="4"/>
  <c r="B2012" i="4"/>
  <c r="B2011" i="4"/>
  <c r="B2010" i="4"/>
  <c r="B2009" i="4"/>
  <c r="B2008" i="4"/>
  <c r="B2007" i="4"/>
  <c r="B2006" i="4"/>
  <c r="B2005" i="4"/>
  <c r="B2004" i="4"/>
  <c r="B2003" i="4"/>
  <c r="B2002" i="4"/>
  <c r="B2001" i="4"/>
  <c r="B2000" i="4"/>
  <c r="B1999" i="4"/>
  <c r="B1998" i="4"/>
  <c r="B1997" i="4"/>
  <c r="B1996" i="4"/>
  <c r="B1995" i="4"/>
  <c r="B1994" i="4"/>
  <c r="B1993" i="4"/>
  <c r="B1992" i="4"/>
  <c r="B1991" i="4"/>
  <c r="B1990" i="4"/>
  <c r="B1989" i="4"/>
  <c r="B1988" i="4"/>
  <c r="B1987" i="4"/>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B1903" i="4"/>
  <c r="B1902" i="4"/>
  <c r="B1901" i="4"/>
  <c r="B1900" i="4"/>
  <c r="B1899" i="4"/>
  <c r="B1898" i="4"/>
  <c r="B1897" i="4"/>
  <c r="B1896" i="4"/>
  <c r="B1895" i="4"/>
  <c r="B1894" i="4"/>
  <c r="B1893" i="4"/>
  <c r="B1892" i="4"/>
  <c r="B1891" i="4"/>
  <c r="B1890" i="4"/>
  <c r="B1889" i="4"/>
  <c r="B1888" i="4"/>
  <c r="B1887" i="4"/>
  <c r="B1886" i="4"/>
  <c r="B1885" i="4"/>
  <c r="B1884" i="4"/>
  <c r="B1883" i="4"/>
  <c r="B1882" i="4"/>
  <c r="B1881" i="4"/>
  <c r="B1880" i="4"/>
  <c r="B1879" i="4"/>
  <c r="B1878" i="4"/>
  <c r="B1877" i="4"/>
  <c r="B1876" i="4"/>
  <c r="B1875" i="4"/>
  <c r="B1874" i="4"/>
  <c r="B1873" i="4"/>
  <c r="B1872" i="4"/>
  <c r="B1871" i="4"/>
  <c r="B1870" i="4"/>
  <c r="B1869" i="4"/>
  <c r="B1868" i="4"/>
  <c r="B1867" i="4"/>
  <c r="B1866" i="4"/>
  <c r="B1865" i="4"/>
  <c r="B1864" i="4"/>
  <c r="B1863" i="4"/>
  <c r="B1862" i="4"/>
  <c r="B1861" i="4"/>
  <c r="B1860" i="4"/>
  <c r="B1859" i="4"/>
  <c r="B1858" i="4"/>
  <c r="B1857" i="4"/>
  <c r="B1856" i="4"/>
  <c r="B1855" i="4"/>
  <c r="B1854" i="4"/>
  <c r="B1853" i="4"/>
  <c r="B1852" i="4"/>
  <c r="B1851" i="4"/>
  <c r="B1850" i="4"/>
  <c r="B1849" i="4"/>
  <c r="B1848" i="4"/>
  <c r="B1847" i="4"/>
  <c r="B1846" i="4"/>
  <c r="B1845" i="4"/>
  <c r="B1844" i="4"/>
  <c r="B1843" i="4"/>
  <c r="B1842" i="4"/>
  <c r="B1841" i="4"/>
  <c r="B1840" i="4"/>
  <c r="B1839" i="4"/>
  <c r="B1838" i="4"/>
  <c r="B1837" i="4"/>
  <c r="B1836" i="4"/>
  <c r="B1835" i="4"/>
  <c r="B1834" i="4"/>
  <c r="B1833" i="4"/>
  <c r="B1832" i="4"/>
  <c r="B1831" i="4"/>
  <c r="B1830" i="4"/>
  <c r="B1829" i="4"/>
  <c r="B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B1710" i="4"/>
  <c r="B1709" i="4"/>
  <c r="B1708" i="4"/>
  <c r="B1707" i="4"/>
  <c r="B1706" i="4"/>
  <c r="B1705" i="4"/>
  <c r="B1704" i="4"/>
  <c r="B1703" i="4"/>
  <c r="B1702" i="4"/>
  <c r="B1701" i="4"/>
  <c r="B1700" i="4"/>
  <c r="B1699" i="4"/>
  <c r="B1698" i="4"/>
  <c r="B1697" i="4"/>
  <c r="B1696" i="4"/>
  <c r="B1695" i="4"/>
  <c r="B1694" i="4"/>
  <c r="B1693" i="4"/>
  <c r="B1692" i="4"/>
  <c r="B1691" i="4"/>
  <c r="B1690" i="4"/>
  <c r="B1689" i="4"/>
  <c r="B1688" i="4"/>
  <c r="B1687" i="4"/>
  <c r="B1686" i="4"/>
  <c r="B1685" i="4"/>
  <c r="B1684" i="4"/>
  <c r="B1683" i="4"/>
  <c r="B1682" i="4"/>
  <c r="B1681" i="4"/>
  <c r="B1680" i="4"/>
  <c r="B1679" i="4"/>
  <c r="B1678" i="4"/>
  <c r="B1677" i="4"/>
  <c r="B1676" i="4"/>
  <c r="B1675" i="4"/>
  <c r="B1674" i="4"/>
  <c r="B1673" i="4"/>
  <c r="B1672" i="4"/>
  <c r="B1671" i="4"/>
  <c r="B1670" i="4"/>
  <c r="B1669" i="4"/>
  <c r="B1668" i="4"/>
  <c r="B1667" i="4"/>
  <c r="B1666" i="4"/>
  <c r="B1665" i="4"/>
  <c r="B1664" i="4"/>
  <c r="B1663" i="4"/>
  <c r="B1662" i="4"/>
  <c r="B1661" i="4"/>
  <c r="B1660" i="4"/>
  <c r="B1659" i="4"/>
  <c r="B1658" i="4"/>
  <c r="B1657" i="4"/>
  <c r="B1656" i="4"/>
  <c r="B1655" i="4"/>
  <c r="B1654" i="4"/>
  <c r="B1653" i="4"/>
  <c r="B1652" i="4"/>
  <c r="B1651" i="4"/>
  <c r="B1650" i="4"/>
  <c r="B1649" i="4"/>
  <c r="B1648" i="4"/>
  <c r="B1647" i="4"/>
  <c r="B1646" i="4"/>
  <c r="B1645" i="4"/>
  <c r="B1644" i="4"/>
  <c r="B1643" i="4"/>
  <c r="B1642" i="4"/>
  <c r="B1641" i="4"/>
  <c r="B1640" i="4"/>
  <c r="B1639" i="4"/>
  <c r="B1638" i="4"/>
  <c r="B1637" i="4"/>
  <c r="B1636" i="4"/>
  <c r="B1635" i="4"/>
  <c r="B1634" i="4"/>
  <c r="B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B1488" i="4"/>
  <c r="B1487" i="4"/>
  <c r="B1486" i="4"/>
  <c r="B1485" i="4"/>
  <c r="B1484" i="4"/>
  <c r="B1483" i="4"/>
  <c r="B1482" i="4"/>
  <c r="B1481" i="4"/>
  <c r="B1480" i="4"/>
  <c r="B1479" i="4"/>
  <c r="B1478" i="4"/>
  <c r="B1477" i="4"/>
  <c r="B1476" i="4"/>
  <c r="B1475" i="4"/>
  <c r="B1474" i="4"/>
  <c r="B1473" i="4"/>
  <c r="B1472" i="4"/>
  <c r="B1471" i="4"/>
  <c r="B1470" i="4"/>
  <c r="B1469" i="4"/>
  <c r="B1468" i="4"/>
  <c r="B1467" i="4"/>
  <c r="B1466" i="4"/>
  <c r="B1465" i="4"/>
  <c r="B1464" i="4"/>
  <c r="B1463" i="4"/>
  <c r="B1462" i="4"/>
  <c r="B1461" i="4"/>
  <c r="B1460" i="4"/>
  <c r="B1459" i="4"/>
  <c r="B1458" i="4"/>
  <c r="B1457" i="4"/>
  <c r="B1456" i="4"/>
  <c r="B1455" i="4"/>
  <c r="B1454" i="4"/>
  <c r="B1453" i="4"/>
  <c r="B1452" i="4"/>
  <c r="B1451" i="4"/>
  <c r="B1450" i="4"/>
  <c r="B1449" i="4"/>
  <c r="B1448" i="4"/>
  <c r="B1447" i="4"/>
  <c r="B1446" i="4"/>
  <c r="B1445" i="4"/>
  <c r="B1444" i="4"/>
  <c r="B1443" i="4"/>
  <c r="B1442" i="4"/>
  <c r="B1441" i="4"/>
  <c r="B1440" i="4"/>
  <c r="B1439" i="4"/>
  <c r="B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B1320" i="4"/>
  <c r="B1319" i="4"/>
  <c r="B1318" i="4"/>
  <c r="B1317" i="4"/>
  <c r="B1316" i="4"/>
  <c r="B1315" i="4"/>
  <c r="B1314" i="4"/>
  <c r="B1313" i="4"/>
  <c r="B1312" i="4"/>
  <c r="B1311" i="4"/>
  <c r="B1310" i="4"/>
  <c r="B1309" i="4"/>
  <c r="B1308" i="4"/>
  <c r="B1307" i="4"/>
  <c r="B1306" i="4"/>
  <c r="B1305" i="4"/>
  <c r="B1304" i="4"/>
  <c r="B1303" i="4"/>
  <c r="B1302" i="4"/>
  <c r="B1301" i="4"/>
  <c r="B1300" i="4"/>
  <c r="B1299" i="4"/>
  <c r="B1298" i="4"/>
  <c r="B1297" i="4"/>
  <c r="B1296" i="4"/>
  <c r="B1295" i="4"/>
  <c r="B1294" i="4"/>
  <c r="B1293" i="4"/>
  <c r="B1292" i="4"/>
  <c r="B1291" i="4"/>
  <c r="B1290" i="4"/>
  <c r="B1289" i="4"/>
  <c r="B1288" i="4"/>
  <c r="B1287" i="4"/>
  <c r="B1286" i="4"/>
  <c r="B1285" i="4"/>
  <c r="B1284" i="4"/>
  <c r="B1283" i="4"/>
  <c r="B1282" i="4"/>
  <c r="B1281" i="4"/>
  <c r="B1280" i="4"/>
  <c r="B1279" i="4"/>
  <c r="B1278" i="4"/>
  <c r="B1277" i="4"/>
  <c r="B1276" i="4"/>
  <c r="B1275" i="4"/>
  <c r="B1274" i="4"/>
  <c r="B1273" i="4"/>
  <c r="B1272" i="4"/>
  <c r="B1271" i="4"/>
  <c r="B1270" i="4"/>
  <c r="B1269" i="4"/>
  <c r="B1268" i="4"/>
  <c r="B1267" i="4"/>
  <c r="B1266" i="4"/>
  <c r="B1265" i="4"/>
  <c r="B1264" i="4"/>
  <c r="B1263" i="4"/>
  <c r="B1262" i="4"/>
  <c r="B1261" i="4"/>
  <c r="B1260" i="4"/>
  <c r="B1259" i="4"/>
  <c r="B1258" i="4"/>
  <c r="B1257" i="4"/>
  <c r="B1256" i="4"/>
  <c r="B1255" i="4"/>
  <c r="B1254" i="4"/>
  <c r="B1253" i="4"/>
  <c r="B1252" i="4"/>
  <c r="B1251" i="4"/>
  <c r="B1250" i="4"/>
  <c r="B1249" i="4"/>
  <c r="B1248" i="4"/>
  <c r="B1247" i="4"/>
  <c r="B1246" i="4"/>
  <c r="B1245" i="4"/>
  <c r="B1244" i="4"/>
  <c r="B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1103" i="4"/>
  <c r="B1102" i="4"/>
  <c r="B1101" i="4"/>
  <c r="B1100" i="4"/>
  <c r="B1099" i="4"/>
  <c r="B1098" i="4"/>
  <c r="B1097" i="4"/>
  <c r="B1096" i="4"/>
  <c r="B1095" i="4"/>
  <c r="B1094" i="4"/>
  <c r="B1093" i="4"/>
  <c r="B1092" i="4"/>
  <c r="B1091" i="4"/>
  <c r="B1090"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892" i="4"/>
  <c r="B891"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794" i="4"/>
  <c r="B793" i="4"/>
  <c r="B792" i="4"/>
  <c r="B791" i="4"/>
  <c r="B790" i="4"/>
  <c r="B789" i="4"/>
  <c r="B788" i="4"/>
  <c r="B787" i="4"/>
  <c r="B786" i="4"/>
  <c r="B785" i="4"/>
  <c r="B784" i="4"/>
  <c r="B783" i="4"/>
  <c r="B782" i="4"/>
  <c r="B781" i="4"/>
  <c r="B780" i="4"/>
  <c r="B779" i="4"/>
  <c r="B778" i="4"/>
  <c r="B777"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78" i="4"/>
  <c r="B677" i="4"/>
  <c r="B676" i="4"/>
  <c r="B675" i="4"/>
  <c r="B674" i="4"/>
  <c r="B673" i="4"/>
  <c r="B672" i="4"/>
  <c r="B671" i="4"/>
  <c r="B670" i="4"/>
  <c r="B669" i="4"/>
  <c r="B668" i="4"/>
  <c r="B667" i="4"/>
  <c r="B666" i="4"/>
  <c r="B665" i="4"/>
  <c r="B664" i="4"/>
  <c r="B663" i="4"/>
  <c r="B662" i="4"/>
  <c r="B661" i="4"/>
  <c r="B660" i="4"/>
  <c r="B659" i="4"/>
  <c r="B658" i="4"/>
  <c r="B657" i="4"/>
  <c r="B656"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622" i="4"/>
  <c r="B621" i="4"/>
  <c r="B620" i="4"/>
  <c r="B619" i="4"/>
  <c r="B618" i="4"/>
  <c r="B617" i="4"/>
  <c r="B616" i="4"/>
  <c r="B615" i="4"/>
  <c r="B614" i="4"/>
  <c r="B613" i="4"/>
  <c r="B612" i="4"/>
  <c r="B611" i="4"/>
  <c r="B610" i="4"/>
  <c r="B609" i="4"/>
  <c r="B608" i="4"/>
  <c r="B607" i="4"/>
  <c r="B606" i="4"/>
  <c r="B605" i="4"/>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22" i="12"/>
  <c r="B27" i="12" s="1"/>
  <c r="B32" i="12" s="1"/>
  <c r="B37" i="12" s="1"/>
  <c r="B42" i="12" s="1"/>
  <c r="B47" i="12" s="1"/>
  <c r="B52" i="12" s="1"/>
  <c r="B57" i="12" s="1"/>
  <c r="B62" i="12" s="1"/>
  <c r="B67" i="12" s="1"/>
  <c r="B72" i="12" s="1"/>
  <c r="B77" i="12" s="1"/>
  <c r="B82" i="12" s="1"/>
  <c r="B87" i="12" s="1"/>
  <c r="B92" i="12" s="1"/>
  <c r="B97" i="12" s="1"/>
  <c r="B102" i="12" s="1"/>
  <c r="B107" i="12" s="1"/>
  <c r="B112" i="12" s="1"/>
  <c r="B117" i="12" s="1"/>
  <c r="B122" i="12" s="1"/>
  <c r="B127" i="12" s="1"/>
  <c r="B132" i="12" s="1"/>
  <c r="B137" i="12" s="1"/>
  <c r="B142" i="12" s="1"/>
  <c r="B147" i="12" s="1"/>
  <c r="B152" i="12" s="1"/>
  <c r="B157" i="12" s="1"/>
  <c r="B162" i="12" s="1"/>
  <c r="B167" i="12" s="1"/>
  <c r="B172" i="12" s="1"/>
  <c r="B177" i="12" s="1"/>
  <c r="B182" i="12" s="1"/>
  <c r="B187" i="12" s="1"/>
  <c r="B192" i="12" s="1"/>
  <c r="B197" i="12" s="1"/>
  <c r="B202" i="12" s="1"/>
  <c r="B207" i="12" s="1"/>
  <c r="B212" i="12" s="1"/>
  <c r="B217" i="12" s="1"/>
  <c r="B222" i="12" s="1"/>
  <c r="B227" i="12" s="1"/>
  <c r="B232" i="12" s="1"/>
  <c r="B237" i="12" s="1"/>
  <c r="B242" i="12" s="1"/>
  <c r="B247" i="12" s="1"/>
  <c r="B252" i="12" s="1"/>
  <c r="B257" i="12" s="1"/>
  <c r="B262" i="12" s="1"/>
  <c r="B267" i="12" s="1"/>
  <c r="B272" i="12" s="1"/>
  <c r="B277" i="12" s="1"/>
  <c r="B282" i="12" s="1"/>
  <c r="B287" i="12" s="1"/>
  <c r="B292" i="12" s="1"/>
  <c r="B297" i="12" s="1"/>
  <c r="B302" i="12" s="1"/>
  <c r="B307" i="12" s="1"/>
  <c r="B312" i="12" s="1"/>
  <c r="B317" i="12" s="1"/>
  <c r="B322" i="12" s="1"/>
  <c r="B327" i="12" s="1"/>
  <c r="B332" i="12" s="1"/>
  <c r="B337" i="12" s="1"/>
  <c r="B342" i="12" s="1"/>
  <c r="B347" i="12" s="1"/>
  <c r="B352" i="12" s="1"/>
  <c r="B357" i="12" s="1"/>
  <c r="B362" i="12" s="1"/>
  <c r="B367" i="12" s="1"/>
  <c r="B372" i="12" s="1"/>
  <c r="B377" i="12" s="1"/>
  <c r="B382" i="12" s="1"/>
  <c r="B387" i="12" s="1"/>
  <c r="B392" i="12" s="1"/>
  <c r="B397" i="12" s="1"/>
  <c r="B402" i="12" s="1"/>
  <c r="B407" i="12" s="1"/>
  <c r="B412" i="12" s="1"/>
  <c r="B417" i="12" s="1"/>
  <c r="B422" i="12" s="1"/>
  <c r="B427" i="12" s="1"/>
  <c r="B432" i="12" s="1"/>
  <c r="B437" i="12" s="1"/>
  <c r="B442" i="12" s="1"/>
  <c r="B447" i="12" s="1"/>
  <c r="B452" i="12" s="1"/>
  <c r="B457" i="12" s="1"/>
  <c r="B462" i="12" s="1"/>
  <c r="B467" i="12" s="1"/>
  <c r="B472" i="12" s="1"/>
  <c r="B477" i="12" s="1"/>
  <c r="B482" i="12" s="1"/>
  <c r="B487" i="12" s="1"/>
  <c r="B492" i="12" s="1"/>
  <c r="B497" i="12" s="1"/>
  <c r="B502" i="12" s="1"/>
  <c r="B507" i="12" s="1"/>
  <c r="B512" i="12" s="1"/>
  <c r="B517" i="12" s="1"/>
  <c r="B522" i="12" s="1"/>
  <c r="B527" i="12" s="1"/>
  <c r="B532" i="12" s="1"/>
  <c r="B537" i="12" s="1"/>
  <c r="B542" i="12" s="1"/>
  <c r="B547" i="12" s="1"/>
  <c r="B552" i="12" s="1"/>
  <c r="B557" i="12" s="1"/>
  <c r="B562" i="12" s="1"/>
  <c r="B567" i="12" s="1"/>
  <c r="B572" i="12" s="1"/>
  <c r="B577" i="12" s="1"/>
  <c r="B582" i="12" s="1"/>
  <c r="B587" i="12" s="1"/>
  <c r="B592" i="12" s="1"/>
  <c r="B597" i="12" s="1"/>
  <c r="B602" i="12" s="1"/>
  <c r="B607" i="12" s="1"/>
  <c r="B612" i="12" s="1"/>
  <c r="B617" i="12" s="1"/>
  <c r="B622" i="12" s="1"/>
  <c r="B627" i="12" s="1"/>
  <c r="B632" i="12" s="1"/>
  <c r="B637" i="12" s="1"/>
  <c r="B642" i="12" s="1"/>
  <c r="B647" i="12" s="1"/>
  <c r="B652" i="12" s="1"/>
  <c r="B657" i="12" s="1"/>
  <c r="B662" i="12" s="1"/>
  <c r="B667" i="12" s="1"/>
  <c r="B672" i="12" s="1"/>
  <c r="B677" i="12" s="1"/>
  <c r="B682" i="12" s="1"/>
  <c r="B687" i="12" s="1"/>
  <c r="B692" i="12" s="1"/>
  <c r="B697" i="12" s="1"/>
  <c r="B702" i="12" s="1"/>
  <c r="B707" i="12" s="1"/>
  <c r="B712" i="12" s="1"/>
  <c r="B717" i="12" s="1"/>
  <c r="B722" i="12" s="1"/>
  <c r="B727" i="12" s="1"/>
  <c r="B732" i="12" s="1"/>
  <c r="B737" i="12" s="1"/>
  <c r="B742" i="12" s="1"/>
  <c r="B747" i="12" s="1"/>
  <c r="B752" i="12" s="1"/>
  <c r="B757" i="12" s="1"/>
  <c r="B762" i="12" s="1"/>
  <c r="B767" i="12" s="1"/>
  <c r="B772" i="12" s="1"/>
  <c r="B777" i="12" s="1"/>
  <c r="B782" i="12" s="1"/>
  <c r="B787" i="12" s="1"/>
  <c r="B792" i="12" s="1"/>
  <c r="B797" i="12" s="1"/>
  <c r="B802" i="12" s="1"/>
  <c r="B807" i="12" s="1"/>
  <c r="B812" i="12" s="1"/>
  <c r="B817" i="12" s="1"/>
  <c r="B822" i="12" s="1"/>
  <c r="B827" i="12" s="1"/>
  <c r="B832" i="12" s="1"/>
  <c r="B837" i="12" s="1"/>
  <c r="B842" i="12" s="1"/>
  <c r="B847" i="12" s="1"/>
  <c r="B852" i="12" s="1"/>
  <c r="B857" i="12" s="1"/>
  <c r="B862" i="12" s="1"/>
  <c r="B867" i="12" s="1"/>
  <c r="B872" i="12" s="1"/>
  <c r="B877" i="12" s="1"/>
  <c r="B882" i="12" s="1"/>
  <c r="B887" i="12" s="1"/>
  <c r="B892" i="12" s="1"/>
  <c r="B897" i="12" s="1"/>
  <c r="B902" i="12" s="1"/>
  <c r="B907" i="12" s="1"/>
  <c r="B912" i="12" s="1"/>
  <c r="B917" i="12" s="1"/>
  <c r="B922" i="12" s="1"/>
  <c r="B927" i="12" s="1"/>
  <c r="B932" i="12" s="1"/>
  <c r="B937" i="12" s="1"/>
  <c r="B942" i="12" s="1"/>
  <c r="B947" i="12" s="1"/>
  <c r="B952" i="12" s="1"/>
  <c r="B957" i="12" s="1"/>
  <c r="B962" i="12" s="1"/>
  <c r="B967" i="12" s="1"/>
  <c r="B972" i="12" s="1"/>
  <c r="B977" i="12" s="1"/>
  <c r="B982" i="12" s="1"/>
  <c r="B987" i="12" s="1"/>
  <c r="B992" i="12" s="1"/>
  <c r="B997" i="12" s="1"/>
  <c r="B1002" i="12" s="1"/>
  <c r="B1007" i="12" s="1"/>
  <c r="B1012" i="12" s="1"/>
  <c r="B1017" i="12" s="1"/>
  <c r="B1022" i="12" s="1"/>
  <c r="B1027" i="12" s="1"/>
  <c r="B1032" i="12" s="1"/>
  <c r="B1037" i="12" s="1"/>
  <c r="B1042" i="12" s="1"/>
  <c r="B1047" i="12" s="1"/>
  <c r="B1052" i="12" s="1"/>
  <c r="B1057" i="12" s="1"/>
  <c r="B1062" i="12" s="1"/>
  <c r="B1067" i="12" s="1"/>
  <c r="B1072" i="12" s="1"/>
  <c r="B1077" i="12" s="1"/>
  <c r="B1082" i="12" s="1"/>
  <c r="B1087" i="12" s="1"/>
  <c r="B1092" i="12" s="1"/>
  <c r="B1097" i="12" s="1"/>
  <c r="B1102" i="12" s="1"/>
  <c r="B1107" i="12" s="1"/>
  <c r="B1112" i="12" s="1"/>
  <c r="B1117" i="12" s="1"/>
  <c r="B1122" i="12" s="1"/>
  <c r="B1127" i="12" s="1"/>
  <c r="B1132" i="12" s="1"/>
  <c r="B1137" i="12" s="1"/>
  <c r="B1142" i="12" s="1"/>
  <c r="B1147" i="12" s="1"/>
  <c r="B1152" i="12" s="1"/>
  <c r="B1157" i="12" s="1"/>
  <c r="B1162" i="12" s="1"/>
  <c r="B1167" i="12" s="1"/>
  <c r="B1172" i="12" s="1"/>
  <c r="B1177" i="12" s="1"/>
  <c r="B1182" i="12" s="1"/>
  <c r="B1187" i="12" s="1"/>
  <c r="B1192" i="12" s="1"/>
  <c r="B1197" i="12" s="1"/>
  <c r="B1202" i="12" s="1"/>
  <c r="B1207" i="12" s="1"/>
  <c r="B1212" i="12" s="1"/>
  <c r="B1217" i="12" s="1"/>
  <c r="B1222" i="12" s="1"/>
  <c r="B1227" i="12" s="1"/>
  <c r="B1232" i="12" s="1"/>
  <c r="B1237" i="12" s="1"/>
  <c r="B1242" i="12" s="1"/>
  <c r="B1247" i="12" s="1"/>
  <c r="B1252" i="12" s="1"/>
  <c r="B1257" i="12" s="1"/>
  <c r="B1262" i="12" s="1"/>
  <c r="B1267" i="12" s="1"/>
  <c r="B1272" i="12" s="1"/>
  <c r="B1277" i="12" s="1"/>
  <c r="B1282" i="12" s="1"/>
  <c r="B1287" i="12" s="1"/>
  <c r="B1292" i="12" s="1"/>
  <c r="B1297" i="12" s="1"/>
  <c r="B1302" i="12" s="1"/>
  <c r="B1307" i="12" s="1"/>
  <c r="B1312" i="12" s="1"/>
  <c r="B1317" i="12" s="1"/>
  <c r="B1322" i="12" s="1"/>
  <c r="B1327" i="12" s="1"/>
  <c r="B1332" i="12" s="1"/>
  <c r="B1337" i="12" s="1"/>
  <c r="B1342" i="12" s="1"/>
  <c r="B1347" i="12" s="1"/>
  <c r="B1352" i="12" s="1"/>
  <c r="B1357" i="12" s="1"/>
  <c r="B1362" i="12" s="1"/>
  <c r="B1367" i="12" s="1"/>
  <c r="B1372" i="12" s="1"/>
  <c r="B1377" i="12" s="1"/>
  <c r="B1382" i="12" s="1"/>
  <c r="B1387" i="12" s="1"/>
  <c r="B1392" i="12" s="1"/>
  <c r="B1397" i="12" s="1"/>
  <c r="B1402" i="12" s="1"/>
  <c r="B1407" i="12" s="1"/>
  <c r="B1412" i="12" s="1"/>
  <c r="B1417" i="12" s="1"/>
  <c r="B1422" i="12" s="1"/>
  <c r="B1427" i="12" s="1"/>
  <c r="B1432" i="12" s="1"/>
  <c r="B1437" i="12" s="1"/>
  <c r="B1442" i="12" s="1"/>
  <c r="B1447" i="12" s="1"/>
  <c r="B1452" i="12" s="1"/>
  <c r="B1457" i="12" s="1"/>
  <c r="B1462" i="12" s="1"/>
  <c r="B1467" i="12" s="1"/>
  <c r="B1472" i="12" s="1"/>
  <c r="B1477" i="12" s="1"/>
  <c r="B1482" i="12" s="1"/>
  <c r="B1487" i="12" s="1"/>
  <c r="B1492" i="12" s="1"/>
  <c r="B1497" i="12" s="1"/>
  <c r="B1502" i="12" s="1"/>
  <c r="B1507" i="12" s="1"/>
  <c r="B1512" i="12" s="1"/>
  <c r="B1517" i="12" s="1"/>
  <c r="B1522" i="12" s="1"/>
  <c r="B1527" i="12" s="1"/>
  <c r="B1532" i="12" s="1"/>
  <c r="B1537" i="12" s="1"/>
  <c r="B1542" i="12" s="1"/>
  <c r="B1547" i="12" s="1"/>
  <c r="B1552" i="12" s="1"/>
  <c r="B1557" i="12" s="1"/>
  <c r="B1562" i="12" s="1"/>
  <c r="B1567" i="12" s="1"/>
  <c r="B1572" i="12" s="1"/>
  <c r="B1577" i="12" s="1"/>
  <c r="B1582" i="12" s="1"/>
  <c r="B1587" i="12" s="1"/>
  <c r="B1592" i="12" s="1"/>
  <c r="B1597" i="12" s="1"/>
  <c r="B1602" i="12" s="1"/>
  <c r="B1607" i="12" s="1"/>
  <c r="B1612" i="12" s="1"/>
  <c r="B1617" i="12" s="1"/>
  <c r="B1622" i="12" s="1"/>
  <c r="B1627" i="12" s="1"/>
  <c r="B1632" i="12" s="1"/>
  <c r="B1637" i="12" s="1"/>
  <c r="B1642" i="12" s="1"/>
  <c r="B1647" i="12" s="1"/>
  <c r="B1652" i="12" s="1"/>
  <c r="B1657" i="12" s="1"/>
  <c r="B1662" i="12" s="1"/>
  <c r="B1667" i="12" s="1"/>
  <c r="B1672" i="12" s="1"/>
  <c r="B1677" i="12" s="1"/>
  <c r="B1682" i="12" s="1"/>
  <c r="B1687" i="12" s="1"/>
  <c r="B1692" i="12" s="1"/>
  <c r="B1697" i="12" s="1"/>
  <c r="B1702" i="12" s="1"/>
  <c r="B1707" i="12" s="1"/>
  <c r="B1712" i="12" s="1"/>
  <c r="B1717" i="12" s="1"/>
  <c r="B1722" i="12" s="1"/>
  <c r="B1727" i="12" s="1"/>
  <c r="B1732" i="12" s="1"/>
  <c r="B1737" i="12" s="1"/>
  <c r="B1742" i="12" s="1"/>
  <c r="B1747" i="12" s="1"/>
  <c r="B1752" i="12" s="1"/>
  <c r="B1757" i="12" s="1"/>
  <c r="B1762" i="12" s="1"/>
  <c r="B1767" i="12" s="1"/>
  <c r="B1772" i="12" s="1"/>
  <c r="B1777" i="12" s="1"/>
  <c r="B1782" i="12" s="1"/>
  <c r="B1787" i="12" s="1"/>
  <c r="B1792" i="12" s="1"/>
  <c r="B1797" i="12" s="1"/>
  <c r="B1802" i="12" s="1"/>
  <c r="B1807" i="12" s="1"/>
  <c r="B1812" i="12" s="1"/>
  <c r="B1817" i="12" s="1"/>
  <c r="B1822" i="12" s="1"/>
  <c r="B1827" i="12" s="1"/>
  <c r="B1832" i="12" s="1"/>
  <c r="B1837" i="12" s="1"/>
  <c r="B1842" i="12" s="1"/>
  <c r="B1847" i="12" s="1"/>
  <c r="B1852" i="12" s="1"/>
  <c r="B1857" i="12" s="1"/>
  <c r="B1862" i="12" s="1"/>
  <c r="B1867" i="12" s="1"/>
  <c r="B1872" i="12" s="1"/>
  <c r="B1877" i="12" s="1"/>
  <c r="B1882" i="12" s="1"/>
  <c r="B1887" i="12" s="1"/>
  <c r="B1892" i="12" s="1"/>
  <c r="B1897" i="12" s="1"/>
  <c r="B1902" i="12" s="1"/>
  <c r="B1907" i="12" s="1"/>
  <c r="B1912" i="12" s="1"/>
  <c r="B1917" i="12" s="1"/>
  <c r="B1922" i="12" s="1"/>
  <c r="B1927" i="12" s="1"/>
  <c r="B1932" i="12" s="1"/>
  <c r="B1937" i="12" s="1"/>
  <c r="B1942" i="12" s="1"/>
  <c r="B1947" i="12" s="1"/>
  <c r="B1952" i="12" s="1"/>
  <c r="B1957" i="12" s="1"/>
  <c r="B1962" i="12" s="1"/>
  <c r="B1967" i="12" s="1"/>
  <c r="B1972" i="12" s="1"/>
  <c r="B1977" i="12" s="1"/>
  <c r="B1982" i="12" s="1"/>
  <c r="B1987" i="12" s="1"/>
  <c r="B1992" i="12" s="1"/>
  <c r="B1997" i="12" s="1"/>
  <c r="B2002" i="12" s="1"/>
  <c r="B2007" i="12" s="1"/>
  <c r="B2012" i="12" s="1"/>
  <c r="B2017" i="12" s="1"/>
  <c r="B2022" i="12" s="1"/>
  <c r="B2027" i="12" s="1"/>
  <c r="B2032" i="12" s="1"/>
  <c r="B2037" i="12" s="1"/>
  <c r="B2042" i="12" s="1"/>
  <c r="B2047" i="12" s="1"/>
  <c r="B2052" i="12" s="1"/>
  <c r="B2057" i="12" s="1"/>
  <c r="B2062" i="12" s="1"/>
  <c r="B2067" i="12" s="1"/>
  <c r="B2072" i="12" s="1"/>
  <c r="B2077" i="12" s="1"/>
  <c r="B2082" i="12" s="1"/>
  <c r="B2087" i="12" s="1"/>
  <c r="B2092" i="12" s="1"/>
  <c r="B2097" i="12" s="1"/>
  <c r="B2102" i="12" s="1"/>
  <c r="B2107" i="12" s="1"/>
  <c r="B2112" i="12" s="1"/>
  <c r="B2117" i="12" s="1"/>
  <c r="B2122" i="12" s="1"/>
  <c r="B2127" i="12" s="1"/>
  <c r="B2132" i="12" s="1"/>
  <c r="B2137" i="12" s="1"/>
  <c r="B2142" i="12" s="1"/>
  <c r="B2147" i="12" s="1"/>
  <c r="B2152" i="12" s="1"/>
  <c r="B2157" i="12" s="1"/>
  <c r="B2162" i="12" s="1"/>
  <c r="B2167" i="12" s="1"/>
  <c r="B2172" i="12" s="1"/>
  <c r="B2177" i="12" s="1"/>
  <c r="B2182" i="12" s="1"/>
  <c r="B2187" i="12" s="1"/>
  <c r="B2192" i="12" s="1"/>
  <c r="B2197" i="12" s="1"/>
  <c r="B2202" i="12" s="1"/>
  <c r="B2207" i="12" s="1"/>
  <c r="B2212" i="12" s="1"/>
  <c r="B2217" i="12" s="1"/>
  <c r="B2222" i="12" s="1"/>
  <c r="B2227" i="12" s="1"/>
  <c r="B2232" i="12" s="1"/>
  <c r="B2237" i="12" s="1"/>
  <c r="B2242" i="12" s="1"/>
  <c r="B2247" i="12" s="1"/>
  <c r="B2252" i="12" s="1"/>
  <c r="B2257" i="12" s="1"/>
  <c r="B2262" i="12" s="1"/>
  <c r="B2267" i="12" s="1"/>
  <c r="B2272" i="12" s="1"/>
  <c r="B2277" i="12" s="1"/>
  <c r="B2282" i="12" s="1"/>
  <c r="B2287" i="12" s="1"/>
  <c r="B2292" i="12" s="1"/>
  <c r="B2297" i="12" s="1"/>
  <c r="B2302" i="12" s="1"/>
  <c r="B2307" i="12" s="1"/>
  <c r="B2312" i="12" s="1"/>
  <c r="B2317" i="12" s="1"/>
  <c r="B2322" i="12" s="1"/>
  <c r="B2327" i="12" s="1"/>
  <c r="B2332" i="12" s="1"/>
  <c r="B2337" i="12" s="1"/>
  <c r="B2342" i="12" s="1"/>
  <c r="B2347" i="12" s="1"/>
  <c r="B2352" i="12" s="1"/>
  <c r="B2357" i="12" s="1"/>
  <c r="B2362" i="12" s="1"/>
  <c r="B2367" i="12" s="1"/>
  <c r="B2372" i="12" s="1"/>
  <c r="B2377" i="12" s="1"/>
  <c r="B2382" i="12" s="1"/>
  <c r="B2387" i="12" s="1"/>
  <c r="B2392" i="12" s="1"/>
  <c r="B2397" i="12" s="1"/>
  <c r="B2402" i="12" s="1"/>
  <c r="B2407" i="12" s="1"/>
  <c r="B2412" i="12" s="1"/>
  <c r="B2417" i="12" s="1"/>
  <c r="B2422" i="12" s="1"/>
  <c r="B2427" i="12" s="1"/>
  <c r="B2432" i="12" s="1"/>
  <c r="B2437" i="12" s="1"/>
  <c r="B2442" i="12" s="1"/>
  <c r="B2447" i="12" s="1"/>
  <c r="B2452" i="12" s="1"/>
  <c r="B2457" i="12" s="1"/>
  <c r="B2462" i="12" s="1"/>
  <c r="B2467" i="12" s="1"/>
  <c r="B2472" i="12" s="1"/>
  <c r="B2477" i="12" s="1"/>
  <c r="B2482" i="12" s="1"/>
  <c r="B2487" i="12" s="1"/>
  <c r="B2492" i="12" s="1"/>
  <c r="B2497" i="12" s="1"/>
  <c r="B2502" i="12" s="1"/>
  <c r="B2507" i="12" s="1"/>
  <c r="B2512" i="12" s="1"/>
  <c r="B2517" i="12" s="1"/>
  <c r="B21" i="12"/>
  <c r="B26" i="12" s="1"/>
  <c r="B31" i="12" s="1"/>
  <c r="B36" i="12" s="1"/>
  <c r="B41" i="12" s="1"/>
  <c r="B46" i="12" s="1"/>
  <c r="B51" i="12" s="1"/>
  <c r="B56" i="12" s="1"/>
  <c r="B61" i="12" s="1"/>
  <c r="B66" i="12" s="1"/>
  <c r="B71" i="12" s="1"/>
  <c r="B76" i="12" s="1"/>
  <c r="B81" i="12" s="1"/>
  <c r="B86" i="12" s="1"/>
  <c r="B91" i="12" s="1"/>
  <c r="B96" i="12" s="1"/>
  <c r="B101" i="12" s="1"/>
  <c r="B106" i="12" s="1"/>
  <c r="B111" i="12" s="1"/>
  <c r="B116" i="12" s="1"/>
  <c r="B121" i="12" s="1"/>
  <c r="B126" i="12" s="1"/>
  <c r="B131" i="12" s="1"/>
  <c r="B136" i="12" s="1"/>
  <c r="B141" i="12" s="1"/>
  <c r="B146" i="12" s="1"/>
  <c r="B151" i="12" s="1"/>
  <c r="B156" i="12" s="1"/>
  <c r="B161" i="12" s="1"/>
  <c r="B166" i="12" s="1"/>
  <c r="B171" i="12" s="1"/>
  <c r="B176" i="12" s="1"/>
  <c r="B181" i="12" s="1"/>
  <c r="B186" i="12" s="1"/>
  <c r="B191" i="12" s="1"/>
  <c r="B196" i="12" s="1"/>
  <c r="B201" i="12" s="1"/>
  <c r="B206" i="12" s="1"/>
  <c r="B211" i="12" s="1"/>
  <c r="B216" i="12" s="1"/>
  <c r="B221" i="12" s="1"/>
  <c r="B226" i="12" s="1"/>
  <c r="B231" i="12" s="1"/>
  <c r="B236" i="12" s="1"/>
  <c r="B241" i="12" s="1"/>
  <c r="B246" i="12" s="1"/>
  <c r="B251" i="12" s="1"/>
  <c r="B256" i="12" s="1"/>
  <c r="B261" i="12" s="1"/>
  <c r="B266" i="12" s="1"/>
  <c r="B271" i="12" s="1"/>
  <c r="B276" i="12" s="1"/>
  <c r="B281" i="12" s="1"/>
  <c r="B286" i="12" s="1"/>
  <c r="B291" i="12" s="1"/>
  <c r="B296" i="12" s="1"/>
  <c r="B301" i="12" s="1"/>
  <c r="B306" i="12" s="1"/>
  <c r="B311" i="12" s="1"/>
  <c r="B316" i="12" s="1"/>
  <c r="B321" i="12" s="1"/>
  <c r="B326" i="12" s="1"/>
  <c r="B331" i="12" s="1"/>
  <c r="B336" i="12" s="1"/>
  <c r="B341" i="12" s="1"/>
  <c r="B346" i="12" s="1"/>
  <c r="B351" i="12" s="1"/>
  <c r="B356" i="12" s="1"/>
  <c r="B361" i="12" s="1"/>
  <c r="B366" i="12" s="1"/>
  <c r="B371" i="12" s="1"/>
  <c r="B376" i="12" s="1"/>
  <c r="B381" i="12" s="1"/>
  <c r="B386" i="12" s="1"/>
  <c r="B391" i="12" s="1"/>
  <c r="B396" i="12" s="1"/>
  <c r="B401" i="12" s="1"/>
  <c r="B406" i="12" s="1"/>
  <c r="B411" i="12" s="1"/>
  <c r="B416" i="12" s="1"/>
  <c r="B421" i="12" s="1"/>
  <c r="B426" i="12" s="1"/>
  <c r="B431" i="12" s="1"/>
  <c r="B436" i="12" s="1"/>
  <c r="B441" i="12" s="1"/>
  <c r="B446" i="12" s="1"/>
  <c r="B451" i="12" s="1"/>
  <c r="B456" i="12" s="1"/>
  <c r="B461" i="12" s="1"/>
  <c r="B466" i="12" s="1"/>
  <c r="B471" i="12" s="1"/>
  <c r="B476" i="12" s="1"/>
  <c r="B481" i="12" s="1"/>
  <c r="B486" i="12" s="1"/>
  <c r="B491" i="12" s="1"/>
  <c r="B496" i="12" s="1"/>
  <c r="B501" i="12" s="1"/>
  <c r="B506" i="12" s="1"/>
  <c r="B511" i="12" s="1"/>
  <c r="B516" i="12" s="1"/>
  <c r="B521" i="12" s="1"/>
  <c r="B526" i="12" s="1"/>
  <c r="B531" i="12" s="1"/>
  <c r="B536" i="12" s="1"/>
  <c r="B541" i="12" s="1"/>
  <c r="B546" i="12" s="1"/>
  <c r="B551" i="12" s="1"/>
  <c r="B556" i="12" s="1"/>
  <c r="B561" i="12" s="1"/>
  <c r="B566" i="12" s="1"/>
  <c r="B571" i="12" s="1"/>
  <c r="B576" i="12" s="1"/>
  <c r="B581" i="12" s="1"/>
  <c r="B586" i="12" s="1"/>
  <c r="B591" i="12" s="1"/>
  <c r="B596" i="12" s="1"/>
  <c r="B601" i="12" s="1"/>
  <c r="B606" i="12" s="1"/>
  <c r="B611" i="12" s="1"/>
  <c r="B616" i="12" s="1"/>
  <c r="B621" i="12" s="1"/>
  <c r="B626" i="12" s="1"/>
  <c r="B631" i="12" s="1"/>
  <c r="B636" i="12" s="1"/>
  <c r="B641" i="12" s="1"/>
  <c r="B646" i="12" s="1"/>
  <c r="B651" i="12" s="1"/>
  <c r="B656" i="12" s="1"/>
  <c r="B661" i="12" s="1"/>
  <c r="B666" i="12" s="1"/>
  <c r="B671" i="12" s="1"/>
  <c r="B676" i="12" s="1"/>
  <c r="B681" i="12" s="1"/>
  <c r="B686" i="12" s="1"/>
  <c r="B691" i="12" s="1"/>
  <c r="B696" i="12" s="1"/>
  <c r="B701" i="12" s="1"/>
  <c r="B706" i="12" s="1"/>
  <c r="B711" i="12" s="1"/>
  <c r="B716" i="12" s="1"/>
  <c r="B721" i="12" s="1"/>
  <c r="B726" i="12" s="1"/>
  <c r="B731" i="12" s="1"/>
  <c r="B736" i="12" s="1"/>
  <c r="B741" i="12" s="1"/>
  <c r="B746" i="12" s="1"/>
  <c r="B751" i="12" s="1"/>
  <c r="B756" i="12" s="1"/>
  <c r="B761" i="12" s="1"/>
  <c r="B766" i="12" s="1"/>
  <c r="B771" i="12" s="1"/>
  <c r="B776" i="12" s="1"/>
  <c r="B781" i="12" s="1"/>
  <c r="B786" i="12" s="1"/>
  <c r="B791" i="12" s="1"/>
  <c r="B796" i="12" s="1"/>
  <c r="B801" i="12" s="1"/>
  <c r="B806" i="12" s="1"/>
  <c r="B811" i="12" s="1"/>
  <c r="B816" i="12" s="1"/>
  <c r="B821" i="12" s="1"/>
  <c r="B826" i="12" s="1"/>
  <c r="B831" i="12" s="1"/>
  <c r="B836" i="12" s="1"/>
  <c r="B841" i="12" s="1"/>
  <c r="B846" i="12" s="1"/>
  <c r="B851" i="12" s="1"/>
  <c r="B856" i="12" s="1"/>
  <c r="B861" i="12" s="1"/>
  <c r="B866" i="12" s="1"/>
  <c r="B871" i="12" s="1"/>
  <c r="B876" i="12" s="1"/>
  <c r="B881" i="12" s="1"/>
  <c r="B886" i="12" s="1"/>
  <c r="B891" i="12" s="1"/>
  <c r="B896" i="12" s="1"/>
  <c r="B901" i="12" s="1"/>
  <c r="B906" i="12" s="1"/>
  <c r="B911" i="12" s="1"/>
  <c r="B916" i="12" s="1"/>
  <c r="B921" i="12" s="1"/>
  <c r="B926" i="12" s="1"/>
  <c r="B931" i="12" s="1"/>
  <c r="B936" i="12" s="1"/>
  <c r="B941" i="12" s="1"/>
  <c r="B946" i="12" s="1"/>
  <c r="B951" i="12" s="1"/>
  <c r="B956" i="12" s="1"/>
  <c r="B961" i="12" s="1"/>
  <c r="B966" i="12" s="1"/>
  <c r="B971" i="12" s="1"/>
  <c r="B976" i="12" s="1"/>
  <c r="B981" i="12" s="1"/>
  <c r="B986" i="12" s="1"/>
  <c r="B991" i="12" s="1"/>
  <c r="B996" i="12" s="1"/>
  <c r="B1001" i="12" s="1"/>
  <c r="B1006" i="12" s="1"/>
  <c r="B1011" i="12" s="1"/>
  <c r="B1016" i="12" s="1"/>
  <c r="B1021" i="12" s="1"/>
  <c r="B1026" i="12" s="1"/>
  <c r="B1031" i="12" s="1"/>
  <c r="B1036" i="12" s="1"/>
  <c r="B1041" i="12" s="1"/>
  <c r="B1046" i="12" s="1"/>
  <c r="B1051" i="12" s="1"/>
  <c r="B1056" i="12" s="1"/>
  <c r="B1061" i="12" s="1"/>
  <c r="B1066" i="12" s="1"/>
  <c r="B1071" i="12" s="1"/>
  <c r="B1076" i="12" s="1"/>
  <c r="B1081" i="12" s="1"/>
  <c r="B1086" i="12" s="1"/>
  <c r="B1091" i="12" s="1"/>
  <c r="B1096" i="12" s="1"/>
  <c r="B1101" i="12" s="1"/>
  <c r="B1106" i="12" s="1"/>
  <c r="B1111" i="12" s="1"/>
  <c r="B1116" i="12" s="1"/>
  <c r="B1121" i="12" s="1"/>
  <c r="B1126" i="12" s="1"/>
  <c r="B1131" i="12" s="1"/>
  <c r="B1136" i="12" s="1"/>
  <c r="B1141" i="12" s="1"/>
  <c r="B1146" i="12" s="1"/>
  <c r="B1151" i="12" s="1"/>
  <c r="B1156" i="12" s="1"/>
  <c r="B1161" i="12" s="1"/>
  <c r="B1166" i="12" s="1"/>
  <c r="B1171" i="12" s="1"/>
  <c r="B1176" i="12" s="1"/>
  <c r="B1181" i="12" s="1"/>
  <c r="B1186" i="12" s="1"/>
  <c r="B1191" i="12" s="1"/>
  <c r="B1196" i="12" s="1"/>
  <c r="B1201" i="12" s="1"/>
  <c r="B1206" i="12" s="1"/>
  <c r="B1211" i="12" s="1"/>
  <c r="B1216" i="12" s="1"/>
  <c r="B1221" i="12" s="1"/>
  <c r="B1226" i="12" s="1"/>
  <c r="B1231" i="12" s="1"/>
  <c r="B1236" i="12" s="1"/>
  <c r="B1241" i="12" s="1"/>
  <c r="B1246" i="12" s="1"/>
  <c r="B1251" i="12" s="1"/>
  <c r="B1256" i="12" s="1"/>
  <c r="B1261" i="12" s="1"/>
  <c r="B1266" i="12" s="1"/>
  <c r="B1271" i="12" s="1"/>
  <c r="B1276" i="12" s="1"/>
  <c r="B1281" i="12" s="1"/>
  <c r="B1286" i="12" s="1"/>
  <c r="B1291" i="12" s="1"/>
  <c r="B1296" i="12" s="1"/>
  <c r="B1301" i="12" s="1"/>
  <c r="B1306" i="12" s="1"/>
  <c r="B1311" i="12" s="1"/>
  <c r="B1316" i="12" s="1"/>
  <c r="B1321" i="12" s="1"/>
  <c r="B1326" i="12" s="1"/>
  <c r="B1331" i="12" s="1"/>
  <c r="B1336" i="12" s="1"/>
  <c r="B1341" i="12" s="1"/>
  <c r="B1346" i="12" s="1"/>
  <c r="B1351" i="12" s="1"/>
  <c r="B1356" i="12" s="1"/>
  <c r="B1361" i="12" s="1"/>
  <c r="B1366" i="12" s="1"/>
  <c r="B1371" i="12" s="1"/>
  <c r="B1376" i="12" s="1"/>
  <c r="B1381" i="12" s="1"/>
  <c r="B1386" i="12" s="1"/>
  <c r="B1391" i="12" s="1"/>
  <c r="B1396" i="12" s="1"/>
  <c r="B1401" i="12" s="1"/>
  <c r="B1406" i="12" s="1"/>
  <c r="B1411" i="12" s="1"/>
  <c r="B1416" i="12" s="1"/>
  <c r="B1421" i="12" s="1"/>
  <c r="B1426" i="12" s="1"/>
  <c r="B1431" i="12" s="1"/>
  <c r="B1436" i="12" s="1"/>
  <c r="B1441" i="12" s="1"/>
  <c r="B1446" i="12" s="1"/>
  <c r="B1451" i="12" s="1"/>
  <c r="B1456" i="12" s="1"/>
  <c r="B1461" i="12" s="1"/>
  <c r="B1466" i="12" s="1"/>
  <c r="B1471" i="12" s="1"/>
  <c r="B1476" i="12" s="1"/>
  <c r="B1481" i="12" s="1"/>
  <c r="B1486" i="12" s="1"/>
  <c r="B1491" i="12" s="1"/>
  <c r="B1496" i="12" s="1"/>
  <c r="B1501" i="12" s="1"/>
  <c r="B1506" i="12" s="1"/>
  <c r="B1511" i="12" s="1"/>
  <c r="B1516" i="12" s="1"/>
  <c r="B1521" i="12" s="1"/>
  <c r="B1526" i="12" s="1"/>
  <c r="B1531" i="12" s="1"/>
  <c r="B1536" i="12" s="1"/>
  <c r="B1541" i="12" s="1"/>
  <c r="B1546" i="12" s="1"/>
  <c r="B1551" i="12" s="1"/>
  <c r="B1556" i="12" s="1"/>
  <c r="B1561" i="12" s="1"/>
  <c r="B1566" i="12" s="1"/>
  <c r="B1571" i="12" s="1"/>
  <c r="B1576" i="12" s="1"/>
  <c r="B1581" i="12" s="1"/>
  <c r="B1586" i="12" s="1"/>
  <c r="B1591" i="12" s="1"/>
  <c r="B1596" i="12" s="1"/>
  <c r="B1601" i="12" s="1"/>
  <c r="B1606" i="12" s="1"/>
  <c r="B1611" i="12" s="1"/>
  <c r="B1616" i="12" s="1"/>
  <c r="B1621" i="12" s="1"/>
  <c r="B1626" i="12" s="1"/>
  <c r="B1631" i="12" s="1"/>
  <c r="B1636" i="12" s="1"/>
  <c r="B1641" i="12" s="1"/>
  <c r="B1646" i="12" s="1"/>
  <c r="B1651" i="12" s="1"/>
  <c r="B1656" i="12" s="1"/>
  <c r="B1661" i="12" s="1"/>
  <c r="B1666" i="12" s="1"/>
  <c r="B1671" i="12" s="1"/>
  <c r="B1676" i="12" s="1"/>
  <c r="B1681" i="12" s="1"/>
  <c r="B1686" i="12" s="1"/>
  <c r="B1691" i="12" s="1"/>
  <c r="B1696" i="12" s="1"/>
  <c r="B1701" i="12" s="1"/>
  <c r="B1706" i="12" s="1"/>
  <c r="B1711" i="12" s="1"/>
  <c r="B1716" i="12" s="1"/>
  <c r="B1721" i="12" s="1"/>
  <c r="B1726" i="12" s="1"/>
  <c r="B1731" i="12" s="1"/>
  <c r="B1736" i="12" s="1"/>
  <c r="B1741" i="12" s="1"/>
  <c r="B1746" i="12" s="1"/>
  <c r="B1751" i="12" s="1"/>
  <c r="B1756" i="12" s="1"/>
  <c r="B1761" i="12" s="1"/>
  <c r="B1766" i="12" s="1"/>
  <c r="B1771" i="12" s="1"/>
  <c r="B1776" i="12" s="1"/>
  <c r="B1781" i="12" s="1"/>
  <c r="B1786" i="12" s="1"/>
  <c r="B1791" i="12" s="1"/>
  <c r="B1796" i="12" s="1"/>
  <c r="B1801" i="12" s="1"/>
  <c r="B1806" i="12" s="1"/>
  <c r="B1811" i="12" s="1"/>
  <c r="B1816" i="12" s="1"/>
  <c r="B1821" i="12" s="1"/>
  <c r="B1826" i="12" s="1"/>
  <c r="B1831" i="12" s="1"/>
  <c r="B1836" i="12" s="1"/>
  <c r="B1841" i="12" s="1"/>
  <c r="B1846" i="12" s="1"/>
  <c r="B1851" i="12" s="1"/>
  <c r="B1856" i="12" s="1"/>
  <c r="B1861" i="12" s="1"/>
  <c r="B1866" i="12" s="1"/>
  <c r="B1871" i="12" s="1"/>
  <c r="B1876" i="12" s="1"/>
  <c r="B1881" i="12" s="1"/>
  <c r="B1886" i="12" s="1"/>
  <c r="B1891" i="12" s="1"/>
  <c r="B1896" i="12" s="1"/>
  <c r="B1901" i="12" s="1"/>
  <c r="B1906" i="12" s="1"/>
  <c r="B1911" i="12" s="1"/>
  <c r="B1916" i="12" s="1"/>
  <c r="B1921" i="12" s="1"/>
  <c r="B1926" i="12" s="1"/>
  <c r="B1931" i="12" s="1"/>
  <c r="B1936" i="12" s="1"/>
  <c r="B1941" i="12" s="1"/>
  <c r="B1946" i="12" s="1"/>
  <c r="B1951" i="12" s="1"/>
  <c r="B1956" i="12" s="1"/>
  <c r="B1961" i="12" s="1"/>
  <c r="B1966" i="12" s="1"/>
  <c r="B1971" i="12" s="1"/>
  <c r="B1976" i="12" s="1"/>
  <c r="B1981" i="12" s="1"/>
  <c r="B1986" i="12" s="1"/>
  <c r="B1991" i="12" s="1"/>
  <c r="B1996" i="12" s="1"/>
  <c r="B2001" i="12" s="1"/>
  <c r="B2006" i="12" s="1"/>
  <c r="B2011" i="12" s="1"/>
  <c r="B2016" i="12" s="1"/>
  <c r="B2021" i="12" s="1"/>
  <c r="B2026" i="12" s="1"/>
  <c r="B2031" i="12" s="1"/>
  <c r="B2036" i="12" s="1"/>
  <c r="B2041" i="12" s="1"/>
  <c r="B2046" i="12" s="1"/>
  <c r="B2051" i="12" s="1"/>
  <c r="B2056" i="12" s="1"/>
  <c r="B2061" i="12" s="1"/>
  <c r="B2066" i="12" s="1"/>
  <c r="B2071" i="12" s="1"/>
  <c r="B2076" i="12" s="1"/>
  <c r="B2081" i="12" s="1"/>
  <c r="B2086" i="12" s="1"/>
  <c r="B2091" i="12" s="1"/>
  <c r="B2096" i="12" s="1"/>
  <c r="B2101" i="12" s="1"/>
  <c r="B2106" i="12" s="1"/>
  <c r="B2111" i="12" s="1"/>
  <c r="B2116" i="12" s="1"/>
  <c r="B2121" i="12" s="1"/>
  <c r="B2126" i="12" s="1"/>
  <c r="B2131" i="12" s="1"/>
  <c r="B2136" i="12" s="1"/>
  <c r="B2141" i="12" s="1"/>
  <c r="B2146" i="12" s="1"/>
  <c r="B2151" i="12" s="1"/>
  <c r="B2156" i="12" s="1"/>
  <c r="B2161" i="12" s="1"/>
  <c r="B2166" i="12" s="1"/>
  <c r="B2171" i="12" s="1"/>
  <c r="B2176" i="12" s="1"/>
  <c r="B2181" i="12" s="1"/>
  <c r="B2186" i="12" s="1"/>
  <c r="B2191" i="12" s="1"/>
  <c r="B2196" i="12" s="1"/>
  <c r="B2201" i="12" s="1"/>
  <c r="B2206" i="12" s="1"/>
  <c r="B2211" i="12" s="1"/>
  <c r="B2216" i="12" s="1"/>
  <c r="B2221" i="12" s="1"/>
  <c r="B2226" i="12" s="1"/>
  <c r="B2231" i="12" s="1"/>
  <c r="B2236" i="12" s="1"/>
  <c r="B2241" i="12" s="1"/>
  <c r="B2246" i="12" s="1"/>
  <c r="B2251" i="12" s="1"/>
  <c r="B2256" i="12" s="1"/>
  <c r="B2261" i="12" s="1"/>
  <c r="B2266" i="12" s="1"/>
  <c r="B2271" i="12" s="1"/>
  <c r="B2276" i="12" s="1"/>
  <c r="B2281" i="12" s="1"/>
  <c r="B2286" i="12" s="1"/>
  <c r="B2291" i="12" s="1"/>
  <c r="B2296" i="12" s="1"/>
  <c r="B2301" i="12" s="1"/>
  <c r="B2306" i="12" s="1"/>
  <c r="B2311" i="12" s="1"/>
  <c r="B2316" i="12" s="1"/>
  <c r="B2321" i="12" s="1"/>
  <c r="B2326" i="12" s="1"/>
  <c r="B2331" i="12" s="1"/>
  <c r="B2336" i="12" s="1"/>
  <c r="B2341" i="12" s="1"/>
  <c r="B2346" i="12" s="1"/>
  <c r="B2351" i="12" s="1"/>
  <c r="B2356" i="12" s="1"/>
  <c r="B2361" i="12" s="1"/>
  <c r="B2366" i="12" s="1"/>
  <c r="B2371" i="12" s="1"/>
  <c r="B2376" i="12" s="1"/>
  <c r="B2381" i="12" s="1"/>
  <c r="B2386" i="12" s="1"/>
  <c r="B2391" i="12" s="1"/>
  <c r="B2396" i="12" s="1"/>
  <c r="B2401" i="12" s="1"/>
  <c r="B2406" i="12" s="1"/>
  <c r="B2411" i="12" s="1"/>
  <c r="B2416" i="12" s="1"/>
  <c r="B2421" i="12" s="1"/>
  <c r="B2426" i="12" s="1"/>
  <c r="B2431" i="12" s="1"/>
  <c r="B2436" i="12" s="1"/>
  <c r="B2441" i="12" s="1"/>
  <c r="B2446" i="12" s="1"/>
  <c r="B2451" i="12" s="1"/>
  <c r="B2456" i="12" s="1"/>
  <c r="B2461" i="12" s="1"/>
  <c r="B2466" i="12" s="1"/>
  <c r="B2471" i="12" s="1"/>
  <c r="B2476" i="12" s="1"/>
  <c r="B2481" i="12" s="1"/>
  <c r="B2486" i="12" s="1"/>
  <c r="B2491" i="12" s="1"/>
  <c r="B2496" i="12" s="1"/>
  <c r="B2501" i="12" s="1"/>
  <c r="B2506" i="12" s="1"/>
  <c r="B2511" i="12" s="1"/>
  <c r="B2516" i="12" s="1"/>
  <c r="B19" i="12"/>
  <c r="B18" i="12"/>
  <c r="B23" i="12" s="1"/>
  <c r="B28" i="12" s="1"/>
  <c r="B33" i="12" s="1"/>
  <c r="B38" i="12" s="1"/>
  <c r="B43" i="12" s="1"/>
  <c r="B48" i="12" s="1"/>
  <c r="B53" i="12" s="1"/>
  <c r="B58" i="12" s="1"/>
  <c r="B63" i="12" s="1"/>
  <c r="B68" i="12" s="1"/>
  <c r="B73" i="12" s="1"/>
  <c r="B78" i="12" s="1"/>
  <c r="B83" i="12" s="1"/>
  <c r="B88" i="12" s="1"/>
  <c r="B93" i="12" s="1"/>
  <c r="B98" i="12" s="1"/>
  <c r="B103" i="12" s="1"/>
  <c r="B108" i="12" s="1"/>
  <c r="B113" i="12" s="1"/>
  <c r="B118" i="12" s="1"/>
  <c r="B123" i="12" s="1"/>
  <c r="B128" i="12" s="1"/>
  <c r="B133" i="12" s="1"/>
  <c r="B138" i="12" s="1"/>
  <c r="B143" i="12" s="1"/>
  <c r="B148" i="12" s="1"/>
  <c r="B153" i="12" s="1"/>
  <c r="B158" i="12" s="1"/>
  <c r="B163" i="12" s="1"/>
  <c r="B168" i="12" s="1"/>
  <c r="B173" i="12" s="1"/>
  <c r="B178" i="12" s="1"/>
  <c r="B183" i="12" s="1"/>
  <c r="B188" i="12" s="1"/>
  <c r="B193" i="12" s="1"/>
  <c r="B198" i="12" s="1"/>
  <c r="B203" i="12" s="1"/>
  <c r="B208" i="12" s="1"/>
  <c r="B213" i="12" s="1"/>
  <c r="B218" i="12" s="1"/>
  <c r="B223" i="12" s="1"/>
  <c r="B228" i="12" s="1"/>
  <c r="B233" i="12" s="1"/>
  <c r="B238" i="12" s="1"/>
  <c r="B243" i="12" s="1"/>
  <c r="B248" i="12" s="1"/>
  <c r="B253" i="12" s="1"/>
  <c r="B258" i="12" s="1"/>
  <c r="B263" i="12" s="1"/>
  <c r="B268" i="12" s="1"/>
  <c r="B273" i="12" s="1"/>
  <c r="B278" i="12" s="1"/>
  <c r="B283" i="12" s="1"/>
  <c r="B288" i="12" s="1"/>
  <c r="B293" i="12" s="1"/>
  <c r="B298" i="12" s="1"/>
  <c r="B303" i="12" s="1"/>
  <c r="B308" i="12" s="1"/>
  <c r="B313" i="12" s="1"/>
  <c r="B318" i="12" s="1"/>
  <c r="B323" i="12" s="1"/>
  <c r="B328" i="12" s="1"/>
  <c r="B333" i="12" s="1"/>
  <c r="B338" i="12" s="1"/>
  <c r="B343" i="12" s="1"/>
  <c r="B348" i="12" s="1"/>
  <c r="B353" i="12" s="1"/>
  <c r="B358" i="12" s="1"/>
  <c r="B363" i="12" s="1"/>
  <c r="B368" i="12" s="1"/>
  <c r="B373" i="12" s="1"/>
  <c r="B378" i="12" s="1"/>
  <c r="B383" i="12" s="1"/>
  <c r="B388" i="12" s="1"/>
  <c r="B393" i="12" s="1"/>
  <c r="B398" i="12" s="1"/>
  <c r="B403" i="12" s="1"/>
  <c r="B408" i="12" s="1"/>
  <c r="B413" i="12" s="1"/>
  <c r="B418" i="12" s="1"/>
  <c r="B423" i="12" s="1"/>
  <c r="B428" i="12" s="1"/>
  <c r="B433" i="12" s="1"/>
  <c r="B438" i="12" s="1"/>
  <c r="B443" i="12" s="1"/>
  <c r="B448" i="12" s="1"/>
  <c r="B453" i="12" s="1"/>
  <c r="B458" i="12" s="1"/>
  <c r="B463" i="12" s="1"/>
  <c r="B468" i="12" s="1"/>
  <c r="B473" i="12" s="1"/>
  <c r="B478" i="12" s="1"/>
  <c r="B483" i="12" s="1"/>
  <c r="B488" i="12" s="1"/>
  <c r="B493" i="12" s="1"/>
  <c r="B498" i="12" s="1"/>
  <c r="B503" i="12" s="1"/>
  <c r="B508" i="12" s="1"/>
  <c r="B513" i="12" s="1"/>
  <c r="B518" i="12" s="1"/>
  <c r="B523" i="12" s="1"/>
  <c r="B528" i="12" s="1"/>
  <c r="B533" i="12" s="1"/>
  <c r="B538" i="12" s="1"/>
  <c r="B543" i="12" s="1"/>
  <c r="B548" i="12" s="1"/>
  <c r="B553" i="12" s="1"/>
  <c r="B558" i="12" s="1"/>
  <c r="B563" i="12" s="1"/>
  <c r="B568" i="12" s="1"/>
  <c r="B573" i="12" s="1"/>
  <c r="B578" i="12" s="1"/>
  <c r="B583" i="12" s="1"/>
  <c r="B588" i="12" s="1"/>
  <c r="B593" i="12" s="1"/>
  <c r="B598" i="12" s="1"/>
  <c r="B603" i="12" s="1"/>
  <c r="B608" i="12" s="1"/>
  <c r="B613" i="12" s="1"/>
  <c r="B618" i="12" s="1"/>
  <c r="B623" i="12" s="1"/>
  <c r="B628" i="12" s="1"/>
  <c r="B633" i="12" s="1"/>
  <c r="B638" i="12" s="1"/>
  <c r="B643" i="12" s="1"/>
  <c r="B648" i="12" s="1"/>
  <c r="B653" i="12" s="1"/>
  <c r="B658" i="12" s="1"/>
  <c r="B663" i="12" s="1"/>
  <c r="B668" i="12" s="1"/>
  <c r="B673" i="12" s="1"/>
  <c r="B678" i="12" s="1"/>
  <c r="B683" i="12" s="1"/>
  <c r="B688" i="12" s="1"/>
  <c r="B693" i="12" s="1"/>
  <c r="B698" i="12" s="1"/>
  <c r="B703" i="12" s="1"/>
  <c r="B708" i="12" s="1"/>
  <c r="B713" i="12" s="1"/>
  <c r="B718" i="12" s="1"/>
  <c r="B723" i="12" s="1"/>
  <c r="B728" i="12" s="1"/>
  <c r="B733" i="12" s="1"/>
  <c r="B738" i="12" s="1"/>
  <c r="B743" i="12" s="1"/>
  <c r="B748" i="12" s="1"/>
  <c r="B753" i="12" s="1"/>
  <c r="B758" i="12" s="1"/>
  <c r="B763" i="12" s="1"/>
  <c r="B768" i="12" s="1"/>
  <c r="B773" i="12" s="1"/>
  <c r="B778" i="12" s="1"/>
  <c r="B783" i="12" s="1"/>
  <c r="B788" i="12" s="1"/>
  <c r="B793" i="12" s="1"/>
  <c r="B798" i="12" s="1"/>
  <c r="B803" i="12" s="1"/>
  <c r="B808" i="12" s="1"/>
  <c r="B813" i="12" s="1"/>
  <c r="B818" i="12" s="1"/>
  <c r="B823" i="12" s="1"/>
  <c r="B828" i="12" s="1"/>
  <c r="B833" i="12" s="1"/>
  <c r="B838" i="12" s="1"/>
  <c r="B843" i="12" s="1"/>
  <c r="B848" i="12" s="1"/>
  <c r="B853" i="12" s="1"/>
  <c r="B858" i="12" s="1"/>
  <c r="B863" i="12" s="1"/>
  <c r="B868" i="12" s="1"/>
  <c r="B873" i="12" s="1"/>
  <c r="B878" i="12" s="1"/>
  <c r="B883" i="12" s="1"/>
  <c r="B888" i="12" s="1"/>
  <c r="B893" i="12" s="1"/>
  <c r="B898" i="12" s="1"/>
  <c r="B903" i="12" s="1"/>
  <c r="B908" i="12" s="1"/>
  <c r="B913" i="12" s="1"/>
  <c r="B918" i="12" s="1"/>
  <c r="B923" i="12" s="1"/>
  <c r="B928" i="12" s="1"/>
  <c r="B933" i="12" s="1"/>
  <c r="B938" i="12" s="1"/>
  <c r="B943" i="12" s="1"/>
  <c r="B948" i="12" s="1"/>
  <c r="B953" i="12" s="1"/>
  <c r="B958" i="12" s="1"/>
  <c r="B963" i="12" s="1"/>
  <c r="B968" i="12" s="1"/>
  <c r="B973" i="12" s="1"/>
  <c r="B978" i="12" s="1"/>
  <c r="B983" i="12" s="1"/>
  <c r="B988" i="12" s="1"/>
  <c r="B993" i="12" s="1"/>
  <c r="B998" i="12" s="1"/>
  <c r="B1003" i="12" s="1"/>
  <c r="B1008" i="12" s="1"/>
  <c r="B1013" i="12" s="1"/>
  <c r="B1018" i="12" s="1"/>
  <c r="B1023" i="12" s="1"/>
  <c r="B1028" i="12" s="1"/>
  <c r="B1033" i="12" s="1"/>
  <c r="B1038" i="12" s="1"/>
  <c r="B1043" i="12" s="1"/>
  <c r="B1048" i="12" s="1"/>
  <c r="B1053" i="12" s="1"/>
  <c r="B1058" i="12" s="1"/>
  <c r="B1063" i="12" s="1"/>
  <c r="B1068" i="12" s="1"/>
  <c r="B1073" i="12" s="1"/>
  <c r="B1078" i="12" s="1"/>
  <c r="B1083" i="12" s="1"/>
  <c r="B1088" i="12" s="1"/>
  <c r="B1093" i="12" s="1"/>
  <c r="B1098" i="12" s="1"/>
  <c r="B1103" i="12" s="1"/>
  <c r="B1108" i="12" s="1"/>
  <c r="B1113" i="12" s="1"/>
  <c r="B1118" i="12" s="1"/>
  <c r="B1123" i="12" s="1"/>
  <c r="B1128" i="12" s="1"/>
  <c r="B1133" i="12" s="1"/>
  <c r="B1138" i="12" s="1"/>
  <c r="B1143" i="12" s="1"/>
  <c r="B1148" i="12" s="1"/>
  <c r="B1153" i="12" s="1"/>
  <c r="B1158" i="12" s="1"/>
  <c r="B1163" i="12" s="1"/>
  <c r="B1168" i="12" s="1"/>
  <c r="B1173" i="12" s="1"/>
  <c r="B1178" i="12" s="1"/>
  <c r="B1183" i="12" s="1"/>
  <c r="B1188" i="12" s="1"/>
  <c r="B1193" i="12" s="1"/>
  <c r="B1198" i="12" s="1"/>
  <c r="B1203" i="12" s="1"/>
  <c r="B1208" i="12" s="1"/>
  <c r="B1213" i="12" s="1"/>
  <c r="B1218" i="12" s="1"/>
  <c r="B1223" i="12" s="1"/>
  <c r="B1228" i="12" s="1"/>
  <c r="B1233" i="12" s="1"/>
  <c r="B1238" i="12" s="1"/>
  <c r="B1243" i="12" s="1"/>
  <c r="B1248" i="12" s="1"/>
  <c r="B1253" i="12" s="1"/>
  <c r="B1258" i="12" s="1"/>
  <c r="B1263" i="12" s="1"/>
  <c r="B1268" i="12" s="1"/>
  <c r="B1273" i="12" s="1"/>
  <c r="B1278" i="12" s="1"/>
  <c r="B1283" i="12" s="1"/>
  <c r="B1288" i="12" s="1"/>
  <c r="B1293" i="12" s="1"/>
  <c r="B1298" i="12" s="1"/>
  <c r="B1303" i="12" s="1"/>
  <c r="B1308" i="12" s="1"/>
  <c r="B1313" i="12" s="1"/>
  <c r="B1318" i="12" s="1"/>
  <c r="B1323" i="12" s="1"/>
  <c r="B1328" i="12" s="1"/>
  <c r="B1333" i="12" s="1"/>
  <c r="B1338" i="12" s="1"/>
  <c r="B1343" i="12" s="1"/>
  <c r="B1348" i="12" s="1"/>
  <c r="B1353" i="12" s="1"/>
  <c r="B1358" i="12" s="1"/>
  <c r="B1363" i="12" s="1"/>
  <c r="B1368" i="12" s="1"/>
  <c r="B1373" i="12" s="1"/>
  <c r="B1378" i="12" s="1"/>
  <c r="B1383" i="12" s="1"/>
  <c r="B1388" i="12" s="1"/>
  <c r="B1393" i="12" s="1"/>
  <c r="B1398" i="12" s="1"/>
  <c r="B1403" i="12" s="1"/>
  <c r="B1408" i="12" s="1"/>
  <c r="B1413" i="12" s="1"/>
  <c r="B1418" i="12" s="1"/>
  <c r="B1423" i="12" s="1"/>
  <c r="B1428" i="12" s="1"/>
  <c r="B1433" i="12" s="1"/>
  <c r="B1438" i="12" s="1"/>
  <c r="B1443" i="12" s="1"/>
  <c r="B1448" i="12" s="1"/>
  <c r="B1453" i="12" s="1"/>
  <c r="B1458" i="12" s="1"/>
  <c r="B1463" i="12" s="1"/>
  <c r="B1468" i="12" s="1"/>
  <c r="B1473" i="12" s="1"/>
  <c r="B1478" i="12" s="1"/>
  <c r="B1483" i="12" s="1"/>
  <c r="B1488" i="12" s="1"/>
  <c r="B1493" i="12" s="1"/>
  <c r="B1498" i="12" s="1"/>
  <c r="B1503" i="12" s="1"/>
  <c r="B1508" i="12" s="1"/>
  <c r="B1513" i="12" s="1"/>
  <c r="B1518" i="12" s="1"/>
  <c r="B1523" i="12" s="1"/>
  <c r="B1528" i="12" s="1"/>
  <c r="B1533" i="12" s="1"/>
  <c r="B1538" i="12" s="1"/>
  <c r="B1543" i="12" s="1"/>
  <c r="B1548" i="12" s="1"/>
  <c r="B1553" i="12" s="1"/>
  <c r="B1558" i="12" s="1"/>
  <c r="B1563" i="12" s="1"/>
  <c r="B1568" i="12" s="1"/>
  <c r="B1573" i="12" s="1"/>
  <c r="B1578" i="12" s="1"/>
  <c r="B1583" i="12" s="1"/>
  <c r="B1588" i="12" s="1"/>
  <c r="B1593" i="12" s="1"/>
  <c r="B1598" i="12" s="1"/>
  <c r="B1603" i="12" s="1"/>
  <c r="B1608" i="12" s="1"/>
  <c r="B1613" i="12" s="1"/>
  <c r="B1618" i="12" s="1"/>
  <c r="B1623" i="12" s="1"/>
  <c r="B1628" i="12" s="1"/>
  <c r="B1633" i="12" s="1"/>
  <c r="B1638" i="12" s="1"/>
  <c r="B1643" i="12" s="1"/>
  <c r="B1648" i="12" s="1"/>
  <c r="B1653" i="12" s="1"/>
  <c r="B1658" i="12" s="1"/>
  <c r="B1663" i="12" s="1"/>
  <c r="B1668" i="12" s="1"/>
  <c r="B1673" i="12" s="1"/>
  <c r="B1678" i="12" s="1"/>
  <c r="B1683" i="12" s="1"/>
  <c r="B1688" i="12" s="1"/>
  <c r="B1693" i="12" s="1"/>
  <c r="B1698" i="12" s="1"/>
  <c r="B1703" i="12" s="1"/>
  <c r="B1708" i="12" s="1"/>
  <c r="B1713" i="12" s="1"/>
  <c r="B1718" i="12" s="1"/>
  <c r="B1723" i="12" s="1"/>
  <c r="B1728" i="12" s="1"/>
  <c r="B1733" i="12" s="1"/>
  <c r="B1738" i="12" s="1"/>
  <c r="B1743" i="12" s="1"/>
  <c r="B1748" i="12" s="1"/>
  <c r="B1753" i="12" s="1"/>
  <c r="B1758" i="12" s="1"/>
  <c r="B1763" i="12" s="1"/>
  <c r="B1768" i="12" s="1"/>
  <c r="B1773" i="12" s="1"/>
  <c r="B1778" i="12" s="1"/>
  <c r="B1783" i="12" s="1"/>
  <c r="B1788" i="12" s="1"/>
  <c r="B1793" i="12" s="1"/>
  <c r="B1798" i="12" s="1"/>
  <c r="B1803" i="12" s="1"/>
  <c r="B1808" i="12" s="1"/>
  <c r="B1813" i="12" s="1"/>
  <c r="B1818" i="12" s="1"/>
  <c r="B1823" i="12" s="1"/>
  <c r="B1828" i="12" s="1"/>
  <c r="B1833" i="12" s="1"/>
  <c r="B1838" i="12" s="1"/>
  <c r="B1843" i="12" s="1"/>
  <c r="B1848" i="12" s="1"/>
  <c r="B1853" i="12" s="1"/>
  <c r="B1858" i="12" s="1"/>
  <c r="B1863" i="12" s="1"/>
  <c r="B1868" i="12" s="1"/>
  <c r="B1873" i="12" s="1"/>
  <c r="B1878" i="12" s="1"/>
  <c r="B1883" i="12" s="1"/>
  <c r="B1888" i="12" s="1"/>
  <c r="B1893" i="12" s="1"/>
  <c r="B1898" i="12" s="1"/>
  <c r="B1903" i="12" s="1"/>
  <c r="B1908" i="12" s="1"/>
  <c r="B1913" i="12" s="1"/>
  <c r="B1918" i="12" s="1"/>
  <c r="B1923" i="12" s="1"/>
  <c r="B1928" i="12" s="1"/>
  <c r="B1933" i="12" s="1"/>
  <c r="B1938" i="12" s="1"/>
  <c r="B1943" i="12" s="1"/>
  <c r="B1948" i="12" s="1"/>
  <c r="B1953" i="12" s="1"/>
  <c r="B1958" i="12" s="1"/>
  <c r="B1963" i="12" s="1"/>
  <c r="B1968" i="12" s="1"/>
  <c r="B1973" i="12" s="1"/>
  <c r="B1978" i="12" s="1"/>
  <c r="B1983" i="12" s="1"/>
  <c r="B1988" i="12" s="1"/>
  <c r="B1993" i="12" s="1"/>
  <c r="B1998" i="12" s="1"/>
  <c r="B2003" i="12" s="1"/>
  <c r="B2008" i="12" s="1"/>
  <c r="B2013" i="12" s="1"/>
  <c r="B2018" i="12" s="1"/>
  <c r="B2023" i="12" s="1"/>
  <c r="B2028" i="12" s="1"/>
  <c r="B2033" i="12" s="1"/>
  <c r="B2038" i="12" s="1"/>
  <c r="B2043" i="12" s="1"/>
  <c r="B2048" i="12" s="1"/>
  <c r="B2053" i="12" s="1"/>
  <c r="B2058" i="12" s="1"/>
  <c r="B2063" i="12" s="1"/>
  <c r="B2068" i="12" s="1"/>
  <c r="B2073" i="12" s="1"/>
  <c r="B2078" i="12" s="1"/>
  <c r="B2083" i="12" s="1"/>
  <c r="B2088" i="12" s="1"/>
  <c r="B2093" i="12" s="1"/>
  <c r="B2098" i="12" s="1"/>
  <c r="B2103" i="12" s="1"/>
  <c r="B2108" i="12" s="1"/>
  <c r="B2113" i="12" s="1"/>
  <c r="B2118" i="12" s="1"/>
  <c r="B2123" i="12" s="1"/>
  <c r="B2128" i="12" s="1"/>
  <c r="B2133" i="12" s="1"/>
  <c r="B2138" i="12" s="1"/>
  <c r="B2143" i="12" s="1"/>
  <c r="B2148" i="12" s="1"/>
  <c r="B2153" i="12" s="1"/>
  <c r="B2158" i="12" s="1"/>
  <c r="B2163" i="12" s="1"/>
  <c r="B2168" i="12" s="1"/>
  <c r="B2173" i="12" s="1"/>
  <c r="B2178" i="12" s="1"/>
  <c r="B2183" i="12" s="1"/>
  <c r="B2188" i="12" s="1"/>
  <c r="B2193" i="12" s="1"/>
  <c r="B2198" i="12" s="1"/>
  <c r="B2203" i="12" s="1"/>
  <c r="B2208" i="12" s="1"/>
  <c r="B2213" i="12" s="1"/>
  <c r="B2218" i="12" s="1"/>
  <c r="B2223" i="12" s="1"/>
  <c r="B2228" i="12" s="1"/>
  <c r="B2233" i="12" s="1"/>
  <c r="B2238" i="12" s="1"/>
  <c r="B2243" i="12" s="1"/>
  <c r="B2248" i="12" s="1"/>
  <c r="B2253" i="12" s="1"/>
  <c r="B2258" i="12" s="1"/>
  <c r="B2263" i="12" s="1"/>
  <c r="B2268" i="12" s="1"/>
  <c r="B2273" i="12" s="1"/>
  <c r="B2278" i="12" s="1"/>
  <c r="B2283" i="12" s="1"/>
  <c r="B2288" i="12" s="1"/>
  <c r="B2293" i="12" s="1"/>
  <c r="B2298" i="12" s="1"/>
  <c r="B2303" i="12" s="1"/>
  <c r="B2308" i="12" s="1"/>
  <c r="B2313" i="12" s="1"/>
  <c r="B2318" i="12" s="1"/>
  <c r="B2323" i="12" s="1"/>
  <c r="B2328" i="12" s="1"/>
  <c r="B2333" i="12" s="1"/>
  <c r="B2338" i="12" s="1"/>
  <c r="B2343" i="12" s="1"/>
  <c r="B2348" i="12" s="1"/>
  <c r="B2353" i="12" s="1"/>
  <c r="B2358" i="12" s="1"/>
  <c r="B2363" i="12" s="1"/>
  <c r="B2368" i="12" s="1"/>
  <c r="B2373" i="12" s="1"/>
  <c r="B2378" i="12" s="1"/>
  <c r="B2383" i="12" s="1"/>
  <c r="B2388" i="12" s="1"/>
  <c r="B2393" i="12" s="1"/>
  <c r="B2398" i="12" s="1"/>
  <c r="B2403" i="12" s="1"/>
  <c r="B2408" i="12" s="1"/>
  <c r="B2413" i="12" s="1"/>
  <c r="B2418" i="12" s="1"/>
  <c r="B2423" i="12" s="1"/>
  <c r="B2428" i="12" s="1"/>
  <c r="B2433" i="12" s="1"/>
  <c r="B2438" i="12" s="1"/>
  <c r="B2443" i="12" s="1"/>
  <c r="B2448" i="12" s="1"/>
  <c r="B2453" i="12" s="1"/>
  <c r="B2458" i="12" s="1"/>
  <c r="B2463" i="12" s="1"/>
  <c r="B2468" i="12" s="1"/>
  <c r="B2473" i="12" s="1"/>
  <c r="B2478" i="12" s="1"/>
  <c r="B2483" i="12" s="1"/>
  <c r="B2488" i="12" s="1"/>
  <c r="B2493" i="12" s="1"/>
  <c r="B2498" i="12" s="1"/>
  <c r="B2503" i="12" s="1"/>
  <c r="B2508" i="12" s="1"/>
  <c r="B2513" i="12" s="1"/>
  <c r="B2518" i="12" s="1"/>
  <c r="B17" i="12"/>
  <c r="B16" i="12"/>
  <c r="B15" i="12"/>
  <c r="AA13" i="12"/>
  <c r="S13" i="12"/>
  <c r="K13" i="12"/>
  <c r="C13" i="12"/>
  <c r="AP16" i="12" l="1"/>
  <c r="AI16" i="12"/>
  <c r="AP17" i="12"/>
  <c r="AI17" i="12"/>
  <c r="AO14" i="12"/>
  <c r="AJ14" i="12"/>
  <c r="AH14" i="12"/>
  <c r="AQ14" i="12"/>
  <c r="AO18" i="12"/>
  <c r="AH18" i="12"/>
  <c r="B20" i="12"/>
  <c r="B25" i="12" s="1"/>
  <c r="B30" i="12" s="1"/>
  <c r="B35" i="12" s="1"/>
  <c r="B40" i="12" s="1"/>
  <c r="B45" i="12" s="1"/>
  <c r="B50" i="12" s="1"/>
  <c r="B55" i="12" s="1"/>
  <c r="B60" i="12" s="1"/>
  <c r="B65" i="12" s="1"/>
  <c r="B70" i="12" s="1"/>
  <c r="B75" i="12" s="1"/>
  <c r="B80" i="12" s="1"/>
  <c r="B85" i="12" s="1"/>
  <c r="B90" i="12" s="1"/>
  <c r="B95" i="12" s="1"/>
  <c r="B100" i="12" s="1"/>
  <c r="B105" i="12" s="1"/>
  <c r="B110" i="12" s="1"/>
  <c r="B115" i="12" s="1"/>
  <c r="B120" i="12" s="1"/>
  <c r="B125" i="12" s="1"/>
  <c r="B130" i="12" s="1"/>
  <c r="B135" i="12" s="1"/>
  <c r="B140" i="12" s="1"/>
  <c r="B145" i="12" s="1"/>
  <c r="B150" i="12" s="1"/>
  <c r="B155" i="12" s="1"/>
  <c r="B160" i="12" s="1"/>
  <c r="B165" i="12" s="1"/>
  <c r="B170" i="12" s="1"/>
  <c r="B175" i="12" s="1"/>
  <c r="B180" i="12" s="1"/>
  <c r="B185" i="12" s="1"/>
  <c r="B190" i="12" s="1"/>
  <c r="B195" i="12" s="1"/>
  <c r="B200" i="12" s="1"/>
  <c r="B205" i="12" s="1"/>
  <c r="B210" i="12" s="1"/>
  <c r="B215" i="12" s="1"/>
  <c r="B220" i="12" s="1"/>
  <c r="B225" i="12" s="1"/>
  <c r="B230" i="12" s="1"/>
  <c r="B235" i="12" s="1"/>
  <c r="B240" i="12" s="1"/>
  <c r="B245" i="12" s="1"/>
  <c r="B250" i="12" s="1"/>
  <c r="B255" i="12" s="1"/>
  <c r="B260" i="12" s="1"/>
  <c r="B265" i="12" s="1"/>
  <c r="B270" i="12" s="1"/>
  <c r="B275" i="12" s="1"/>
  <c r="B280" i="12" s="1"/>
  <c r="B285" i="12" s="1"/>
  <c r="B290" i="12" s="1"/>
  <c r="B295" i="12" s="1"/>
  <c r="B300" i="12" s="1"/>
  <c r="B305" i="12" s="1"/>
  <c r="B310" i="12" s="1"/>
  <c r="B315" i="12" s="1"/>
  <c r="B320" i="12" s="1"/>
  <c r="B325" i="12" s="1"/>
  <c r="B330" i="12" s="1"/>
  <c r="B335" i="12" s="1"/>
  <c r="B340" i="12" s="1"/>
  <c r="B345" i="12" s="1"/>
  <c r="B350" i="12" s="1"/>
  <c r="B355" i="12" s="1"/>
  <c r="B360" i="12" s="1"/>
  <c r="B365" i="12" s="1"/>
  <c r="B370" i="12" s="1"/>
  <c r="B375" i="12" s="1"/>
  <c r="B380" i="12" s="1"/>
  <c r="B385" i="12" s="1"/>
  <c r="B390" i="12" s="1"/>
  <c r="B395" i="12" s="1"/>
  <c r="B400" i="12" s="1"/>
  <c r="B405" i="12" s="1"/>
  <c r="B410" i="12" s="1"/>
  <c r="B415" i="12" s="1"/>
  <c r="B420" i="12" s="1"/>
  <c r="B425" i="12" s="1"/>
  <c r="B430" i="12" s="1"/>
  <c r="B435" i="12" s="1"/>
  <c r="B440" i="12" s="1"/>
  <c r="B445" i="12" s="1"/>
  <c r="B450" i="12" s="1"/>
  <c r="B455" i="12" s="1"/>
  <c r="B460" i="12" s="1"/>
  <c r="B465" i="12" s="1"/>
  <c r="B470" i="12" s="1"/>
  <c r="B475" i="12" s="1"/>
  <c r="B480" i="12" s="1"/>
  <c r="B485" i="12" s="1"/>
  <c r="B490" i="12" s="1"/>
  <c r="B495" i="12" s="1"/>
  <c r="B500" i="12" s="1"/>
  <c r="B505" i="12" s="1"/>
  <c r="B510" i="12" s="1"/>
  <c r="B515" i="12" s="1"/>
  <c r="B520" i="12" s="1"/>
  <c r="B525" i="12" s="1"/>
  <c r="B530" i="12" s="1"/>
  <c r="B535" i="12" s="1"/>
  <c r="B540" i="12" s="1"/>
  <c r="B545" i="12" s="1"/>
  <c r="B550" i="12" s="1"/>
  <c r="B555" i="12" s="1"/>
  <c r="B560" i="12" s="1"/>
  <c r="B565" i="12" s="1"/>
  <c r="B570" i="12" s="1"/>
  <c r="B575" i="12" s="1"/>
  <c r="B580" i="12" s="1"/>
  <c r="B585" i="12" s="1"/>
  <c r="B590" i="12" s="1"/>
  <c r="B595" i="12" s="1"/>
  <c r="B600" i="12" s="1"/>
  <c r="B605" i="12" s="1"/>
  <c r="B610" i="12" s="1"/>
  <c r="B615" i="12" s="1"/>
  <c r="B620" i="12" s="1"/>
  <c r="B625" i="12" s="1"/>
  <c r="B630" i="12" s="1"/>
  <c r="B635" i="12" s="1"/>
  <c r="B640" i="12" s="1"/>
  <c r="B645" i="12" s="1"/>
  <c r="B650" i="12" s="1"/>
  <c r="B655" i="12" s="1"/>
  <c r="B660" i="12" s="1"/>
  <c r="B665" i="12" s="1"/>
  <c r="B670" i="12" s="1"/>
  <c r="B675" i="12" s="1"/>
  <c r="B680" i="12" s="1"/>
  <c r="B685" i="12" s="1"/>
  <c r="B690" i="12" s="1"/>
  <c r="B695" i="12" s="1"/>
  <c r="B700" i="12" s="1"/>
  <c r="B705" i="12" s="1"/>
  <c r="B710" i="12" s="1"/>
  <c r="B715" i="12" s="1"/>
  <c r="B720" i="12" s="1"/>
  <c r="B725" i="12" s="1"/>
  <c r="B730" i="12" s="1"/>
  <c r="B735" i="12" s="1"/>
  <c r="B740" i="12" s="1"/>
  <c r="B745" i="12" s="1"/>
  <c r="B750" i="12" s="1"/>
  <c r="B755" i="12" s="1"/>
  <c r="B760" i="12" s="1"/>
  <c r="B765" i="12" s="1"/>
  <c r="B770" i="12" s="1"/>
  <c r="B775" i="12" s="1"/>
  <c r="B780" i="12" s="1"/>
  <c r="B785" i="12" s="1"/>
  <c r="B790" i="12" s="1"/>
  <c r="B795" i="12" s="1"/>
  <c r="B800" i="12" s="1"/>
  <c r="B805" i="12" s="1"/>
  <c r="B810" i="12" s="1"/>
  <c r="B815" i="12" s="1"/>
  <c r="B820" i="12" s="1"/>
  <c r="B825" i="12" s="1"/>
  <c r="B830" i="12" s="1"/>
  <c r="B835" i="12" s="1"/>
  <c r="B840" i="12" s="1"/>
  <c r="B845" i="12" s="1"/>
  <c r="B850" i="12" s="1"/>
  <c r="B855" i="12" s="1"/>
  <c r="B860" i="12" s="1"/>
  <c r="B865" i="12" s="1"/>
  <c r="B870" i="12" s="1"/>
  <c r="B875" i="12" s="1"/>
  <c r="B880" i="12" s="1"/>
  <c r="B885" i="12" s="1"/>
  <c r="B890" i="12" s="1"/>
  <c r="B895" i="12" s="1"/>
  <c r="B900" i="12" s="1"/>
  <c r="B905" i="12" s="1"/>
  <c r="B910" i="12" s="1"/>
  <c r="B915" i="12" s="1"/>
  <c r="B920" i="12" s="1"/>
  <c r="B925" i="12" s="1"/>
  <c r="B930" i="12" s="1"/>
  <c r="B935" i="12" s="1"/>
  <c r="B940" i="12" s="1"/>
  <c r="B945" i="12" s="1"/>
  <c r="B950" i="12" s="1"/>
  <c r="B955" i="12" s="1"/>
  <c r="B960" i="12" s="1"/>
  <c r="B965" i="12" s="1"/>
  <c r="B970" i="12" s="1"/>
  <c r="B975" i="12" s="1"/>
  <c r="B980" i="12" s="1"/>
  <c r="B985" i="12" s="1"/>
  <c r="B990" i="12" s="1"/>
  <c r="B995" i="12" s="1"/>
  <c r="B1000" i="12" s="1"/>
  <c r="B1005" i="12" s="1"/>
  <c r="B1010" i="12" s="1"/>
  <c r="B1015" i="12" s="1"/>
  <c r="B1020" i="12" s="1"/>
  <c r="B1025" i="12" s="1"/>
  <c r="B1030" i="12" s="1"/>
  <c r="B1035" i="12" s="1"/>
  <c r="B1040" i="12" s="1"/>
  <c r="B1045" i="12" s="1"/>
  <c r="B1050" i="12" s="1"/>
  <c r="B1055" i="12" s="1"/>
  <c r="B1060" i="12" s="1"/>
  <c r="B1065" i="12" s="1"/>
  <c r="B1070" i="12" s="1"/>
  <c r="B1075" i="12" s="1"/>
  <c r="B1080" i="12" s="1"/>
  <c r="B1085" i="12" s="1"/>
  <c r="B1090" i="12" s="1"/>
  <c r="B1095" i="12" s="1"/>
  <c r="B1100" i="12" s="1"/>
  <c r="B1105" i="12" s="1"/>
  <c r="B1110" i="12" s="1"/>
  <c r="B1115" i="12" s="1"/>
  <c r="B1120" i="12" s="1"/>
  <c r="B1125" i="12" s="1"/>
  <c r="B1130" i="12" s="1"/>
  <c r="B1135" i="12" s="1"/>
  <c r="B1140" i="12" s="1"/>
  <c r="B1145" i="12" s="1"/>
  <c r="B1150" i="12" s="1"/>
  <c r="B1155" i="12" s="1"/>
  <c r="B1160" i="12" s="1"/>
  <c r="B1165" i="12" s="1"/>
  <c r="B1170" i="12" s="1"/>
  <c r="B1175" i="12" s="1"/>
  <c r="B1180" i="12" s="1"/>
  <c r="B1185" i="12" s="1"/>
  <c r="B1190" i="12" s="1"/>
  <c r="B1195" i="12" s="1"/>
  <c r="B1200" i="12" s="1"/>
  <c r="B1205" i="12" s="1"/>
  <c r="B1210" i="12" s="1"/>
  <c r="B1215" i="12" s="1"/>
  <c r="B1220" i="12" s="1"/>
  <c r="B1225" i="12" s="1"/>
  <c r="B1230" i="12" s="1"/>
  <c r="B1235" i="12" s="1"/>
  <c r="B1240" i="12" s="1"/>
  <c r="B1245" i="12" s="1"/>
  <c r="B1250" i="12" s="1"/>
  <c r="B1255" i="12" s="1"/>
  <c r="B1260" i="12" s="1"/>
  <c r="B1265" i="12" s="1"/>
  <c r="B1270" i="12" s="1"/>
  <c r="B1275" i="12" s="1"/>
  <c r="B1280" i="12" s="1"/>
  <c r="B1285" i="12" s="1"/>
  <c r="B1290" i="12" s="1"/>
  <c r="B1295" i="12" s="1"/>
  <c r="B1300" i="12" s="1"/>
  <c r="B1305" i="12" s="1"/>
  <c r="B1310" i="12" s="1"/>
  <c r="B1315" i="12" s="1"/>
  <c r="B1320" i="12" s="1"/>
  <c r="B1325" i="12" s="1"/>
  <c r="B1330" i="12" s="1"/>
  <c r="B1335" i="12" s="1"/>
  <c r="B1340" i="12" s="1"/>
  <c r="B1345" i="12" s="1"/>
  <c r="B1350" i="12" s="1"/>
  <c r="B1355" i="12" s="1"/>
  <c r="B1360" i="12" s="1"/>
  <c r="B1365" i="12" s="1"/>
  <c r="B1370" i="12" s="1"/>
  <c r="B1375" i="12" s="1"/>
  <c r="B1380" i="12" s="1"/>
  <c r="B1385" i="12" s="1"/>
  <c r="B1390" i="12" s="1"/>
  <c r="B1395" i="12" s="1"/>
  <c r="B1400" i="12" s="1"/>
  <c r="B1405" i="12" s="1"/>
  <c r="B1410" i="12" s="1"/>
  <c r="B1415" i="12" s="1"/>
  <c r="B1420" i="12" s="1"/>
  <c r="B1425" i="12" s="1"/>
  <c r="B1430" i="12" s="1"/>
  <c r="B1435" i="12" s="1"/>
  <c r="B1440" i="12" s="1"/>
  <c r="B1445" i="12" s="1"/>
  <c r="B1450" i="12" s="1"/>
  <c r="B1455" i="12" s="1"/>
  <c r="B1460" i="12" s="1"/>
  <c r="B1465" i="12" s="1"/>
  <c r="B1470" i="12" s="1"/>
  <c r="B1475" i="12" s="1"/>
  <c r="B1480" i="12" s="1"/>
  <c r="B1485" i="12" s="1"/>
  <c r="B1490" i="12" s="1"/>
  <c r="B1495" i="12" s="1"/>
  <c r="B1500" i="12" s="1"/>
  <c r="B1505" i="12" s="1"/>
  <c r="B1510" i="12" s="1"/>
  <c r="B1515" i="12" s="1"/>
  <c r="B1520" i="12" s="1"/>
  <c r="B1525" i="12" s="1"/>
  <c r="B1530" i="12" s="1"/>
  <c r="B1535" i="12" s="1"/>
  <c r="B1540" i="12" s="1"/>
  <c r="B1545" i="12" s="1"/>
  <c r="B1550" i="12" s="1"/>
  <c r="B1555" i="12" s="1"/>
  <c r="B1560" i="12" s="1"/>
  <c r="B1565" i="12" s="1"/>
  <c r="B1570" i="12" s="1"/>
  <c r="B1575" i="12" s="1"/>
  <c r="B1580" i="12" s="1"/>
  <c r="B1585" i="12" s="1"/>
  <c r="B1590" i="12" s="1"/>
  <c r="B1595" i="12" s="1"/>
  <c r="B1600" i="12" s="1"/>
  <c r="B1605" i="12" s="1"/>
  <c r="B1610" i="12" s="1"/>
  <c r="B1615" i="12" s="1"/>
  <c r="B1620" i="12" s="1"/>
  <c r="B1625" i="12" s="1"/>
  <c r="B1630" i="12" s="1"/>
  <c r="B1635" i="12" s="1"/>
  <c r="B1640" i="12" s="1"/>
  <c r="B1645" i="12" s="1"/>
  <c r="B1650" i="12" s="1"/>
  <c r="B1655" i="12" s="1"/>
  <c r="B1660" i="12" s="1"/>
  <c r="B1665" i="12" s="1"/>
  <c r="B1670" i="12" s="1"/>
  <c r="B1675" i="12" s="1"/>
  <c r="B1680" i="12" s="1"/>
  <c r="B1685" i="12" s="1"/>
  <c r="B1690" i="12" s="1"/>
  <c r="B1695" i="12" s="1"/>
  <c r="B1700" i="12" s="1"/>
  <c r="B1705" i="12" s="1"/>
  <c r="B1710" i="12" s="1"/>
  <c r="B1715" i="12" s="1"/>
  <c r="B1720" i="12" s="1"/>
  <c r="B1725" i="12" s="1"/>
  <c r="B1730" i="12" s="1"/>
  <c r="B1735" i="12" s="1"/>
  <c r="B1740" i="12" s="1"/>
  <c r="B1745" i="12" s="1"/>
  <c r="B1750" i="12" s="1"/>
  <c r="B1755" i="12" s="1"/>
  <c r="B1760" i="12" s="1"/>
  <c r="B1765" i="12" s="1"/>
  <c r="B1770" i="12" s="1"/>
  <c r="B1775" i="12" s="1"/>
  <c r="B1780" i="12" s="1"/>
  <c r="B1785" i="12" s="1"/>
  <c r="B1790" i="12" s="1"/>
  <c r="B1795" i="12" s="1"/>
  <c r="B1800" i="12" s="1"/>
  <c r="B1805" i="12" s="1"/>
  <c r="B1810" i="12" s="1"/>
  <c r="B1815" i="12" s="1"/>
  <c r="B1820" i="12" s="1"/>
  <c r="B1825" i="12" s="1"/>
  <c r="B1830" i="12" s="1"/>
  <c r="B1835" i="12" s="1"/>
  <c r="B1840" i="12" s="1"/>
  <c r="B1845" i="12" s="1"/>
  <c r="B1850" i="12" s="1"/>
  <c r="B1855" i="12" s="1"/>
  <c r="B1860" i="12" s="1"/>
  <c r="B1865" i="12" s="1"/>
  <c r="B1870" i="12" s="1"/>
  <c r="B1875" i="12" s="1"/>
  <c r="B1880" i="12" s="1"/>
  <c r="B1885" i="12" s="1"/>
  <c r="B1890" i="12" s="1"/>
  <c r="B1895" i="12" s="1"/>
  <c r="B1900" i="12" s="1"/>
  <c r="B1905" i="12" s="1"/>
  <c r="B1910" i="12" s="1"/>
  <c r="B1915" i="12" s="1"/>
  <c r="B1920" i="12" s="1"/>
  <c r="B1925" i="12" s="1"/>
  <c r="B1930" i="12" s="1"/>
  <c r="B1935" i="12" s="1"/>
  <c r="B1940" i="12" s="1"/>
  <c r="B1945" i="12" s="1"/>
  <c r="B1950" i="12" s="1"/>
  <c r="B1955" i="12" s="1"/>
  <c r="B1960" i="12" s="1"/>
  <c r="B1965" i="12" s="1"/>
  <c r="B1970" i="12" s="1"/>
  <c r="B1975" i="12" s="1"/>
  <c r="B1980" i="12" s="1"/>
  <c r="B1985" i="12" s="1"/>
  <c r="B1990" i="12" s="1"/>
  <c r="B1995" i="12" s="1"/>
  <c r="B2000" i="12" s="1"/>
  <c r="B2005" i="12" s="1"/>
  <c r="B2010" i="12" s="1"/>
  <c r="B2015" i="12" s="1"/>
  <c r="B2020" i="12" s="1"/>
  <c r="B2025" i="12" s="1"/>
  <c r="B2030" i="12" s="1"/>
  <c r="B2035" i="12" s="1"/>
  <c r="B2040" i="12" s="1"/>
  <c r="B2045" i="12" s="1"/>
  <c r="B2050" i="12" s="1"/>
  <c r="B2055" i="12" s="1"/>
  <c r="B2060" i="12" s="1"/>
  <c r="B2065" i="12" s="1"/>
  <c r="B2070" i="12" s="1"/>
  <c r="B2075" i="12" s="1"/>
  <c r="B2080" i="12" s="1"/>
  <c r="B2085" i="12" s="1"/>
  <c r="B2090" i="12" s="1"/>
  <c r="B2095" i="12" s="1"/>
  <c r="B2100" i="12" s="1"/>
  <c r="B2105" i="12" s="1"/>
  <c r="B2110" i="12" s="1"/>
  <c r="B2115" i="12" s="1"/>
  <c r="B2120" i="12" s="1"/>
  <c r="B2125" i="12" s="1"/>
  <c r="B2130" i="12" s="1"/>
  <c r="B2135" i="12" s="1"/>
  <c r="B2140" i="12" s="1"/>
  <c r="B2145" i="12" s="1"/>
  <c r="B2150" i="12" s="1"/>
  <c r="B2155" i="12" s="1"/>
  <c r="B2160" i="12" s="1"/>
  <c r="B2165" i="12" s="1"/>
  <c r="B2170" i="12" s="1"/>
  <c r="B2175" i="12" s="1"/>
  <c r="B2180" i="12" s="1"/>
  <c r="B2185" i="12" s="1"/>
  <c r="B2190" i="12" s="1"/>
  <c r="B2195" i="12" s="1"/>
  <c r="B2200" i="12" s="1"/>
  <c r="B2205" i="12" s="1"/>
  <c r="B2210" i="12" s="1"/>
  <c r="B2215" i="12" s="1"/>
  <c r="B2220" i="12" s="1"/>
  <c r="B2225" i="12" s="1"/>
  <c r="B2230" i="12" s="1"/>
  <c r="B2235" i="12" s="1"/>
  <c r="B2240" i="12" s="1"/>
  <c r="B2245" i="12" s="1"/>
  <c r="B2250" i="12" s="1"/>
  <c r="B2255" i="12" s="1"/>
  <c r="B2260" i="12" s="1"/>
  <c r="B2265" i="12" s="1"/>
  <c r="B2270" i="12" s="1"/>
  <c r="B2275" i="12" s="1"/>
  <c r="B2280" i="12" s="1"/>
  <c r="B2285" i="12" s="1"/>
  <c r="B2290" i="12" s="1"/>
  <c r="B2295" i="12" s="1"/>
  <c r="B2300" i="12" s="1"/>
  <c r="B2305" i="12" s="1"/>
  <c r="B2310" i="12" s="1"/>
  <c r="B2315" i="12" s="1"/>
  <c r="B2320" i="12" s="1"/>
  <c r="B2325" i="12" s="1"/>
  <c r="B2330" i="12" s="1"/>
  <c r="B2335" i="12" s="1"/>
  <c r="B2340" i="12" s="1"/>
  <c r="B2345" i="12" s="1"/>
  <c r="B2350" i="12" s="1"/>
  <c r="B2355" i="12" s="1"/>
  <c r="B2360" i="12" s="1"/>
  <c r="B2365" i="12" s="1"/>
  <c r="B2370" i="12" s="1"/>
  <c r="B2375" i="12" s="1"/>
  <c r="B2380" i="12" s="1"/>
  <c r="B2385" i="12" s="1"/>
  <c r="B2390" i="12" s="1"/>
  <c r="B2395" i="12" s="1"/>
  <c r="B2400" i="12" s="1"/>
  <c r="B2405" i="12" s="1"/>
  <c r="B2410" i="12" s="1"/>
  <c r="B2415" i="12" s="1"/>
  <c r="B2420" i="12" s="1"/>
  <c r="B2425" i="12" s="1"/>
  <c r="B2430" i="12" s="1"/>
  <c r="B2435" i="12" s="1"/>
  <c r="B2440" i="12" s="1"/>
  <c r="B2445" i="12" s="1"/>
  <c r="B2450" i="12" s="1"/>
  <c r="B2455" i="12" s="1"/>
  <c r="B2460" i="12" s="1"/>
  <c r="B2465" i="12" s="1"/>
  <c r="B2470" i="12" s="1"/>
  <c r="B2475" i="12" s="1"/>
  <c r="B2480" i="12" s="1"/>
  <c r="B2485" i="12" s="1"/>
  <c r="B2490" i="12" s="1"/>
  <c r="B2495" i="12" s="1"/>
  <c r="B2500" i="12" s="1"/>
  <c r="B2505" i="12" s="1"/>
  <c r="B2510" i="12" s="1"/>
  <c r="B2515" i="12" s="1"/>
  <c r="B24" i="12"/>
  <c r="B29" i="12" s="1"/>
  <c r="B34" i="12" s="1"/>
  <c r="B39" i="12" s="1"/>
  <c r="B44" i="12" s="1"/>
  <c r="B49" i="12" s="1"/>
  <c r="B54" i="12" s="1"/>
  <c r="B59" i="12" s="1"/>
  <c r="B64" i="12" s="1"/>
  <c r="B69" i="12" s="1"/>
  <c r="B74" i="12" s="1"/>
  <c r="B79" i="12" s="1"/>
  <c r="B84" i="12" s="1"/>
  <c r="B89" i="12" s="1"/>
  <c r="B94" i="12" s="1"/>
  <c r="B99" i="12" s="1"/>
  <c r="B104" i="12" s="1"/>
  <c r="B109" i="12" s="1"/>
  <c r="B114" i="12" s="1"/>
  <c r="B119" i="12" s="1"/>
  <c r="B124" i="12" s="1"/>
  <c r="B129" i="12" s="1"/>
  <c r="B134" i="12" s="1"/>
  <c r="B139" i="12" s="1"/>
  <c r="B144" i="12" s="1"/>
  <c r="B149" i="12" s="1"/>
  <c r="B154" i="12" s="1"/>
  <c r="B159" i="12" s="1"/>
  <c r="B164" i="12" s="1"/>
  <c r="B169" i="12" s="1"/>
  <c r="B174" i="12" s="1"/>
  <c r="B179" i="12" s="1"/>
  <c r="B184" i="12" s="1"/>
  <c r="B189" i="12" s="1"/>
  <c r="B194" i="12" s="1"/>
  <c r="B199" i="12" s="1"/>
  <c r="B204" i="12" s="1"/>
  <c r="B209" i="12" s="1"/>
  <c r="B214" i="12" s="1"/>
  <c r="B219" i="12" s="1"/>
  <c r="B224" i="12" s="1"/>
  <c r="B229" i="12" s="1"/>
  <c r="B234" i="12" s="1"/>
  <c r="B239" i="12" s="1"/>
  <c r="B244" i="12" s="1"/>
  <c r="B249" i="12" s="1"/>
  <c r="B254" i="12" s="1"/>
  <c r="B259" i="12" s="1"/>
  <c r="B264" i="12" s="1"/>
  <c r="B269" i="12" s="1"/>
  <c r="B274" i="12" s="1"/>
  <c r="B279" i="12" s="1"/>
  <c r="B284" i="12" s="1"/>
  <c r="B289" i="12" s="1"/>
  <c r="B294" i="12" s="1"/>
  <c r="B299" i="12" s="1"/>
  <c r="B304" i="12" s="1"/>
  <c r="B309" i="12" s="1"/>
  <c r="B314" i="12" s="1"/>
  <c r="B319" i="12" s="1"/>
  <c r="B324" i="12" s="1"/>
  <c r="B329" i="12" s="1"/>
  <c r="B334" i="12" s="1"/>
  <c r="B339" i="12" s="1"/>
  <c r="B344" i="12" s="1"/>
  <c r="B349" i="12" s="1"/>
  <c r="B354" i="12" s="1"/>
  <c r="B359" i="12" s="1"/>
  <c r="B364" i="12" s="1"/>
  <c r="B369" i="12" s="1"/>
  <c r="B374" i="12" s="1"/>
  <c r="B379" i="12" s="1"/>
  <c r="B384" i="12" s="1"/>
  <c r="B389" i="12" s="1"/>
  <c r="B394" i="12" s="1"/>
  <c r="B399" i="12" s="1"/>
  <c r="B404" i="12" s="1"/>
  <c r="B409" i="12" s="1"/>
  <c r="B414" i="12" s="1"/>
  <c r="B419" i="12" s="1"/>
  <c r="B424" i="12" s="1"/>
  <c r="B429" i="12" s="1"/>
  <c r="B434" i="12" s="1"/>
  <c r="B439" i="12" s="1"/>
  <c r="B444" i="12" s="1"/>
  <c r="B449" i="12" s="1"/>
  <c r="B454" i="12" s="1"/>
  <c r="B459" i="12" s="1"/>
  <c r="B464" i="12" s="1"/>
  <c r="B469" i="12" s="1"/>
  <c r="B474" i="12" s="1"/>
  <c r="B479" i="12" s="1"/>
  <c r="B484" i="12" s="1"/>
  <c r="B489" i="12" s="1"/>
  <c r="B494" i="12" s="1"/>
  <c r="B499" i="12" s="1"/>
  <c r="B504" i="12" s="1"/>
  <c r="B509" i="12" s="1"/>
  <c r="B514" i="12" s="1"/>
  <c r="B519" i="12" s="1"/>
  <c r="B524" i="12" s="1"/>
  <c r="B529" i="12" s="1"/>
  <c r="B534" i="12" s="1"/>
  <c r="B539" i="12" s="1"/>
  <c r="B544" i="12" s="1"/>
  <c r="B549" i="12" s="1"/>
  <c r="B554" i="12" s="1"/>
  <c r="B559" i="12" s="1"/>
  <c r="B564" i="12" s="1"/>
  <c r="B569" i="12" s="1"/>
  <c r="B574" i="12" s="1"/>
  <c r="B579" i="12" s="1"/>
  <c r="B584" i="12" s="1"/>
  <c r="B589" i="12" s="1"/>
  <c r="B594" i="12" s="1"/>
  <c r="B599" i="12" s="1"/>
  <c r="B604" i="12" s="1"/>
  <c r="B609" i="12" s="1"/>
  <c r="B614" i="12" s="1"/>
  <c r="B619" i="12" s="1"/>
  <c r="B624" i="12" s="1"/>
  <c r="B629" i="12" s="1"/>
  <c r="B634" i="12" s="1"/>
  <c r="B639" i="12" s="1"/>
  <c r="B644" i="12" s="1"/>
  <c r="B649" i="12" s="1"/>
  <c r="B654" i="12" s="1"/>
  <c r="B659" i="12" s="1"/>
  <c r="B664" i="12" s="1"/>
  <c r="B669" i="12" s="1"/>
  <c r="B674" i="12" s="1"/>
  <c r="B679" i="12" s="1"/>
  <c r="B684" i="12" s="1"/>
  <c r="B689" i="12" s="1"/>
  <c r="B694" i="12" s="1"/>
  <c r="B699" i="12" s="1"/>
  <c r="B704" i="12" s="1"/>
  <c r="B709" i="12" s="1"/>
  <c r="B714" i="12" s="1"/>
  <c r="B719" i="12" s="1"/>
  <c r="B724" i="12" s="1"/>
  <c r="B729" i="12" s="1"/>
  <c r="B734" i="12" s="1"/>
  <c r="B739" i="12" s="1"/>
  <c r="B744" i="12" s="1"/>
  <c r="B749" i="12" s="1"/>
  <c r="B754" i="12" s="1"/>
  <c r="B759" i="12" s="1"/>
  <c r="B764" i="12" s="1"/>
  <c r="B769" i="12" s="1"/>
  <c r="B774" i="12" s="1"/>
  <c r="B779" i="12" s="1"/>
  <c r="B784" i="12" s="1"/>
  <c r="B789" i="12" s="1"/>
  <c r="B794" i="12" s="1"/>
  <c r="B799" i="12" s="1"/>
  <c r="B804" i="12" s="1"/>
  <c r="B809" i="12" s="1"/>
  <c r="B814" i="12" s="1"/>
  <c r="B819" i="12" s="1"/>
  <c r="B824" i="12" s="1"/>
  <c r="B829" i="12" s="1"/>
  <c r="B834" i="12" s="1"/>
  <c r="B839" i="12" s="1"/>
  <c r="B844" i="12" s="1"/>
  <c r="B849" i="12" s="1"/>
  <c r="B854" i="12" s="1"/>
  <c r="B859" i="12" s="1"/>
  <c r="B864" i="12" s="1"/>
  <c r="B869" i="12" s="1"/>
  <c r="B874" i="12" s="1"/>
  <c r="B879" i="12" s="1"/>
  <c r="B884" i="12" s="1"/>
  <c r="B889" i="12" s="1"/>
  <c r="B894" i="12" s="1"/>
  <c r="B899" i="12" s="1"/>
  <c r="B904" i="12" s="1"/>
  <c r="B909" i="12" s="1"/>
  <c r="B914" i="12" s="1"/>
  <c r="B919" i="12" s="1"/>
  <c r="B924" i="12" s="1"/>
  <c r="B929" i="12" s="1"/>
  <c r="B934" i="12" s="1"/>
  <c r="B939" i="12" s="1"/>
  <c r="B944" i="12" s="1"/>
  <c r="B949" i="12" s="1"/>
  <c r="B954" i="12" s="1"/>
  <c r="B959" i="12" s="1"/>
  <c r="B964" i="12" s="1"/>
  <c r="B969" i="12" s="1"/>
  <c r="B974" i="12" s="1"/>
  <c r="B979" i="12" s="1"/>
  <c r="B984" i="12" s="1"/>
  <c r="B989" i="12" s="1"/>
  <c r="B994" i="12" s="1"/>
  <c r="B999" i="12" s="1"/>
  <c r="B1004" i="12" s="1"/>
  <c r="B1009" i="12" s="1"/>
  <c r="B1014" i="12" s="1"/>
  <c r="B1019" i="12" s="1"/>
  <c r="B1024" i="12" s="1"/>
  <c r="B1029" i="12" s="1"/>
  <c r="B1034" i="12" s="1"/>
  <c r="B1039" i="12" s="1"/>
  <c r="B1044" i="12" s="1"/>
  <c r="B1049" i="12" s="1"/>
  <c r="B1054" i="12" s="1"/>
  <c r="B1059" i="12" s="1"/>
  <c r="B1064" i="12" s="1"/>
  <c r="B1069" i="12" s="1"/>
  <c r="B1074" i="12" s="1"/>
  <c r="B1079" i="12" s="1"/>
  <c r="B1084" i="12" s="1"/>
  <c r="B1089" i="12" s="1"/>
  <c r="B1094" i="12" s="1"/>
  <c r="B1099" i="12" s="1"/>
  <c r="B1104" i="12" s="1"/>
  <c r="B1109" i="12" s="1"/>
  <c r="B1114" i="12" s="1"/>
  <c r="B1119" i="12" s="1"/>
  <c r="B1124" i="12" s="1"/>
  <c r="B1129" i="12" s="1"/>
  <c r="B1134" i="12" s="1"/>
  <c r="B1139" i="12" s="1"/>
  <c r="B1144" i="12" s="1"/>
  <c r="B1149" i="12" s="1"/>
  <c r="B1154" i="12" s="1"/>
  <c r="B1159" i="12" s="1"/>
  <c r="B1164" i="12" s="1"/>
  <c r="B1169" i="12" s="1"/>
  <c r="B1174" i="12" s="1"/>
  <c r="B1179" i="12" s="1"/>
  <c r="B1184" i="12" s="1"/>
  <c r="B1189" i="12" s="1"/>
  <c r="B1194" i="12" s="1"/>
  <c r="B1199" i="12" s="1"/>
  <c r="B1204" i="12" s="1"/>
  <c r="B1209" i="12" s="1"/>
  <c r="B1214" i="12" s="1"/>
  <c r="B1219" i="12" s="1"/>
  <c r="B1224" i="12" s="1"/>
  <c r="B1229" i="12" s="1"/>
  <c r="B1234" i="12" s="1"/>
  <c r="B1239" i="12" s="1"/>
  <c r="B1244" i="12" s="1"/>
  <c r="B1249" i="12" s="1"/>
  <c r="B1254" i="12" s="1"/>
  <c r="B1259" i="12" s="1"/>
  <c r="B1264" i="12" s="1"/>
  <c r="B1269" i="12" s="1"/>
  <c r="B1274" i="12" s="1"/>
  <c r="B1279" i="12" s="1"/>
  <c r="B1284" i="12" s="1"/>
  <c r="B1289" i="12" s="1"/>
  <c r="B1294" i="12" s="1"/>
  <c r="B1299" i="12" s="1"/>
  <c r="B1304" i="12" s="1"/>
  <c r="B1309" i="12" s="1"/>
  <c r="B1314" i="12" s="1"/>
  <c r="B1319" i="12" s="1"/>
  <c r="B1324" i="12" s="1"/>
  <c r="B1329" i="12" s="1"/>
  <c r="B1334" i="12" s="1"/>
  <c r="B1339" i="12" s="1"/>
  <c r="B1344" i="12" s="1"/>
  <c r="B1349" i="12" s="1"/>
  <c r="B1354" i="12" s="1"/>
  <c r="B1359" i="12" s="1"/>
  <c r="B1364" i="12" s="1"/>
  <c r="B1369" i="12" s="1"/>
  <c r="B1374" i="12" s="1"/>
  <c r="B1379" i="12" s="1"/>
  <c r="B1384" i="12" s="1"/>
  <c r="B1389" i="12" s="1"/>
  <c r="B1394" i="12" s="1"/>
  <c r="B1399" i="12" s="1"/>
  <c r="B1404" i="12" s="1"/>
  <c r="B1409" i="12" s="1"/>
  <c r="B1414" i="12" s="1"/>
  <c r="B1419" i="12" s="1"/>
  <c r="B1424" i="12" s="1"/>
  <c r="B1429" i="12" s="1"/>
  <c r="B1434" i="12" s="1"/>
  <c r="B1439" i="12" s="1"/>
  <c r="B1444" i="12" s="1"/>
  <c r="B1449" i="12" s="1"/>
  <c r="B1454" i="12" s="1"/>
  <c r="B1459" i="12" s="1"/>
  <c r="B1464" i="12" s="1"/>
  <c r="B1469" i="12" s="1"/>
  <c r="B1474" i="12" s="1"/>
  <c r="B1479" i="12" s="1"/>
  <c r="B1484" i="12" s="1"/>
  <c r="B1489" i="12" s="1"/>
  <c r="B1494" i="12" s="1"/>
  <c r="B1499" i="12" s="1"/>
  <c r="B1504" i="12" s="1"/>
  <c r="B1509" i="12" s="1"/>
  <c r="B1514" i="12" s="1"/>
  <c r="B1519" i="12" s="1"/>
  <c r="B1524" i="12" s="1"/>
  <c r="B1529" i="12" s="1"/>
  <c r="B1534" i="12" s="1"/>
  <c r="B1539" i="12" s="1"/>
  <c r="B1544" i="12" s="1"/>
  <c r="B1549" i="12" s="1"/>
  <c r="B1554" i="12" s="1"/>
  <c r="B1559" i="12" s="1"/>
  <c r="B1564" i="12" s="1"/>
  <c r="B1569" i="12" s="1"/>
  <c r="B1574" i="12" s="1"/>
  <c r="B1579" i="12" s="1"/>
  <c r="B1584" i="12" s="1"/>
  <c r="B1589" i="12" s="1"/>
  <c r="B1594" i="12" s="1"/>
  <c r="B1599" i="12" s="1"/>
  <c r="B1604" i="12" s="1"/>
  <c r="B1609" i="12" s="1"/>
  <c r="B1614" i="12" s="1"/>
  <c r="B1619" i="12" s="1"/>
  <c r="B1624" i="12" s="1"/>
  <c r="B1629" i="12" s="1"/>
  <c r="B1634" i="12" s="1"/>
  <c r="B1639" i="12" s="1"/>
  <c r="B1644" i="12" s="1"/>
  <c r="B1649" i="12" s="1"/>
  <c r="B1654" i="12" s="1"/>
  <c r="B1659" i="12" s="1"/>
  <c r="B1664" i="12" s="1"/>
  <c r="B1669" i="12" s="1"/>
  <c r="B1674" i="12" s="1"/>
  <c r="B1679" i="12" s="1"/>
  <c r="B1684" i="12" s="1"/>
  <c r="B1689" i="12" s="1"/>
  <c r="B1694" i="12" s="1"/>
  <c r="B1699" i="12" s="1"/>
  <c r="B1704" i="12" s="1"/>
  <c r="B1709" i="12" s="1"/>
  <c r="B1714" i="12" s="1"/>
  <c r="B1719" i="12" s="1"/>
  <c r="B1724" i="12" s="1"/>
  <c r="B1729" i="12" s="1"/>
  <c r="B1734" i="12" s="1"/>
  <c r="B1739" i="12" s="1"/>
  <c r="B1744" i="12" s="1"/>
  <c r="B1749" i="12" s="1"/>
  <c r="B1754" i="12" s="1"/>
  <c r="B1759" i="12" s="1"/>
  <c r="B1764" i="12" s="1"/>
  <c r="B1769" i="12" s="1"/>
  <c r="B1774" i="12" s="1"/>
  <c r="B1779" i="12" s="1"/>
  <c r="B1784" i="12" s="1"/>
  <c r="B1789" i="12" s="1"/>
  <c r="B1794" i="12" s="1"/>
  <c r="B1799" i="12" s="1"/>
  <c r="B1804" i="12" s="1"/>
  <c r="B1809" i="12" s="1"/>
  <c r="B1814" i="12" s="1"/>
  <c r="B1819" i="12" s="1"/>
  <c r="B1824" i="12" s="1"/>
  <c r="B1829" i="12" s="1"/>
  <c r="B1834" i="12" s="1"/>
  <c r="B1839" i="12" s="1"/>
  <c r="B1844" i="12" s="1"/>
  <c r="B1849" i="12" s="1"/>
  <c r="B1854" i="12" s="1"/>
  <c r="B1859" i="12" s="1"/>
  <c r="B1864" i="12" s="1"/>
  <c r="B1869" i="12" s="1"/>
  <c r="B1874" i="12" s="1"/>
  <c r="B1879" i="12" s="1"/>
  <c r="B1884" i="12" s="1"/>
  <c r="B1889" i="12" s="1"/>
  <c r="B1894" i="12" s="1"/>
  <c r="B1899" i="12" s="1"/>
  <c r="B1904" i="12" s="1"/>
  <c r="B1909" i="12" s="1"/>
  <c r="B1914" i="12" s="1"/>
  <c r="B1919" i="12" s="1"/>
  <c r="B1924" i="12" s="1"/>
  <c r="B1929" i="12" s="1"/>
  <c r="B1934" i="12" s="1"/>
  <c r="B1939" i="12" s="1"/>
  <c r="B1944" i="12" s="1"/>
  <c r="B1949" i="12" s="1"/>
  <c r="B1954" i="12" s="1"/>
  <c r="B1959" i="12" s="1"/>
  <c r="B1964" i="12" s="1"/>
  <c r="B1969" i="12" s="1"/>
  <c r="B1974" i="12" s="1"/>
  <c r="B1979" i="12" s="1"/>
  <c r="B1984" i="12" s="1"/>
  <c r="B1989" i="12" s="1"/>
  <c r="B1994" i="12" s="1"/>
  <c r="B1999" i="12" s="1"/>
  <c r="B2004" i="12" s="1"/>
  <c r="B2009" i="12" s="1"/>
  <c r="B2014" i="12" s="1"/>
  <c r="B2019" i="12" s="1"/>
  <c r="B2024" i="12" s="1"/>
  <c r="B2029" i="12" s="1"/>
  <c r="B2034" i="12" s="1"/>
  <c r="B2039" i="12" s="1"/>
  <c r="B2044" i="12" s="1"/>
  <c r="B2049" i="12" s="1"/>
  <c r="B2054" i="12" s="1"/>
  <c r="B2059" i="12" s="1"/>
  <c r="B2064" i="12" s="1"/>
  <c r="B2069" i="12" s="1"/>
  <c r="B2074" i="12" s="1"/>
  <c r="B2079" i="12" s="1"/>
  <c r="B2084" i="12" s="1"/>
  <c r="B2089" i="12" s="1"/>
  <c r="B2094" i="12" s="1"/>
  <c r="B2099" i="12" s="1"/>
  <c r="B2104" i="12" s="1"/>
  <c r="B2109" i="12" s="1"/>
  <c r="B2114" i="12" s="1"/>
  <c r="B2119" i="12" s="1"/>
  <c r="B2124" i="12" s="1"/>
  <c r="B2129" i="12" s="1"/>
  <c r="B2134" i="12" s="1"/>
  <c r="B2139" i="12" s="1"/>
  <c r="B2144" i="12" s="1"/>
  <c r="B2149" i="12" s="1"/>
  <c r="B2154" i="12" s="1"/>
  <c r="B2159" i="12" s="1"/>
  <c r="B2164" i="12" s="1"/>
  <c r="B2169" i="12" s="1"/>
  <c r="B2174" i="12" s="1"/>
  <c r="B2179" i="12" s="1"/>
  <c r="B2184" i="12" s="1"/>
  <c r="B2189" i="12" s="1"/>
  <c r="B2194" i="12" s="1"/>
  <c r="B2199" i="12" s="1"/>
  <c r="B2204" i="12" s="1"/>
  <c r="B2209" i="12" s="1"/>
  <c r="B2214" i="12" s="1"/>
  <c r="B2219" i="12" s="1"/>
  <c r="B2224" i="12" s="1"/>
  <c r="B2229" i="12" s="1"/>
  <c r="B2234" i="12" s="1"/>
  <c r="B2239" i="12" s="1"/>
  <c r="B2244" i="12" s="1"/>
  <c r="B2249" i="12" s="1"/>
  <c r="B2254" i="12" s="1"/>
  <c r="B2259" i="12" s="1"/>
  <c r="B2264" i="12" s="1"/>
  <c r="B2269" i="12" s="1"/>
  <c r="B2274" i="12" s="1"/>
  <c r="B2279" i="12" s="1"/>
  <c r="B2284" i="12" s="1"/>
  <c r="B2289" i="12" s="1"/>
  <c r="B2294" i="12" s="1"/>
  <c r="B2299" i="12" s="1"/>
  <c r="B2304" i="12" s="1"/>
  <c r="B2309" i="12" s="1"/>
  <c r="B2314" i="12" s="1"/>
  <c r="B2319" i="12" s="1"/>
  <c r="B2324" i="12" s="1"/>
  <c r="B2329" i="12" s="1"/>
  <c r="B2334" i="12" s="1"/>
  <c r="B2339" i="12" s="1"/>
  <c r="B2344" i="12" s="1"/>
  <c r="B2349" i="12" s="1"/>
  <c r="B2354" i="12" s="1"/>
  <c r="B2359" i="12" s="1"/>
  <c r="B2364" i="12" s="1"/>
  <c r="B2369" i="12" s="1"/>
  <c r="B2374" i="12" s="1"/>
  <c r="B2379" i="12" s="1"/>
  <c r="B2384" i="12" s="1"/>
  <c r="B2389" i="12" s="1"/>
  <c r="B2394" i="12" s="1"/>
  <c r="B2399" i="12" s="1"/>
  <c r="B2404" i="12" s="1"/>
  <c r="B2409" i="12" s="1"/>
  <c r="B2414" i="12" s="1"/>
  <c r="B2419" i="12" s="1"/>
  <c r="B2424" i="12" s="1"/>
  <c r="B2429" i="12" s="1"/>
  <c r="B2434" i="12" s="1"/>
  <c r="B2439" i="12" s="1"/>
  <c r="B2444" i="12" s="1"/>
  <c r="B2449" i="12" s="1"/>
  <c r="B2454" i="12" s="1"/>
  <c r="B2459" i="12" s="1"/>
  <c r="B2464" i="12" s="1"/>
  <c r="B2469" i="12" s="1"/>
  <c r="B2474" i="12" s="1"/>
  <c r="B2479" i="12" s="1"/>
  <c r="B2484" i="12" s="1"/>
  <c r="B2489" i="12" s="1"/>
  <c r="B2494" i="12" s="1"/>
  <c r="B2499" i="12" s="1"/>
  <c r="B2504" i="12" s="1"/>
  <c r="B2509" i="12" s="1"/>
  <c r="B2514" i="12" s="1"/>
  <c r="B2519" i="12" s="1"/>
  <c r="O17" i="12"/>
  <c r="M18" i="12"/>
  <c r="K15" i="12"/>
  <c r="L15" i="12"/>
  <c r="L17" i="12" s="1"/>
  <c r="M17" i="12"/>
  <c r="O15" i="12"/>
  <c r="G647" i="12"/>
  <c r="W632" i="12"/>
  <c r="E598" i="12"/>
  <c r="O117" i="12"/>
  <c r="AB55" i="12"/>
  <c r="AB58" i="12" s="1"/>
  <c r="AE17" i="12"/>
  <c r="T290" i="12"/>
  <c r="T292" i="12" s="1"/>
  <c r="S200" i="12"/>
  <c r="AB215" i="12"/>
  <c r="AB218" i="12" s="1"/>
  <c r="AC138" i="12"/>
  <c r="M62" i="12"/>
  <c r="O145" i="12"/>
  <c r="M222" i="12"/>
  <c r="L285" i="12"/>
  <c r="M618" i="12"/>
  <c r="O77" i="12"/>
  <c r="AC98" i="12"/>
  <c r="AB175" i="12"/>
  <c r="AB178" i="12" s="1"/>
  <c r="O237" i="12"/>
  <c r="AC258" i="12"/>
  <c r="O105" i="12"/>
  <c r="M182" i="12"/>
  <c r="O265" i="12"/>
  <c r="AC272" i="12"/>
  <c r="O37" i="12"/>
  <c r="AC58" i="12"/>
  <c r="S120" i="12"/>
  <c r="AB135" i="12"/>
  <c r="AB138" i="12" s="1"/>
  <c r="O197" i="12"/>
  <c r="AC218" i="12"/>
  <c r="O65" i="12"/>
  <c r="M142" i="12"/>
  <c r="AB95" i="12"/>
  <c r="AB98" i="12" s="1"/>
  <c r="O157" i="12"/>
  <c r="AC178" i="12"/>
  <c r="AB255" i="12"/>
  <c r="AB258" i="12" s="1"/>
  <c r="O312" i="12"/>
  <c r="O225" i="12"/>
  <c r="O25" i="12"/>
  <c r="M102" i="12"/>
  <c r="O185" i="12"/>
  <c r="M262" i="12"/>
  <c r="AB20" i="12"/>
  <c r="W25" i="12"/>
  <c r="U28" i="12"/>
  <c r="W37" i="12"/>
  <c r="M43" i="12"/>
  <c r="U62" i="12"/>
  <c r="W65" i="12"/>
  <c r="U68" i="12"/>
  <c r="W77" i="12"/>
  <c r="AA80" i="12"/>
  <c r="M83" i="12"/>
  <c r="U102" i="12"/>
  <c r="W105" i="12"/>
  <c r="U108" i="12"/>
  <c r="W117" i="12"/>
  <c r="M123" i="12"/>
  <c r="U142" i="12"/>
  <c r="W145" i="12"/>
  <c r="U148" i="12"/>
  <c r="W157" i="12"/>
  <c r="AA160" i="12"/>
  <c r="M163" i="12"/>
  <c r="U182" i="12"/>
  <c r="W185" i="12"/>
  <c r="U188" i="12"/>
  <c r="W197" i="12"/>
  <c r="M203" i="12"/>
  <c r="U222" i="12"/>
  <c r="W225" i="12"/>
  <c r="U228" i="12"/>
  <c r="W237" i="12"/>
  <c r="AA240" i="12"/>
  <c r="M243" i="12"/>
  <c r="U262" i="12"/>
  <c r="W265" i="12"/>
  <c r="W277" i="12"/>
  <c r="G295" i="12"/>
  <c r="U308" i="12"/>
  <c r="O355" i="12"/>
  <c r="L395" i="12"/>
  <c r="G417" i="12"/>
  <c r="E478" i="12"/>
  <c r="K500" i="12"/>
  <c r="L555" i="12"/>
  <c r="G577" i="12"/>
  <c r="AE662" i="12"/>
  <c r="M1168" i="12"/>
  <c r="L287" i="12"/>
  <c r="L288" i="12"/>
  <c r="E133" i="12"/>
  <c r="K155" i="12"/>
  <c r="L170" i="12"/>
  <c r="E173" i="12"/>
  <c r="G192" i="12"/>
  <c r="K195" i="12"/>
  <c r="L210" i="12"/>
  <c r="E213" i="12"/>
  <c r="G232" i="12"/>
  <c r="K235" i="12"/>
  <c r="L250" i="12"/>
  <c r="E253" i="12"/>
  <c r="C270" i="12"/>
  <c r="AB295" i="12"/>
  <c r="O300" i="12"/>
  <c r="C305" i="12"/>
  <c r="C330" i="12"/>
  <c r="E343" i="12"/>
  <c r="L350" i="12"/>
  <c r="G17" i="12"/>
  <c r="M23" i="12"/>
  <c r="G32" i="12"/>
  <c r="K35" i="12"/>
  <c r="L50" i="12"/>
  <c r="E53" i="12"/>
  <c r="G72" i="12"/>
  <c r="K75" i="12"/>
  <c r="L90" i="12"/>
  <c r="E93" i="12"/>
  <c r="G112" i="12"/>
  <c r="K115" i="12"/>
  <c r="L130" i="12"/>
  <c r="G152" i="12"/>
  <c r="AA15" i="12"/>
  <c r="AC23" i="12"/>
  <c r="O32" i="12"/>
  <c r="S35" i="12"/>
  <c r="T50" i="12"/>
  <c r="E57" i="12"/>
  <c r="G60" i="12"/>
  <c r="O72" i="12"/>
  <c r="S75" i="12"/>
  <c r="T90" i="12"/>
  <c r="E97" i="12"/>
  <c r="G100" i="12"/>
  <c r="O112" i="12"/>
  <c r="S115" i="12"/>
  <c r="T130" i="12"/>
  <c r="E137" i="12"/>
  <c r="G140" i="12"/>
  <c r="O152" i="12"/>
  <c r="S155" i="12"/>
  <c r="T170" i="12"/>
  <c r="E177" i="12"/>
  <c r="G180" i="12"/>
  <c r="O192" i="12"/>
  <c r="S195" i="12"/>
  <c r="T210" i="12"/>
  <c r="E217" i="12"/>
  <c r="G220" i="12"/>
  <c r="O232" i="12"/>
  <c r="S235" i="12"/>
  <c r="T250" i="12"/>
  <c r="E257" i="12"/>
  <c r="G260" i="12"/>
  <c r="K270" i="12"/>
  <c r="M278" i="12"/>
  <c r="AE282" i="12"/>
  <c r="E292" i="12"/>
  <c r="W305" i="12"/>
  <c r="G325" i="12"/>
  <c r="G377" i="12"/>
  <c r="E438" i="12"/>
  <c r="K460" i="12"/>
  <c r="L515" i="12"/>
  <c r="G537" i="12"/>
  <c r="K2110" i="12"/>
  <c r="C2055" i="12"/>
  <c r="C1980" i="12"/>
  <c r="S1975" i="12"/>
  <c r="O1947" i="12"/>
  <c r="G1942" i="12"/>
  <c r="L1905" i="12"/>
  <c r="C1900" i="12"/>
  <c r="AB1895" i="12"/>
  <c r="M1873" i="12"/>
  <c r="T1870" i="12"/>
  <c r="O1867" i="12"/>
  <c r="C1865" i="12"/>
  <c r="AC1862" i="12"/>
  <c r="O1860" i="12"/>
  <c r="S1855" i="12"/>
  <c r="AB1850" i="12"/>
  <c r="E1848" i="12"/>
  <c r="E1832" i="12"/>
  <c r="O1827" i="12"/>
  <c r="C1825" i="12"/>
  <c r="AC1822" i="12"/>
  <c r="O1820" i="12"/>
  <c r="S1815" i="12"/>
  <c r="AB1810" i="12"/>
  <c r="E1808" i="12"/>
  <c r="D1795" i="12"/>
  <c r="AC1788" i="12"/>
  <c r="M1787" i="12"/>
  <c r="K1785" i="12"/>
  <c r="G1782" i="12"/>
  <c r="L1780" i="12"/>
  <c r="L1775" i="12"/>
  <c r="M1773" i="12"/>
  <c r="T1770" i="12"/>
  <c r="W1765" i="12"/>
  <c r="AC1762" i="12"/>
  <c r="K1760" i="12"/>
  <c r="M1758" i="12"/>
  <c r="AA1755" i="12"/>
  <c r="E1752" i="12"/>
  <c r="S1750" i="12"/>
  <c r="U1748" i="12"/>
  <c r="S1745" i="12"/>
  <c r="O1742" i="12"/>
  <c r="AE1740" i="12"/>
  <c r="K1740" i="12"/>
  <c r="U1738" i="12"/>
  <c r="AC1737" i="12"/>
  <c r="G1737" i="12"/>
  <c r="W1735" i="12"/>
  <c r="C1735" i="12"/>
  <c r="U1732" i="12"/>
  <c r="O1730" i="12"/>
  <c r="AC1728" i="12"/>
  <c r="M1727" i="12"/>
  <c r="AB1725" i="12"/>
  <c r="AE2217" i="12"/>
  <c r="AB2090" i="12"/>
  <c r="G2022" i="12"/>
  <c r="AC1983" i="12"/>
  <c r="O1975" i="12"/>
  <c r="K1970" i="12"/>
  <c r="E1952" i="12"/>
  <c r="W1937" i="12"/>
  <c r="K1905" i="12"/>
  <c r="T1895" i="12"/>
  <c r="U1882" i="12"/>
  <c r="AC1878" i="12"/>
  <c r="AB1875" i="12"/>
  <c r="S1870" i="12"/>
  <c r="G1867" i="12"/>
  <c r="U1862" i="12"/>
  <c r="D1860" i="12"/>
  <c r="W1857" i="12"/>
  <c r="O1855" i="12"/>
  <c r="T1850" i="12"/>
  <c r="W1845" i="12"/>
  <c r="E1843" i="12"/>
  <c r="AA1840" i="12"/>
  <c r="M1838" i="12"/>
  <c r="G1827" i="12"/>
  <c r="U1822" i="12"/>
  <c r="D1820" i="12"/>
  <c r="W1817" i="12"/>
  <c r="O1815" i="12"/>
  <c r="T1810" i="12"/>
  <c r="W1805" i="12"/>
  <c r="E1803" i="12"/>
  <c r="AA1800" i="12"/>
  <c r="U2223" i="12"/>
  <c r="AB2135" i="12"/>
  <c r="L2115" i="12"/>
  <c r="T2090" i="12"/>
  <c r="M2047" i="12"/>
  <c r="G2027" i="12"/>
  <c r="C2010" i="12"/>
  <c r="U2003" i="12"/>
  <c r="U1993" i="12"/>
  <c r="G1970" i="12"/>
  <c r="AA1965" i="12"/>
  <c r="AE1955" i="12"/>
  <c r="O1932" i="12"/>
  <c r="AE1927" i="12"/>
  <c r="U1913" i="12"/>
  <c r="G1890" i="12"/>
  <c r="AA1885" i="12"/>
  <c r="AA1875" i="12"/>
  <c r="C1860" i="12"/>
  <c r="U1857" i="12"/>
  <c r="G1855" i="12"/>
  <c r="O1852" i="12"/>
  <c r="K1850" i="12"/>
  <c r="AC1847" i="12"/>
  <c r="T1845" i="12"/>
  <c r="O1840" i="12"/>
  <c r="AB1835" i="12"/>
  <c r="M1833" i="12"/>
  <c r="U1828" i="12"/>
  <c r="C1820" i="12"/>
  <c r="U1817" i="12"/>
  <c r="G1815" i="12"/>
  <c r="O1812" i="12"/>
  <c r="K1810" i="12"/>
  <c r="AC1807" i="12"/>
  <c r="T1805" i="12"/>
  <c r="O1800" i="12"/>
  <c r="W1792" i="12"/>
  <c r="T1790" i="12"/>
  <c r="E1788" i="12"/>
  <c r="C1785" i="12"/>
  <c r="AE1782" i="12"/>
  <c r="C1780" i="12"/>
  <c r="D1775" i="12"/>
  <c r="K1770" i="12"/>
  <c r="E1768" i="12"/>
  <c r="G1767" i="12"/>
  <c r="S1765" i="12"/>
  <c r="U1762" i="12"/>
  <c r="AE1760" i="12"/>
  <c r="C2200" i="12"/>
  <c r="O2140" i="12"/>
  <c r="C2095" i="12"/>
  <c r="E2027" i="12"/>
  <c r="AA2015" i="12"/>
  <c r="W1965" i="12"/>
  <c r="S1960" i="12"/>
  <c r="AB1955" i="12"/>
  <c r="D1940" i="12"/>
  <c r="AC1927" i="12"/>
  <c r="E1923" i="12"/>
  <c r="C1885" i="12"/>
  <c r="G1875" i="12"/>
  <c r="W1872" i="12"/>
  <c r="G1862" i="12"/>
  <c r="M1857" i="12"/>
  <c r="M1852" i="12"/>
  <c r="G1850" i="12"/>
  <c r="L1845" i="12"/>
  <c r="AE1842" i="12"/>
  <c r="L1840" i="12"/>
  <c r="AE1837" i="12"/>
  <c r="AA1835" i="12"/>
  <c r="E1828" i="12"/>
  <c r="G1822" i="12"/>
  <c r="M1817" i="12"/>
  <c r="M1812" i="12"/>
  <c r="G1810" i="12"/>
  <c r="L1805" i="12"/>
  <c r="AE1802" i="12"/>
  <c r="L1800" i="12"/>
  <c r="AE1797" i="12"/>
  <c r="AB1795" i="12"/>
  <c r="U1792" i="12"/>
  <c r="S1790" i="12"/>
  <c r="AC1782" i="12"/>
  <c r="AE1777" i="12"/>
  <c r="AE1772" i="12"/>
  <c r="G1770" i="12"/>
  <c r="E1767" i="12"/>
  <c r="L1765" i="12"/>
  <c r="AA1760" i="12"/>
  <c r="G1757" i="12"/>
  <c r="O1755" i="12"/>
  <c r="W1752" i="12"/>
  <c r="G1750" i="12"/>
  <c r="AE1745" i="12"/>
  <c r="K1745" i="12"/>
  <c r="U1743" i="12"/>
  <c r="AC1742" i="12"/>
  <c r="G1742" i="12"/>
  <c r="W1740" i="12"/>
  <c r="C1740" i="12"/>
  <c r="U1737" i="12"/>
  <c r="O1735" i="12"/>
  <c r="AC1733" i="12"/>
  <c r="M1732" i="12"/>
  <c r="AB1730" i="12"/>
  <c r="G1730" i="12"/>
  <c r="E2283" i="12"/>
  <c r="L2140" i="12"/>
  <c r="O1987" i="12"/>
  <c r="G1982" i="12"/>
  <c r="C1940" i="12"/>
  <c r="S1935" i="12"/>
  <c r="AE1877" i="12"/>
  <c r="D1875" i="12"/>
  <c r="E1872" i="12"/>
  <c r="E1868" i="12"/>
  <c r="AE1865" i="12"/>
  <c r="U1863" i="12"/>
  <c r="E1852" i="12"/>
  <c r="C1845" i="12"/>
  <c r="U1842" i="12"/>
  <c r="D1840" i="12"/>
  <c r="W1837" i="12"/>
  <c r="S1835" i="12"/>
  <c r="AE1830" i="12"/>
  <c r="AE1825" i="12"/>
  <c r="U1823" i="12"/>
  <c r="E1812" i="12"/>
  <c r="C1805" i="12"/>
  <c r="U1802" i="12"/>
  <c r="D1800" i="12"/>
  <c r="W1797" i="12"/>
  <c r="AA1795" i="12"/>
  <c r="O1792" i="12"/>
  <c r="O1790" i="12"/>
  <c r="AE1785" i="12"/>
  <c r="AA1780" i="12"/>
  <c r="W1777" i="12"/>
  <c r="AB1775" i="12"/>
  <c r="D1770" i="12"/>
  <c r="K1765" i="12"/>
  <c r="E1763" i="12"/>
  <c r="O1762" i="12"/>
  <c r="W1760" i="12"/>
  <c r="AE1757" i="12"/>
  <c r="L1755" i="12"/>
  <c r="U1752" i="12"/>
  <c r="AE1750" i="12"/>
  <c r="D1750" i="12"/>
  <c r="E1748" i="12"/>
  <c r="O1747" i="12"/>
  <c r="AB1745" i="12"/>
  <c r="G1745" i="12"/>
  <c r="E1742" i="12"/>
  <c r="T1740" i="12"/>
  <c r="E1738" i="12"/>
  <c r="L1735" i="12"/>
  <c r="AE1732" i="12"/>
  <c r="AA1730" i="12"/>
  <c r="D1730" i="12"/>
  <c r="M1728" i="12"/>
  <c r="G2242" i="12"/>
  <c r="E2132" i="12"/>
  <c r="M2087" i="12"/>
  <c r="O2075" i="12"/>
  <c r="U2062" i="12"/>
  <c r="AB2050" i="12"/>
  <c r="G2030" i="12"/>
  <c r="AE1995" i="12"/>
  <c r="O1972" i="12"/>
  <c r="AE1967" i="12"/>
  <c r="U1953" i="12"/>
  <c r="G1930" i="12"/>
  <c r="AA1925" i="12"/>
  <c r="AE1915" i="12"/>
  <c r="AE1887" i="12"/>
  <c r="L1880" i="12"/>
  <c r="L1865" i="12"/>
  <c r="AA1860" i="12"/>
  <c r="M1858" i="12"/>
  <c r="U1848" i="12"/>
  <c r="E1847" i="12"/>
  <c r="D1835" i="12"/>
  <c r="W1832" i="12"/>
  <c r="S1830" i="12"/>
  <c r="AC1827" i="12"/>
  <c r="L1825" i="12"/>
  <c r="AA1820" i="12"/>
  <c r="M1818" i="12"/>
  <c r="U1808" i="12"/>
  <c r="E1807" i="12"/>
  <c r="S1795" i="12"/>
  <c r="W1785" i="12"/>
  <c r="U1783" i="12"/>
  <c r="T1780" i="12"/>
  <c r="S1775" i="12"/>
  <c r="O1772" i="12"/>
  <c r="AB1770" i="12"/>
  <c r="G1762" i="12"/>
  <c r="O1760" i="12"/>
  <c r="W1757" i="12"/>
  <c r="D1755" i="12"/>
  <c r="M1752" i="12"/>
  <c r="AA1750" i="12"/>
  <c r="G1747" i="12"/>
  <c r="W1745" i="12"/>
  <c r="C1745" i="12"/>
  <c r="U1742" i="12"/>
  <c r="O1740" i="12"/>
  <c r="AC1738" i="12"/>
  <c r="M1737" i="12"/>
  <c r="AB1735" i="12"/>
  <c r="G1735" i="12"/>
  <c r="E1732" i="12"/>
  <c r="T1730" i="12"/>
  <c r="E1728" i="12"/>
  <c r="L1725" i="12"/>
  <c r="AB2175" i="12"/>
  <c r="AB2160" i="12"/>
  <c r="U2098" i="12"/>
  <c r="D2055" i="12"/>
  <c r="U2018" i="12"/>
  <c r="E1963" i="12"/>
  <c r="O1935" i="12"/>
  <c r="AB1915" i="12"/>
  <c r="W1865" i="12"/>
  <c r="G1835" i="12"/>
  <c r="T1830" i="12"/>
  <c r="W1825" i="12"/>
  <c r="AB1785" i="12"/>
  <c r="U1782" i="12"/>
  <c r="AC1773" i="12"/>
  <c r="C1765" i="12"/>
  <c r="U1757" i="12"/>
  <c r="G1755" i="12"/>
  <c r="AE1752" i="12"/>
  <c r="T1750" i="12"/>
  <c r="AC1743" i="12"/>
  <c r="M1742" i="12"/>
  <c r="L1740" i="12"/>
  <c r="D1735" i="12"/>
  <c r="AC1732" i="12"/>
  <c r="AE1730" i="12"/>
  <c r="K1725" i="12"/>
  <c r="E1722" i="12"/>
  <c r="T1720" i="12"/>
  <c r="E1718" i="12"/>
  <c r="L1715" i="12"/>
  <c r="AE1712" i="12"/>
  <c r="AA1710" i="12"/>
  <c r="D1710" i="12"/>
  <c r="M1708" i="12"/>
  <c r="W1707" i="12"/>
  <c r="S1705" i="12"/>
  <c r="O1702" i="12"/>
  <c r="AE1700" i="12"/>
  <c r="K1700" i="12"/>
  <c r="U1698" i="12"/>
  <c r="AC1697" i="12"/>
  <c r="G1697" i="12"/>
  <c r="W1695" i="12"/>
  <c r="C1695" i="12"/>
  <c r="U1692" i="12"/>
  <c r="O1690" i="12"/>
  <c r="AC1688" i="12"/>
  <c r="M1687" i="12"/>
  <c r="AB1685" i="12"/>
  <c r="G1685" i="12"/>
  <c r="E1682" i="12"/>
  <c r="T1680" i="12"/>
  <c r="E1678" i="12"/>
  <c r="L1675" i="12"/>
  <c r="AE1672" i="12"/>
  <c r="AA1670" i="12"/>
  <c r="D1670" i="12"/>
  <c r="M1668" i="12"/>
  <c r="W1667" i="12"/>
  <c r="S1665" i="12"/>
  <c r="O1662" i="12"/>
  <c r="AE1660" i="12"/>
  <c r="K1660" i="12"/>
  <c r="U1658" i="12"/>
  <c r="AC1657" i="12"/>
  <c r="G1657" i="12"/>
  <c r="W1655" i="12"/>
  <c r="C1655" i="12"/>
  <c r="U1652" i="12"/>
  <c r="O1650" i="12"/>
  <c r="AC1648" i="12"/>
  <c r="M1647" i="12"/>
  <c r="AB1645" i="12"/>
  <c r="G1645" i="12"/>
  <c r="E1642" i="12"/>
  <c r="T1640" i="12"/>
  <c r="E1638" i="12"/>
  <c r="L1635" i="12"/>
  <c r="AE1632" i="12"/>
  <c r="AA1630" i="12"/>
  <c r="D1630" i="12"/>
  <c r="M1628" i="12"/>
  <c r="W1627" i="12"/>
  <c r="S1625" i="12"/>
  <c r="O1622" i="12"/>
  <c r="AE1620" i="12"/>
  <c r="K1620" i="12"/>
  <c r="U1618" i="12"/>
  <c r="AC1617" i="12"/>
  <c r="G1617" i="12"/>
  <c r="W1615" i="12"/>
  <c r="C1615" i="12"/>
  <c r="U1612" i="12"/>
  <c r="O1610" i="12"/>
  <c r="AC1608" i="12"/>
  <c r="M1607" i="12"/>
  <c r="AB1605" i="12"/>
  <c r="G1605" i="12"/>
  <c r="E1602" i="12"/>
  <c r="T1600" i="12"/>
  <c r="E1598" i="12"/>
  <c r="L1595" i="12"/>
  <c r="AE1592" i="12"/>
  <c r="AA1590" i="12"/>
  <c r="D1590" i="12"/>
  <c r="M1588" i="12"/>
  <c r="W1587" i="12"/>
  <c r="S1585" i="12"/>
  <c r="O1582" i="12"/>
  <c r="AE1580" i="12"/>
  <c r="K1580" i="12"/>
  <c r="U1578" i="12"/>
  <c r="AC1577" i="12"/>
  <c r="G1577" i="12"/>
  <c r="W1575" i="12"/>
  <c r="C1575" i="12"/>
  <c r="U1572" i="12"/>
  <c r="O1570" i="12"/>
  <c r="AC1568" i="12"/>
  <c r="M1567" i="12"/>
  <c r="AB1565" i="12"/>
  <c r="G1565" i="12"/>
  <c r="E1562" i="12"/>
  <c r="T1560" i="12"/>
  <c r="E1558" i="12"/>
  <c r="L1555" i="12"/>
  <c r="AE1552" i="12"/>
  <c r="K1865" i="12"/>
  <c r="W1860" i="12"/>
  <c r="AB1855" i="12"/>
  <c r="AE1850" i="12"/>
  <c r="K1830" i="12"/>
  <c r="K1825" i="12"/>
  <c r="W1820" i="12"/>
  <c r="AB1815" i="12"/>
  <c r="AE1810" i="12"/>
  <c r="W1795" i="12"/>
  <c r="U1788" i="12"/>
  <c r="L1785" i="12"/>
  <c r="AE1770" i="12"/>
  <c r="AC1767" i="12"/>
  <c r="E1762" i="12"/>
  <c r="M1757" i="12"/>
  <c r="C1755" i="12"/>
  <c r="O1750" i="12"/>
  <c r="AA1745" i="12"/>
  <c r="G1740" i="12"/>
  <c r="W1732" i="12"/>
  <c r="W1730" i="12"/>
  <c r="U1728" i="12"/>
  <c r="W1727" i="12"/>
  <c r="G1725" i="12"/>
  <c r="M1723" i="12"/>
  <c r="W1722" i="12"/>
  <c r="S1720" i="12"/>
  <c r="O1717" i="12"/>
  <c r="AE1715" i="12"/>
  <c r="K1715" i="12"/>
  <c r="U1713" i="12"/>
  <c r="AC1712" i="12"/>
  <c r="G1712" i="12"/>
  <c r="W1710" i="12"/>
  <c r="C1710" i="12"/>
  <c r="U1707" i="12"/>
  <c r="O1705" i="12"/>
  <c r="AC1703" i="12"/>
  <c r="M1702" i="12"/>
  <c r="AB1700" i="12"/>
  <c r="G1700" i="12"/>
  <c r="E1697" i="12"/>
  <c r="T1695" i="12"/>
  <c r="E1693" i="12"/>
  <c r="L1690" i="12"/>
  <c r="AE1687" i="12"/>
  <c r="AA1685" i="12"/>
  <c r="D1685" i="12"/>
  <c r="M1683" i="12"/>
  <c r="W1682" i="12"/>
  <c r="S1680" i="12"/>
  <c r="O1677" i="12"/>
  <c r="AE1675" i="12"/>
  <c r="K1675" i="12"/>
  <c r="U1673" i="12"/>
  <c r="AC1672" i="12"/>
  <c r="G1672" i="12"/>
  <c r="W1670" i="12"/>
  <c r="C1670" i="12"/>
  <c r="U1667" i="12"/>
  <c r="O1665" i="12"/>
  <c r="AC1663" i="12"/>
  <c r="M1662" i="12"/>
  <c r="AB1660" i="12"/>
  <c r="G1660" i="12"/>
  <c r="E1657" i="12"/>
  <c r="T1655" i="12"/>
  <c r="E1653" i="12"/>
  <c r="L1650" i="12"/>
  <c r="AE1647" i="12"/>
  <c r="AA1645" i="12"/>
  <c r="D1645" i="12"/>
  <c r="M1643" i="12"/>
  <c r="W1642" i="12"/>
  <c r="S1640" i="12"/>
  <c r="O1637" i="12"/>
  <c r="AE1635" i="12"/>
  <c r="K1635" i="12"/>
  <c r="U1633" i="12"/>
  <c r="AC1632" i="12"/>
  <c r="G1632" i="12"/>
  <c r="W1630" i="12"/>
  <c r="C1630" i="12"/>
  <c r="U1627" i="12"/>
  <c r="O1625" i="12"/>
  <c r="AC1623" i="12"/>
  <c r="M1622" i="12"/>
  <c r="AB1620" i="12"/>
  <c r="G1620" i="12"/>
  <c r="E1617" i="12"/>
  <c r="T1615" i="12"/>
  <c r="E1613" i="12"/>
  <c r="L1610" i="12"/>
  <c r="AE1607" i="12"/>
  <c r="AA1605" i="12"/>
  <c r="D1605" i="12"/>
  <c r="M1603" i="12"/>
  <c r="W1602" i="12"/>
  <c r="S1600" i="12"/>
  <c r="O1597" i="12"/>
  <c r="AE1595" i="12"/>
  <c r="K1595" i="12"/>
  <c r="U1593" i="12"/>
  <c r="AC1592" i="12"/>
  <c r="G1592" i="12"/>
  <c r="W1590" i="12"/>
  <c r="AE2082" i="12"/>
  <c r="L2075" i="12"/>
  <c r="AB1995" i="12"/>
  <c r="S1920" i="12"/>
  <c r="O1907" i="12"/>
  <c r="E1893" i="12"/>
  <c r="AC1887" i="12"/>
  <c r="AC1838" i="12"/>
  <c r="AC1798" i="12"/>
  <c r="G1795" i="12"/>
  <c r="E1792" i="12"/>
  <c r="G1785" i="12"/>
  <c r="E1782" i="12"/>
  <c r="AC1778" i="12"/>
  <c r="AA1770" i="12"/>
  <c r="W1767" i="12"/>
  <c r="AC1758" i="12"/>
  <c r="O1752" i="12"/>
  <c r="K1750" i="12"/>
  <c r="AC1747" i="12"/>
  <c r="T1745" i="12"/>
  <c r="M1743" i="12"/>
  <c r="D1740" i="12"/>
  <c r="AE1737" i="12"/>
  <c r="S1730" i="12"/>
  <c r="U1727" i="12"/>
  <c r="AE1725" i="12"/>
  <c r="D1725" i="12"/>
  <c r="U1722" i="12"/>
  <c r="O1720" i="12"/>
  <c r="AC1718" i="12"/>
  <c r="M1717" i="12"/>
  <c r="AB1715" i="12"/>
  <c r="G1715" i="12"/>
  <c r="E1712" i="12"/>
  <c r="T1710" i="12"/>
  <c r="E1708" i="12"/>
  <c r="L1705" i="12"/>
  <c r="AE1702" i="12"/>
  <c r="AA1700" i="12"/>
  <c r="D1700" i="12"/>
  <c r="M1698" i="12"/>
  <c r="W1697" i="12"/>
  <c r="S1695" i="12"/>
  <c r="O1692" i="12"/>
  <c r="AE1690" i="12"/>
  <c r="K1690" i="12"/>
  <c r="U1688" i="12"/>
  <c r="AC1687" i="12"/>
  <c r="G1687" i="12"/>
  <c r="W1685" i="12"/>
  <c r="C1685" i="12"/>
  <c r="U1682" i="12"/>
  <c r="O1680" i="12"/>
  <c r="AC1678" i="12"/>
  <c r="M1677" i="12"/>
  <c r="AB1675" i="12"/>
  <c r="G1675" i="12"/>
  <c r="E1672" i="12"/>
  <c r="T1670" i="12"/>
  <c r="E1668" i="12"/>
  <c r="L1665" i="12"/>
  <c r="AE1662" i="12"/>
  <c r="AA1660" i="12"/>
  <c r="D1660" i="12"/>
  <c r="M1658" i="12"/>
  <c r="W1657" i="12"/>
  <c r="S1655" i="12"/>
  <c r="O1652" i="12"/>
  <c r="AE1650" i="12"/>
  <c r="K1650" i="12"/>
  <c r="U1648" i="12"/>
  <c r="AC1647" i="12"/>
  <c r="G1647" i="12"/>
  <c r="W1645" i="12"/>
  <c r="C1645" i="12"/>
  <c r="U1642" i="12"/>
  <c r="O1640" i="12"/>
  <c r="AC1638" i="12"/>
  <c r="M1637" i="12"/>
  <c r="AB1635" i="12"/>
  <c r="G1635" i="12"/>
  <c r="E1632" i="12"/>
  <c r="T1630" i="12"/>
  <c r="E1628" i="12"/>
  <c r="L1625" i="12"/>
  <c r="AE1622" i="12"/>
  <c r="AA1620" i="12"/>
  <c r="D1620" i="12"/>
  <c r="M1618" i="12"/>
  <c r="W1617" i="12"/>
  <c r="S1615" i="12"/>
  <c r="O1612" i="12"/>
  <c r="AE1610" i="12"/>
  <c r="K1610" i="12"/>
  <c r="U1608" i="12"/>
  <c r="AC1607" i="12"/>
  <c r="G1607" i="12"/>
  <c r="W1605" i="12"/>
  <c r="C1605" i="12"/>
  <c r="U1602" i="12"/>
  <c r="O1600" i="12"/>
  <c r="AC1598" i="12"/>
  <c r="M1597" i="12"/>
  <c r="AB1595" i="12"/>
  <c r="G1595" i="12"/>
  <c r="E1592" i="12"/>
  <c r="T1590" i="12"/>
  <c r="E1588" i="12"/>
  <c r="L1585" i="12"/>
  <c r="AE1582" i="12"/>
  <c r="AA1580" i="12"/>
  <c r="D1580" i="12"/>
  <c r="M1578" i="12"/>
  <c r="W1577" i="12"/>
  <c r="S1575" i="12"/>
  <c r="O1572" i="12"/>
  <c r="AE1570" i="12"/>
  <c r="K1570" i="12"/>
  <c r="U1568" i="12"/>
  <c r="AC1567" i="12"/>
  <c r="G1567" i="12"/>
  <c r="W1565" i="12"/>
  <c r="C1565" i="12"/>
  <c r="U1562" i="12"/>
  <c r="O1560" i="12"/>
  <c r="AC1558" i="12"/>
  <c r="M1557" i="12"/>
  <c r="AB1555" i="12"/>
  <c r="AE2030" i="12"/>
  <c r="D1980" i="12"/>
  <c r="AC1967" i="12"/>
  <c r="O1880" i="12"/>
  <c r="M1798" i="12"/>
  <c r="C1795" i="12"/>
  <c r="AC1787" i="12"/>
  <c r="M1778" i="12"/>
  <c r="AA1775" i="12"/>
  <c r="S1770" i="12"/>
  <c r="O1767" i="12"/>
  <c r="U1763" i="12"/>
  <c r="U1758" i="12"/>
  <c r="W1747" i="12"/>
  <c r="O1745" i="12"/>
  <c r="E1743" i="12"/>
  <c r="AE1735" i="12"/>
  <c r="U1733" i="12"/>
  <c r="O1732" i="12"/>
  <c r="L1730" i="12"/>
  <c r="O1727" i="12"/>
  <c r="AA1725" i="12"/>
  <c r="C1725" i="12"/>
  <c r="E1723" i="12"/>
  <c r="L1720" i="12"/>
  <c r="AE1717" i="12"/>
  <c r="AA1715" i="12"/>
  <c r="D1715" i="12"/>
  <c r="M1713" i="12"/>
  <c r="W1712" i="12"/>
  <c r="S1710" i="12"/>
  <c r="O1707" i="12"/>
  <c r="AE1705" i="12"/>
  <c r="K1705" i="12"/>
  <c r="U1703" i="12"/>
  <c r="AC1702" i="12"/>
  <c r="G1702" i="12"/>
  <c r="W1700" i="12"/>
  <c r="C1700" i="12"/>
  <c r="U1697" i="12"/>
  <c r="O1695" i="12"/>
  <c r="AC1693" i="12"/>
  <c r="M1692" i="12"/>
  <c r="AB1690" i="12"/>
  <c r="G1690" i="12"/>
  <c r="E1687" i="12"/>
  <c r="T1685" i="12"/>
  <c r="E1683" i="12"/>
  <c r="L1680" i="12"/>
  <c r="AE1677" i="12"/>
  <c r="AA1675" i="12"/>
  <c r="D1675" i="12"/>
  <c r="M1673" i="12"/>
  <c r="W1672" i="12"/>
  <c r="S1670" i="12"/>
  <c r="O1667" i="12"/>
  <c r="AE1665" i="12"/>
  <c r="K1665" i="12"/>
  <c r="U1663" i="12"/>
  <c r="AC1662" i="12"/>
  <c r="G1662" i="12"/>
  <c r="W1660" i="12"/>
  <c r="C1660" i="12"/>
  <c r="U1657" i="12"/>
  <c r="O1655" i="12"/>
  <c r="AC1653" i="12"/>
  <c r="M1652" i="12"/>
  <c r="AB1650" i="12"/>
  <c r="G1650" i="12"/>
  <c r="E1647" i="12"/>
  <c r="T1645" i="12"/>
  <c r="E1643" i="12"/>
  <c r="L1640" i="12"/>
  <c r="AE1637" i="12"/>
  <c r="AA1635" i="12"/>
  <c r="D1635" i="12"/>
  <c r="M1633" i="12"/>
  <c r="W1632" i="12"/>
  <c r="S1630" i="12"/>
  <c r="O1627" i="12"/>
  <c r="AE1625" i="12"/>
  <c r="K1625" i="12"/>
  <c r="U1623" i="12"/>
  <c r="AC1622" i="12"/>
  <c r="G1622" i="12"/>
  <c r="W1620" i="12"/>
  <c r="C1620" i="12"/>
  <c r="U1617" i="12"/>
  <c r="O1615" i="12"/>
  <c r="AC1613" i="12"/>
  <c r="M1612" i="12"/>
  <c r="AB1610" i="12"/>
  <c r="G1610" i="12"/>
  <c r="E1607" i="12"/>
  <c r="T1605" i="12"/>
  <c r="E1603" i="12"/>
  <c r="L1600" i="12"/>
  <c r="AE1597" i="12"/>
  <c r="AA1595" i="12"/>
  <c r="D1595" i="12"/>
  <c r="M1593" i="12"/>
  <c r="W1592" i="12"/>
  <c r="S1590" i="12"/>
  <c r="O1587" i="12"/>
  <c r="AE1585" i="12"/>
  <c r="K1585" i="12"/>
  <c r="U1583" i="12"/>
  <c r="AC1582" i="12"/>
  <c r="G1582" i="12"/>
  <c r="W1580" i="12"/>
  <c r="C1580" i="12"/>
  <c r="U1577" i="12"/>
  <c r="O1575" i="12"/>
  <c r="AC1573" i="12"/>
  <c r="M1572" i="12"/>
  <c r="AB1570" i="12"/>
  <c r="G1570" i="12"/>
  <c r="E1567" i="12"/>
  <c r="T1565" i="12"/>
  <c r="E1563" i="12"/>
  <c r="L1560" i="12"/>
  <c r="AE1557" i="12"/>
  <c r="AA1555" i="12"/>
  <c r="D1555" i="12"/>
  <c r="M1553" i="12"/>
  <c r="W1552" i="12"/>
  <c r="E2087" i="12"/>
  <c r="S2000" i="12"/>
  <c r="W1925" i="12"/>
  <c r="E1912" i="12"/>
  <c r="E1892" i="12"/>
  <c r="AC1858" i="12"/>
  <c r="AC1853" i="12"/>
  <c r="M1837" i="12"/>
  <c r="AC1818" i="12"/>
  <c r="AC1813" i="12"/>
  <c r="O1787" i="12"/>
  <c r="E1778" i="12"/>
  <c r="O1775" i="12"/>
  <c r="W1772" i="12"/>
  <c r="T1760" i="12"/>
  <c r="AC1753" i="12"/>
  <c r="U1747" i="12"/>
  <c r="L1745" i="12"/>
  <c r="W1737" i="12"/>
  <c r="AA1735" i="12"/>
  <c r="M1733" i="12"/>
  <c r="G1732" i="12"/>
  <c r="K1730" i="12"/>
  <c r="W1725" i="12"/>
  <c r="O1722" i="12"/>
  <c r="AE1720" i="12"/>
  <c r="K1720" i="12"/>
  <c r="U1718" i="12"/>
  <c r="AC1717" i="12"/>
  <c r="G1717" i="12"/>
  <c r="W1715" i="12"/>
  <c r="C1715" i="12"/>
  <c r="U1712" i="12"/>
  <c r="O1710" i="12"/>
  <c r="AC1708" i="12"/>
  <c r="M1707" i="12"/>
  <c r="AB1705" i="12"/>
  <c r="G1705" i="12"/>
  <c r="E1702" i="12"/>
  <c r="T1700" i="12"/>
  <c r="E1698" i="12"/>
  <c r="L1695" i="12"/>
  <c r="AE1692" i="12"/>
  <c r="AA1690" i="12"/>
  <c r="D1690" i="12"/>
  <c r="M1688" i="12"/>
  <c r="W1687" i="12"/>
  <c r="S1685" i="12"/>
  <c r="O1682" i="12"/>
  <c r="AE1680" i="12"/>
  <c r="K1680" i="12"/>
  <c r="U1678" i="12"/>
  <c r="AC1677" i="12"/>
  <c r="G1677" i="12"/>
  <c r="W1675" i="12"/>
  <c r="C1675" i="12"/>
  <c r="U1672" i="12"/>
  <c r="O1670" i="12"/>
  <c r="AC1668" i="12"/>
  <c r="M1667" i="12"/>
  <c r="AB1665" i="12"/>
  <c r="G1665" i="12"/>
  <c r="E1662" i="12"/>
  <c r="T1660" i="12"/>
  <c r="E1658" i="12"/>
  <c r="L1655" i="12"/>
  <c r="AE1652" i="12"/>
  <c r="AA1650" i="12"/>
  <c r="D1650" i="12"/>
  <c r="M1648" i="12"/>
  <c r="W1647" i="12"/>
  <c r="S1645" i="12"/>
  <c r="O1642" i="12"/>
  <c r="AE1640" i="12"/>
  <c r="K1640" i="12"/>
  <c r="U1638" i="12"/>
  <c r="AC1637" i="12"/>
  <c r="G1637" i="12"/>
  <c r="W1635" i="12"/>
  <c r="C1635" i="12"/>
  <c r="U1632" i="12"/>
  <c r="O1630" i="12"/>
  <c r="AC1628" i="12"/>
  <c r="M1627" i="12"/>
  <c r="AB1625" i="12"/>
  <c r="G1625" i="12"/>
  <c r="E1622" i="12"/>
  <c r="T1620" i="12"/>
  <c r="E1618" i="12"/>
  <c r="L1615" i="12"/>
  <c r="AE1612" i="12"/>
  <c r="AA1610" i="12"/>
  <c r="D1610" i="12"/>
  <c r="M1608" i="12"/>
  <c r="W1607" i="12"/>
  <c r="S1605" i="12"/>
  <c r="O1602" i="12"/>
  <c r="AE1600" i="12"/>
  <c r="K1600" i="12"/>
  <c r="U1598" i="12"/>
  <c r="AC1597" i="12"/>
  <c r="G1597" i="12"/>
  <c r="W1595" i="12"/>
  <c r="C1595" i="12"/>
  <c r="U1592" i="12"/>
  <c r="O1590" i="12"/>
  <c r="AC1588" i="12"/>
  <c r="M1587" i="12"/>
  <c r="AB1585" i="12"/>
  <c r="G1585" i="12"/>
  <c r="E1582" i="12"/>
  <c r="T1580" i="12"/>
  <c r="E1578" i="12"/>
  <c r="L1575" i="12"/>
  <c r="AE1572" i="12"/>
  <c r="AA1570" i="12"/>
  <c r="D1570" i="12"/>
  <c r="M1568" i="12"/>
  <c r="W1567" i="12"/>
  <c r="S1565" i="12"/>
  <c r="O1562" i="12"/>
  <c r="AE1560" i="12"/>
  <c r="K1560" i="12"/>
  <c r="U1558" i="12"/>
  <c r="S2305" i="12"/>
  <c r="D2035" i="12"/>
  <c r="W1897" i="12"/>
  <c r="O1832" i="12"/>
  <c r="M1797" i="12"/>
  <c r="AE1790" i="12"/>
  <c r="G1787" i="12"/>
  <c r="W1780" i="12"/>
  <c r="G1775" i="12"/>
  <c r="M1772" i="12"/>
  <c r="L1760" i="12"/>
  <c r="E1758" i="12"/>
  <c r="AB1755" i="12"/>
  <c r="M1753" i="12"/>
  <c r="AC1748" i="12"/>
  <c r="M1747" i="12"/>
  <c r="D1745" i="12"/>
  <c r="AE1742" i="12"/>
  <c r="AB1740" i="12"/>
  <c r="O1737" i="12"/>
  <c r="T1735" i="12"/>
  <c r="E1733" i="12"/>
  <c r="C1730" i="12"/>
  <c r="G1727" i="12"/>
  <c r="T1725" i="12"/>
  <c r="M1722" i="12"/>
  <c r="AB1720" i="12"/>
  <c r="G1720" i="12"/>
  <c r="E1717" i="12"/>
  <c r="T1715" i="12"/>
  <c r="E1713" i="12"/>
  <c r="L1710" i="12"/>
  <c r="AE1707" i="12"/>
  <c r="AA1705" i="12"/>
  <c r="D1705" i="12"/>
  <c r="M1703" i="12"/>
  <c r="W1702" i="12"/>
  <c r="S1700" i="12"/>
  <c r="O1697" i="12"/>
  <c r="AE1695" i="12"/>
  <c r="K1695" i="12"/>
  <c r="U1693" i="12"/>
  <c r="AC1692" i="12"/>
  <c r="G1692" i="12"/>
  <c r="W1690" i="12"/>
  <c r="C1690" i="12"/>
  <c r="U1687" i="12"/>
  <c r="O1685" i="12"/>
  <c r="AC1683" i="12"/>
  <c r="M1682" i="12"/>
  <c r="AB1680" i="12"/>
  <c r="G1680" i="12"/>
  <c r="E1677" i="12"/>
  <c r="T1675" i="12"/>
  <c r="E1673" i="12"/>
  <c r="L1670" i="12"/>
  <c r="AE1667" i="12"/>
  <c r="AA1665" i="12"/>
  <c r="D1665" i="12"/>
  <c r="M1663" i="12"/>
  <c r="W1662" i="12"/>
  <c r="S1660" i="12"/>
  <c r="O1657" i="12"/>
  <c r="AE1655" i="12"/>
  <c r="K1655" i="12"/>
  <c r="U1653" i="12"/>
  <c r="AC1652" i="12"/>
  <c r="G1652" i="12"/>
  <c r="W1650" i="12"/>
  <c r="C1650" i="12"/>
  <c r="U1647" i="12"/>
  <c r="O1645" i="12"/>
  <c r="AC1643" i="12"/>
  <c r="M1642" i="12"/>
  <c r="AB1640" i="12"/>
  <c r="G1640" i="12"/>
  <c r="E1637" i="12"/>
  <c r="T1635" i="12"/>
  <c r="E1633" i="12"/>
  <c r="L1630" i="12"/>
  <c r="AE1627" i="12"/>
  <c r="AA1625" i="12"/>
  <c r="D1625" i="12"/>
  <c r="M1623" i="12"/>
  <c r="W1622" i="12"/>
  <c r="S1620" i="12"/>
  <c r="O1617" i="12"/>
  <c r="AE1615" i="12"/>
  <c r="K1615" i="12"/>
  <c r="U1613" i="12"/>
  <c r="AC1612" i="12"/>
  <c r="G1612" i="12"/>
  <c r="W1610" i="12"/>
  <c r="C1610" i="12"/>
  <c r="U1607" i="12"/>
  <c r="O1605" i="12"/>
  <c r="AC1603" i="12"/>
  <c r="M1602" i="12"/>
  <c r="AB1600" i="12"/>
  <c r="G1600" i="12"/>
  <c r="E1597" i="12"/>
  <c r="T1595" i="12"/>
  <c r="E1593" i="12"/>
  <c r="L1590" i="12"/>
  <c r="AE1587" i="12"/>
  <c r="AA1585" i="12"/>
  <c r="D1585" i="12"/>
  <c r="M1583" i="12"/>
  <c r="E1992" i="12"/>
  <c r="AC1943" i="12"/>
  <c r="K1930" i="12"/>
  <c r="AE1862" i="12"/>
  <c r="G1847" i="12"/>
  <c r="AE1822" i="12"/>
  <c r="G1807" i="12"/>
  <c r="G1797" i="12"/>
  <c r="M1793" i="12"/>
  <c r="K1790" i="12"/>
  <c r="O1780" i="12"/>
  <c r="U1777" i="12"/>
  <c r="E1772" i="12"/>
  <c r="U1768" i="12"/>
  <c r="AE1765" i="12"/>
  <c r="AE1762" i="12"/>
  <c r="D1760" i="12"/>
  <c r="W1755" i="12"/>
  <c r="E1747" i="12"/>
  <c r="W1742" i="12"/>
  <c r="AA1740" i="12"/>
  <c r="S1735" i="12"/>
  <c r="AE1727" i="12"/>
  <c r="E1727" i="12"/>
  <c r="S1725" i="12"/>
  <c r="AC1723" i="12"/>
  <c r="AE1722" i="12"/>
  <c r="AA1720" i="12"/>
  <c r="D1720" i="12"/>
  <c r="M1718" i="12"/>
  <c r="W1717" i="12"/>
  <c r="S1715" i="12"/>
  <c r="O1712" i="12"/>
  <c r="AE1710" i="12"/>
  <c r="K1710" i="12"/>
  <c r="U1708" i="12"/>
  <c r="AC1707" i="12"/>
  <c r="G1707" i="12"/>
  <c r="W1705" i="12"/>
  <c r="C1705" i="12"/>
  <c r="U1702" i="12"/>
  <c r="O1700" i="12"/>
  <c r="AC1698" i="12"/>
  <c r="M1697" i="12"/>
  <c r="AB1695" i="12"/>
  <c r="G1695" i="12"/>
  <c r="E1692" i="12"/>
  <c r="T1690" i="12"/>
  <c r="E1688" i="12"/>
  <c r="L1685" i="12"/>
  <c r="AE1682" i="12"/>
  <c r="AA1680" i="12"/>
  <c r="D1680" i="12"/>
  <c r="M1678" i="12"/>
  <c r="W1677" i="12"/>
  <c r="S1675" i="12"/>
  <c r="O1672" i="12"/>
  <c r="AE1670" i="12"/>
  <c r="K1670" i="12"/>
  <c r="U1668" i="12"/>
  <c r="AC1667" i="12"/>
  <c r="G1667" i="12"/>
  <c r="W1665" i="12"/>
  <c r="C1665" i="12"/>
  <c r="U1662" i="12"/>
  <c r="O1660" i="12"/>
  <c r="AC1658" i="12"/>
  <c r="M1657" i="12"/>
  <c r="AB1655" i="12"/>
  <c r="G1655" i="12"/>
  <c r="E1652" i="12"/>
  <c r="T1650" i="12"/>
  <c r="E1648" i="12"/>
  <c r="L1645" i="12"/>
  <c r="AE1642" i="12"/>
  <c r="AA1640" i="12"/>
  <c r="D1640" i="12"/>
  <c r="M1638" i="12"/>
  <c r="W1637" i="12"/>
  <c r="S1635" i="12"/>
  <c r="O1632" i="12"/>
  <c r="AE1630" i="12"/>
  <c r="K1630" i="12"/>
  <c r="U1628" i="12"/>
  <c r="AC1627" i="12"/>
  <c r="G1627" i="12"/>
  <c r="W1625" i="12"/>
  <c r="C1625" i="12"/>
  <c r="U1622" i="12"/>
  <c r="O1620" i="12"/>
  <c r="AC1618" i="12"/>
  <c r="M1617" i="12"/>
  <c r="AB1615" i="12"/>
  <c r="G1615" i="12"/>
  <c r="E1612" i="12"/>
  <c r="T1610" i="12"/>
  <c r="E1608" i="12"/>
  <c r="L1605" i="12"/>
  <c r="AE1602" i="12"/>
  <c r="AA1600" i="12"/>
  <c r="D1600" i="12"/>
  <c r="M1598" i="12"/>
  <c r="W1597" i="12"/>
  <c r="S1595" i="12"/>
  <c r="O1592" i="12"/>
  <c r="AE1590" i="12"/>
  <c r="K1590" i="12"/>
  <c r="U1588" i="12"/>
  <c r="AC1587" i="12"/>
  <c r="G1587" i="12"/>
  <c r="W1585" i="12"/>
  <c r="C1585" i="12"/>
  <c r="U1582" i="12"/>
  <c r="O1580" i="12"/>
  <c r="AC1578" i="12"/>
  <c r="M1577" i="12"/>
  <c r="AB1575" i="12"/>
  <c r="G1575" i="12"/>
  <c r="E1572" i="12"/>
  <c r="T1570" i="12"/>
  <c r="E1568" i="12"/>
  <c r="L1565" i="12"/>
  <c r="AE1562" i="12"/>
  <c r="AA1560" i="12"/>
  <c r="D1560" i="12"/>
  <c r="M1558" i="12"/>
  <c r="W1557" i="12"/>
  <c r="S1555" i="12"/>
  <c r="C1760" i="12"/>
  <c r="M1748" i="12"/>
  <c r="W1720" i="12"/>
  <c r="E1707" i="12"/>
  <c r="AE1697" i="12"/>
  <c r="M1693" i="12"/>
  <c r="W1680" i="12"/>
  <c r="E1667" i="12"/>
  <c r="AE1657" i="12"/>
  <c r="M1653" i="12"/>
  <c r="W1640" i="12"/>
  <c r="E1627" i="12"/>
  <c r="AE1617" i="12"/>
  <c r="M1613" i="12"/>
  <c r="W1600" i="12"/>
  <c r="D1575" i="12"/>
  <c r="W1572" i="12"/>
  <c r="L1570" i="12"/>
  <c r="AE1567" i="12"/>
  <c r="O1565" i="12"/>
  <c r="AB1560" i="12"/>
  <c r="E1557" i="12"/>
  <c r="G1555" i="12"/>
  <c r="E1553" i="12"/>
  <c r="AA1550" i="12"/>
  <c r="D1550" i="12"/>
  <c r="M1548" i="12"/>
  <c r="W1547" i="12"/>
  <c r="S1545" i="12"/>
  <c r="O1542" i="12"/>
  <c r="AE1540" i="12"/>
  <c r="K1540" i="12"/>
  <c r="U1538" i="12"/>
  <c r="AC1537" i="12"/>
  <c r="G1537" i="12"/>
  <c r="W1535" i="12"/>
  <c r="C1535" i="12"/>
  <c r="U1532" i="12"/>
  <c r="O1530" i="12"/>
  <c r="AC1528" i="12"/>
  <c r="M1527" i="12"/>
  <c r="AB1525" i="12"/>
  <c r="G1525" i="12"/>
  <c r="E1522" i="12"/>
  <c r="T1520" i="12"/>
  <c r="E1518" i="12"/>
  <c r="L1515" i="12"/>
  <c r="AE1512" i="12"/>
  <c r="AA1510" i="12"/>
  <c r="D1510" i="12"/>
  <c r="M1508" i="12"/>
  <c r="W1507" i="12"/>
  <c r="S1505" i="12"/>
  <c r="O1502" i="12"/>
  <c r="AE1500" i="12"/>
  <c r="K1500" i="12"/>
  <c r="U1498" i="12"/>
  <c r="AC1497" i="12"/>
  <c r="G1497" i="12"/>
  <c r="W1495" i="12"/>
  <c r="C1495" i="12"/>
  <c r="U1492" i="12"/>
  <c r="O1490" i="12"/>
  <c r="AC1488" i="12"/>
  <c r="M1487" i="12"/>
  <c r="AB1485" i="12"/>
  <c r="G1485" i="12"/>
  <c r="E1482" i="12"/>
  <c r="T1480" i="12"/>
  <c r="E1478" i="12"/>
  <c r="L1475" i="12"/>
  <c r="AE1472" i="12"/>
  <c r="AA1470" i="12"/>
  <c r="D1470" i="12"/>
  <c r="M1468" i="12"/>
  <c r="W1467" i="12"/>
  <c r="S1465" i="12"/>
  <c r="O1462" i="12"/>
  <c r="AE1460" i="12"/>
  <c r="K1460" i="12"/>
  <c r="U1458" i="12"/>
  <c r="AC1457" i="12"/>
  <c r="G1457" i="12"/>
  <c r="W1455" i="12"/>
  <c r="C1455" i="12"/>
  <c r="U1452" i="12"/>
  <c r="O1450" i="12"/>
  <c r="AC1448" i="12"/>
  <c r="M1447" i="12"/>
  <c r="AB1445" i="12"/>
  <c r="G1445" i="12"/>
  <c r="E1442" i="12"/>
  <c r="T1440" i="12"/>
  <c r="E1438" i="12"/>
  <c r="L1435" i="12"/>
  <c r="AE1432" i="12"/>
  <c r="AA1430" i="12"/>
  <c r="D1430" i="12"/>
  <c r="M1428" i="12"/>
  <c r="W1427" i="12"/>
  <c r="S1425" i="12"/>
  <c r="O1422" i="12"/>
  <c r="AE1420" i="12"/>
  <c r="K1420" i="12"/>
  <c r="U1418" i="12"/>
  <c r="AC1417" i="12"/>
  <c r="G1417" i="12"/>
  <c r="W1415" i="12"/>
  <c r="C1415" i="12"/>
  <c r="U1412" i="12"/>
  <c r="O1410" i="12"/>
  <c r="AC1408" i="12"/>
  <c r="M1407" i="12"/>
  <c r="AB1405" i="12"/>
  <c r="G1405" i="12"/>
  <c r="E1402" i="12"/>
  <c r="T1400" i="12"/>
  <c r="E1398" i="12"/>
  <c r="L1395" i="12"/>
  <c r="AE1392" i="12"/>
  <c r="AA1390" i="12"/>
  <c r="D1390" i="12"/>
  <c r="M1388" i="12"/>
  <c r="W1387" i="12"/>
  <c r="S1385" i="12"/>
  <c r="O1382" i="12"/>
  <c r="AE1380" i="12"/>
  <c r="K1380" i="12"/>
  <c r="T1765" i="12"/>
  <c r="C1720" i="12"/>
  <c r="O1715" i="12"/>
  <c r="AB1710" i="12"/>
  <c r="C1680" i="12"/>
  <c r="O1675" i="12"/>
  <c r="AB1670" i="12"/>
  <c r="C1640" i="12"/>
  <c r="O1635" i="12"/>
  <c r="AB1630" i="12"/>
  <c r="C1600" i="12"/>
  <c r="O1595" i="12"/>
  <c r="AB1590" i="12"/>
  <c r="E1577" i="12"/>
  <c r="C1570" i="12"/>
  <c r="U1567" i="12"/>
  <c r="K1565" i="12"/>
  <c r="AC1562" i="12"/>
  <c r="W1560" i="12"/>
  <c r="C1555" i="12"/>
  <c r="G1552" i="12"/>
  <c r="W1550" i="12"/>
  <c r="C1550" i="12"/>
  <c r="U1547" i="12"/>
  <c r="O1545" i="12"/>
  <c r="AC1543" i="12"/>
  <c r="M1542" i="12"/>
  <c r="AB1540" i="12"/>
  <c r="G1540" i="12"/>
  <c r="E1537" i="12"/>
  <c r="T1535" i="12"/>
  <c r="E1533" i="12"/>
  <c r="L1530" i="12"/>
  <c r="AE1527" i="12"/>
  <c r="AA1525" i="12"/>
  <c r="D1525" i="12"/>
  <c r="M1523" i="12"/>
  <c r="W1522" i="12"/>
  <c r="S1520" i="12"/>
  <c r="O1517" i="12"/>
  <c r="AE1515" i="12"/>
  <c r="K1515" i="12"/>
  <c r="U1513" i="12"/>
  <c r="AC1512" i="12"/>
  <c r="G1512" i="12"/>
  <c r="W1510" i="12"/>
  <c r="C1510" i="12"/>
  <c r="U1507" i="12"/>
  <c r="O1505" i="12"/>
  <c r="AC1503" i="12"/>
  <c r="M1502" i="12"/>
  <c r="AB1500" i="12"/>
  <c r="G1500" i="12"/>
  <c r="E1497" i="12"/>
  <c r="T1495" i="12"/>
  <c r="E1493" i="12"/>
  <c r="L1490" i="12"/>
  <c r="AE1487" i="12"/>
  <c r="AA1485" i="12"/>
  <c r="D1485" i="12"/>
  <c r="M1483" i="12"/>
  <c r="W1482" i="12"/>
  <c r="S1480" i="12"/>
  <c r="O1477" i="12"/>
  <c r="AE1475" i="12"/>
  <c r="K1475" i="12"/>
  <c r="U1473" i="12"/>
  <c r="AC1472" i="12"/>
  <c r="G1472" i="12"/>
  <c r="W1470" i="12"/>
  <c r="C1470" i="12"/>
  <c r="U1467" i="12"/>
  <c r="O1465" i="12"/>
  <c r="AC1463" i="12"/>
  <c r="M1462" i="12"/>
  <c r="AB1460" i="12"/>
  <c r="G1460" i="12"/>
  <c r="E1457" i="12"/>
  <c r="T1455" i="12"/>
  <c r="E1453" i="12"/>
  <c r="L1450" i="12"/>
  <c r="AE1447" i="12"/>
  <c r="AA1445" i="12"/>
  <c r="D1445" i="12"/>
  <c r="M1443" i="12"/>
  <c r="W1442" i="12"/>
  <c r="S1440" i="12"/>
  <c r="O1437" i="12"/>
  <c r="AE1435" i="12"/>
  <c r="K1435" i="12"/>
  <c r="U1433" i="12"/>
  <c r="AC1432" i="12"/>
  <c r="G1432" i="12"/>
  <c r="W1430" i="12"/>
  <c r="C1430" i="12"/>
  <c r="U1427" i="12"/>
  <c r="O1425" i="12"/>
  <c r="AC1423" i="12"/>
  <c r="M1422" i="12"/>
  <c r="AB1420" i="12"/>
  <c r="G1420" i="12"/>
  <c r="E1417" i="12"/>
  <c r="T1415" i="12"/>
  <c r="E1413" i="12"/>
  <c r="L1410" i="12"/>
  <c r="AE1407" i="12"/>
  <c r="AA1405" i="12"/>
  <c r="D1405" i="12"/>
  <c r="M1403" i="12"/>
  <c r="W1402" i="12"/>
  <c r="S1400" i="12"/>
  <c r="O1397" i="12"/>
  <c r="AE1395" i="12"/>
  <c r="K1395" i="12"/>
  <c r="U1393" i="12"/>
  <c r="AC1392" i="12"/>
  <c r="G1392" i="12"/>
  <c r="W1390" i="12"/>
  <c r="C1390" i="12"/>
  <c r="U1387" i="12"/>
  <c r="O1385" i="12"/>
  <c r="AC1383" i="12"/>
  <c r="M1382" i="12"/>
  <c r="S1740" i="12"/>
  <c r="K1735" i="12"/>
  <c r="U1723" i="12"/>
  <c r="G1710" i="12"/>
  <c r="W1692" i="12"/>
  <c r="U1683" i="12"/>
  <c r="G1670" i="12"/>
  <c r="W1652" i="12"/>
  <c r="U1643" i="12"/>
  <c r="G1630" i="12"/>
  <c r="W1612" i="12"/>
  <c r="U1603" i="12"/>
  <c r="G1590" i="12"/>
  <c r="U1587" i="12"/>
  <c r="AC1583" i="12"/>
  <c r="G1572" i="12"/>
  <c r="O1567" i="12"/>
  <c r="D1565" i="12"/>
  <c r="W1562" i="12"/>
  <c r="S1560" i="12"/>
  <c r="AC1552" i="12"/>
  <c r="E1552" i="12"/>
  <c r="T1550" i="12"/>
  <c r="E1548" i="12"/>
  <c r="L1545" i="12"/>
  <c r="AE1542" i="12"/>
  <c r="AA1540" i="12"/>
  <c r="D1540" i="12"/>
  <c r="M1538" i="12"/>
  <c r="W1537" i="12"/>
  <c r="S1535" i="12"/>
  <c r="O1532" i="12"/>
  <c r="AE1530" i="12"/>
  <c r="K1530" i="12"/>
  <c r="U1528" i="12"/>
  <c r="AC1527" i="12"/>
  <c r="G1527" i="12"/>
  <c r="W1525" i="12"/>
  <c r="C1525" i="12"/>
  <c r="U1522" i="12"/>
  <c r="O1520" i="12"/>
  <c r="AC1518" i="12"/>
  <c r="M1517" i="12"/>
  <c r="AB1515" i="12"/>
  <c r="G1515" i="12"/>
  <c r="E1512" i="12"/>
  <c r="T1510" i="12"/>
  <c r="E1508" i="12"/>
  <c r="L1505" i="12"/>
  <c r="AE1502" i="12"/>
  <c r="AA1500" i="12"/>
  <c r="D1500" i="12"/>
  <c r="M1498" i="12"/>
  <c r="W1497" i="12"/>
  <c r="S1495" i="12"/>
  <c r="O1492" i="12"/>
  <c r="AE1490" i="12"/>
  <c r="K1490" i="12"/>
  <c r="U1488" i="12"/>
  <c r="AC1487" i="12"/>
  <c r="G1487" i="12"/>
  <c r="W1485" i="12"/>
  <c r="C1485" i="12"/>
  <c r="U1482" i="12"/>
  <c r="O1480" i="12"/>
  <c r="AC1478" i="12"/>
  <c r="M1477" i="12"/>
  <c r="AB1475" i="12"/>
  <c r="G1475" i="12"/>
  <c r="E1472" i="12"/>
  <c r="T1470" i="12"/>
  <c r="E1468" i="12"/>
  <c r="L1465" i="12"/>
  <c r="AE1462" i="12"/>
  <c r="AA1460" i="12"/>
  <c r="D1460" i="12"/>
  <c r="M1458" i="12"/>
  <c r="W1457" i="12"/>
  <c r="S1455" i="12"/>
  <c r="O1452" i="12"/>
  <c r="AE1450" i="12"/>
  <c r="K1450" i="12"/>
  <c r="U1448" i="12"/>
  <c r="AC1447" i="12"/>
  <c r="G1447" i="12"/>
  <c r="W1445" i="12"/>
  <c r="C1445" i="12"/>
  <c r="U1442" i="12"/>
  <c r="O1440" i="12"/>
  <c r="AC1438" i="12"/>
  <c r="M1437" i="12"/>
  <c r="AB1435" i="12"/>
  <c r="G1435" i="12"/>
  <c r="E1432" i="12"/>
  <c r="T1430" i="12"/>
  <c r="E1428" i="12"/>
  <c r="L1425" i="12"/>
  <c r="AE1422" i="12"/>
  <c r="AA1420" i="12"/>
  <c r="D1420" i="12"/>
  <c r="M1418" i="12"/>
  <c r="W1417" i="12"/>
  <c r="S1415" i="12"/>
  <c r="O1412" i="12"/>
  <c r="AE1410" i="12"/>
  <c r="K1410" i="12"/>
  <c r="U1408" i="12"/>
  <c r="AC1407" i="12"/>
  <c r="G1407" i="12"/>
  <c r="W1405" i="12"/>
  <c r="C1405" i="12"/>
  <c r="U1402" i="12"/>
  <c r="O1400" i="12"/>
  <c r="AC1398" i="12"/>
  <c r="M1397" i="12"/>
  <c r="AB1395" i="12"/>
  <c r="G1395" i="12"/>
  <c r="E1392" i="12"/>
  <c r="T1390" i="12"/>
  <c r="E1388" i="12"/>
  <c r="L1385" i="12"/>
  <c r="AE1382" i="12"/>
  <c r="AA1380" i="12"/>
  <c r="D1380" i="12"/>
  <c r="M1378" i="12"/>
  <c r="W1377" i="12"/>
  <c r="S1375" i="12"/>
  <c r="O1372" i="12"/>
  <c r="AE1370" i="12"/>
  <c r="K1370" i="12"/>
  <c r="U1368" i="12"/>
  <c r="M1777" i="12"/>
  <c r="AC1727" i="12"/>
  <c r="T1705" i="12"/>
  <c r="L1700" i="12"/>
  <c r="O1687" i="12"/>
  <c r="T1665" i="12"/>
  <c r="L1660" i="12"/>
  <c r="O1647" i="12"/>
  <c r="T1625" i="12"/>
  <c r="L1620" i="12"/>
  <c r="O1607" i="12"/>
  <c r="C1590" i="12"/>
  <c r="E1587" i="12"/>
  <c r="E1583" i="12"/>
  <c r="AB1580" i="12"/>
  <c r="U1573" i="12"/>
  <c r="M1562" i="12"/>
  <c r="G1560" i="12"/>
  <c r="AC1557" i="12"/>
  <c r="AE1555" i="12"/>
  <c r="S1550" i="12"/>
  <c r="O1547" i="12"/>
  <c r="AE1545" i="12"/>
  <c r="K1545" i="12"/>
  <c r="U1543" i="12"/>
  <c r="AC1542" i="12"/>
  <c r="G1542" i="12"/>
  <c r="W1540" i="12"/>
  <c r="C1540" i="12"/>
  <c r="U1537" i="12"/>
  <c r="O1535" i="12"/>
  <c r="AC1533" i="12"/>
  <c r="M1532" i="12"/>
  <c r="AB1530" i="12"/>
  <c r="G1530" i="12"/>
  <c r="E1527" i="12"/>
  <c r="T1525" i="12"/>
  <c r="E1523" i="12"/>
  <c r="L1520" i="12"/>
  <c r="AE1517" i="12"/>
  <c r="AA1515" i="12"/>
  <c r="D1515" i="12"/>
  <c r="M1513" i="12"/>
  <c r="W1512" i="12"/>
  <c r="S1510" i="12"/>
  <c r="O1507" i="12"/>
  <c r="AE1505" i="12"/>
  <c r="K1505" i="12"/>
  <c r="U1503" i="12"/>
  <c r="AC1502" i="12"/>
  <c r="G1502" i="12"/>
  <c r="W1500" i="12"/>
  <c r="C1500" i="12"/>
  <c r="U1497" i="12"/>
  <c r="O1495" i="12"/>
  <c r="AC1493" i="12"/>
  <c r="M1492" i="12"/>
  <c r="AB1490" i="12"/>
  <c r="G1490" i="12"/>
  <c r="E1487" i="12"/>
  <c r="T1485" i="12"/>
  <c r="E1483" i="12"/>
  <c r="L1480" i="12"/>
  <c r="AE1477" i="12"/>
  <c r="AA1475" i="12"/>
  <c r="D1475" i="12"/>
  <c r="M1473" i="12"/>
  <c r="W1472" i="12"/>
  <c r="S1470" i="12"/>
  <c r="O1467" i="12"/>
  <c r="AE1465" i="12"/>
  <c r="K1465" i="12"/>
  <c r="U1463" i="12"/>
  <c r="AC1462" i="12"/>
  <c r="G1462" i="12"/>
  <c r="W1460" i="12"/>
  <c r="C1460" i="12"/>
  <c r="U1457" i="12"/>
  <c r="O1455" i="12"/>
  <c r="AC1453" i="12"/>
  <c r="M1452" i="12"/>
  <c r="AB1450" i="12"/>
  <c r="G1450" i="12"/>
  <c r="E1447" i="12"/>
  <c r="T1445" i="12"/>
  <c r="E1443" i="12"/>
  <c r="L1440" i="12"/>
  <c r="AE1437" i="12"/>
  <c r="AA1435" i="12"/>
  <c r="D1435" i="12"/>
  <c r="M1433" i="12"/>
  <c r="W1432" i="12"/>
  <c r="S1430" i="12"/>
  <c r="O1427" i="12"/>
  <c r="AE1425" i="12"/>
  <c r="K1425" i="12"/>
  <c r="U1423" i="12"/>
  <c r="AC1422" i="12"/>
  <c r="G1422" i="12"/>
  <c r="W1420" i="12"/>
  <c r="C1420" i="12"/>
  <c r="U1417" i="12"/>
  <c r="O1415" i="12"/>
  <c r="AC1413" i="12"/>
  <c r="M1412" i="12"/>
  <c r="AB1410" i="12"/>
  <c r="G1410" i="12"/>
  <c r="E1407" i="12"/>
  <c r="T1405" i="12"/>
  <c r="E1403" i="12"/>
  <c r="L1400" i="12"/>
  <c r="AE1397" i="12"/>
  <c r="AA1395" i="12"/>
  <c r="D1395" i="12"/>
  <c r="M1393" i="12"/>
  <c r="W1392" i="12"/>
  <c r="S1390" i="12"/>
  <c r="O1387" i="12"/>
  <c r="AE1385" i="12"/>
  <c r="K1385" i="12"/>
  <c r="U1383" i="12"/>
  <c r="AC1382" i="12"/>
  <c r="G1382" i="12"/>
  <c r="W1380" i="12"/>
  <c r="M1877" i="12"/>
  <c r="AC1757" i="12"/>
  <c r="AC1722" i="12"/>
  <c r="AC1713" i="12"/>
  <c r="AA1695" i="12"/>
  <c r="AC1682" i="12"/>
  <c r="AC1673" i="12"/>
  <c r="AA1655" i="12"/>
  <c r="AC1642" i="12"/>
  <c r="AC1633" i="12"/>
  <c r="AA1615" i="12"/>
  <c r="AC1602" i="12"/>
  <c r="AC1593" i="12"/>
  <c r="S1580" i="12"/>
  <c r="AE1575" i="12"/>
  <c r="M1573" i="12"/>
  <c r="G1562" i="12"/>
  <c r="C1560" i="12"/>
  <c r="W1555" i="12"/>
  <c r="AC1553" i="12"/>
  <c r="U1552" i="12"/>
  <c r="O1550" i="12"/>
  <c r="AC1548" i="12"/>
  <c r="M1547" i="12"/>
  <c r="AB1545" i="12"/>
  <c r="G1545" i="12"/>
  <c r="E1542" i="12"/>
  <c r="T1540" i="12"/>
  <c r="E1538" i="12"/>
  <c r="L1535" i="12"/>
  <c r="AE1532" i="12"/>
  <c r="AA1530" i="12"/>
  <c r="D1530" i="12"/>
  <c r="M1528" i="12"/>
  <c r="W1527" i="12"/>
  <c r="S1525" i="12"/>
  <c r="O1522" i="12"/>
  <c r="AE1520" i="12"/>
  <c r="K1520" i="12"/>
  <c r="U1518" i="12"/>
  <c r="AC1517" i="12"/>
  <c r="G1517" i="12"/>
  <c r="W1515" i="12"/>
  <c r="C1515" i="12"/>
  <c r="U1512" i="12"/>
  <c r="O1510" i="12"/>
  <c r="AC1508" i="12"/>
  <c r="M1507" i="12"/>
  <c r="AB1505" i="12"/>
  <c r="G1505" i="12"/>
  <c r="E1502" i="12"/>
  <c r="T1500" i="12"/>
  <c r="E1498" i="12"/>
  <c r="L1495" i="12"/>
  <c r="AE1492" i="12"/>
  <c r="AA1490" i="12"/>
  <c r="D1490" i="12"/>
  <c r="M1488" i="12"/>
  <c r="W1487" i="12"/>
  <c r="S1485" i="12"/>
  <c r="O1482" i="12"/>
  <c r="AE1480" i="12"/>
  <c r="K1480" i="12"/>
  <c r="U1478" i="12"/>
  <c r="AC1477" i="12"/>
  <c r="G1477" i="12"/>
  <c r="W1475" i="12"/>
  <c r="C1475" i="12"/>
  <c r="U1472" i="12"/>
  <c r="O1470" i="12"/>
  <c r="AC1468" i="12"/>
  <c r="M1467" i="12"/>
  <c r="AB1465" i="12"/>
  <c r="G1465" i="12"/>
  <c r="E1462" i="12"/>
  <c r="T1460" i="12"/>
  <c r="E1458" i="12"/>
  <c r="L1455" i="12"/>
  <c r="AE1452" i="12"/>
  <c r="AA1450" i="12"/>
  <c r="D1450" i="12"/>
  <c r="M1448" i="12"/>
  <c r="W1447" i="12"/>
  <c r="S1445" i="12"/>
  <c r="O1442" i="12"/>
  <c r="AE1440" i="12"/>
  <c r="K1440" i="12"/>
  <c r="U1438" i="12"/>
  <c r="AC1437" i="12"/>
  <c r="G1437" i="12"/>
  <c r="W1435" i="12"/>
  <c r="C1435" i="12"/>
  <c r="U1432" i="12"/>
  <c r="O1430" i="12"/>
  <c r="AC1428" i="12"/>
  <c r="M1427" i="12"/>
  <c r="AB1425" i="12"/>
  <c r="G1425" i="12"/>
  <c r="E1422" i="12"/>
  <c r="T1420" i="12"/>
  <c r="E1418" i="12"/>
  <c r="L1415" i="12"/>
  <c r="AE1412" i="12"/>
  <c r="AA1410" i="12"/>
  <c r="D1410" i="12"/>
  <c r="M1408" i="12"/>
  <c r="W1407" i="12"/>
  <c r="S1405" i="12"/>
  <c r="O1402" i="12"/>
  <c r="AE1400" i="12"/>
  <c r="K1400" i="12"/>
  <c r="U1398" i="12"/>
  <c r="AC1397" i="12"/>
  <c r="G1397" i="12"/>
  <c r="W1395" i="12"/>
  <c r="C1395" i="12"/>
  <c r="U1392" i="12"/>
  <c r="O1390" i="12"/>
  <c r="AC1388" i="12"/>
  <c r="M1387" i="12"/>
  <c r="AB1385" i="12"/>
  <c r="G1385" i="12"/>
  <c r="E1382" i="12"/>
  <c r="E1883" i="12"/>
  <c r="M1768" i="12"/>
  <c r="AB1750" i="12"/>
  <c r="M1738" i="12"/>
  <c r="G1722" i="12"/>
  <c r="D1695" i="12"/>
  <c r="G1682" i="12"/>
  <c r="D1655" i="12"/>
  <c r="G1642" i="12"/>
  <c r="D1615" i="12"/>
  <c r="G1602" i="12"/>
  <c r="W1582" i="12"/>
  <c r="L1580" i="12"/>
  <c r="AE1577" i="12"/>
  <c r="AA1575" i="12"/>
  <c r="E1573" i="12"/>
  <c r="AC1563" i="12"/>
  <c r="U1557" i="12"/>
  <c r="T1555" i="12"/>
  <c r="U1553" i="12"/>
  <c r="L1550" i="12"/>
  <c r="AE1547" i="12"/>
  <c r="AA1545" i="12"/>
  <c r="D1545" i="12"/>
  <c r="M1543" i="12"/>
  <c r="W1542" i="12"/>
  <c r="S1540" i="12"/>
  <c r="O1537" i="12"/>
  <c r="AE1535" i="12"/>
  <c r="K1535" i="12"/>
  <c r="U1533" i="12"/>
  <c r="AC1532" i="12"/>
  <c r="G1532" i="12"/>
  <c r="W1530" i="12"/>
  <c r="C1530" i="12"/>
  <c r="U1527" i="12"/>
  <c r="O1525" i="12"/>
  <c r="AC1523" i="12"/>
  <c r="M1522" i="12"/>
  <c r="AB1520" i="12"/>
  <c r="G1520" i="12"/>
  <c r="E1517" i="12"/>
  <c r="T1515" i="12"/>
  <c r="E1513" i="12"/>
  <c r="L1510" i="12"/>
  <c r="AE1507" i="12"/>
  <c r="AA1505" i="12"/>
  <c r="D1505" i="12"/>
  <c r="M1503" i="12"/>
  <c r="W1502" i="12"/>
  <c r="S1500" i="12"/>
  <c r="O1497" i="12"/>
  <c r="AE1495" i="12"/>
  <c r="K1495" i="12"/>
  <c r="U1493" i="12"/>
  <c r="AC1492" i="12"/>
  <c r="G1492" i="12"/>
  <c r="W1490" i="12"/>
  <c r="C1490" i="12"/>
  <c r="U1487" i="12"/>
  <c r="O1485" i="12"/>
  <c r="AC1483" i="12"/>
  <c r="M1482" i="12"/>
  <c r="AB1480" i="12"/>
  <c r="G1480" i="12"/>
  <c r="E1477" i="12"/>
  <c r="T1475" i="12"/>
  <c r="E1473" i="12"/>
  <c r="L1470" i="12"/>
  <c r="AE1467" i="12"/>
  <c r="AA1465" i="12"/>
  <c r="D1465" i="12"/>
  <c r="M1463" i="12"/>
  <c r="W1462" i="12"/>
  <c r="S1460" i="12"/>
  <c r="O1457" i="12"/>
  <c r="AE1455" i="12"/>
  <c r="K1455" i="12"/>
  <c r="U1453" i="12"/>
  <c r="AC1452" i="12"/>
  <c r="G1452" i="12"/>
  <c r="W1450" i="12"/>
  <c r="C1450" i="12"/>
  <c r="U1447" i="12"/>
  <c r="O1445" i="12"/>
  <c r="AC1443" i="12"/>
  <c r="M1442" i="12"/>
  <c r="AB1440" i="12"/>
  <c r="G1440" i="12"/>
  <c r="E1437" i="12"/>
  <c r="T1435" i="12"/>
  <c r="E1433" i="12"/>
  <c r="L1430" i="12"/>
  <c r="AE1427" i="12"/>
  <c r="AA1425" i="12"/>
  <c r="D1425" i="12"/>
  <c r="M1423" i="12"/>
  <c r="W1422" i="12"/>
  <c r="S1420" i="12"/>
  <c r="O1417" i="12"/>
  <c r="AE1415" i="12"/>
  <c r="K1415" i="12"/>
  <c r="U1413" i="12"/>
  <c r="AC1412" i="12"/>
  <c r="G1412" i="12"/>
  <c r="W1410" i="12"/>
  <c r="C1410" i="12"/>
  <c r="U1407" i="12"/>
  <c r="O1405" i="12"/>
  <c r="AC1403" i="12"/>
  <c r="M1402" i="12"/>
  <c r="AB1400" i="12"/>
  <c r="G1400" i="12"/>
  <c r="E1397" i="12"/>
  <c r="T1395" i="12"/>
  <c r="E1393" i="12"/>
  <c r="L1390" i="12"/>
  <c r="AE1387" i="12"/>
  <c r="AA1385" i="12"/>
  <c r="D1385" i="12"/>
  <c r="M1383" i="12"/>
  <c r="W1382" i="12"/>
  <c r="S1380" i="12"/>
  <c r="O1377" i="12"/>
  <c r="W1977" i="12"/>
  <c r="U1717" i="12"/>
  <c r="M1712" i="12"/>
  <c r="E1703" i="12"/>
  <c r="S1690" i="12"/>
  <c r="AE1685" i="12"/>
  <c r="U1677" i="12"/>
  <c r="M1672" i="12"/>
  <c r="E1663" i="12"/>
  <c r="S1650" i="12"/>
  <c r="AE1645" i="12"/>
  <c r="U1637" i="12"/>
  <c r="M1632" i="12"/>
  <c r="E1623" i="12"/>
  <c r="S1610" i="12"/>
  <c r="AE1605" i="12"/>
  <c r="U1597" i="12"/>
  <c r="M1592" i="12"/>
  <c r="T1585" i="12"/>
  <c r="G1580" i="12"/>
  <c r="T1575" i="12"/>
  <c r="W1570" i="12"/>
  <c r="AE1565" i="12"/>
  <c r="U1563" i="12"/>
  <c r="O1557" i="12"/>
  <c r="O1555" i="12"/>
  <c r="O1552" i="12"/>
  <c r="AE1550" i="12"/>
  <c r="K1550" i="12"/>
  <c r="U1548" i="12"/>
  <c r="AC1547" i="12"/>
  <c r="G1547" i="12"/>
  <c r="W1545" i="12"/>
  <c r="C1545" i="12"/>
  <c r="U1542" i="12"/>
  <c r="O1540" i="12"/>
  <c r="AC1538" i="12"/>
  <c r="M1537" i="12"/>
  <c r="AB1535" i="12"/>
  <c r="G1535" i="12"/>
  <c r="E1532" i="12"/>
  <c r="T1530" i="12"/>
  <c r="E1528" i="12"/>
  <c r="L1525" i="12"/>
  <c r="AE1522" i="12"/>
  <c r="AA1520" i="12"/>
  <c r="D1520" i="12"/>
  <c r="M1518" i="12"/>
  <c r="W1517" i="12"/>
  <c r="S1515" i="12"/>
  <c r="O1512" i="12"/>
  <c r="AE1510" i="12"/>
  <c r="K1510" i="12"/>
  <c r="U1508" i="12"/>
  <c r="AC1507" i="12"/>
  <c r="G1507" i="12"/>
  <c r="W1505" i="12"/>
  <c r="C1505" i="12"/>
  <c r="U1502" i="12"/>
  <c r="O1500" i="12"/>
  <c r="AC1498" i="12"/>
  <c r="M1497" i="12"/>
  <c r="AB1495" i="12"/>
  <c r="G1495" i="12"/>
  <c r="E1492" i="12"/>
  <c r="T1490" i="12"/>
  <c r="E1488" i="12"/>
  <c r="L1485" i="12"/>
  <c r="AE1482" i="12"/>
  <c r="AA1480" i="12"/>
  <c r="D1480" i="12"/>
  <c r="M1478" i="12"/>
  <c r="W1477" i="12"/>
  <c r="S1475" i="12"/>
  <c r="O1472" i="12"/>
  <c r="AE1470" i="12"/>
  <c r="K1470" i="12"/>
  <c r="U1468" i="12"/>
  <c r="AC1467" i="12"/>
  <c r="G1467" i="12"/>
  <c r="W1465" i="12"/>
  <c r="C1465" i="12"/>
  <c r="U1462" i="12"/>
  <c r="O1460" i="12"/>
  <c r="AC1458" i="12"/>
  <c r="M1457" i="12"/>
  <c r="AB1455" i="12"/>
  <c r="G1455" i="12"/>
  <c r="E1452" i="12"/>
  <c r="T1450" i="12"/>
  <c r="E1448" i="12"/>
  <c r="L1445" i="12"/>
  <c r="AE1442" i="12"/>
  <c r="AA1440" i="12"/>
  <c r="D1440" i="12"/>
  <c r="M1438" i="12"/>
  <c r="W1437" i="12"/>
  <c r="S1435" i="12"/>
  <c r="O1432" i="12"/>
  <c r="AE1430" i="12"/>
  <c r="K1430" i="12"/>
  <c r="U1428" i="12"/>
  <c r="AC1427" i="12"/>
  <c r="G1427" i="12"/>
  <c r="W1425" i="12"/>
  <c r="C1425" i="12"/>
  <c r="U1422" i="12"/>
  <c r="O1420" i="12"/>
  <c r="AC1418" i="12"/>
  <c r="M1417" i="12"/>
  <c r="AB1415" i="12"/>
  <c r="G1415" i="12"/>
  <c r="E1412" i="12"/>
  <c r="T1410" i="12"/>
  <c r="E1408" i="12"/>
  <c r="L1405" i="12"/>
  <c r="AE1402" i="12"/>
  <c r="AA1400" i="12"/>
  <c r="D1400" i="12"/>
  <c r="M1398" i="12"/>
  <c r="W1397" i="12"/>
  <c r="S1395" i="12"/>
  <c r="O1392" i="12"/>
  <c r="AE1390" i="12"/>
  <c r="K1390" i="12"/>
  <c r="U1388" i="12"/>
  <c r="AC1387" i="12"/>
  <c r="G1387" i="12"/>
  <c r="W1385" i="12"/>
  <c r="C1385" i="12"/>
  <c r="U1382" i="12"/>
  <c r="E1737" i="12"/>
  <c r="E1547" i="12"/>
  <c r="AE1537" i="12"/>
  <c r="M1533" i="12"/>
  <c r="W1520" i="12"/>
  <c r="E1507" i="12"/>
  <c r="AE1497" i="12"/>
  <c r="M1493" i="12"/>
  <c r="W1480" i="12"/>
  <c r="E1467" i="12"/>
  <c r="AE1457" i="12"/>
  <c r="M1453" i="12"/>
  <c r="W1440" i="12"/>
  <c r="E1427" i="12"/>
  <c r="AE1417" i="12"/>
  <c r="M1413" i="12"/>
  <c r="W1400" i="12"/>
  <c r="E1387" i="12"/>
  <c r="C1380" i="12"/>
  <c r="E1378" i="12"/>
  <c r="W1375" i="12"/>
  <c r="E1373" i="12"/>
  <c r="M1372" i="12"/>
  <c r="AA1370" i="12"/>
  <c r="C1370" i="12"/>
  <c r="E1368" i="12"/>
  <c r="L1365" i="12"/>
  <c r="AE1362" i="12"/>
  <c r="AA1360" i="12"/>
  <c r="D1360" i="12"/>
  <c r="M1358" i="12"/>
  <c r="W1357" i="12"/>
  <c r="S1355" i="12"/>
  <c r="O1352" i="12"/>
  <c r="AE1350" i="12"/>
  <c r="K1350" i="12"/>
  <c r="U1348" i="12"/>
  <c r="AC1347" i="12"/>
  <c r="G1347" i="12"/>
  <c r="W1345" i="12"/>
  <c r="C1345" i="12"/>
  <c r="U1342" i="12"/>
  <c r="O1340" i="12"/>
  <c r="AC1338" i="12"/>
  <c r="M1337" i="12"/>
  <c r="AB1335" i="12"/>
  <c r="G1335" i="12"/>
  <c r="E1332" i="12"/>
  <c r="T1330" i="12"/>
  <c r="E1328" i="12"/>
  <c r="L1325" i="12"/>
  <c r="AE1322" i="12"/>
  <c r="AA1320" i="12"/>
  <c r="D1320" i="12"/>
  <c r="M1318" i="12"/>
  <c r="W1317" i="12"/>
  <c r="S1315" i="12"/>
  <c r="O1312" i="12"/>
  <c r="AE1310" i="12"/>
  <c r="K1310" i="12"/>
  <c r="U1308" i="12"/>
  <c r="AC1307" i="12"/>
  <c r="G1307" i="12"/>
  <c r="W1305" i="12"/>
  <c r="C1305" i="12"/>
  <c r="U1302" i="12"/>
  <c r="O1300" i="12"/>
  <c r="AC1298" i="12"/>
  <c r="M1297" i="12"/>
  <c r="AB1295" i="12"/>
  <c r="G1295" i="12"/>
  <c r="E1292" i="12"/>
  <c r="T1290" i="12"/>
  <c r="E1288" i="12"/>
  <c r="L1285" i="12"/>
  <c r="AE1282" i="12"/>
  <c r="AA1280" i="12"/>
  <c r="D1280" i="12"/>
  <c r="M1278" i="12"/>
  <c r="W1277" i="12"/>
  <c r="S1275" i="12"/>
  <c r="O1272" i="12"/>
  <c r="AE1270" i="12"/>
  <c r="K1270" i="12"/>
  <c r="U1268" i="12"/>
  <c r="AC1267" i="12"/>
  <c r="G1267" i="12"/>
  <c r="W1265" i="12"/>
  <c r="C1265" i="12"/>
  <c r="U1262" i="12"/>
  <c r="O1260" i="12"/>
  <c r="AC1258" i="12"/>
  <c r="M1257" i="12"/>
  <c r="AB1255" i="12"/>
  <c r="G1255" i="12"/>
  <c r="E1252" i="12"/>
  <c r="T1250" i="12"/>
  <c r="E1248" i="12"/>
  <c r="L1245" i="12"/>
  <c r="AE1242" i="12"/>
  <c r="AA1240" i="12"/>
  <c r="D1240" i="12"/>
  <c r="M1238" i="12"/>
  <c r="W1237" i="12"/>
  <c r="S1235" i="12"/>
  <c r="O1232" i="12"/>
  <c r="AE1230" i="12"/>
  <c r="K1230" i="12"/>
  <c r="U1228" i="12"/>
  <c r="AC1227" i="12"/>
  <c r="G1227" i="12"/>
  <c r="W1225" i="12"/>
  <c r="C1225" i="12"/>
  <c r="U1222" i="12"/>
  <c r="O1220" i="12"/>
  <c r="AC1218" i="12"/>
  <c r="M1217" i="12"/>
  <c r="AB1215" i="12"/>
  <c r="G1215" i="12"/>
  <c r="E1212" i="12"/>
  <c r="T1210" i="12"/>
  <c r="E1208" i="12"/>
  <c r="L1205" i="12"/>
  <c r="AE1202" i="12"/>
  <c r="AA1200" i="12"/>
  <c r="D1200" i="12"/>
  <c r="M1198" i="12"/>
  <c r="W1197" i="12"/>
  <c r="S1195" i="12"/>
  <c r="O1192" i="12"/>
  <c r="AE1190" i="12"/>
  <c r="K1190" i="12"/>
  <c r="K1645" i="12"/>
  <c r="O1585" i="12"/>
  <c r="K1555" i="12"/>
  <c r="AB1550" i="12"/>
  <c r="C1520" i="12"/>
  <c r="O1515" i="12"/>
  <c r="AB1510" i="12"/>
  <c r="C1480" i="12"/>
  <c r="O1475" i="12"/>
  <c r="AB1470" i="12"/>
  <c r="C1440" i="12"/>
  <c r="O1435" i="12"/>
  <c r="AB1430" i="12"/>
  <c r="C1400" i="12"/>
  <c r="O1395" i="12"/>
  <c r="AB1390" i="12"/>
  <c r="G1377" i="12"/>
  <c r="T1375" i="12"/>
  <c r="W1370" i="12"/>
  <c r="O1367" i="12"/>
  <c r="AE1365" i="12"/>
  <c r="K1365" i="12"/>
  <c r="U1363" i="12"/>
  <c r="AC1362" i="12"/>
  <c r="G1362" i="12"/>
  <c r="W1360" i="12"/>
  <c r="C1360" i="12"/>
  <c r="U1357" i="12"/>
  <c r="O1355" i="12"/>
  <c r="AC1353" i="12"/>
  <c r="M1352" i="12"/>
  <c r="AB1350" i="12"/>
  <c r="G1350" i="12"/>
  <c r="E1347" i="12"/>
  <c r="T1345" i="12"/>
  <c r="E1343" i="12"/>
  <c r="L1340" i="12"/>
  <c r="AE1337" i="12"/>
  <c r="AA1335" i="12"/>
  <c r="D1335" i="12"/>
  <c r="M1333" i="12"/>
  <c r="W1332" i="12"/>
  <c r="S1330" i="12"/>
  <c r="O1327" i="12"/>
  <c r="AE1325" i="12"/>
  <c r="K1325" i="12"/>
  <c r="U1323" i="12"/>
  <c r="AC1322" i="12"/>
  <c r="G1322" i="12"/>
  <c r="W1320" i="12"/>
  <c r="C1320" i="12"/>
  <c r="U1317" i="12"/>
  <c r="O1315" i="12"/>
  <c r="AC1313" i="12"/>
  <c r="M1312" i="12"/>
  <c r="AB1310" i="12"/>
  <c r="G1310" i="12"/>
  <c r="E1307" i="12"/>
  <c r="T1305" i="12"/>
  <c r="E1303" i="12"/>
  <c r="L1300" i="12"/>
  <c r="AE1297" i="12"/>
  <c r="AA1295" i="12"/>
  <c r="D1295" i="12"/>
  <c r="M1293" i="12"/>
  <c r="W1292" i="12"/>
  <c r="S1290" i="12"/>
  <c r="O1287" i="12"/>
  <c r="AE1285" i="12"/>
  <c r="K1285" i="12"/>
  <c r="U1283" i="12"/>
  <c r="AC1282" i="12"/>
  <c r="G1282" i="12"/>
  <c r="W1280" i="12"/>
  <c r="C1280" i="12"/>
  <c r="U1277" i="12"/>
  <c r="O1275" i="12"/>
  <c r="AC1273" i="12"/>
  <c r="M1272" i="12"/>
  <c r="AB1270" i="12"/>
  <c r="G1270" i="12"/>
  <c r="E1267" i="12"/>
  <c r="T1265" i="12"/>
  <c r="E1263" i="12"/>
  <c r="L1260" i="12"/>
  <c r="AE1257" i="12"/>
  <c r="AA1255" i="12"/>
  <c r="D1255" i="12"/>
  <c r="M1253" i="12"/>
  <c r="W1252" i="12"/>
  <c r="S1250" i="12"/>
  <c r="O1247" i="12"/>
  <c r="AE1245" i="12"/>
  <c r="K1245" i="12"/>
  <c r="U1243" i="12"/>
  <c r="AC1242" i="12"/>
  <c r="G1242" i="12"/>
  <c r="W1240" i="12"/>
  <c r="C1240" i="12"/>
  <c r="U1237" i="12"/>
  <c r="O1235" i="12"/>
  <c r="AC1233" i="12"/>
  <c r="M1232" i="12"/>
  <c r="AB1230" i="12"/>
  <c r="G1230" i="12"/>
  <c r="E1227" i="12"/>
  <c r="T1225" i="12"/>
  <c r="E1223" i="12"/>
  <c r="L1220" i="12"/>
  <c r="AE1217" i="12"/>
  <c r="AA1215" i="12"/>
  <c r="D1215" i="12"/>
  <c r="M1213" i="12"/>
  <c r="W1212" i="12"/>
  <c r="S1210" i="12"/>
  <c r="O1207" i="12"/>
  <c r="AE1205" i="12"/>
  <c r="K1205" i="12"/>
  <c r="U1203" i="12"/>
  <c r="AC1202" i="12"/>
  <c r="G1202" i="12"/>
  <c r="W1200" i="12"/>
  <c r="C1200" i="12"/>
  <c r="U1197" i="12"/>
  <c r="O1195" i="12"/>
  <c r="AC1193" i="12"/>
  <c r="D1780" i="12"/>
  <c r="AC1572" i="12"/>
  <c r="G1550" i="12"/>
  <c r="W1532" i="12"/>
  <c r="U1523" i="12"/>
  <c r="G1510" i="12"/>
  <c r="W1492" i="12"/>
  <c r="U1483" i="12"/>
  <c r="G1470" i="12"/>
  <c r="W1452" i="12"/>
  <c r="U1443" i="12"/>
  <c r="G1430" i="12"/>
  <c r="W1412" i="12"/>
  <c r="U1403" i="12"/>
  <c r="G1390" i="12"/>
  <c r="AE1377" i="12"/>
  <c r="E1377" i="12"/>
  <c r="O1375" i="12"/>
  <c r="AC1373" i="12"/>
  <c r="AE1372" i="12"/>
  <c r="G1372" i="12"/>
  <c r="T1370" i="12"/>
  <c r="M1367" i="12"/>
  <c r="AB1365" i="12"/>
  <c r="G1365" i="12"/>
  <c r="E1362" i="12"/>
  <c r="T1360" i="12"/>
  <c r="E1358" i="12"/>
  <c r="L1355" i="12"/>
  <c r="AE1352" i="12"/>
  <c r="AA1350" i="12"/>
  <c r="D1350" i="12"/>
  <c r="M1348" i="12"/>
  <c r="W1347" i="12"/>
  <c r="S1345" i="12"/>
  <c r="O1342" i="12"/>
  <c r="AE1340" i="12"/>
  <c r="K1340" i="12"/>
  <c r="U1338" i="12"/>
  <c r="AC1337" i="12"/>
  <c r="G1337" i="12"/>
  <c r="W1335" i="12"/>
  <c r="C1335" i="12"/>
  <c r="U1332" i="12"/>
  <c r="O1330" i="12"/>
  <c r="AC1328" i="12"/>
  <c r="M1327" i="12"/>
  <c r="AB1325" i="12"/>
  <c r="G1325" i="12"/>
  <c r="E1322" i="12"/>
  <c r="T1320" i="12"/>
  <c r="E1318" i="12"/>
  <c r="L1315" i="12"/>
  <c r="AE1312" i="12"/>
  <c r="AA1310" i="12"/>
  <c r="D1310" i="12"/>
  <c r="M1308" i="12"/>
  <c r="W1307" i="12"/>
  <c r="S1305" i="12"/>
  <c r="O1302" i="12"/>
  <c r="AE1300" i="12"/>
  <c r="K1300" i="12"/>
  <c r="U1298" i="12"/>
  <c r="AC1297" i="12"/>
  <c r="G1297" i="12"/>
  <c r="W1295" i="12"/>
  <c r="C1295" i="12"/>
  <c r="U1292" i="12"/>
  <c r="O1290" i="12"/>
  <c r="AC1288" i="12"/>
  <c r="M1287" i="12"/>
  <c r="AB1285" i="12"/>
  <c r="G1285" i="12"/>
  <c r="E1282" i="12"/>
  <c r="T1280" i="12"/>
  <c r="E1278" i="12"/>
  <c r="L1275" i="12"/>
  <c r="AE1272" i="12"/>
  <c r="AA1270" i="12"/>
  <c r="D1270" i="12"/>
  <c r="M1268" i="12"/>
  <c r="W1267" i="12"/>
  <c r="S1265" i="12"/>
  <c r="O1262" i="12"/>
  <c r="AE1260" i="12"/>
  <c r="K1260" i="12"/>
  <c r="U1258" i="12"/>
  <c r="AC1257" i="12"/>
  <c r="G1257" i="12"/>
  <c r="W1255" i="12"/>
  <c r="C1255" i="12"/>
  <c r="U1252" i="12"/>
  <c r="O1250" i="12"/>
  <c r="AC1248" i="12"/>
  <c r="M1247" i="12"/>
  <c r="AB1245" i="12"/>
  <c r="G1245" i="12"/>
  <c r="E1242" i="12"/>
  <c r="T1240" i="12"/>
  <c r="E1238" i="12"/>
  <c r="L1235" i="12"/>
  <c r="AE1232" i="12"/>
  <c r="AA1230" i="12"/>
  <c r="D1230" i="12"/>
  <c r="M1228" i="12"/>
  <c r="W1227" i="12"/>
  <c r="S1225" i="12"/>
  <c r="O1222" i="12"/>
  <c r="AE1220" i="12"/>
  <c r="K1220" i="12"/>
  <c r="U1218" i="12"/>
  <c r="AC1217" i="12"/>
  <c r="G1217" i="12"/>
  <c r="W1215" i="12"/>
  <c r="C1215" i="12"/>
  <c r="U1212" i="12"/>
  <c r="O1210" i="12"/>
  <c r="AC1208" i="12"/>
  <c r="M1207" i="12"/>
  <c r="AB1205" i="12"/>
  <c r="G1205" i="12"/>
  <c r="E1202" i="12"/>
  <c r="T1200" i="12"/>
  <c r="E1198" i="12"/>
  <c r="L1195" i="12"/>
  <c r="AE1192" i="12"/>
  <c r="AA1190" i="12"/>
  <c r="D1190" i="12"/>
  <c r="M1188" i="12"/>
  <c r="W1187" i="12"/>
  <c r="K1605" i="12"/>
  <c r="O1577" i="12"/>
  <c r="AA1565" i="12"/>
  <c r="T1545" i="12"/>
  <c r="L1540" i="12"/>
  <c r="O1527" i="12"/>
  <c r="T1505" i="12"/>
  <c r="L1500" i="12"/>
  <c r="O1487" i="12"/>
  <c r="T1465" i="12"/>
  <c r="L1460" i="12"/>
  <c r="O1447" i="12"/>
  <c r="T1425" i="12"/>
  <c r="L1420" i="12"/>
  <c r="O1407" i="12"/>
  <c r="T1385" i="12"/>
  <c r="AB1380" i="12"/>
  <c r="AC1378" i="12"/>
  <c r="AC1377" i="12"/>
  <c r="L1375" i="12"/>
  <c r="AC1372" i="12"/>
  <c r="E1372" i="12"/>
  <c r="S1370" i="12"/>
  <c r="AC1368" i="12"/>
  <c r="AE1367" i="12"/>
  <c r="AA1365" i="12"/>
  <c r="D1365" i="12"/>
  <c r="M1363" i="12"/>
  <c r="W1362" i="12"/>
  <c r="S1360" i="12"/>
  <c r="O1357" i="12"/>
  <c r="AE1355" i="12"/>
  <c r="K1355" i="12"/>
  <c r="U1353" i="12"/>
  <c r="AC1352" i="12"/>
  <c r="G1352" i="12"/>
  <c r="W1350" i="12"/>
  <c r="C1350" i="12"/>
  <c r="U1347" i="12"/>
  <c r="O1345" i="12"/>
  <c r="AC1343" i="12"/>
  <c r="M1342" i="12"/>
  <c r="AB1340" i="12"/>
  <c r="G1340" i="12"/>
  <c r="E1337" i="12"/>
  <c r="T1335" i="12"/>
  <c r="E1333" i="12"/>
  <c r="L1330" i="12"/>
  <c r="AE1327" i="12"/>
  <c r="AA1325" i="12"/>
  <c r="D1325" i="12"/>
  <c r="M1323" i="12"/>
  <c r="W1322" i="12"/>
  <c r="S1320" i="12"/>
  <c r="O1317" i="12"/>
  <c r="AE1315" i="12"/>
  <c r="K1315" i="12"/>
  <c r="U1313" i="12"/>
  <c r="AC1312" i="12"/>
  <c r="G1312" i="12"/>
  <c r="W1310" i="12"/>
  <c r="C1310" i="12"/>
  <c r="U1307" i="12"/>
  <c r="O1305" i="12"/>
  <c r="AC1303" i="12"/>
  <c r="M1302" i="12"/>
  <c r="AB1300" i="12"/>
  <c r="G1300" i="12"/>
  <c r="E1297" i="12"/>
  <c r="T1295" i="12"/>
  <c r="E1293" i="12"/>
  <c r="L1290" i="12"/>
  <c r="AE1287" i="12"/>
  <c r="AA1285" i="12"/>
  <c r="D1285" i="12"/>
  <c r="M1283" i="12"/>
  <c r="W1282" i="12"/>
  <c r="S1280" i="12"/>
  <c r="O1277" i="12"/>
  <c r="AE1275" i="12"/>
  <c r="K1275" i="12"/>
  <c r="U1273" i="12"/>
  <c r="AC1272" i="12"/>
  <c r="G1272" i="12"/>
  <c r="W1270" i="12"/>
  <c r="C1270" i="12"/>
  <c r="U1267" i="12"/>
  <c r="O1265" i="12"/>
  <c r="AC1263" i="12"/>
  <c r="M1262" i="12"/>
  <c r="AB1260" i="12"/>
  <c r="G1260" i="12"/>
  <c r="E1257" i="12"/>
  <c r="T1255" i="12"/>
  <c r="E1253" i="12"/>
  <c r="L1250" i="12"/>
  <c r="AE1247" i="12"/>
  <c r="AA1245" i="12"/>
  <c r="D1245" i="12"/>
  <c r="M1243" i="12"/>
  <c r="W1242" i="12"/>
  <c r="S1240" i="12"/>
  <c r="O1237" i="12"/>
  <c r="AE1235" i="12"/>
  <c r="K1235" i="12"/>
  <c r="U1233" i="12"/>
  <c r="AC1232" i="12"/>
  <c r="G1232" i="12"/>
  <c r="W1230" i="12"/>
  <c r="C1230" i="12"/>
  <c r="U1227" i="12"/>
  <c r="O1225" i="12"/>
  <c r="AC1223" i="12"/>
  <c r="M1222" i="12"/>
  <c r="AB1220" i="12"/>
  <c r="G1220" i="12"/>
  <c r="E1217" i="12"/>
  <c r="T1215" i="12"/>
  <c r="E1213" i="12"/>
  <c r="L1210" i="12"/>
  <c r="AE1207" i="12"/>
  <c r="AA1205" i="12"/>
  <c r="D1205" i="12"/>
  <c r="M1203" i="12"/>
  <c r="W1202" i="12"/>
  <c r="S1200" i="12"/>
  <c r="O1197" i="12"/>
  <c r="AE1195" i="12"/>
  <c r="K1195" i="12"/>
  <c r="U1193" i="12"/>
  <c r="AC1192" i="12"/>
  <c r="S1755" i="12"/>
  <c r="AA1535" i="12"/>
  <c r="AC1522" i="12"/>
  <c r="AC1513" i="12"/>
  <c r="AA1495" i="12"/>
  <c r="AC1482" i="12"/>
  <c r="AC1473" i="12"/>
  <c r="AA1455" i="12"/>
  <c r="AC1442" i="12"/>
  <c r="AC1433" i="12"/>
  <c r="AA1415" i="12"/>
  <c r="AC1402" i="12"/>
  <c r="AC1393" i="12"/>
  <c r="T1380" i="12"/>
  <c r="K1375" i="12"/>
  <c r="U1373" i="12"/>
  <c r="O1370" i="12"/>
  <c r="AC1367" i="12"/>
  <c r="G1367" i="12"/>
  <c r="W1365" i="12"/>
  <c r="C1365" i="12"/>
  <c r="U1362" i="12"/>
  <c r="O1360" i="12"/>
  <c r="AC1358" i="12"/>
  <c r="M1357" i="12"/>
  <c r="AB1355" i="12"/>
  <c r="G1355" i="12"/>
  <c r="E1352" i="12"/>
  <c r="T1350" i="12"/>
  <c r="E1348" i="12"/>
  <c r="L1345" i="12"/>
  <c r="AE1342" i="12"/>
  <c r="AA1340" i="12"/>
  <c r="D1340" i="12"/>
  <c r="M1338" i="12"/>
  <c r="W1337" i="12"/>
  <c r="S1335" i="12"/>
  <c r="O1332" i="12"/>
  <c r="AE1330" i="12"/>
  <c r="K1330" i="12"/>
  <c r="U1328" i="12"/>
  <c r="AC1327" i="12"/>
  <c r="G1327" i="12"/>
  <c r="W1325" i="12"/>
  <c r="C1325" i="12"/>
  <c r="U1322" i="12"/>
  <c r="O1320" i="12"/>
  <c r="AC1318" i="12"/>
  <c r="M1317" i="12"/>
  <c r="AB1315" i="12"/>
  <c r="G1315" i="12"/>
  <c r="E1312" i="12"/>
  <c r="T1310" i="12"/>
  <c r="E1308" i="12"/>
  <c r="L1305" i="12"/>
  <c r="AE1302" i="12"/>
  <c r="AA1300" i="12"/>
  <c r="D1300" i="12"/>
  <c r="M1298" i="12"/>
  <c r="W1297" i="12"/>
  <c r="S1295" i="12"/>
  <c r="O1292" i="12"/>
  <c r="AE1290" i="12"/>
  <c r="K1290" i="12"/>
  <c r="U1288" i="12"/>
  <c r="AC1287" i="12"/>
  <c r="G1287" i="12"/>
  <c r="W1285" i="12"/>
  <c r="C1285" i="12"/>
  <c r="U1282" i="12"/>
  <c r="O1280" i="12"/>
  <c r="AC1278" i="12"/>
  <c r="M1277" i="12"/>
  <c r="AB1275" i="12"/>
  <c r="G1275" i="12"/>
  <c r="E1272" i="12"/>
  <c r="T1270" i="12"/>
  <c r="E1268" i="12"/>
  <c r="L1265" i="12"/>
  <c r="AE1262" i="12"/>
  <c r="AA1260" i="12"/>
  <c r="D1260" i="12"/>
  <c r="M1258" i="12"/>
  <c r="W1257" i="12"/>
  <c r="S1255" i="12"/>
  <c r="O1252" i="12"/>
  <c r="AE1250" i="12"/>
  <c r="K1250" i="12"/>
  <c r="U1248" i="12"/>
  <c r="AC1247" i="12"/>
  <c r="G1247" i="12"/>
  <c r="W1245" i="12"/>
  <c r="C1245" i="12"/>
  <c r="U1242" i="12"/>
  <c r="O1240" i="12"/>
  <c r="AC1238" i="12"/>
  <c r="M1237" i="12"/>
  <c r="AB1235" i="12"/>
  <c r="G1235" i="12"/>
  <c r="E1232" i="12"/>
  <c r="T1230" i="12"/>
  <c r="E1228" i="12"/>
  <c r="L1225" i="12"/>
  <c r="AE1222" i="12"/>
  <c r="AA1220" i="12"/>
  <c r="D1220" i="12"/>
  <c r="M1218" i="12"/>
  <c r="W1217" i="12"/>
  <c r="S1215" i="12"/>
  <c r="O1212" i="12"/>
  <c r="AE1210" i="12"/>
  <c r="K1210" i="12"/>
  <c r="U1208" i="12"/>
  <c r="AC1207" i="12"/>
  <c r="G1207" i="12"/>
  <c r="W1205" i="12"/>
  <c r="C1205" i="12"/>
  <c r="U1202" i="12"/>
  <c r="O1200" i="12"/>
  <c r="AC1198" i="12"/>
  <c r="M1197" i="12"/>
  <c r="AB1195" i="12"/>
  <c r="G1195" i="12"/>
  <c r="O1725" i="12"/>
  <c r="M1582" i="12"/>
  <c r="S1570" i="12"/>
  <c r="D1535" i="12"/>
  <c r="G1522" i="12"/>
  <c r="D1495" i="12"/>
  <c r="G1482" i="12"/>
  <c r="D1455" i="12"/>
  <c r="G1442" i="12"/>
  <c r="D1415" i="12"/>
  <c r="G1402" i="12"/>
  <c r="O1380" i="12"/>
  <c r="U1378" i="12"/>
  <c r="U1377" i="12"/>
  <c r="AE1375" i="12"/>
  <c r="G1375" i="12"/>
  <c r="W1372" i="12"/>
  <c r="L1370" i="12"/>
  <c r="E1367" i="12"/>
  <c r="T1365" i="12"/>
  <c r="E1363" i="12"/>
  <c r="L1360" i="12"/>
  <c r="AE1357" i="12"/>
  <c r="AA1355" i="12"/>
  <c r="D1355" i="12"/>
  <c r="M1353" i="12"/>
  <c r="W1352" i="12"/>
  <c r="S1350" i="12"/>
  <c r="O1347" i="12"/>
  <c r="AE1345" i="12"/>
  <c r="K1345" i="12"/>
  <c r="U1343" i="12"/>
  <c r="AC1342" i="12"/>
  <c r="G1342" i="12"/>
  <c r="W1340" i="12"/>
  <c r="C1340" i="12"/>
  <c r="U1337" i="12"/>
  <c r="O1335" i="12"/>
  <c r="AC1333" i="12"/>
  <c r="M1332" i="12"/>
  <c r="AB1330" i="12"/>
  <c r="G1330" i="12"/>
  <c r="E1327" i="12"/>
  <c r="T1325" i="12"/>
  <c r="E1323" i="12"/>
  <c r="L1320" i="12"/>
  <c r="AE1317" i="12"/>
  <c r="AA1315" i="12"/>
  <c r="D1315" i="12"/>
  <c r="M1313" i="12"/>
  <c r="W1312" i="12"/>
  <c r="S1310" i="12"/>
  <c r="O1307" i="12"/>
  <c r="AE1305" i="12"/>
  <c r="K1305" i="12"/>
  <c r="U1303" i="12"/>
  <c r="AC1302" i="12"/>
  <c r="G1302" i="12"/>
  <c r="W1300" i="12"/>
  <c r="C1300" i="12"/>
  <c r="U1297" i="12"/>
  <c r="O1295" i="12"/>
  <c r="AC1293" i="12"/>
  <c r="M1292" i="12"/>
  <c r="AB1290" i="12"/>
  <c r="G1290" i="12"/>
  <c r="E1287" i="12"/>
  <c r="T1285" i="12"/>
  <c r="E1283" i="12"/>
  <c r="L1280" i="12"/>
  <c r="AE1277" i="12"/>
  <c r="AA1275" i="12"/>
  <c r="D1275" i="12"/>
  <c r="M1273" i="12"/>
  <c r="W1272" i="12"/>
  <c r="S1270" i="12"/>
  <c r="O1267" i="12"/>
  <c r="AE1265" i="12"/>
  <c r="K1265" i="12"/>
  <c r="U1263" i="12"/>
  <c r="AC1262" i="12"/>
  <c r="G1262" i="12"/>
  <c r="W1260" i="12"/>
  <c r="C1260" i="12"/>
  <c r="U1257" i="12"/>
  <c r="O1255" i="12"/>
  <c r="AC1253" i="12"/>
  <c r="M1252" i="12"/>
  <c r="AB1250" i="12"/>
  <c r="G1250" i="12"/>
  <c r="E1247" i="12"/>
  <c r="T1245" i="12"/>
  <c r="E1243" i="12"/>
  <c r="L1240" i="12"/>
  <c r="AE1237" i="12"/>
  <c r="AA1235" i="12"/>
  <c r="D1235" i="12"/>
  <c r="M1233" i="12"/>
  <c r="W1232" i="12"/>
  <c r="S1230" i="12"/>
  <c r="O1227" i="12"/>
  <c r="AE1225" i="12"/>
  <c r="K1225" i="12"/>
  <c r="U1223" i="12"/>
  <c r="AC1222" i="12"/>
  <c r="G1222" i="12"/>
  <c r="W1220" i="12"/>
  <c r="C1220" i="12"/>
  <c r="U1217" i="12"/>
  <c r="O1215" i="12"/>
  <c r="AC1213" i="12"/>
  <c r="M1212" i="12"/>
  <c r="AB1210" i="12"/>
  <c r="G1210" i="12"/>
  <c r="E1207" i="12"/>
  <c r="T1205" i="12"/>
  <c r="E1203" i="12"/>
  <c r="L1200" i="12"/>
  <c r="AE1197" i="12"/>
  <c r="AA1195" i="12"/>
  <c r="D1195" i="12"/>
  <c r="M1193" i="12"/>
  <c r="W1192" i="12"/>
  <c r="K1575" i="12"/>
  <c r="M1563" i="12"/>
  <c r="G1557" i="12"/>
  <c r="M1552" i="12"/>
  <c r="E1543" i="12"/>
  <c r="S1530" i="12"/>
  <c r="AE1525" i="12"/>
  <c r="U1517" i="12"/>
  <c r="M1512" i="12"/>
  <c r="E1503" i="12"/>
  <c r="S1490" i="12"/>
  <c r="AE1485" i="12"/>
  <c r="U1477" i="12"/>
  <c r="M1472" i="12"/>
  <c r="E1463" i="12"/>
  <c r="S1450" i="12"/>
  <c r="AE1445" i="12"/>
  <c r="U1437" i="12"/>
  <c r="M1432" i="12"/>
  <c r="E1423" i="12"/>
  <c r="S1410" i="12"/>
  <c r="AE1405" i="12"/>
  <c r="U1397" i="12"/>
  <c r="M1392" i="12"/>
  <c r="E1383" i="12"/>
  <c r="L1380" i="12"/>
  <c r="AB1375" i="12"/>
  <c r="D1375" i="12"/>
  <c r="M1373" i="12"/>
  <c r="U1372" i="12"/>
  <c r="G1370" i="12"/>
  <c r="M1368" i="12"/>
  <c r="W1367" i="12"/>
  <c r="S1365" i="12"/>
  <c r="O1362" i="12"/>
  <c r="AE1360" i="12"/>
  <c r="K1360" i="12"/>
  <c r="U1358" i="12"/>
  <c r="AC1357" i="12"/>
  <c r="G1357" i="12"/>
  <c r="W1355" i="12"/>
  <c r="C1355" i="12"/>
  <c r="U1352" i="12"/>
  <c r="O1350" i="12"/>
  <c r="AC1348" i="12"/>
  <c r="M1347" i="12"/>
  <c r="AB1345" i="12"/>
  <c r="G1345" i="12"/>
  <c r="E1342" i="12"/>
  <c r="T1340" i="12"/>
  <c r="E1338" i="12"/>
  <c r="L1335" i="12"/>
  <c r="AE1332" i="12"/>
  <c r="AA1330" i="12"/>
  <c r="D1330" i="12"/>
  <c r="M1328" i="12"/>
  <c r="W1327" i="12"/>
  <c r="S1325" i="12"/>
  <c r="O1322" i="12"/>
  <c r="AE1320" i="12"/>
  <c r="K1320" i="12"/>
  <c r="U1318" i="12"/>
  <c r="AC1317" i="12"/>
  <c r="G1317" i="12"/>
  <c r="W1315" i="12"/>
  <c r="C1315" i="12"/>
  <c r="U1312" i="12"/>
  <c r="O1310" i="12"/>
  <c r="AC1308" i="12"/>
  <c r="M1307" i="12"/>
  <c r="AB1305" i="12"/>
  <c r="G1305" i="12"/>
  <c r="E1302" i="12"/>
  <c r="T1300" i="12"/>
  <c r="E1298" i="12"/>
  <c r="L1295" i="12"/>
  <c r="AE1292" i="12"/>
  <c r="AA1290" i="12"/>
  <c r="D1290" i="12"/>
  <c r="M1288" i="12"/>
  <c r="W1287" i="12"/>
  <c r="S1285" i="12"/>
  <c r="O1282" i="12"/>
  <c r="AE1280" i="12"/>
  <c r="K1280" i="12"/>
  <c r="U1278" i="12"/>
  <c r="AC1277" i="12"/>
  <c r="G1277" i="12"/>
  <c r="W1275" i="12"/>
  <c r="C1275" i="12"/>
  <c r="U1272" i="12"/>
  <c r="O1270" i="12"/>
  <c r="AC1268" i="12"/>
  <c r="M1267" i="12"/>
  <c r="AB1265" i="12"/>
  <c r="G1265" i="12"/>
  <c r="E1262" i="12"/>
  <c r="T1260" i="12"/>
  <c r="E1258" i="12"/>
  <c r="L1255" i="12"/>
  <c r="AE1252" i="12"/>
  <c r="AA1250" i="12"/>
  <c r="D1250" i="12"/>
  <c r="M1248" i="12"/>
  <c r="W1247" i="12"/>
  <c r="S1245" i="12"/>
  <c r="O1242" i="12"/>
  <c r="AE1240" i="12"/>
  <c r="K1240" i="12"/>
  <c r="U1238" i="12"/>
  <c r="AC1237" i="12"/>
  <c r="G1237" i="12"/>
  <c r="W1235" i="12"/>
  <c r="C1235" i="12"/>
  <c r="U1232" i="12"/>
  <c r="O1230" i="12"/>
  <c r="AC1228" i="12"/>
  <c r="M1227" i="12"/>
  <c r="AB1225" i="12"/>
  <c r="G1225" i="12"/>
  <c r="E1222" i="12"/>
  <c r="T1220" i="12"/>
  <c r="E1218" i="12"/>
  <c r="L1215" i="12"/>
  <c r="AE1212" i="12"/>
  <c r="AA1210" i="12"/>
  <c r="D1210" i="12"/>
  <c r="M1208" i="12"/>
  <c r="W1207" i="12"/>
  <c r="S1205" i="12"/>
  <c r="O1202" i="12"/>
  <c r="AE1200" i="12"/>
  <c r="K1200" i="12"/>
  <c r="U1198" i="12"/>
  <c r="AC1197" i="12"/>
  <c r="G1197" i="12"/>
  <c r="T1355" i="12"/>
  <c r="L1350" i="12"/>
  <c r="O1337" i="12"/>
  <c r="T1315" i="12"/>
  <c r="L1310" i="12"/>
  <c r="O1297" i="12"/>
  <c r="T1275" i="12"/>
  <c r="L1270" i="12"/>
  <c r="O1257" i="12"/>
  <c r="T1235" i="12"/>
  <c r="L1230" i="12"/>
  <c r="O1217" i="12"/>
  <c r="W1195" i="12"/>
  <c r="U1192" i="12"/>
  <c r="AB1190" i="12"/>
  <c r="M1187" i="12"/>
  <c r="AA1185" i="12"/>
  <c r="D1185" i="12"/>
  <c r="M1183" i="12"/>
  <c r="W1182" i="12"/>
  <c r="S1180" i="12"/>
  <c r="O1177" i="12"/>
  <c r="AE1175" i="12"/>
  <c r="K1175" i="12"/>
  <c r="U1173" i="12"/>
  <c r="AC1172" i="12"/>
  <c r="G1172" i="12"/>
  <c r="W1170" i="12"/>
  <c r="C1170" i="12"/>
  <c r="U1167" i="12"/>
  <c r="O1165" i="12"/>
  <c r="AC1163" i="12"/>
  <c r="M1162" i="12"/>
  <c r="AB1160" i="12"/>
  <c r="G1160" i="12"/>
  <c r="E1157" i="12"/>
  <c r="T1155" i="12"/>
  <c r="E1153" i="12"/>
  <c r="L1150" i="12"/>
  <c r="AE1147" i="12"/>
  <c r="AA1145" i="12"/>
  <c r="D1145" i="12"/>
  <c r="M1143" i="12"/>
  <c r="W1142" i="12"/>
  <c r="S1140" i="12"/>
  <c r="O1137" i="12"/>
  <c r="AE1135" i="12"/>
  <c r="K1135" i="12"/>
  <c r="U1133" i="12"/>
  <c r="AC1132" i="12"/>
  <c r="G1132" i="12"/>
  <c r="W1130" i="12"/>
  <c r="C1130" i="12"/>
  <c r="U1127" i="12"/>
  <c r="O1125" i="12"/>
  <c r="AC1123" i="12"/>
  <c r="M1122" i="12"/>
  <c r="AB1120" i="12"/>
  <c r="G1120" i="12"/>
  <c r="E1117" i="12"/>
  <c r="T1115" i="12"/>
  <c r="E1113" i="12"/>
  <c r="L1110" i="12"/>
  <c r="AE1107" i="12"/>
  <c r="AA1105" i="12"/>
  <c r="D1105" i="12"/>
  <c r="M1103" i="12"/>
  <c r="W1102" i="12"/>
  <c r="S1100" i="12"/>
  <c r="O1097" i="12"/>
  <c r="AE1095" i="12"/>
  <c r="K1095" i="12"/>
  <c r="U1093" i="12"/>
  <c r="AC1092" i="12"/>
  <c r="G1092" i="12"/>
  <c r="W1090" i="12"/>
  <c r="C1090" i="12"/>
  <c r="U1087" i="12"/>
  <c r="O1085" i="12"/>
  <c r="AC1083" i="12"/>
  <c r="M1082" i="12"/>
  <c r="AB1080" i="12"/>
  <c r="G1080" i="12"/>
  <c r="E1077" i="12"/>
  <c r="T1075" i="12"/>
  <c r="E1073" i="12"/>
  <c r="L1070" i="12"/>
  <c r="AE1067" i="12"/>
  <c r="AA1065" i="12"/>
  <c r="D1065" i="12"/>
  <c r="M1063" i="12"/>
  <c r="W1062" i="12"/>
  <c r="S1060" i="12"/>
  <c r="O1057" i="12"/>
  <c r="AE1055" i="12"/>
  <c r="K1055" i="12"/>
  <c r="U1053" i="12"/>
  <c r="AC1052" i="12"/>
  <c r="G1052" i="12"/>
  <c r="W1050" i="12"/>
  <c r="C1050" i="12"/>
  <c r="U1047" i="12"/>
  <c r="O1045" i="12"/>
  <c r="AC1043" i="12"/>
  <c r="M1042" i="12"/>
  <c r="AB1040" i="12"/>
  <c r="G1040" i="12"/>
  <c r="E1037" i="12"/>
  <c r="T1035" i="12"/>
  <c r="E1033" i="12"/>
  <c r="L1030" i="12"/>
  <c r="AE1027" i="12"/>
  <c r="AA1025" i="12"/>
  <c r="D1025" i="12"/>
  <c r="M1023" i="12"/>
  <c r="W1022" i="12"/>
  <c r="S1020" i="12"/>
  <c r="O1017" i="12"/>
  <c r="AE1015" i="12"/>
  <c r="K1015" i="12"/>
  <c r="U1013" i="12"/>
  <c r="AC1012" i="12"/>
  <c r="G1012" i="12"/>
  <c r="W1010" i="12"/>
  <c r="C1010" i="12"/>
  <c r="U1007" i="12"/>
  <c r="O1005" i="12"/>
  <c r="AC1003" i="12"/>
  <c r="K1685" i="12"/>
  <c r="K1405" i="12"/>
  <c r="M1377" i="12"/>
  <c r="AC1363" i="12"/>
  <c r="AA1345" i="12"/>
  <c r="AC1332" i="12"/>
  <c r="AC1323" i="12"/>
  <c r="AA1305" i="12"/>
  <c r="AC1292" i="12"/>
  <c r="AC1283" i="12"/>
  <c r="AA1265" i="12"/>
  <c r="AC1252" i="12"/>
  <c r="AC1243" i="12"/>
  <c r="AA1225" i="12"/>
  <c r="AC1212" i="12"/>
  <c r="AC1203" i="12"/>
  <c r="T1195" i="12"/>
  <c r="W1190" i="12"/>
  <c r="W1185" i="12"/>
  <c r="C1185" i="12"/>
  <c r="U1182" i="12"/>
  <c r="O1180" i="12"/>
  <c r="AC1178" i="12"/>
  <c r="M1177" i="12"/>
  <c r="AB1175" i="12"/>
  <c r="G1175" i="12"/>
  <c r="E1172" i="12"/>
  <c r="T1170" i="12"/>
  <c r="E1168" i="12"/>
  <c r="L1165" i="12"/>
  <c r="AE1162" i="12"/>
  <c r="AA1160" i="12"/>
  <c r="D1160" i="12"/>
  <c r="M1158" i="12"/>
  <c r="W1157" i="12"/>
  <c r="S1155" i="12"/>
  <c r="O1152" i="12"/>
  <c r="AE1150" i="12"/>
  <c r="K1150" i="12"/>
  <c r="U1148" i="12"/>
  <c r="AC1147" i="12"/>
  <c r="G1147" i="12"/>
  <c r="W1145" i="12"/>
  <c r="C1145" i="12"/>
  <c r="U1142" i="12"/>
  <c r="O1140" i="12"/>
  <c r="AC1138" i="12"/>
  <c r="M1137" i="12"/>
  <c r="AB1135" i="12"/>
  <c r="G1135" i="12"/>
  <c r="E1132" i="12"/>
  <c r="T1130" i="12"/>
  <c r="E1128" i="12"/>
  <c r="L1125" i="12"/>
  <c r="AE1122" i="12"/>
  <c r="AA1120" i="12"/>
  <c r="D1120" i="12"/>
  <c r="M1118" i="12"/>
  <c r="W1117" i="12"/>
  <c r="S1115" i="12"/>
  <c r="O1112" i="12"/>
  <c r="AE1110" i="12"/>
  <c r="K1110" i="12"/>
  <c r="U1108" i="12"/>
  <c r="AC1107" i="12"/>
  <c r="G1107" i="12"/>
  <c r="W1105" i="12"/>
  <c r="C1105" i="12"/>
  <c r="U1102" i="12"/>
  <c r="O1100" i="12"/>
  <c r="AC1098" i="12"/>
  <c r="M1097" i="12"/>
  <c r="AB1095" i="12"/>
  <c r="G1095" i="12"/>
  <c r="E1092" i="12"/>
  <c r="T1090" i="12"/>
  <c r="E1088" i="12"/>
  <c r="L1085" i="12"/>
  <c r="AE1082" i="12"/>
  <c r="AA1080" i="12"/>
  <c r="D1080" i="12"/>
  <c r="M1078" i="12"/>
  <c r="W1077" i="12"/>
  <c r="S1075" i="12"/>
  <c r="O1072" i="12"/>
  <c r="AE1070" i="12"/>
  <c r="K1070" i="12"/>
  <c r="U1068" i="12"/>
  <c r="AC1067" i="12"/>
  <c r="G1067" i="12"/>
  <c r="W1065" i="12"/>
  <c r="C1065" i="12"/>
  <c r="U1062" i="12"/>
  <c r="O1060" i="12"/>
  <c r="AC1058" i="12"/>
  <c r="M1057" i="12"/>
  <c r="AB1055" i="12"/>
  <c r="G1055" i="12"/>
  <c r="E1052" i="12"/>
  <c r="T1050" i="12"/>
  <c r="E1048" i="12"/>
  <c r="L1045" i="12"/>
  <c r="AE1042" i="12"/>
  <c r="AA1040" i="12"/>
  <c r="D1040" i="12"/>
  <c r="M1038" i="12"/>
  <c r="W1037" i="12"/>
  <c r="S1035" i="12"/>
  <c r="O1032" i="12"/>
  <c r="AE1030" i="12"/>
  <c r="K1030" i="12"/>
  <c r="U1028" i="12"/>
  <c r="AC1027" i="12"/>
  <c r="G1027" i="12"/>
  <c r="W1025" i="12"/>
  <c r="C1025" i="12"/>
  <c r="U1022" i="12"/>
  <c r="O1020" i="12"/>
  <c r="AC1018" i="12"/>
  <c r="M1017" i="12"/>
  <c r="AB1015" i="12"/>
  <c r="G1015" i="12"/>
  <c r="E1012" i="12"/>
  <c r="T1010" i="12"/>
  <c r="E1008" i="12"/>
  <c r="L1005" i="12"/>
  <c r="D1345" i="12"/>
  <c r="G1332" i="12"/>
  <c r="D1305" i="12"/>
  <c r="G1292" i="12"/>
  <c r="D1265" i="12"/>
  <c r="G1252" i="12"/>
  <c r="D1225" i="12"/>
  <c r="G1212" i="12"/>
  <c r="C1195" i="12"/>
  <c r="M1192" i="12"/>
  <c r="T1190" i="12"/>
  <c r="AC1188" i="12"/>
  <c r="AE1187" i="12"/>
  <c r="G1187" i="12"/>
  <c r="T1185" i="12"/>
  <c r="E1183" i="12"/>
  <c r="L1180" i="12"/>
  <c r="AE1177" i="12"/>
  <c r="AA1175" i="12"/>
  <c r="D1175" i="12"/>
  <c r="M1173" i="12"/>
  <c r="W1172" i="12"/>
  <c r="S1170" i="12"/>
  <c r="O1167" i="12"/>
  <c r="AE1165" i="12"/>
  <c r="K1165" i="12"/>
  <c r="U1163" i="12"/>
  <c r="AC1162" i="12"/>
  <c r="G1162" i="12"/>
  <c r="W1160" i="12"/>
  <c r="C1160" i="12"/>
  <c r="U1157" i="12"/>
  <c r="O1155" i="12"/>
  <c r="AC1153" i="12"/>
  <c r="M1152" i="12"/>
  <c r="AB1150" i="12"/>
  <c r="G1150" i="12"/>
  <c r="E1147" i="12"/>
  <c r="T1145" i="12"/>
  <c r="E1143" i="12"/>
  <c r="L1140" i="12"/>
  <c r="AE1137" i="12"/>
  <c r="AA1135" i="12"/>
  <c r="D1135" i="12"/>
  <c r="M1133" i="12"/>
  <c r="W1132" i="12"/>
  <c r="S1130" i="12"/>
  <c r="O1127" i="12"/>
  <c r="AE1125" i="12"/>
  <c r="K1125" i="12"/>
  <c r="U1123" i="12"/>
  <c r="AC1122" i="12"/>
  <c r="G1122" i="12"/>
  <c r="W1120" i="12"/>
  <c r="C1120" i="12"/>
  <c r="U1117" i="12"/>
  <c r="O1115" i="12"/>
  <c r="AC1113" i="12"/>
  <c r="M1112" i="12"/>
  <c r="AB1110" i="12"/>
  <c r="G1110" i="12"/>
  <c r="E1107" i="12"/>
  <c r="T1105" i="12"/>
  <c r="E1103" i="12"/>
  <c r="L1100" i="12"/>
  <c r="AE1097" i="12"/>
  <c r="AA1095" i="12"/>
  <c r="D1095" i="12"/>
  <c r="M1093" i="12"/>
  <c r="W1092" i="12"/>
  <c r="S1090" i="12"/>
  <c r="O1087" i="12"/>
  <c r="AE1085" i="12"/>
  <c r="K1085" i="12"/>
  <c r="U1083" i="12"/>
  <c r="AC1082" i="12"/>
  <c r="G1082" i="12"/>
  <c r="W1080" i="12"/>
  <c r="C1080" i="12"/>
  <c r="U1077" i="12"/>
  <c r="O1075" i="12"/>
  <c r="AC1073" i="12"/>
  <c r="M1072" i="12"/>
  <c r="AB1070" i="12"/>
  <c r="G1070" i="12"/>
  <c r="E1067" i="12"/>
  <c r="T1065" i="12"/>
  <c r="E1063" i="12"/>
  <c r="L1060" i="12"/>
  <c r="AE1057" i="12"/>
  <c r="AA1055" i="12"/>
  <c r="D1055" i="12"/>
  <c r="M1053" i="12"/>
  <c r="W1052" i="12"/>
  <c r="S1050" i="12"/>
  <c r="O1047" i="12"/>
  <c r="AE1045" i="12"/>
  <c r="K1045" i="12"/>
  <c r="U1043" i="12"/>
  <c r="AC1042" i="12"/>
  <c r="G1042" i="12"/>
  <c r="W1040" i="12"/>
  <c r="C1040" i="12"/>
  <c r="U1037" i="12"/>
  <c r="O1035" i="12"/>
  <c r="AC1033" i="12"/>
  <c r="M1032" i="12"/>
  <c r="AB1030" i="12"/>
  <c r="G1030" i="12"/>
  <c r="E1027" i="12"/>
  <c r="T1025" i="12"/>
  <c r="E1023" i="12"/>
  <c r="L1020" i="12"/>
  <c r="AE1017" i="12"/>
  <c r="AA1015" i="12"/>
  <c r="D1015" i="12"/>
  <c r="M1013" i="12"/>
  <c r="W1012" i="12"/>
  <c r="S1010" i="12"/>
  <c r="O1007" i="12"/>
  <c r="AE1005" i="12"/>
  <c r="K1005" i="12"/>
  <c r="U1003" i="12"/>
  <c r="AC1002" i="12"/>
  <c r="G1002" i="12"/>
  <c r="W1000" i="12"/>
  <c r="C1000" i="12"/>
  <c r="U997" i="12"/>
  <c r="K1525" i="12"/>
  <c r="U1367" i="12"/>
  <c r="M1362" i="12"/>
  <c r="E1353" i="12"/>
  <c r="S1340" i="12"/>
  <c r="AE1335" i="12"/>
  <c r="U1327" i="12"/>
  <c r="M1322" i="12"/>
  <c r="E1313" i="12"/>
  <c r="S1300" i="12"/>
  <c r="AE1295" i="12"/>
  <c r="U1287" i="12"/>
  <c r="M1282" i="12"/>
  <c r="E1273" i="12"/>
  <c r="S1260" i="12"/>
  <c r="AE1255" i="12"/>
  <c r="U1247" i="12"/>
  <c r="M1242" i="12"/>
  <c r="E1233" i="12"/>
  <c r="S1220" i="12"/>
  <c r="AE1215" i="12"/>
  <c r="U1207" i="12"/>
  <c r="M1202" i="12"/>
  <c r="G1192" i="12"/>
  <c r="S1190" i="12"/>
  <c r="AC1187" i="12"/>
  <c r="E1187" i="12"/>
  <c r="S1185" i="12"/>
  <c r="O1182" i="12"/>
  <c r="AE1180" i="12"/>
  <c r="K1180" i="12"/>
  <c r="U1178" i="12"/>
  <c r="AC1177" i="12"/>
  <c r="G1177" i="12"/>
  <c r="W1175" i="12"/>
  <c r="C1175" i="12"/>
  <c r="U1172" i="12"/>
  <c r="O1170" i="12"/>
  <c r="AC1168" i="12"/>
  <c r="M1167" i="12"/>
  <c r="AB1165" i="12"/>
  <c r="G1165" i="12"/>
  <c r="E1162" i="12"/>
  <c r="T1160" i="12"/>
  <c r="E1158" i="12"/>
  <c r="L1155" i="12"/>
  <c r="AE1152" i="12"/>
  <c r="AA1150" i="12"/>
  <c r="D1150" i="12"/>
  <c r="M1148" i="12"/>
  <c r="W1147" i="12"/>
  <c r="S1145" i="12"/>
  <c r="O1142" i="12"/>
  <c r="AE1140" i="12"/>
  <c r="K1140" i="12"/>
  <c r="U1138" i="12"/>
  <c r="AC1137" i="12"/>
  <c r="G1137" i="12"/>
  <c r="W1135" i="12"/>
  <c r="C1135" i="12"/>
  <c r="U1132" i="12"/>
  <c r="O1130" i="12"/>
  <c r="AC1128" i="12"/>
  <c r="M1127" i="12"/>
  <c r="AB1125" i="12"/>
  <c r="G1125" i="12"/>
  <c r="E1122" i="12"/>
  <c r="T1120" i="12"/>
  <c r="E1118" i="12"/>
  <c r="L1115" i="12"/>
  <c r="AE1112" i="12"/>
  <c r="AA1110" i="12"/>
  <c r="D1110" i="12"/>
  <c r="M1108" i="12"/>
  <c r="W1107" i="12"/>
  <c r="S1105" i="12"/>
  <c r="O1102" i="12"/>
  <c r="AE1100" i="12"/>
  <c r="K1100" i="12"/>
  <c r="U1098" i="12"/>
  <c r="AC1097" i="12"/>
  <c r="G1097" i="12"/>
  <c r="W1095" i="12"/>
  <c r="C1095" i="12"/>
  <c r="U1092" i="12"/>
  <c r="O1090" i="12"/>
  <c r="AC1088" i="12"/>
  <c r="M1087" i="12"/>
  <c r="AB1085" i="12"/>
  <c r="G1085" i="12"/>
  <c r="E1082" i="12"/>
  <c r="T1080" i="12"/>
  <c r="E1078" i="12"/>
  <c r="L1075" i="12"/>
  <c r="AE1072" i="12"/>
  <c r="AA1070" i="12"/>
  <c r="D1070" i="12"/>
  <c r="M1068" i="12"/>
  <c r="W1067" i="12"/>
  <c r="S1065" i="12"/>
  <c r="O1062" i="12"/>
  <c r="AE1060" i="12"/>
  <c r="K1060" i="12"/>
  <c r="U1058" i="12"/>
  <c r="AC1057" i="12"/>
  <c r="G1057" i="12"/>
  <c r="W1055" i="12"/>
  <c r="C1055" i="12"/>
  <c r="U1052" i="12"/>
  <c r="O1050" i="12"/>
  <c r="AC1048" i="12"/>
  <c r="M1047" i="12"/>
  <c r="AB1045" i="12"/>
  <c r="G1045" i="12"/>
  <c r="E1042" i="12"/>
  <c r="T1040" i="12"/>
  <c r="E1038" i="12"/>
  <c r="L1035" i="12"/>
  <c r="AE1032" i="12"/>
  <c r="AA1030" i="12"/>
  <c r="D1030" i="12"/>
  <c r="M1028" i="12"/>
  <c r="W1027" i="12"/>
  <c r="S1025" i="12"/>
  <c r="O1022" i="12"/>
  <c r="AE1020" i="12"/>
  <c r="K1020" i="12"/>
  <c r="U1018" i="12"/>
  <c r="AC1017" i="12"/>
  <c r="G1017" i="12"/>
  <c r="W1015" i="12"/>
  <c r="C1015" i="12"/>
  <c r="U1012" i="12"/>
  <c r="O1010" i="12"/>
  <c r="AC1008" i="12"/>
  <c r="G1380" i="12"/>
  <c r="AA1375" i="12"/>
  <c r="K1335" i="12"/>
  <c r="K1295" i="12"/>
  <c r="K1255" i="12"/>
  <c r="K1215" i="12"/>
  <c r="E1192" i="12"/>
  <c r="O1190" i="12"/>
  <c r="U1188" i="12"/>
  <c r="O1185" i="12"/>
  <c r="AC1183" i="12"/>
  <c r="M1182" i="12"/>
  <c r="AB1180" i="12"/>
  <c r="G1180" i="12"/>
  <c r="E1177" i="12"/>
  <c r="T1175" i="12"/>
  <c r="E1173" i="12"/>
  <c r="L1170" i="12"/>
  <c r="AE1167" i="12"/>
  <c r="AA1165" i="12"/>
  <c r="D1165" i="12"/>
  <c r="M1163" i="12"/>
  <c r="W1162" i="12"/>
  <c r="S1160" i="12"/>
  <c r="O1157" i="12"/>
  <c r="AE1155" i="12"/>
  <c r="K1155" i="12"/>
  <c r="U1153" i="12"/>
  <c r="AC1152" i="12"/>
  <c r="G1152" i="12"/>
  <c r="W1150" i="12"/>
  <c r="C1150" i="12"/>
  <c r="U1147" i="12"/>
  <c r="O1145" i="12"/>
  <c r="AC1143" i="12"/>
  <c r="M1142" i="12"/>
  <c r="AB1140" i="12"/>
  <c r="G1140" i="12"/>
  <c r="E1137" i="12"/>
  <c r="T1135" i="12"/>
  <c r="E1133" i="12"/>
  <c r="L1130" i="12"/>
  <c r="AE1127" i="12"/>
  <c r="AA1125" i="12"/>
  <c r="D1125" i="12"/>
  <c r="M1123" i="12"/>
  <c r="W1122" i="12"/>
  <c r="S1120" i="12"/>
  <c r="O1117" i="12"/>
  <c r="AE1115" i="12"/>
  <c r="K1115" i="12"/>
  <c r="U1113" i="12"/>
  <c r="AC1112" i="12"/>
  <c r="G1112" i="12"/>
  <c r="W1110" i="12"/>
  <c r="C1110" i="12"/>
  <c r="U1107" i="12"/>
  <c r="O1105" i="12"/>
  <c r="AC1103" i="12"/>
  <c r="M1102" i="12"/>
  <c r="AB1100" i="12"/>
  <c r="G1100" i="12"/>
  <c r="E1097" i="12"/>
  <c r="T1095" i="12"/>
  <c r="E1093" i="12"/>
  <c r="L1090" i="12"/>
  <c r="AE1087" i="12"/>
  <c r="AA1085" i="12"/>
  <c r="D1085" i="12"/>
  <c r="M1083" i="12"/>
  <c r="W1082" i="12"/>
  <c r="S1080" i="12"/>
  <c r="O1077" i="12"/>
  <c r="AE1075" i="12"/>
  <c r="K1075" i="12"/>
  <c r="U1073" i="12"/>
  <c r="AC1072" i="12"/>
  <c r="G1072" i="12"/>
  <c r="W1070" i="12"/>
  <c r="C1070" i="12"/>
  <c r="U1067" i="12"/>
  <c r="O1065" i="12"/>
  <c r="AC1063" i="12"/>
  <c r="M1062" i="12"/>
  <c r="AB1060" i="12"/>
  <c r="G1060" i="12"/>
  <c r="E1057" i="12"/>
  <c r="T1055" i="12"/>
  <c r="E1053" i="12"/>
  <c r="L1050" i="12"/>
  <c r="AE1047" i="12"/>
  <c r="AA1045" i="12"/>
  <c r="D1045" i="12"/>
  <c r="M1043" i="12"/>
  <c r="W1042" i="12"/>
  <c r="S1040" i="12"/>
  <c r="O1037" i="12"/>
  <c r="AE1035" i="12"/>
  <c r="K1035" i="12"/>
  <c r="U1033" i="12"/>
  <c r="AC1032" i="12"/>
  <c r="G1032" i="12"/>
  <c r="W1030" i="12"/>
  <c r="C1030" i="12"/>
  <c r="U1027" i="12"/>
  <c r="O1025" i="12"/>
  <c r="AC1023" i="12"/>
  <c r="M1022" i="12"/>
  <c r="AB1020" i="12"/>
  <c r="G1020" i="12"/>
  <c r="E1017" i="12"/>
  <c r="T1015" i="12"/>
  <c r="E1013" i="12"/>
  <c r="L1010" i="12"/>
  <c r="AE1007" i="12"/>
  <c r="AA1005" i="12"/>
  <c r="D1005" i="12"/>
  <c r="K1485" i="12"/>
  <c r="C1375" i="12"/>
  <c r="AB1370" i="12"/>
  <c r="E1357" i="12"/>
  <c r="AE1347" i="12"/>
  <c r="M1343" i="12"/>
  <c r="W1330" i="12"/>
  <c r="E1317" i="12"/>
  <c r="AE1307" i="12"/>
  <c r="M1303" i="12"/>
  <c r="W1290" i="12"/>
  <c r="E1277" i="12"/>
  <c r="AE1267" i="12"/>
  <c r="M1263" i="12"/>
  <c r="W1250" i="12"/>
  <c r="E1237" i="12"/>
  <c r="AE1227" i="12"/>
  <c r="M1223" i="12"/>
  <c r="W1210" i="12"/>
  <c r="E1197" i="12"/>
  <c r="L1190" i="12"/>
  <c r="U1187" i="12"/>
  <c r="L1185" i="12"/>
  <c r="AE1182" i="12"/>
  <c r="AA1180" i="12"/>
  <c r="D1180" i="12"/>
  <c r="M1178" i="12"/>
  <c r="W1177" i="12"/>
  <c r="S1175" i="12"/>
  <c r="O1172" i="12"/>
  <c r="AE1170" i="12"/>
  <c r="K1170" i="12"/>
  <c r="U1168" i="12"/>
  <c r="AC1167" i="12"/>
  <c r="G1167" i="12"/>
  <c r="W1165" i="12"/>
  <c r="C1165" i="12"/>
  <c r="U1162" i="12"/>
  <c r="O1160" i="12"/>
  <c r="AC1158" i="12"/>
  <c r="M1157" i="12"/>
  <c r="AB1155" i="12"/>
  <c r="G1155" i="12"/>
  <c r="E1152" i="12"/>
  <c r="T1150" i="12"/>
  <c r="E1148" i="12"/>
  <c r="L1145" i="12"/>
  <c r="AE1142" i="12"/>
  <c r="AA1140" i="12"/>
  <c r="D1140" i="12"/>
  <c r="M1138" i="12"/>
  <c r="W1137" i="12"/>
  <c r="S1135" i="12"/>
  <c r="O1132" i="12"/>
  <c r="AE1130" i="12"/>
  <c r="K1130" i="12"/>
  <c r="U1128" i="12"/>
  <c r="AC1127" i="12"/>
  <c r="G1127" i="12"/>
  <c r="W1125" i="12"/>
  <c r="C1125" i="12"/>
  <c r="U1122" i="12"/>
  <c r="O1120" i="12"/>
  <c r="AC1118" i="12"/>
  <c r="M1117" i="12"/>
  <c r="AB1115" i="12"/>
  <c r="G1115" i="12"/>
  <c r="E1112" i="12"/>
  <c r="T1110" i="12"/>
  <c r="E1108" i="12"/>
  <c r="L1105" i="12"/>
  <c r="AE1102" i="12"/>
  <c r="AA1100" i="12"/>
  <c r="D1100" i="12"/>
  <c r="M1098" i="12"/>
  <c r="W1097" i="12"/>
  <c r="S1095" i="12"/>
  <c r="O1092" i="12"/>
  <c r="AE1090" i="12"/>
  <c r="K1090" i="12"/>
  <c r="U1088" i="12"/>
  <c r="AC1087" i="12"/>
  <c r="G1087" i="12"/>
  <c r="W1085" i="12"/>
  <c r="C1085" i="12"/>
  <c r="U1082" i="12"/>
  <c r="O1080" i="12"/>
  <c r="AC1078" i="12"/>
  <c r="M1077" i="12"/>
  <c r="AB1075" i="12"/>
  <c r="G1075" i="12"/>
  <c r="E1072" i="12"/>
  <c r="T1070" i="12"/>
  <c r="E1068" i="12"/>
  <c r="L1065" i="12"/>
  <c r="AE1062" i="12"/>
  <c r="AA1060" i="12"/>
  <c r="D1060" i="12"/>
  <c r="M1058" i="12"/>
  <c r="W1057" i="12"/>
  <c r="S1055" i="12"/>
  <c r="O1052" i="12"/>
  <c r="AE1050" i="12"/>
  <c r="K1050" i="12"/>
  <c r="U1048" i="12"/>
  <c r="AC1047" i="12"/>
  <c r="G1047" i="12"/>
  <c r="W1045" i="12"/>
  <c r="C1045" i="12"/>
  <c r="U1042" i="12"/>
  <c r="O1040" i="12"/>
  <c r="AC1038" i="12"/>
  <c r="M1037" i="12"/>
  <c r="AB1035" i="12"/>
  <c r="G1035" i="12"/>
  <c r="E1032" i="12"/>
  <c r="T1030" i="12"/>
  <c r="E1028" i="12"/>
  <c r="L1025" i="12"/>
  <c r="AE1022" i="12"/>
  <c r="AA1020" i="12"/>
  <c r="D1020" i="12"/>
  <c r="M1018" i="12"/>
  <c r="W1017" i="12"/>
  <c r="S1015" i="12"/>
  <c r="O1012" i="12"/>
  <c r="AE1010" i="12"/>
  <c r="D1370" i="12"/>
  <c r="O1365" i="12"/>
  <c r="AB1360" i="12"/>
  <c r="C1330" i="12"/>
  <c r="O1325" i="12"/>
  <c r="AB1320" i="12"/>
  <c r="C1290" i="12"/>
  <c r="O1285" i="12"/>
  <c r="AB1280" i="12"/>
  <c r="C1250" i="12"/>
  <c r="O1245" i="12"/>
  <c r="AB1240" i="12"/>
  <c r="C1210" i="12"/>
  <c r="O1205" i="12"/>
  <c r="AB1200" i="12"/>
  <c r="E1193" i="12"/>
  <c r="G1190" i="12"/>
  <c r="AE1185" i="12"/>
  <c r="K1185" i="12"/>
  <c r="U1183" i="12"/>
  <c r="AC1182" i="12"/>
  <c r="G1182" i="12"/>
  <c r="W1180" i="12"/>
  <c r="C1180" i="12"/>
  <c r="U1177" i="12"/>
  <c r="O1175" i="12"/>
  <c r="AC1173" i="12"/>
  <c r="M1172" i="12"/>
  <c r="AB1170" i="12"/>
  <c r="G1170" i="12"/>
  <c r="E1167" i="12"/>
  <c r="T1165" i="12"/>
  <c r="E1163" i="12"/>
  <c r="L1160" i="12"/>
  <c r="AE1157" i="12"/>
  <c r="AA1155" i="12"/>
  <c r="D1155" i="12"/>
  <c r="M1153" i="12"/>
  <c r="W1152" i="12"/>
  <c r="S1150" i="12"/>
  <c r="O1147" i="12"/>
  <c r="AE1145" i="12"/>
  <c r="K1145" i="12"/>
  <c r="U1143" i="12"/>
  <c r="AC1142" i="12"/>
  <c r="G1142" i="12"/>
  <c r="W1140" i="12"/>
  <c r="C1140" i="12"/>
  <c r="U1137" i="12"/>
  <c r="O1135" i="12"/>
  <c r="AC1133" i="12"/>
  <c r="M1132" i="12"/>
  <c r="AB1130" i="12"/>
  <c r="G1130" i="12"/>
  <c r="E1127" i="12"/>
  <c r="T1125" i="12"/>
  <c r="E1123" i="12"/>
  <c r="L1120" i="12"/>
  <c r="AE1117" i="12"/>
  <c r="AA1115" i="12"/>
  <c r="D1115" i="12"/>
  <c r="M1113" i="12"/>
  <c r="W1112" i="12"/>
  <c r="S1110" i="12"/>
  <c r="O1107" i="12"/>
  <c r="AE1105" i="12"/>
  <c r="K1105" i="12"/>
  <c r="U1103" i="12"/>
  <c r="AC1102" i="12"/>
  <c r="G1102" i="12"/>
  <c r="W1100" i="12"/>
  <c r="C1100" i="12"/>
  <c r="U1097" i="12"/>
  <c r="O1095" i="12"/>
  <c r="AC1093" i="12"/>
  <c r="M1092" i="12"/>
  <c r="AB1090" i="12"/>
  <c r="G1090" i="12"/>
  <c r="E1087" i="12"/>
  <c r="T1085" i="12"/>
  <c r="E1083" i="12"/>
  <c r="L1080" i="12"/>
  <c r="AE1077" i="12"/>
  <c r="AA1075" i="12"/>
  <c r="D1075" i="12"/>
  <c r="M1073" i="12"/>
  <c r="W1072" i="12"/>
  <c r="S1070" i="12"/>
  <c r="O1067" i="12"/>
  <c r="AE1065" i="12"/>
  <c r="K1065" i="12"/>
  <c r="U1063" i="12"/>
  <c r="AC1062" i="12"/>
  <c r="G1062" i="12"/>
  <c r="W1060" i="12"/>
  <c r="C1060" i="12"/>
  <c r="U1057" i="12"/>
  <c r="O1055" i="12"/>
  <c r="AC1053" i="12"/>
  <c r="M1052" i="12"/>
  <c r="AB1050" i="12"/>
  <c r="G1050" i="12"/>
  <c r="E1047" i="12"/>
  <c r="T1045" i="12"/>
  <c r="E1043" i="12"/>
  <c r="L1040" i="12"/>
  <c r="AE1037" i="12"/>
  <c r="AA1035" i="12"/>
  <c r="D1035" i="12"/>
  <c r="M1033" i="12"/>
  <c r="W1032" i="12"/>
  <c r="S1030" i="12"/>
  <c r="O1027" i="12"/>
  <c r="AE1025" i="12"/>
  <c r="K1025" i="12"/>
  <c r="U1023" i="12"/>
  <c r="AC1022" i="12"/>
  <c r="G1022" i="12"/>
  <c r="W1020" i="12"/>
  <c r="C1020" i="12"/>
  <c r="U1017" i="12"/>
  <c r="O1015" i="12"/>
  <c r="AC1013" i="12"/>
  <c r="M1012" i="12"/>
  <c r="AB1010" i="12"/>
  <c r="G1010" i="12"/>
  <c r="E1007" i="12"/>
  <c r="G1360" i="12"/>
  <c r="U1293" i="12"/>
  <c r="G1185" i="12"/>
  <c r="W1167" i="12"/>
  <c r="U1158" i="12"/>
  <c r="G1145" i="12"/>
  <c r="W1127" i="12"/>
  <c r="U1118" i="12"/>
  <c r="G1105" i="12"/>
  <c r="W1087" i="12"/>
  <c r="U1078" i="12"/>
  <c r="G1065" i="12"/>
  <c r="W1047" i="12"/>
  <c r="U1038" i="12"/>
  <c r="G1025" i="12"/>
  <c r="M1008" i="12"/>
  <c r="AE1002" i="12"/>
  <c r="E1002" i="12"/>
  <c r="S1000" i="12"/>
  <c r="AC998" i="12"/>
  <c r="AE997" i="12"/>
  <c r="G997" i="12"/>
  <c r="W995" i="12"/>
  <c r="C995" i="12"/>
  <c r="U992" i="12"/>
  <c r="O990" i="12"/>
  <c r="AC988" i="12"/>
  <c r="M987" i="12"/>
  <c r="AB985" i="12"/>
  <c r="G985" i="12"/>
  <c r="E982" i="12"/>
  <c r="T980" i="12"/>
  <c r="E978" i="12"/>
  <c r="L975" i="12"/>
  <c r="AE972" i="12"/>
  <c r="AA970" i="12"/>
  <c r="D970" i="12"/>
  <c r="M968" i="12"/>
  <c r="W967" i="12"/>
  <c r="S965" i="12"/>
  <c r="O962" i="12"/>
  <c r="AE960" i="12"/>
  <c r="K960" i="12"/>
  <c r="U958" i="12"/>
  <c r="AC957" i="12"/>
  <c r="G957" i="12"/>
  <c r="W955" i="12"/>
  <c r="C955" i="12"/>
  <c r="U952" i="12"/>
  <c r="O950" i="12"/>
  <c r="AC948" i="12"/>
  <c r="M947" i="12"/>
  <c r="AB945" i="12"/>
  <c r="G945" i="12"/>
  <c r="E942" i="12"/>
  <c r="T940" i="12"/>
  <c r="E938" i="12"/>
  <c r="L935" i="12"/>
  <c r="AE932" i="12"/>
  <c r="AA930" i="12"/>
  <c r="D930" i="12"/>
  <c r="M928" i="12"/>
  <c r="W927" i="12"/>
  <c r="S925" i="12"/>
  <c r="O922" i="12"/>
  <c r="AE920" i="12"/>
  <c r="K920" i="12"/>
  <c r="U918" i="12"/>
  <c r="AC917" i="12"/>
  <c r="G917" i="12"/>
  <c r="W915" i="12"/>
  <c r="C915" i="12"/>
  <c r="U912" i="12"/>
  <c r="O910" i="12"/>
  <c r="AC908" i="12"/>
  <c r="M907" i="12"/>
  <c r="AB905" i="12"/>
  <c r="G905" i="12"/>
  <c r="E902" i="12"/>
  <c r="T900" i="12"/>
  <c r="E898" i="12"/>
  <c r="L895" i="12"/>
  <c r="AE892" i="12"/>
  <c r="AA890" i="12"/>
  <c r="D890" i="12"/>
  <c r="M888" i="12"/>
  <c r="W887" i="12"/>
  <c r="S885" i="12"/>
  <c r="O882" i="12"/>
  <c r="AE880" i="12"/>
  <c r="K880" i="12"/>
  <c r="U878" i="12"/>
  <c r="AC877" i="12"/>
  <c r="G877" i="12"/>
  <c r="W875" i="12"/>
  <c r="C875" i="12"/>
  <c r="U872" i="12"/>
  <c r="O870" i="12"/>
  <c r="AC868" i="12"/>
  <c r="M867" i="12"/>
  <c r="AB865" i="12"/>
  <c r="G865" i="12"/>
  <c r="E862" i="12"/>
  <c r="T860" i="12"/>
  <c r="E858" i="12"/>
  <c r="L855" i="12"/>
  <c r="AE852" i="12"/>
  <c r="AA850" i="12"/>
  <c r="D850" i="12"/>
  <c r="M848" i="12"/>
  <c r="W847" i="12"/>
  <c r="S845" i="12"/>
  <c r="O842" i="12"/>
  <c r="AE840" i="12"/>
  <c r="K840" i="12"/>
  <c r="U838" i="12"/>
  <c r="AC837" i="12"/>
  <c r="G837" i="12"/>
  <c r="W835" i="12"/>
  <c r="C835" i="12"/>
  <c r="U832" i="12"/>
  <c r="O830" i="12"/>
  <c r="AC828" i="12"/>
  <c r="M827" i="12"/>
  <c r="AB825" i="12"/>
  <c r="G825" i="12"/>
  <c r="E822" i="12"/>
  <c r="T820" i="12"/>
  <c r="E818" i="12"/>
  <c r="L815" i="12"/>
  <c r="AE812" i="12"/>
  <c r="AA810" i="12"/>
  <c r="D810" i="12"/>
  <c r="M808" i="12"/>
  <c r="W807" i="12"/>
  <c r="S805" i="12"/>
  <c r="O802" i="12"/>
  <c r="AE800" i="12"/>
  <c r="K800" i="12"/>
  <c r="U798" i="12"/>
  <c r="AC797" i="12"/>
  <c r="G797" i="12"/>
  <c r="W795" i="12"/>
  <c r="C795" i="12"/>
  <c r="U792" i="12"/>
  <c r="O790" i="12"/>
  <c r="AC788" i="12"/>
  <c r="M787" i="12"/>
  <c r="AB785" i="12"/>
  <c r="G785" i="12"/>
  <c r="E782" i="12"/>
  <c r="T780" i="12"/>
  <c r="E778" i="12"/>
  <c r="L775" i="12"/>
  <c r="AE772" i="12"/>
  <c r="AA770" i="12"/>
  <c r="D770" i="12"/>
  <c r="M768" i="12"/>
  <c r="W767" i="12"/>
  <c r="S765" i="12"/>
  <c r="O762" i="12"/>
  <c r="AE760" i="12"/>
  <c r="K760" i="12"/>
  <c r="U758" i="12"/>
  <c r="AC757" i="12"/>
  <c r="G757" i="12"/>
  <c r="W755" i="12"/>
  <c r="C755" i="12"/>
  <c r="U752" i="12"/>
  <c r="O750" i="12"/>
  <c r="AC748" i="12"/>
  <c r="M747" i="12"/>
  <c r="AB745" i="12"/>
  <c r="G745" i="12"/>
  <c r="E742" i="12"/>
  <c r="T740" i="12"/>
  <c r="E738" i="12"/>
  <c r="L735" i="12"/>
  <c r="AE732" i="12"/>
  <c r="AA730" i="12"/>
  <c r="D730" i="12"/>
  <c r="M728" i="12"/>
  <c r="W727" i="12"/>
  <c r="S725" i="12"/>
  <c r="O722" i="12"/>
  <c r="AE720" i="12"/>
  <c r="K720" i="12"/>
  <c r="U718" i="12"/>
  <c r="AC717" i="12"/>
  <c r="G717" i="12"/>
  <c r="W715" i="12"/>
  <c r="C715" i="12"/>
  <c r="U712" i="12"/>
  <c r="O710" i="12"/>
  <c r="AC708" i="12"/>
  <c r="M707" i="12"/>
  <c r="AB705" i="12"/>
  <c r="G705" i="12"/>
  <c r="E702" i="12"/>
  <c r="T700" i="12"/>
  <c r="E698" i="12"/>
  <c r="L695" i="12"/>
  <c r="AE692" i="12"/>
  <c r="AA690" i="12"/>
  <c r="D690" i="12"/>
  <c r="M688" i="12"/>
  <c r="W687" i="12"/>
  <c r="S685" i="12"/>
  <c r="O682" i="12"/>
  <c r="AE680" i="12"/>
  <c r="K680" i="12"/>
  <c r="U678" i="12"/>
  <c r="AC677" i="12"/>
  <c r="G677" i="12"/>
  <c r="W675" i="12"/>
  <c r="C675" i="12"/>
  <c r="U672" i="12"/>
  <c r="O670" i="12"/>
  <c r="AC668" i="12"/>
  <c r="M667" i="12"/>
  <c r="AB665" i="12"/>
  <c r="G665" i="12"/>
  <c r="E662" i="12"/>
  <c r="T660" i="12"/>
  <c r="E658" i="12"/>
  <c r="L655" i="12"/>
  <c r="AE652" i="12"/>
  <c r="AA650" i="12"/>
  <c r="D650" i="12"/>
  <c r="M648" i="12"/>
  <c r="W647" i="12"/>
  <c r="S645" i="12"/>
  <c r="O642" i="12"/>
  <c r="AE640" i="12"/>
  <c r="K640" i="12"/>
  <c r="U638" i="12"/>
  <c r="AC637" i="12"/>
  <c r="G637" i="12"/>
  <c r="W635" i="12"/>
  <c r="C635" i="12"/>
  <c r="U632" i="12"/>
  <c r="O630" i="12"/>
  <c r="AC628" i="12"/>
  <c r="M627" i="12"/>
  <c r="AB625" i="12"/>
  <c r="G625" i="12"/>
  <c r="E622" i="12"/>
  <c r="T620" i="12"/>
  <c r="E618" i="12"/>
  <c r="L615" i="12"/>
  <c r="K1445" i="12"/>
  <c r="W1262" i="12"/>
  <c r="G1240" i="12"/>
  <c r="T1180" i="12"/>
  <c r="L1175" i="12"/>
  <c r="O1162" i="12"/>
  <c r="T1140" i="12"/>
  <c r="L1135" i="12"/>
  <c r="O1122" i="12"/>
  <c r="T1100" i="12"/>
  <c r="L1095" i="12"/>
  <c r="O1082" i="12"/>
  <c r="T1060" i="12"/>
  <c r="L1055" i="12"/>
  <c r="O1042" i="12"/>
  <c r="T1020" i="12"/>
  <c r="L1015" i="12"/>
  <c r="AB1005" i="12"/>
  <c r="O1000" i="12"/>
  <c r="AC997" i="12"/>
  <c r="E997" i="12"/>
  <c r="T995" i="12"/>
  <c r="E993" i="12"/>
  <c r="L990" i="12"/>
  <c r="AE987" i="12"/>
  <c r="AA985" i="12"/>
  <c r="D985" i="12"/>
  <c r="M983" i="12"/>
  <c r="W982" i="12"/>
  <c r="S980" i="12"/>
  <c r="O977" i="12"/>
  <c r="AE975" i="12"/>
  <c r="K975" i="12"/>
  <c r="U973" i="12"/>
  <c r="AC972" i="12"/>
  <c r="G972" i="12"/>
  <c r="W970" i="12"/>
  <c r="C970" i="12"/>
  <c r="U967" i="12"/>
  <c r="O965" i="12"/>
  <c r="AC963" i="12"/>
  <c r="M962" i="12"/>
  <c r="AB960" i="12"/>
  <c r="G960" i="12"/>
  <c r="E957" i="12"/>
  <c r="T955" i="12"/>
  <c r="E953" i="12"/>
  <c r="L950" i="12"/>
  <c r="AE947" i="12"/>
  <c r="AA945" i="12"/>
  <c r="D945" i="12"/>
  <c r="M943" i="12"/>
  <c r="W942" i="12"/>
  <c r="S940" i="12"/>
  <c r="O937" i="12"/>
  <c r="AE935" i="12"/>
  <c r="K935" i="12"/>
  <c r="U933" i="12"/>
  <c r="AC932" i="12"/>
  <c r="G932" i="12"/>
  <c r="W930" i="12"/>
  <c r="C930" i="12"/>
  <c r="U927" i="12"/>
  <c r="O925" i="12"/>
  <c r="AC923" i="12"/>
  <c r="M922" i="12"/>
  <c r="AB920" i="12"/>
  <c r="G920" i="12"/>
  <c r="E917" i="12"/>
  <c r="T915" i="12"/>
  <c r="E913" i="12"/>
  <c r="L910" i="12"/>
  <c r="AE907" i="12"/>
  <c r="AA905" i="12"/>
  <c r="D905" i="12"/>
  <c r="M903" i="12"/>
  <c r="W902" i="12"/>
  <c r="S900" i="12"/>
  <c r="O897" i="12"/>
  <c r="AE895" i="12"/>
  <c r="K895" i="12"/>
  <c r="U893" i="12"/>
  <c r="AC892" i="12"/>
  <c r="G892" i="12"/>
  <c r="W890" i="12"/>
  <c r="C890" i="12"/>
  <c r="U887" i="12"/>
  <c r="O885" i="12"/>
  <c r="AC883" i="12"/>
  <c r="M882" i="12"/>
  <c r="AB880" i="12"/>
  <c r="G880" i="12"/>
  <c r="E877" i="12"/>
  <c r="T875" i="12"/>
  <c r="E873" i="12"/>
  <c r="L870" i="12"/>
  <c r="AE867" i="12"/>
  <c r="AA865" i="12"/>
  <c r="D865" i="12"/>
  <c r="M863" i="12"/>
  <c r="W862" i="12"/>
  <c r="S860" i="12"/>
  <c r="O857" i="12"/>
  <c r="AE855" i="12"/>
  <c r="K855" i="12"/>
  <c r="U853" i="12"/>
  <c r="AC852" i="12"/>
  <c r="G852" i="12"/>
  <c r="W850" i="12"/>
  <c r="C850" i="12"/>
  <c r="U847" i="12"/>
  <c r="O845" i="12"/>
  <c r="AC843" i="12"/>
  <c r="M842" i="12"/>
  <c r="AB840" i="12"/>
  <c r="G840" i="12"/>
  <c r="E837" i="12"/>
  <c r="T835" i="12"/>
  <c r="E833" i="12"/>
  <c r="L830" i="12"/>
  <c r="AE827" i="12"/>
  <c r="AA825" i="12"/>
  <c r="D825" i="12"/>
  <c r="M823" i="12"/>
  <c r="W822" i="12"/>
  <c r="S820" i="12"/>
  <c r="O817" i="12"/>
  <c r="AE815" i="12"/>
  <c r="K815" i="12"/>
  <c r="U813" i="12"/>
  <c r="AC812" i="12"/>
  <c r="G812" i="12"/>
  <c r="W810" i="12"/>
  <c r="C810" i="12"/>
  <c r="U807" i="12"/>
  <c r="O805" i="12"/>
  <c r="AC803" i="12"/>
  <c r="M802" i="12"/>
  <c r="AB800" i="12"/>
  <c r="G800" i="12"/>
  <c r="E797" i="12"/>
  <c r="T795" i="12"/>
  <c r="E793" i="12"/>
  <c r="L790" i="12"/>
  <c r="AE787" i="12"/>
  <c r="AA785" i="12"/>
  <c r="D785" i="12"/>
  <c r="M783" i="12"/>
  <c r="W782" i="12"/>
  <c r="S780" i="12"/>
  <c r="O777" i="12"/>
  <c r="AE775" i="12"/>
  <c r="K775" i="12"/>
  <c r="U773" i="12"/>
  <c r="AC772" i="12"/>
  <c r="G772" i="12"/>
  <c r="W770" i="12"/>
  <c r="C770" i="12"/>
  <c r="U767" i="12"/>
  <c r="O765" i="12"/>
  <c r="AC763" i="12"/>
  <c r="M762" i="12"/>
  <c r="AB760" i="12"/>
  <c r="G760" i="12"/>
  <c r="E757" i="12"/>
  <c r="T755" i="12"/>
  <c r="E753" i="12"/>
  <c r="L750" i="12"/>
  <c r="AE747" i="12"/>
  <c r="AA745" i="12"/>
  <c r="D745" i="12"/>
  <c r="M743" i="12"/>
  <c r="W742" i="12"/>
  <c r="S740" i="12"/>
  <c r="O737" i="12"/>
  <c r="AE735" i="12"/>
  <c r="K735" i="12"/>
  <c r="U733" i="12"/>
  <c r="AC732" i="12"/>
  <c r="G732" i="12"/>
  <c r="W730" i="12"/>
  <c r="C730" i="12"/>
  <c r="U727" i="12"/>
  <c r="O725" i="12"/>
  <c r="E1188" i="12"/>
  <c r="AA1170" i="12"/>
  <c r="AC1157" i="12"/>
  <c r="AC1148" i="12"/>
  <c r="AA1130" i="12"/>
  <c r="AC1117" i="12"/>
  <c r="AC1108" i="12"/>
  <c r="AA1090" i="12"/>
  <c r="AC1077" i="12"/>
  <c r="AC1068" i="12"/>
  <c r="AA1050" i="12"/>
  <c r="AC1037" i="12"/>
  <c r="AC1028" i="12"/>
  <c r="AA1010" i="12"/>
  <c r="AC1007" i="12"/>
  <c r="W1005" i="12"/>
  <c r="W1002" i="12"/>
  <c r="L1000" i="12"/>
  <c r="U998" i="12"/>
  <c r="S995" i="12"/>
  <c r="O992" i="12"/>
  <c r="AE990" i="12"/>
  <c r="K990" i="12"/>
  <c r="U988" i="12"/>
  <c r="AC987" i="12"/>
  <c r="G987" i="12"/>
  <c r="W985" i="12"/>
  <c r="C985" i="12"/>
  <c r="U982" i="12"/>
  <c r="O980" i="12"/>
  <c r="AC978" i="12"/>
  <c r="M977" i="12"/>
  <c r="AB975" i="12"/>
  <c r="G975" i="12"/>
  <c r="E972" i="12"/>
  <c r="T970" i="12"/>
  <c r="E968" i="12"/>
  <c r="L965" i="12"/>
  <c r="AE962" i="12"/>
  <c r="AA960" i="12"/>
  <c r="D960" i="12"/>
  <c r="M958" i="12"/>
  <c r="W957" i="12"/>
  <c r="S955" i="12"/>
  <c r="O952" i="12"/>
  <c r="AE950" i="12"/>
  <c r="K950" i="12"/>
  <c r="U948" i="12"/>
  <c r="AC947" i="12"/>
  <c r="G947" i="12"/>
  <c r="W945" i="12"/>
  <c r="C945" i="12"/>
  <c r="U942" i="12"/>
  <c r="O940" i="12"/>
  <c r="AC938" i="12"/>
  <c r="M937" i="12"/>
  <c r="AB935" i="12"/>
  <c r="G935" i="12"/>
  <c r="E932" i="12"/>
  <c r="T930" i="12"/>
  <c r="E928" i="12"/>
  <c r="L925" i="12"/>
  <c r="AE922" i="12"/>
  <c r="AA920" i="12"/>
  <c r="D920" i="12"/>
  <c r="M918" i="12"/>
  <c r="W917" i="12"/>
  <c r="S915" i="12"/>
  <c r="O912" i="12"/>
  <c r="AE910" i="12"/>
  <c r="K910" i="12"/>
  <c r="U908" i="12"/>
  <c r="AC907" i="12"/>
  <c r="G907" i="12"/>
  <c r="W905" i="12"/>
  <c r="C905" i="12"/>
  <c r="U902" i="12"/>
  <c r="O900" i="12"/>
  <c r="AC898" i="12"/>
  <c r="M897" i="12"/>
  <c r="AB895" i="12"/>
  <c r="G895" i="12"/>
  <c r="E892" i="12"/>
  <c r="T890" i="12"/>
  <c r="E888" i="12"/>
  <c r="L885" i="12"/>
  <c r="AE882" i="12"/>
  <c r="AA880" i="12"/>
  <c r="D880" i="12"/>
  <c r="M878" i="12"/>
  <c r="W877" i="12"/>
  <c r="S875" i="12"/>
  <c r="O872" i="12"/>
  <c r="AE870" i="12"/>
  <c r="K870" i="12"/>
  <c r="U868" i="12"/>
  <c r="AC867" i="12"/>
  <c r="G867" i="12"/>
  <c r="W865" i="12"/>
  <c r="C865" i="12"/>
  <c r="U862" i="12"/>
  <c r="O860" i="12"/>
  <c r="AC858" i="12"/>
  <c r="M857" i="12"/>
  <c r="AB855" i="12"/>
  <c r="G855" i="12"/>
  <c r="E852" i="12"/>
  <c r="T850" i="12"/>
  <c r="E848" i="12"/>
  <c r="L845" i="12"/>
  <c r="AE842" i="12"/>
  <c r="AA840" i="12"/>
  <c r="D840" i="12"/>
  <c r="M838" i="12"/>
  <c r="W837" i="12"/>
  <c r="S835" i="12"/>
  <c r="O832" i="12"/>
  <c r="AE830" i="12"/>
  <c r="K830" i="12"/>
  <c r="U828" i="12"/>
  <c r="AC827" i="12"/>
  <c r="G827" i="12"/>
  <c r="W825" i="12"/>
  <c r="C825" i="12"/>
  <c r="U822" i="12"/>
  <c r="O820" i="12"/>
  <c r="AC818" i="12"/>
  <c r="M817" i="12"/>
  <c r="AB815" i="12"/>
  <c r="G815" i="12"/>
  <c r="E812" i="12"/>
  <c r="T810" i="12"/>
  <c r="E808" i="12"/>
  <c r="L805" i="12"/>
  <c r="AE802" i="12"/>
  <c r="AA800" i="12"/>
  <c r="D800" i="12"/>
  <c r="M798" i="12"/>
  <c r="W797" i="12"/>
  <c r="S795" i="12"/>
  <c r="O792" i="12"/>
  <c r="AE790" i="12"/>
  <c r="K790" i="12"/>
  <c r="U788" i="12"/>
  <c r="AC787" i="12"/>
  <c r="G787" i="12"/>
  <c r="W785" i="12"/>
  <c r="C785" i="12"/>
  <c r="U782" i="12"/>
  <c r="O780" i="12"/>
  <c r="AC778" i="12"/>
  <c r="M777" i="12"/>
  <c r="AB775" i="12"/>
  <c r="G775" i="12"/>
  <c r="E772" i="12"/>
  <c r="T770" i="12"/>
  <c r="E768" i="12"/>
  <c r="L765" i="12"/>
  <c r="AE762" i="12"/>
  <c r="AA760" i="12"/>
  <c r="D760" i="12"/>
  <c r="M758" i="12"/>
  <c r="W757" i="12"/>
  <c r="S755" i="12"/>
  <c r="O752" i="12"/>
  <c r="AE750" i="12"/>
  <c r="K750" i="12"/>
  <c r="U748" i="12"/>
  <c r="AC747" i="12"/>
  <c r="G747" i="12"/>
  <c r="W745" i="12"/>
  <c r="C745" i="12"/>
  <c r="U742" i="12"/>
  <c r="O740" i="12"/>
  <c r="AC738" i="12"/>
  <c r="M737" i="12"/>
  <c r="AB735" i="12"/>
  <c r="G735" i="12"/>
  <c r="E732" i="12"/>
  <c r="T730" i="12"/>
  <c r="E728" i="12"/>
  <c r="L725" i="12"/>
  <c r="AE722" i="12"/>
  <c r="AA720" i="12"/>
  <c r="D720" i="12"/>
  <c r="M718" i="12"/>
  <c r="W717" i="12"/>
  <c r="S715" i="12"/>
  <c r="O712" i="12"/>
  <c r="AE710" i="12"/>
  <c r="K710" i="12"/>
  <c r="U708" i="12"/>
  <c r="AC707" i="12"/>
  <c r="G707" i="12"/>
  <c r="W705" i="12"/>
  <c r="C705" i="12"/>
  <c r="U702" i="12"/>
  <c r="O700" i="12"/>
  <c r="AC698" i="12"/>
  <c r="M697" i="12"/>
  <c r="AB695" i="12"/>
  <c r="G695" i="12"/>
  <c r="E692" i="12"/>
  <c r="T690" i="12"/>
  <c r="E688" i="12"/>
  <c r="L685" i="12"/>
  <c r="AE682" i="12"/>
  <c r="AA680" i="12"/>
  <c r="D680" i="12"/>
  <c r="M678" i="12"/>
  <c r="W677" i="12"/>
  <c r="S675" i="12"/>
  <c r="O672" i="12"/>
  <c r="AE670" i="12"/>
  <c r="K670" i="12"/>
  <c r="U668" i="12"/>
  <c r="AC667" i="12"/>
  <c r="G667" i="12"/>
  <c r="W665" i="12"/>
  <c r="C665" i="12"/>
  <c r="U662" i="12"/>
  <c r="O660" i="12"/>
  <c r="AC658" i="12"/>
  <c r="M657" i="12"/>
  <c r="AB655" i="12"/>
  <c r="G655" i="12"/>
  <c r="E652" i="12"/>
  <c r="T650" i="12"/>
  <c r="E648" i="12"/>
  <c r="L645" i="12"/>
  <c r="AE642" i="12"/>
  <c r="AA640" i="12"/>
  <c r="D640" i="12"/>
  <c r="M638" i="12"/>
  <c r="W637" i="12"/>
  <c r="S635" i="12"/>
  <c r="O632" i="12"/>
  <c r="AE630" i="12"/>
  <c r="K630" i="12"/>
  <c r="U628" i="12"/>
  <c r="AC627" i="12"/>
  <c r="G627" i="12"/>
  <c r="W625" i="12"/>
  <c r="C625" i="12"/>
  <c r="U622" i="12"/>
  <c r="O620" i="12"/>
  <c r="AC618" i="12"/>
  <c r="M617" i="12"/>
  <c r="AB615" i="12"/>
  <c r="G615" i="12"/>
  <c r="E612" i="12"/>
  <c r="T610" i="12"/>
  <c r="E608" i="12"/>
  <c r="W1342" i="12"/>
  <c r="G1320" i="12"/>
  <c r="U1253" i="12"/>
  <c r="D1170" i="12"/>
  <c r="G1157" i="12"/>
  <c r="D1130" i="12"/>
  <c r="G1117" i="12"/>
  <c r="D1090" i="12"/>
  <c r="G1077" i="12"/>
  <c r="D1050" i="12"/>
  <c r="G1037" i="12"/>
  <c r="K1010" i="12"/>
  <c r="W1007" i="12"/>
  <c r="T1005" i="12"/>
  <c r="M1003" i="12"/>
  <c r="U1002" i="12"/>
  <c r="K1000" i="12"/>
  <c r="W997" i="12"/>
  <c r="O995" i="12"/>
  <c r="AC993" i="12"/>
  <c r="M992" i="12"/>
  <c r="AB990" i="12"/>
  <c r="G990" i="12"/>
  <c r="E987" i="12"/>
  <c r="T985" i="12"/>
  <c r="E983" i="12"/>
  <c r="L980" i="12"/>
  <c r="AE977" i="12"/>
  <c r="AA975" i="12"/>
  <c r="D975" i="12"/>
  <c r="M973" i="12"/>
  <c r="W972" i="12"/>
  <c r="S970" i="12"/>
  <c r="O967" i="12"/>
  <c r="AE965" i="12"/>
  <c r="K965" i="12"/>
  <c r="U963" i="12"/>
  <c r="AC962" i="12"/>
  <c r="G962" i="12"/>
  <c r="W960" i="12"/>
  <c r="C960" i="12"/>
  <c r="U957" i="12"/>
  <c r="O955" i="12"/>
  <c r="AC953" i="12"/>
  <c r="M952" i="12"/>
  <c r="AB950" i="12"/>
  <c r="G950" i="12"/>
  <c r="E947" i="12"/>
  <c r="T945" i="12"/>
  <c r="E943" i="12"/>
  <c r="L940" i="12"/>
  <c r="AE937" i="12"/>
  <c r="AA935" i="12"/>
  <c r="D935" i="12"/>
  <c r="M933" i="12"/>
  <c r="W932" i="12"/>
  <c r="S930" i="12"/>
  <c r="O927" i="12"/>
  <c r="AE925" i="12"/>
  <c r="K925" i="12"/>
  <c r="U923" i="12"/>
  <c r="AC922" i="12"/>
  <c r="G922" i="12"/>
  <c r="W920" i="12"/>
  <c r="C920" i="12"/>
  <c r="U917" i="12"/>
  <c r="O915" i="12"/>
  <c r="AC913" i="12"/>
  <c r="M912" i="12"/>
  <c r="AB910" i="12"/>
  <c r="G910" i="12"/>
  <c r="E907" i="12"/>
  <c r="T905" i="12"/>
  <c r="E903" i="12"/>
  <c r="L900" i="12"/>
  <c r="AE897" i="12"/>
  <c r="AA895" i="12"/>
  <c r="D895" i="12"/>
  <c r="M893" i="12"/>
  <c r="W892" i="12"/>
  <c r="S890" i="12"/>
  <c r="O887" i="12"/>
  <c r="AE885" i="12"/>
  <c r="K885" i="12"/>
  <c r="U883" i="12"/>
  <c r="AC882" i="12"/>
  <c r="G882" i="12"/>
  <c r="W880" i="12"/>
  <c r="C880" i="12"/>
  <c r="U877" i="12"/>
  <c r="O875" i="12"/>
  <c r="AC873" i="12"/>
  <c r="M872" i="12"/>
  <c r="AB870" i="12"/>
  <c r="G870" i="12"/>
  <c r="E867" i="12"/>
  <c r="T865" i="12"/>
  <c r="E863" i="12"/>
  <c r="L860" i="12"/>
  <c r="AE857" i="12"/>
  <c r="AA855" i="12"/>
  <c r="D855" i="12"/>
  <c r="M853" i="12"/>
  <c r="W852" i="12"/>
  <c r="S850" i="12"/>
  <c r="O847" i="12"/>
  <c r="AE845" i="12"/>
  <c r="K845" i="12"/>
  <c r="U843" i="12"/>
  <c r="AC842" i="12"/>
  <c r="G842" i="12"/>
  <c r="W840" i="12"/>
  <c r="C840" i="12"/>
  <c r="U837" i="12"/>
  <c r="O835" i="12"/>
  <c r="AC833" i="12"/>
  <c r="M832" i="12"/>
  <c r="AB830" i="12"/>
  <c r="G830" i="12"/>
  <c r="E827" i="12"/>
  <c r="T825" i="12"/>
  <c r="E823" i="12"/>
  <c r="L820" i="12"/>
  <c r="AE817" i="12"/>
  <c r="AA815" i="12"/>
  <c r="D815" i="12"/>
  <c r="M813" i="12"/>
  <c r="W812" i="12"/>
  <c r="S810" i="12"/>
  <c r="O807" i="12"/>
  <c r="AE805" i="12"/>
  <c r="K805" i="12"/>
  <c r="U803" i="12"/>
  <c r="AC802" i="12"/>
  <c r="G802" i="12"/>
  <c r="W800" i="12"/>
  <c r="C800" i="12"/>
  <c r="U797" i="12"/>
  <c r="O795" i="12"/>
  <c r="AC793" i="12"/>
  <c r="M792" i="12"/>
  <c r="AB790" i="12"/>
  <c r="G790" i="12"/>
  <c r="E787" i="12"/>
  <c r="T785" i="12"/>
  <c r="E783" i="12"/>
  <c r="L780" i="12"/>
  <c r="AE777" i="12"/>
  <c r="AA775" i="12"/>
  <c r="D775" i="12"/>
  <c r="M773" i="12"/>
  <c r="W772" i="12"/>
  <c r="S770" i="12"/>
  <c r="O767" i="12"/>
  <c r="AE765" i="12"/>
  <c r="K765" i="12"/>
  <c r="U763" i="12"/>
  <c r="AC762" i="12"/>
  <c r="G762" i="12"/>
  <c r="W760" i="12"/>
  <c r="C760" i="12"/>
  <c r="U757" i="12"/>
  <c r="O755" i="12"/>
  <c r="AC753" i="12"/>
  <c r="M752" i="12"/>
  <c r="AB750" i="12"/>
  <c r="G750" i="12"/>
  <c r="E747" i="12"/>
  <c r="T745" i="12"/>
  <c r="E743" i="12"/>
  <c r="L740" i="12"/>
  <c r="AE737" i="12"/>
  <c r="AA735" i="12"/>
  <c r="D735" i="12"/>
  <c r="M733" i="12"/>
  <c r="W732" i="12"/>
  <c r="S730" i="12"/>
  <c r="O727" i="12"/>
  <c r="AE725" i="12"/>
  <c r="K725" i="12"/>
  <c r="U723" i="12"/>
  <c r="AC722" i="12"/>
  <c r="G722" i="12"/>
  <c r="W720" i="12"/>
  <c r="C720" i="12"/>
  <c r="U717" i="12"/>
  <c r="O715" i="12"/>
  <c r="AC713" i="12"/>
  <c r="M712" i="12"/>
  <c r="AB710" i="12"/>
  <c r="G710" i="12"/>
  <c r="E707" i="12"/>
  <c r="T705" i="12"/>
  <c r="E703" i="12"/>
  <c r="L700" i="12"/>
  <c r="AE697" i="12"/>
  <c r="AA695" i="12"/>
  <c r="D695" i="12"/>
  <c r="M693" i="12"/>
  <c r="W692" i="12"/>
  <c r="S690" i="12"/>
  <c r="O687" i="12"/>
  <c r="AE685" i="12"/>
  <c r="K685" i="12"/>
  <c r="U683" i="12"/>
  <c r="AC682" i="12"/>
  <c r="G682" i="12"/>
  <c r="W680" i="12"/>
  <c r="C680" i="12"/>
  <c r="U677" i="12"/>
  <c r="O675" i="12"/>
  <c r="AC673" i="12"/>
  <c r="M672" i="12"/>
  <c r="AB670" i="12"/>
  <c r="G670" i="12"/>
  <c r="E667" i="12"/>
  <c r="T665" i="12"/>
  <c r="E663" i="12"/>
  <c r="L660" i="12"/>
  <c r="AE657" i="12"/>
  <c r="AA655" i="12"/>
  <c r="D655" i="12"/>
  <c r="M653" i="12"/>
  <c r="W652" i="12"/>
  <c r="S650" i="12"/>
  <c r="O647" i="12"/>
  <c r="AE645" i="12"/>
  <c r="K645" i="12"/>
  <c r="U643" i="12"/>
  <c r="AC642" i="12"/>
  <c r="G642" i="12"/>
  <c r="W640" i="12"/>
  <c r="C640" i="12"/>
  <c r="U637" i="12"/>
  <c r="O635" i="12"/>
  <c r="AC633" i="12"/>
  <c r="M632" i="12"/>
  <c r="AB630" i="12"/>
  <c r="G630" i="12"/>
  <c r="E627" i="12"/>
  <c r="T625" i="12"/>
  <c r="E623" i="12"/>
  <c r="L620" i="12"/>
  <c r="AE617" i="12"/>
  <c r="AA615" i="12"/>
  <c r="W1222" i="12"/>
  <c r="G1200" i="12"/>
  <c r="O1187" i="12"/>
  <c r="E1178" i="12"/>
  <c r="S1165" i="12"/>
  <c r="AE1160" i="12"/>
  <c r="U1152" i="12"/>
  <c r="M1147" i="12"/>
  <c r="E1138" i="12"/>
  <c r="S1125" i="12"/>
  <c r="AE1120" i="12"/>
  <c r="U1112" i="12"/>
  <c r="M1107" i="12"/>
  <c r="E1098" i="12"/>
  <c r="S1085" i="12"/>
  <c r="AE1080" i="12"/>
  <c r="U1072" i="12"/>
  <c r="M1067" i="12"/>
  <c r="E1058" i="12"/>
  <c r="S1045" i="12"/>
  <c r="AE1040" i="12"/>
  <c r="U1032" i="12"/>
  <c r="M1027" i="12"/>
  <c r="E1018" i="12"/>
  <c r="D1010" i="12"/>
  <c r="M1007" i="12"/>
  <c r="S1005" i="12"/>
  <c r="AE1000" i="12"/>
  <c r="G1000" i="12"/>
  <c r="M998" i="12"/>
  <c r="L995" i="12"/>
  <c r="AE992" i="12"/>
  <c r="AA990" i="12"/>
  <c r="D990" i="12"/>
  <c r="M988" i="12"/>
  <c r="W987" i="12"/>
  <c r="S985" i="12"/>
  <c r="O982" i="12"/>
  <c r="AE980" i="12"/>
  <c r="K980" i="12"/>
  <c r="U978" i="12"/>
  <c r="AC977" i="12"/>
  <c r="G977" i="12"/>
  <c r="W975" i="12"/>
  <c r="C975" i="12"/>
  <c r="U972" i="12"/>
  <c r="O970" i="12"/>
  <c r="AC968" i="12"/>
  <c r="M967" i="12"/>
  <c r="AB965" i="12"/>
  <c r="G965" i="12"/>
  <c r="E962" i="12"/>
  <c r="T960" i="12"/>
  <c r="E958" i="12"/>
  <c r="L955" i="12"/>
  <c r="AE952" i="12"/>
  <c r="AA950" i="12"/>
  <c r="D950" i="12"/>
  <c r="M948" i="12"/>
  <c r="W947" i="12"/>
  <c r="S945" i="12"/>
  <c r="O942" i="12"/>
  <c r="AE940" i="12"/>
  <c r="K940" i="12"/>
  <c r="U938" i="12"/>
  <c r="AC937" i="12"/>
  <c r="G937" i="12"/>
  <c r="W935" i="12"/>
  <c r="C935" i="12"/>
  <c r="U932" i="12"/>
  <c r="O930" i="12"/>
  <c r="AC928" i="12"/>
  <c r="M927" i="12"/>
  <c r="AB925" i="12"/>
  <c r="G925" i="12"/>
  <c r="E922" i="12"/>
  <c r="T920" i="12"/>
  <c r="E918" i="12"/>
  <c r="L915" i="12"/>
  <c r="AE912" i="12"/>
  <c r="AA910" i="12"/>
  <c r="D910" i="12"/>
  <c r="M908" i="12"/>
  <c r="W907" i="12"/>
  <c r="S905" i="12"/>
  <c r="O902" i="12"/>
  <c r="AE900" i="12"/>
  <c r="K900" i="12"/>
  <c r="U898" i="12"/>
  <c r="AC897" i="12"/>
  <c r="G897" i="12"/>
  <c r="W895" i="12"/>
  <c r="C895" i="12"/>
  <c r="U892" i="12"/>
  <c r="O890" i="12"/>
  <c r="AC888" i="12"/>
  <c r="M887" i="12"/>
  <c r="AB885" i="12"/>
  <c r="G885" i="12"/>
  <c r="E882" i="12"/>
  <c r="T880" i="12"/>
  <c r="E878" i="12"/>
  <c r="L875" i="12"/>
  <c r="AE872" i="12"/>
  <c r="AA870" i="12"/>
  <c r="D870" i="12"/>
  <c r="M868" i="12"/>
  <c r="W867" i="12"/>
  <c r="S865" i="12"/>
  <c r="O862" i="12"/>
  <c r="AE860" i="12"/>
  <c r="K860" i="12"/>
  <c r="U858" i="12"/>
  <c r="AC857" i="12"/>
  <c r="G857" i="12"/>
  <c r="W855" i="12"/>
  <c r="C855" i="12"/>
  <c r="U852" i="12"/>
  <c r="O850" i="12"/>
  <c r="AC848" i="12"/>
  <c r="M847" i="12"/>
  <c r="AB845" i="12"/>
  <c r="G845" i="12"/>
  <c r="E842" i="12"/>
  <c r="T840" i="12"/>
  <c r="E838" i="12"/>
  <c r="L835" i="12"/>
  <c r="AE832" i="12"/>
  <c r="AA830" i="12"/>
  <c r="D830" i="12"/>
  <c r="M828" i="12"/>
  <c r="W827" i="12"/>
  <c r="S825" i="12"/>
  <c r="O822" i="12"/>
  <c r="AE820" i="12"/>
  <c r="K820" i="12"/>
  <c r="U818" i="12"/>
  <c r="AC817" i="12"/>
  <c r="G817" i="12"/>
  <c r="W815" i="12"/>
  <c r="C815" i="12"/>
  <c r="U812" i="12"/>
  <c r="O810" i="12"/>
  <c r="AC808" i="12"/>
  <c r="M807" i="12"/>
  <c r="AB805" i="12"/>
  <c r="G805" i="12"/>
  <c r="E802" i="12"/>
  <c r="T800" i="12"/>
  <c r="E798" i="12"/>
  <c r="L795" i="12"/>
  <c r="AE792" i="12"/>
  <c r="AA790" i="12"/>
  <c r="D790" i="12"/>
  <c r="M788" i="12"/>
  <c r="W787" i="12"/>
  <c r="S785" i="12"/>
  <c r="O782" i="12"/>
  <c r="AE780" i="12"/>
  <c r="K780" i="12"/>
  <c r="U778" i="12"/>
  <c r="AC777" i="12"/>
  <c r="G777" i="12"/>
  <c r="W775" i="12"/>
  <c r="C775" i="12"/>
  <c r="U772" i="12"/>
  <c r="O770" i="12"/>
  <c r="AC768" i="12"/>
  <c r="M767" i="12"/>
  <c r="AB765" i="12"/>
  <c r="G765" i="12"/>
  <c r="E762" i="12"/>
  <c r="T760" i="12"/>
  <c r="E758" i="12"/>
  <c r="L755" i="12"/>
  <c r="AE752" i="12"/>
  <c r="AA750" i="12"/>
  <c r="D750" i="12"/>
  <c r="M748" i="12"/>
  <c r="W747" i="12"/>
  <c r="S745" i="12"/>
  <c r="O742" i="12"/>
  <c r="AE740" i="12"/>
  <c r="K740" i="12"/>
  <c r="U738" i="12"/>
  <c r="AC737" i="12"/>
  <c r="G737" i="12"/>
  <c r="W735" i="12"/>
  <c r="C735" i="12"/>
  <c r="U732" i="12"/>
  <c r="O730" i="12"/>
  <c r="AC728" i="12"/>
  <c r="M727" i="12"/>
  <c r="AB725" i="12"/>
  <c r="G725" i="12"/>
  <c r="E722" i="12"/>
  <c r="T720" i="12"/>
  <c r="E718" i="12"/>
  <c r="L715" i="12"/>
  <c r="AE712" i="12"/>
  <c r="AA710" i="12"/>
  <c r="D710" i="12"/>
  <c r="M708" i="12"/>
  <c r="W707" i="12"/>
  <c r="S705" i="12"/>
  <c r="O702" i="12"/>
  <c r="AE700" i="12"/>
  <c r="K700" i="12"/>
  <c r="U698" i="12"/>
  <c r="AC697" i="12"/>
  <c r="G697" i="12"/>
  <c r="W695" i="12"/>
  <c r="C695" i="12"/>
  <c r="U692" i="12"/>
  <c r="O690" i="12"/>
  <c r="AC688" i="12"/>
  <c r="M687" i="12"/>
  <c r="AB685" i="12"/>
  <c r="G685" i="12"/>
  <c r="E682" i="12"/>
  <c r="T680" i="12"/>
  <c r="E678" i="12"/>
  <c r="L675" i="12"/>
  <c r="AE672" i="12"/>
  <c r="AA670" i="12"/>
  <c r="D670" i="12"/>
  <c r="M668" i="12"/>
  <c r="W667" i="12"/>
  <c r="S665" i="12"/>
  <c r="O662" i="12"/>
  <c r="AE660" i="12"/>
  <c r="K660" i="12"/>
  <c r="U658" i="12"/>
  <c r="AC657" i="12"/>
  <c r="G657" i="12"/>
  <c r="W655" i="12"/>
  <c r="C655" i="12"/>
  <c r="U652" i="12"/>
  <c r="O650" i="12"/>
  <c r="AC648" i="12"/>
  <c r="M647" i="12"/>
  <c r="AB645" i="12"/>
  <c r="G645" i="12"/>
  <c r="E642" i="12"/>
  <c r="T640" i="12"/>
  <c r="E638" i="12"/>
  <c r="L635" i="12"/>
  <c r="AE632" i="12"/>
  <c r="AA630" i="12"/>
  <c r="D630" i="12"/>
  <c r="M628" i="12"/>
  <c r="W627" i="12"/>
  <c r="S625" i="12"/>
  <c r="O622" i="12"/>
  <c r="AE620" i="12"/>
  <c r="K620" i="12"/>
  <c r="U618" i="12"/>
  <c r="U1333" i="12"/>
  <c r="K1160" i="12"/>
  <c r="K1120" i="12"/>
  <c r="K1080" i="12"/>
  <c r="K1040" i="12"/>
  <c r="G1007" i="12"/>
  <c r="G1005" i="12"/>
  <c r="E1003" i="12"/>
  <c r="O1002" i="12"/>
  <c r="AB1000" i="12"/>
  <c r="D1000" i="12"/>
  <c r="E998" i="12"/>
  <c r="O997" i="12"/>
  <c r="AE995" i="12"/>
  <c r="K995" i="12"/>
  <c r="U993" i="12"/>
  <c r="AC992" i="12"/>
  <c r="G992" i="12"/>
  <c r="W990" i="12"/>
  <c r="C990" i="12"/>
  <c r="U987" i="12"/>
  <c r="O985" i="12"/>
  <c r="AC983" i="12"/>
  <c r="M982" i="12"/>
  <c r="AB980" i="12"/>
  <c r="G980" i="12"/>
  <c r="E977" i="12"/>
  <c r="T975" i="12"/>
  <c r="E973" i="12"/>
  <c r="L970" i="12"/>
  <c r="AE967" i="12"/>
  <c r="AA965" i="12"/>
  <c r="D965" i="12"/>
  <c r="M963" i="12"/>
  <c r="W962" i="12"/>
  <c r="S960" i="12"/>
  <c r="O957" i="12"/>
  <c r="AE955" i="12"/>
  <c r="K955" i="12"/>
  <c r="U953" i="12"/>
  <c r="AC952" i="12"/>
  <c r="G952" i="12"/>
  <c r="W950" i="12"/>
  <c r="C950" i="12"/>
  <c r="U947" i="12"/>
  <c r="O945" i="12"/>
  <c r="AC943" i="12"/>
  <c r="M942" i="12"/>
  <c r="AB940" i="12"/>
  <c r="G940" i="12"/>
  <c r="E937" i="12"/>
  <c r="T935" i="12"/>
  <c r="E933" i="12"/>
  <c r="L930" i="12"/>
  <c r="AE927" i="12"/>
  <c r="AA925" i="12"/>
  <c r="D925" i="12"/>
  <c r="M923" i="12"/>
  <c r="W922" i="12"/>
  <c r="S920" i="12"/>
  <c r="O917" i="12"/>
  <c r="AE915" i="12"/>
  <c r="K915" i="12"/>
  <c r="U913" i="12"/>
  <c r="AC912" i="12"/>
  <c r="G912" i="12"/>
  <c r="W910" i="12"/>
  <c r="C910" i="12"/>
  <c r="U907" i="12"/>
  <c r="O905" i="12"/>
  <c r="AC903" i="12"/>
  <c r="M902" i="12"/>
  <c r="AB900" i="12"/>
  <c r="G900" i="12"/>
  <c r="E897" i="12"/>
  <c r="T895" i="12"/>
  <c r="E893" i="12"/>
  <c r="L890" i="12"/>
  <c r="AE887" i="12"/>
  <c r="AA885" i="12"/>
  <c r="D885" i="12"/>
  <c r="M883" i="12"/>
  <c r="W882" i="12"/>
  <c r="S880" i="12"/>
  <c r="O877" i="12"/>
  <c r="AE875" i="12"/>
  <c r="K875" i="12"/>
  <c r="U873" i="12"/>
  <c r="AC872" i="12"/>
  <c r="G872" i="12"/>
  <c r="W870" i="12"/>
  <c r="C870" i="12"/>
  <c r="U867" i="12"/>
  <c r="O865" i="12"/>
  <c r="AC863" i="12"/>
  <c r="M862" i="12"/>
  <c r="AB860" i="12"/>
  <c r="G860" i="12"/>
  <c r="E857" i="12"/>
  <c r="T855" i="12"/>
  <c r="E853" i="12"/>
  <c r="L850" i="12"/>
  <c r="AE847" i="12"/>
  <c r="AA845" i="12"/>
  <c r="D845" i="12"/>
  <c r="M843" i="12"/>
  <c r="W842" i="12"/>
  <c r="S840" i="12"/>
  <c r="O837" i="12"/>
  <c r="AE835" i="12"/>
  <c r="K835" i="12"/>
  <c r="U833" i="12"/>
  <c r="AC832" i="12"/>
  <c r="G832" i="12"/>
  <c r="W830" i="12"/>
  <c r="C830" i="12"/>
  <c r="U827" i="12"/>
  <c r="O825" i="12"/>
  <c r="AC823" i="12"/>
  <c r="M822" i="12"/>
  <c r="AB820" i="12"/>
  <c r="G820" i="12"/>
  <c r="E817" i="12"/>
  <c r="T815" i="12"/>
  <c r="E813" i="12"/>
  <c r="L810" i="12"/>
  <c r="AE807" i="12"/>
  <c r="AA805" i="12"/>
  <c r="D805" i="12"/>
  <c r="M803" i="12"/>
  <c r="W802" i="12"/>
  <c r="S800" i="12"/>
  <c r="O797" i="12"/>
  <c r="AE795" i="12"/>
  <c r="K795" i="12"/>
  <c r="U793" i="12"/>
  <c r="AC792" i="12"/>
  <c r="G792" i="12"/>
  <c r="W790" i="12"/>
  <c r="C790" i="12"/>
  <c r="U787" i="12"/>
  <c r="O785" i="12"/>
  <c r="AC783" i="12"/>
  <c r="M782" i="12"/>
  <c r="AB780" i="12"/>
  <c r="G780" i="12"/>
  <c r="E777" i="12"/>
  <c r="T775" i="12"/>
  <c r="E773" i="12"/>
  <c r="L770" i="12"/>
  <c r="AE767" i="12"/>
  <c r="AA765" i="12"/>
  <c r="D765" i="12"/>
  <c r="M763" i="12"/>
  <c r="W762" i="12"/>
  <c r="S760" i="12"/>
  <c r="O757" i="12"/>
  <c r="AE755" i="12"/>
  <c r="K755" i="12"/>
  <c r="U753" i="12"/>
  <c r="AC752" i="12"/>
  <c r="G752" i="12"/>
  <c r="W750" i="12"/>
  <c r="C750" i="12"/>
  <c r="U747" i="12"/>
  <c r="O745" i="12"/>
  <c r="AC743" i="12"/>
  <c r="M742" i="12"/>
  <c r="AB740" i="12"/>
  <c r="G740" i="12"/>
  <c r="E737" i="12"/>
  <c r="T735" i="12"/>
  <c r="E733" i="12"/>
  <c r="L730" i="12"/>
  <c r="AE727" i="12"/>
  <c r="AA725" i="12"/>
  <c r="D725" i="12"/>
  <c r="M723" i="12"/>
  <c r="W722" i="12"/>
  <c r="S720" i="12"/>
  <c r="O717" i="12"/>
  <c r="AE715" i="12"/>
  <c r="K715" i="12"/>
  <c r="U713" i="12"/>
  <c r="AC712" i="12"/>
  <c r="G712" i="12"/>
  <c r="W710" i="12"/>
  <c r="C710" i="12"/>
  <c r="U707" i="12"/>
  <c r="O705" i="12"/>
  <c r="AC703" i="12"/>
  <c r="M702" i="12"/>
  <c r="AB700" i="12"/>
  <c r="G700" i="12"/>
  <c r="E697" i="12"/>
  <c r="T695" i="12"/>
  <c r="E693" i="12"/>
  <c r="L690" i="12"/>
  <c r="AE687" i="12"/>
  <c r="AA685" i="12"/>
  <c r="D685" i="12"/>
  <c r="M683" i="12"/>
  <c r="W682" i="12"/>
  <c r="S680" i="12"/>
  <c r="O677" i="12"/>
  <c r="AE675" i="12"/>
  <c r="K675" i="12"/>
  <c r="U673" i="12"/>
  <c r="AC672" i="12"/>
  <c r="G672" i="12"/>
  <c r="W670" i="12"/>
  <c r="C670" i="12"/>
  <c r="U667" i="12"/>
  <c r="O665" i="12"/>
  <c r="AC663" i="12"/>
  <c r="M662" i="12"/>
  <c r="AB660" i="12"/>
  <c r="G660" i="12"/>
  <c r="E657" i="12"/>
  <c r="T655" i="12"/>
  <c r="E653" i="12"/>
  <c r="L650" i="12"/>
  <c r="AE647" i="12"/>
  <c r="AA645" i="12"/>
  <c r="D645" i="12"/>
  <c r="M643" i="12"/>
  <c r="W642" i="12"/>
  <c r="S640" i="12"/>
  <c r="O637" i="12"/>
  <c r="AE635" i="12"/>
  <c r="K635" i="12"/>
  <c r="U633" i="12"/>
  <c r="AC632" i="12"/>
  <c r="G632" i="12"/>
  <c r="W630" i="12"/>
  <c r="C630" i="12"/>
  <c r="U627" i="12"/>
  <c r="O625" i="12"/>
  <c r="AC623" i="12"/>
  <c r="M622" i="12"/>
  <c r="AB620" i="12"/>
  <c r="G620" i="12"/>
  <c r="W1302" i="12"/>
  <c r="W1115" i="12"/>
  <c r="AA995" i="12"/>
  <c r="W980" i="12"/>
  <c r="W977" i="12"/>
  <c r="AE970" i="12"/>
  <c r="T965" i="12"/>
  <c r="AA955" i="12"/>
  <c r="W940" i="12"/>
  <c r="W937" i="12"/>
  <c r="AE930" i="12"/>
  <c r="T925" i="12"/>
  <c r="AA915" i="12"/>
  <c r="W900" i="12"/>
  <c r="W897" i="12"/>
  <c r="AE890" i="12"/>
  <c r="T885" i="12"/>
  <c r="AA875" i="12"/>
  <c r="W860" i="12"/>
  <c r="W857" i="12"/>
  <c r="AE850" i="12"/>
  <c r="T845" i="12"/>
  <c r="AA835" i="12"/>
  <c r="W820" i="12"/>
  <c r="W817" i="12"/>
  <c r="AE810" i="12"/>
  <c r="T805" i="12"/>
  <c r="AA795" i="12"/>
  <c r="W780" i="12"/>
  <c r="W777" i="12"/>
  <c r="AE770" i="12"/>
  <c r="T765" i="12"/>
  <c r="AA755" i="12"/>
  <c r="W740" i="12"/>
  <c r="W737" i="12"/>
  <c r="AE730" i="12"/>
  <c r="T725" i="12"/>
  <c r="U722" i="12"/>
  <c r="G720" i="12"/>
  <c r="T715" i="12"/>
  <c r="T710" i="12"/>
  <c r="AA705" i="12"/>
  <c r="M703" i="12"/>
  <c r="G692" i="12"/>
  <c r="C690" i="12"/>
  <c r="O685" i="12"/>
  <c r="U682" i="12"/>
  <c r="G680" i="12"/>
  <c r="T675" i="12"/>
  <c r="T670" i="12"/>
  <c r="AA665" i="12"/>
  <c r="M663" i="12"/>
  <c r="G652" i="12"/>
  <c r="C650" i="12"/>
  <c r="O645" i="12"/>
  <c r="U642" i="12"/>
  <c r="G640" i="12"/>
  <c r="T635" i="12"/>
  <c r="T630" i="12"/>
  <c r="AA625" i="12"/>
  <c r="M623" i="12"/>
  <c r="W617" i="12"/>
  <c r="AE615" i="12"/>
  <c r="M612" i="12"/>
  <c r="AA610" i="12"/>
  <c r="C610" i="12"/>
  <c r="L605" i="12"/>
  <c r="AE602" i="12"/>
  <c r="AA600" i="12"/>
  <c r="D600" i="12"/>
  <c r="M598" i="12"/>
  <c r="W597" i="12"/>
  <c r="S595" i="12"/>
  <c r="O592" i="12"/>
  <c r="AE590" i="12"/>
  <c r="K590" i="12"/>
  <c r="U588" i="12"/>
  <c r="AC587" i="12"/>
  <c r="G587" i="12"/>
  <c r="W585" i="12"/>
  <c r="C585" i="12"/>
  <c r="U582" i="12"/>
  <c r="O580" i="12"/>
  <c r="AC578" i="12"/>
  <c r="M577" i="12"/>
  <c r="AB575" i="12"/>
  <c r="G575" i="12"/>
  <c r="E572" i="12"/>
  <c r="T570" i="12"/>
  <c r="E568" i="12"/>
  <c r="L565" i="12"/>
  <c r="AE562" i="12"/>
  <c r="AA560" i="12"/>
  <c r="D560" i="12"/>
  <c r="M558" i="12"/>
  <c r="W557" i="12"/>
  <c r="S555" i="12"/>
  <c r="O552" i="12"/>
  <c r="AE550" i="12"/>
  <c r="K550" i="12"/>
  <c r="U548" i="12"/>
  <c r="AC547" i="12"/>
  <c r="G547" i="12"/>
  <c r="W545" i="12"/>
  <c r="C545" i="12"/>
  <c r="U542" i="12"/>
  <c r="O540" i="12"/>
  <c r="AC538" i="12"/>
  <c r="M537" i="12"/>
  <c r="AB535" i="12"/>
  <c r="G535" i="12"/>
  <c r="E532" i="12"/>
  <c r="T530" i="12"/>
  <c r="E528" i="12"/>
  <c r="L525" i="12"/>
  <c r="AE522" i="12"/>
  <c r="AA520" i="12"/>
  <c r="D520" i="12"/>
  <c r="M518" i="12"/>
  <c r="W517" i="12"/>
  <c r="S515" i="12"/>
  <c r="O512" i="12"/>
  <c r="AE510" i="12"/>
  <c r="K510" i="12"/>
  <c r="U508" i="12"/>
  <c r="AC507" i="12"/>
  <c r="G507" i="12"/>
  <c r="W505" i="12"/>
  <c r="C505" i="12"/>
  <c r="U502" i="12"/>
  <c r="O500" i="12"/>
  <c r="AC498" i="12"/>
  <c r="M497" i="12"/>
  <c r="AB495" i="12"/>
  <c r="G495" i="12"/>
  <c r="E492" i="12"/>
  <c r="T490" i="12"/>
  <c r="E488" i="12"/>
  <c r="L485" i="12"/>
  <c r="AE482" i="12"/>
  <c r="AA480" i="12"/>
  <c r="D480" i="12"/>
  <c r="M478" i="12"/>
  <c r="W477" i="12"/>
  <c r="S475" i="12"/>
  <c r="O472" i="12"/>
  <c r="AE470" i="12"/>
  <c r="K470" i="12"/>
  <c r="U468" i="12"/>
  <c r="AC467" i="12"/>
  <c r="G467" i="12"/>
  <c r="W465" i="12"/>
  <c r="C465" i="12"/>
  <c r="U462" i="12"/>
  <c r="O460" i="12"/>
  <c r="AC458" i="12"/>
  <c r="M457" i="12"/>
  <c r="AB455" i="12"/>
  <c r="G455" i="12"/>
  <c r="E452" i="12"/>
  <c r="T450" i="12"/>
  <c r="E448" i="12"/>
  <c r="L445" i="12"/>
  <c r="AE442" i="12"/>
  <c r="AA440" i="12"/>
  <c r="D440" i="12"/>
  <c r="M438" i="12"/>
  <c r="W437" i="12"/>
  <c r="S435" i="12"/>
  <c r="O432" i="12"/>
  <c r="AE430" i="12"/>
  <c r="K430" i="12"/>
  <c r="U428" i="12"/>
  <c r="AC427" i="12"/>
  <c r="G427" i="12"/>
  <c r="W425" i="12"/>
  <c r="C425" i="12"/>
  <c r="U422" i="12"/>
  <c r="O420" i="12"/>
  <c r="AC418" i="12"/>
  <c r="M417" i="12"/>
  <c r="AB415" i="12"/>
  <c r="G415" i="12"/>
  <c r="E412" i="12"/>
  <c r="T410" i="12"/>
  <c r="E408" i="12"/>
  <c r="L405" i="12"/>
  <c r="AE402" i="12"/>
  <c r="AA400" i="12"/>
  <c r="D400" i="12"/>
  <c r="M398" i="12"/>
  <c r="W397" i="12"/>
  <c r="S395" i="12"/>
  <c r="O392" i="12"/>
  <c r="AE390" i="12"/>
  <c r="K390" i="12"/>
  <c r="U388" i="12"/>
  <c r="AC387" i="12"/>
  <c r="G387" i="12"/>
  <c r="W385" i="12"/>
  <c r="C385" i="12"/>
  <c r="U382" i="12"/>
  <c r="O380" i="12"/>
  <c r="AC378" i="12"/>
  <c r="M377" i="12"/>
  <c r="AB375" i="12"/>
  <c r="G375" i="12"/>
  <c r="E372" i="12"/>
  <c r="T370" i="12"/>
  <c r="E368" i="12"/>
  <c r="L365" i="12"/>
  <c r="AE362" i="12"/>
  <c r="AA360" i="12"/>
  <c r="D360" i="12"/>
  <c r="M358" i="12"/>
  <c r="W357" i="12"/>
  <c r="S355" i="12"/>
  <c r="O352" i="12"/>
  <c r="AE350" i="12"/>
  <c r="K350" i="12"/>
  <c r="U348" i="12"/>
  <c r="AC347" i="12"/>
  <c r="G347" i="12"/>
  <c r="W345" i="12"/>
  <c r="C345" i="12"/>
  <c r="U342" i="12"/>
  <c r="O340" i="12"/>
  <c r="AC338" i="12"/>
  <c r="M337" i="12"/>
  <c r="AB335" i="12"/>
  <c r="G335" i="12"/>
  <c r="E332" i="12"/>
  <c r="T330" i="12"/>
  <c r="E328" i="12"/>
  <c r="L325" i="12"/>
  <c r="AE322" i="12"/>
  <c r="AA320" i="12"/>
  <c r="D320" i="12"/>
  <c r="M318" i="12"/>
  <c r="W317" i="12"/>
  <c r="AB1185" i="12"/>
  <c r="AE1172" i="12"/>
  <c r="M1128" i="12"/>
  <c r="C1115" i="12"/>
  <c r="E1102" i="12"/>
  <c r="O1070" i="12"/>
  <c r="AB1025" i="12"/>
  <c r="AE1012" i="12"/>
  <c r="M1002" i="12"/>
  <c r="G995" i="12"/>
  <c r="W992" i="12"/>
  <c r="AE985" i="12"/>
  <c r="AE982" i="12"/>
  <c r="D980" i="12"/>
  <c r="U977" i="12"/>
  <c r="AC973" i="12"/>
  <c r="AB970" i="12"/>
  <c r="AC967" i="12"/>
  <c r="C965" i="12"/>
  <c r="G955" i="12"/>
  <c r="W952" i="12"/>
  <c r="AE945" i="12"/>
  <c r="AE942" i="12"/>
  <c r="D940" i="12"/>
  <c r="U937" i="12"/>
  <c r="AC933" i="12"/>
  <c r="AB930" i="12"/>
  <c r="AC927" i="12"/>
  <c r="C925" i="12"/>
  <c r="G915" i="12"/>
  <c r="W912" i="12"/>
  <c r="AE905" i="12"/>
  <c r="AE902" i="12"/>
  <c r="D900" i="12"/>
  <c r="U897" i="12"/>
  <c r="AC893" i="12"/>
  <c r="AB890" i="12"/>
  <c r="AC887" i="12"/>
  <c r="C885" i="12"/>
  <c r="G875" i="12"/>
  <c r="W872" i="12"/>
  <c r="AE865" i="12"/>
  <c r="AE862" i="12"/>
  <c r="D860" i="12"/>
  <c r="U857" i="12"/>
  <c r="AC853" i="12"/>
  <c r="AB850" i="12"/>
  <c r="AC847" i="12"/>
  <c r="C845" i="12"/>
  <c r="G835" i="12"/>
  <c r="W832" i="12"/>
  <c r="AE825" i="12"/>
  <c r="AE822" i="12"/>
  <c r="D820" i="12"/>
  <c r="U817" i="12"/>
  <c r="AC813" i="12"/>
  <c r="AB810" i="12"/>
  <c r="AC807" i="12"/>
  <c r="C805" i="12"/>
  <c r="G795" i="12"/>
  <c r="W792" i="12"/>
  <c r="AE785" i="12"/>
  <c r="AE782" i="12"/>
  <c r="D780" i="12"/>
  <c r="U777" i="12"/>
  <c r="AC773" i="12"/>
  <c r="AB770" i="12"/>
  <c r="AC767" i="12"/>
  <c r="C765" i="12"/>
  <c r="G755" i="12"/>
  <c r="W752" i="12"/>
  <c r="AE745" i="12"/>
  <c r="AE742" i="12"/>
  <c r="D740" i="12"/>
  <c r="U737" i="12"/>
  <c r="AC733" i="12"/>
  <c r="AB730" i="12"/>
  <c r="AC727" i="12"/>
  <c r="C725" i="12"/>
  <c r="M717" i="12"/>
  <c r="G715" i="12"/>
  <c r="S710" i="12"/>
  <c r="AE707" i="12"/>
  <c r="L705" i="12"/>
  <c r="M698" i="12"/>
  <c r="AC693" i="12"/>
  <c r="U687" i="12"/>
  <c r="C685" i="12"/>
  <c r="M677" i="12"/>
  <c r="G675" i="12"/>
  <c r="S670" i="12"/>
  <c r="AE667" i="12"/>
  <c r="L665" i="12"/>
  <c r="M658" i="12"/>
  <c r="AC653" i="12"/>
  <c r="U647" i="12"/>
  <c r="C645" i="12"/>
  <c r="M637" i="12"/>
  <c r="G635" i="12"/>
  <c r="S630" i="12"/>
  <c r="AE627" i="12"/>
  <c r="L625" i="12"/>
  <c r="U617" i="12"/>
  <c r="W615" i="12"/>
  <c r="W610" i="12"/>
  <c r="O607" i="12"/>
  <c r="AE605" i="12"/>
  <c r="K605" i="12"/>
  <c r="U603" i="12"/>
  <c r="AC602" i="12"/>
  <c r="G602" i="12"/>
  <c r="W600" i="12"/>
  <c r="C600" i="12"/>
  <c r="U597" i="12"/>
  <c r="O595" i="12"/>
  <c r="AC593" i="12"/>
  <c r="M592" i="12"/>
  <c r="AB590" i="12"/>
  <c r="G590" i="12"/>
  <c r="E587" i="12"/>
  <c r="T585" i="12"/>
  <c r="E583" i="12"/>
  <c r="L580" i="12"/>
  <c r="AE577" i="12"/>
  <c r="AA575" i="12"/>
  <c r="D575" i="12"/>
  <c r="M573" i="12"/>
  <c r="W572" i="12"/>
  <c r="S570" i="12"/>
  <c r="O567" i="12"/>
  <c r="AE565" i="12"/>
  <c r="K565" i="12"/>
  <c r="U563" i="12"/>
  <c r="AC562" i="12"/>
  <c r="G562" i="12"/>
  <c r="W560" i="12"/>
  <c r="C560" i="12"/>
  <c r="U557" i="12"/>
  <c r="O555" i="12"/>
  <c r="AC553" i="12"/>
  <c r="M552" i="12"/>
  <c r="AB550" i="12"/>
  <c r="G550" i="12"/>
  <c r="E547" i="12"/>
  <c r="T545" i="12"/>
  <c r="E543" i="12"/>
  <c r="L540" i="12"/>
  <c r="AE537" i="12"/>
  <c r="AA535" i="12"/>
  <c r="D535" i="12"/>
  <c r="M533" i="12"/>
  <c r="W532" i="12"/>
  <c r="S530" i="12"/>
  <c r="O527" i="12"/>
  <c r="AE525" i="12"/>
  <c r="K525" i="12"/>
  <c r="U523" i="12"/>
  <c r="AC522" i="12"/>
  <c r="G522" i="12"/>
  <c r="W520" i="12"/>
  <c r="C520" i="12"/>
  <c r="U517" i="12"/>
  <c r="O515" i="12"/>
  <c r="AC513" i="12"/>
  <c r="M512" i="12"/>
  <c r="AB510" i="12"/>
  <c r="G510" i="12"/>
  <c r="E507" i="12"/>
  <c r="T505" i="12"/>
  <c r="E503" i="12"/>
  <c r="L500" i="12"/>
  <c r="AE497" i="12"/>
  <c r="AA495" i="12"/>
  <c r="D495" i="12"/>
  <c r="M493" i="12"/>
  <c r="W492" i="12"/>
  <c r="S490" i="12"/>
  <c r="O487" i="12"/>
  <c r="AE485" i="12"/>
  <c r="K485" i="12"/>
  <c r="U483" i="12"/>
  <c r="AC482" i="12"/>
  <c r="G482" i="12"/>
  <c r="W480" i="12"/>
  <c r="C480" i="12"/>
  <c r="U477" i="12"/>
  <c r="O475" i="12"/>
  <c r="AC473" i="12"/>
  <c r="M472" i="12"/>
  <c r="AB470" i="12"/>
  <c r="G470" i="12"/>
  <c r="E467" i="12"/>
  <c r="T465" i="12"/>
  <c r="E463" i="12"/>
  <c r="L460" i="12"/>
  <c r="AE457" i="12"/>
  <c r="AA455" i="12"/>
  <c r="D455" i="12"/>
  <c r="M453" i="12"/>
  <c r="W452" i="12"/>
  <c r="S450" i="12"/>
  <c r="O447" i="12"/>
  <c r="AE445" i="12"/>
  <c r="K445" i="12"/>
  <c r="U443" i="12"/>
  <c r="AC442" i="12"/>
  <c r="G442" i="12"/>
  <c r="W440" i="12"/>
  <c r="C440" i="12"/>
  <c r="U437" i="12"/>
  <c r="O435" i="12"/>
  <c r="AC433" i="12"/>
  <c r="M432" i="12"/>
  <c r="AB430" i="12"/>
  <c r="G430" i="12"/>
  <c r="E427" i="12"/>
  <c r="T425" i="12"/>
  <c r="E423" i="12"/>
  <c r="L420" i="12"/>
  <c r="AE417" i="12"/>
  <c r="AA415" i="12"/>
  <c r="D415" i="12"/>
  <c r="M413" i="12"/>
  <c r="W412" i="12"/>
  <c r="S410" i="12"/>
  <c r="O407" i="12"/>
  <c r="AE405" i="12"/>
  <c r="K405" i="12"/>
  <c r="U403" i="12"/>
  <c r="AC402" i="12"/>
  <c r="G402" i="12"/>
  <c r="W400" i="12"/>
  <c r="C400" i="12"/>
  <c r="U397" i="12"/>
  <c r="O395" i="12"/>
  <c r="AC393" i="12"/>
  <c r="M392" i="12"/>
  <c r="AB390" i="12"/>
  <c r="G390" i="12"/>
  <c r="E387" i="12"/>
  <c r="T385" i="12"/>
  <c r="E383" i="12"/>
  <c r="L380" i="12"/>
  <c r="AE377" i="12"/>
  <c r="AA375" i="12"/>
  <c r="D375" i="12"/>
  <c r="M373" i="12"/>
  <c r="W372" i="12"/>
  <c r="S370" i="12"/>
  <c r="O367" i="12"/>
  <c r="AE365" i="12"/>
  <c r="W1075" i="12"/>
  <c r="D995" i="12"/>
  <c r="E992" i="12"/>
  <c r="E988" i="12"/>
  <c r="L985" i="12"/>
  <c r="AC982" i="12"/>
  <c r="C980" i="12"/>
  <c r="K970" i="12"/>
  <c r="AE957" i="12"/>
  <c r="D955" i="12"/>
  <c r="E952" i="12"/>
  <c r="E948" i="12"/>
  <c r="L945" i="12"/>
  <c r="AC942" i="12"/>
  <c r="C940" i="12"/>
  <c r="K930" i="12"/>
  <c r="AE917" i="12"/>
  <c r="D915" i="12"/>
  <c r="E912" i="12"/>
  <c r="E908" i="12"/>
  <c r="L905" i="12"/>
  <c r="AC902" i="12"/>
  <c r="C900" i="12"/>
  <c r="K890" i="12"/>
  <c r="AE877" i="12"/>
  <c r="D875" i="12"/>
  <c r="E872" i="12"/>
  <c r="E868" i="12"/>
  <c r="L865" i="12"/>
  <c r="AC862" i="12"/>
  <c r="C860" i="12"/>
  <c r="K850" i="12"/>
  <c r="AE837" i="12"/>
  <c r="D835" i="12"/>
  <c r="E832" i="12"/>
  <c r="E828" i="12"/>
  <c r="L825" i="12"/>
  <c r="AC822" i="12"/>
  <c r="C820" i="12"/>
  <c r="K810" i="12"/>
  <c r="AE797" i="12"/>
  <c r="D795" i="12"/>
  <c r="E792" i="12"/>
  <c r="E788" i="12"/>
  <c r="L785" i="12"/>
  <c r="AC782" i="12"/>
  <c r="C780" i="12"/>
  <c r="K770" i="12"/>
  <c r="AE757" i="12"/>
  <c r="D755" i="12"/>
  <c r="E752" i="12"/>
  <c r="E748" i="12"/>
  <c r="L745" i="12"/>
  <c r="AC742" i="12"/>
  <c r="C740" i="12"/>
  <c r="K730" i="12"/>
  <c r="M722" i="12"/>
  <c r="D715" i="12"/>
  <c r="W712" i="12"/>
  <c r="L710" i="12"/>
  <c r="K705" i="12"/>
  <c r="AE702" i="12"/>
  <c r="AA700" i="12"/>
  <c r="U1213" i="12"/>
  <c r="C1190" i="12"/>
  <c r="AB1145" i="12"/>
  <c r="AE1132" i="12"/>
  <c r="M1088" i="12"/>
  <c r="C1075" i="12"/>
  <c r="E1062" i="12"/>
  <c r="O1030" i="12"/>
  <c r="M997" i="12"/>
  <c r="K985" i="12"/>
  <c r="G970" i="12"/>
  <c r="G967" i="12"/>
  <c r="O960" i="12"/>
  <c r="M957" i="12"/>
  <c r="K945" i="12"/>
  <c r="G930" i="12"/>
  <c r="G927" i="12"/>
  <c r="O920" i="12"/>
  <c r="M917" i="12"/>
  <c r="K905" i="12"/>
  <c r="G890" i="12"/>
  <c r="G887" i="12"/>
  <c r="O880" i="12"/>
  <c r="M877" i="12"/>
  <c r="K865" i="12"/>
  <c r="G850" i="12"/>
  <c r="G847" i="12"/>
  <c r="O840" i="12"/>
  <c r="M837" i="12"/>
  <c r="K825" i="12"/>
  <c r="G810" i="12"/>
  <c r="G807" i="12"/>
  <c r="O800" i="12"/>
  <c r="M797" i="12"/>
  <c r="K785" i="12"/>
  <c r="G770" i="12"/>
  <c r="G767" i="12"/>
  <c r="O760" i="12"/>
  <c r="M757" i="12"/>
  <c r="K745" i="12"/>
  <c r="G730" i="12"/>
  <c r="G727" i="12"/>
  <c r="AC718" i="12"/>
  <c r="E717" i="12"/>
  <c r="O707" i="12"/>
  <c r="D705" i="12"/>
  <c r="AC702" i="12"/>
  <c r="W700" i="12"/>
  <c r="AE695" i="12"/>
  <c r="AE690" i="12"/>
  <c r="U688" i="12"/>
  <c r="E687" i="12"/>
  <c r="AC678" i="12"/>
  <c r="E677" i="12"/>
  <c r="O667" i="12"/>
  <c r="D665" i="12"/>
  <c r="AC662" i="12"/>
  <c r="W660" i="12"/>
  <c r="AE655" i="12"/>
  <c r="AE650" i="12"/>
  <c r="U648" i="12"/>
  <c r="E647" i="12"/>
  <c r="AC638" i="12"/>
  <c r="E637" i="12"/>
  <c r="O627" i="12"/>
  <c r="D625" i="12"/>
  <c r="AC622" i="12"/>
  <c r="W620" i="12"/>
  <c r="G617" i="12"/>
  <c r="S615" i="12"/>
  <c r="AC612" i="12"/>
  <c r="O610" i="12"/>
  <c r="AC608" i="12"/>
  <c r="AE607" i="12"/>
  <c r="AA605" i="12"/>
  <c r="D605" i="12"/>
  <c r="M603" i="12"/>
  <c r="W602" i="12"/>
  <c r="S600" i="12"/>
  <c r="O597" i="12"/>
  <c r="AE595" i="12"/>
  <c r="K595" i="12"/>
  <c r="U593" i="12"/>
  <c r="AC592" i="12"/>
  <c r="G592" i="12"/>
  <c r="W590" i="12"/>
  <c r="C590" i="12"/>
  <c r="U587" i="12"/>
  <c r="O585" i="12"/>
  <c r="AC583" i="12"/>
  <c r="M582" i="12"/>
  <c r="AB580" i="12"/>
  <c r="G580" i="12"/>
  <c r="E577" i="12"/>
  <c r="T575" i="12"/>
  <c r="E573" i="12"/>
  <c r="L570" i="12"/>
  <c r="AE567" i="12"/>
  <c r="AA565" i="12"/>
  <c r="D565" i="12"/>
  <c r="M563" i="12"/>
  <c r="W562" i="12"/>
  <c r="S560" i="12"/>
  <c r="O557" i="12"/>
  <c r="AE555" i="12"/>
  <c r="K555" i="12"/>
  <c r="U553" i="12"/>
  <c r="AC552" i="12"/>
  <c r="G552" i="12"/>
  <c r="W550" i="12"/>
  <c r="C550" i="12"/>
  <c r="U547" i="12"/>
  <c r="O545" i="12"/>
  <c r="AC543" i="12"/>
  <c r="M542" i="12"/>
  <c r="AB540" i="12"/>
  <c r="G540" i="12"/>
  <c r="E537" i="12"/>
  <c r="T535" i="12"/>
  <c r="E533" i="12"/>
  <c r="L530" i="12"/>
  <c r="AE527" i="12"/>
  <c r="AA525" i="12"/>
  <c r="D525" i="12"/>
  <c r="M523" i="12"/>
  <c r="W522" i="12"/>
  <c r="S520" i="12"/>
  <c r="O517" i="12"/>
  <c r="AE515" i="12"/>
  <c r="K515" i="12"/>
  <c r="U513" i="12"/>
  <c r="AC512" i="12"/>
  <c r="G512" i="12"/>
  <c r="W510" i="12"/>
  <c r="C510" i="12"/>
  <c r="U507" i="12"/>
  <c r="O505" i="12"/>
  <c r="AC503" i="12"/>
  <c r="M502" i="12"/>
  <c r="AB500" i="12"/>
  <c r="G500" i="12"/>
  <c r="E497" i="12"/>
  <c r="T495" i="12"/>
  <c r="E493" i="12"/>
  <c r="L490" i="12"/>
  <c r="AE487" i="12"/>
  <c r="AA485" i="12"/>
  <c r="D485" i="12"/>
  <c r="M483" i="12"/>
  <c r="W482" i="12"/>
  <c r="S480" i="12"/>
  <c r="O477" i="12"/>
  <c r="AE475" i="12"/>
  <c r="K475" i="12"/>
  <c r="U473" i="12"/>
  <c r="AC472" i="12"/>
  <c r="G472" i="12"/>
  <c r="W470" i="12"/>
  <c r="C470" i="12"/>
  <c r="U467" i="12"/>
  <c r="O465" i="12"/>
  <c r="AC463" i="12"/>
  <c r="M462" i="12"/>
  <c r="AB460" i="12"/>
  <c r="G460" i="12"/>
  <c r="E457" i="12"/>
  <c r="T455" i="12"/>
  <c r="E453" i="12"/>
  <c r="L450" i="12"/>
  <c r="AE447" i="12"/>
  <c r="AA445" i="12"/>
  <c r="D445" i="12"/>
  <c r="M443" i="12"/>
  <c r="W442" i="12"/>
  <c r="S440" i="12"/>
  <c r="O437" i="12"/>
  <c r="AE435" i="12"/>
  <c r="K435" i="12"/>
  <c r="U433" i="12"/>
  <c r="AC432" i="12"/>
  <c r="G432" i="12"/>
  <c r="W430" i="12"/>
  <c r="C430" i="12"/>
  <c r="U427" i="12"/>
  <c r="O425" i="12"/>
  <c r="AC423" i="12"/>
  <c r="M422" i="12"/>
  <c r="AB420" i="12"/>
  <c r="G420" i="12"/>
  <c r="E417" i="12"/>
  <c r="T415" i="12"/>
  <c r="E413" i="12"/>
  <c r="L410" i="12"/>
  <c r="AE407" i="12"/>
  <c r="AA405" i="12"/>
  <c r="D405" i="12"/>
  <c r="M403" i="12"/>
  <c r="W402" i="12"/>
  <c r="S400" i="12"/>
  <c r="O397" i="12"/>
  <c r="AE395" i="12"/>
  <c r="K395" i="12"/>
  <c r="U393" i="12"/>
  <c r="AC392" i="12"/>
  <c r="G392" i="12"/>
  <c r="W390" i="12"/>
  <c r="C390" i="12"/>
  <c r="U387" i="12"/>
  <c r="O385" i="12"/>
  <c r="AC383" i="12"/>
  <c r="M382" i="12"/>
  <c r="AB380" i="12"/>
  <c r="G380" i="12"/>
  <c r="E377" i="12"/>
  <c r="T375" i="12"/>
  <c r="E373" i="12"/>
  <c r="L370" i="12"/>
  <c r="AE367" i="12"/>
  <c r="AA365" i="12"/>
  <c r="D365" i="12"/>
  <c r="M363" i="12"/>
  <c r="W362" i="12"/>
  <c r="S360" i="12"/>
  <c r="O357" i="12"/>
  <c r="AE355" i="12"/>
  <c r="K355" i="12"/>
  <c r="U353" i="12"/>
  <c r="AC352" i="12"/>
  <c r="G352" i="12"/>
  <c r="W350" i="12"/>
  <c r="C350" i="12"/>
  <c r="U347" i="12"/>
  <c r="O345" i="12"/>
  <c r="AC343" i="12"/>
  <c r="M342" i="12"/>
  <c r="AB340" i="12"/>
  <c r="G340" i="12"/>
  <c r="E337" i="12"/>
  <c r="T335" i="12"/>
  <c r="E333" i="12"/>
  <c r="L330" i="12"/>
  <c r="AE327" i="12"/>
  <c r="AA325" i="12"/>
  <c r="D325" i="12"/>
  <c r="M323" i="12"/>
  <c r="W322" i="12"/>
  <c r="S320" i="12"/>
  <c r="O317" i="12"/>
  <c r="W1035" i="12"/>
  <c r="C1005" i="12"/>
  <c r="G982" i="12"/>
  <c r="O972" i="12"/>
  <c r="E967" i="12"/>
  <c r="L960" i="12"/>
  <c r="G942" i="12"/>
  <c r="O932" i="12"/>
  <c r="E927" i="12"/>
  <c r="L920" i="12"/>
  <c r="G902" i="12"/>
  <c r="O892" i="12"/>
  <c r="E887" i="12"/>
  <c r="L880" i="12"/>
  <c r="G862" i="12"/>
  <c r="O852" i="12"/>
  <c r="E847" i="12"/>
  <c r="L840" i="12"/>
  <c r="G822" i="12"/>
  <c r="O812" i="12"/>
  <c r="E807" i="12"/>
  <c r="L800" i="12"/>
  <c r="G782" i="12"/>
  <c r="O772" i="12"/>
  <c r="E767" i="12"/>
  <c r="L760" i="12"/>
  <c r="G742" i="12"/>
  <c r="O732" i="12"/>
  <c r="E727" i="12"/>
  <c r="AC723" i="12"/>
  <c r="E712" i="12"/>
  <c r="W702" i="12"/>
  <c r="S700" i="12"/>
  <c r="S695" i="12"/>
  <c r="AB690" i="12"/>
  <c r="AC683" i="12"/>
  <c r="E672" i="12"/>
  <c r="W662" i="12"/>
  <c r="S660" i="12"/>
  <c r="S655" i="12"/>
  <c r="AB650" i="12"/>
  <c r="AC643" i="12"/>
  <c r="E632" i="12"/>
  <c r="W622" i="12"/>
  <c r="S620" i="12"/>
  <c r="E617" i="12"/>
  <c r="O615" i="12"/>
  <c r="U613" i="12"/>
  <c r="W612" i="12"/>
  <c r="L610" i="12"/>
  <c r="AC607" i="12"/>
  <c r="G607" i="12"/>
  <c r="W605" i="12"/>
  <c r="C605" i="12"/>
  <c r="U602" i="12"/>
  <c r="O600" i="12"/>
  <c r="AC598" i="12"/>
  <c r="M597" i="12"/>
  <c r="AB595" i="12"/>
  <c r="G595" i="12"/>
  <c r="E592" i="12"/>
  <c r="T590" i="12"/>
  <c r="E588" i="12"/>
  <c r="L585" i="12"/>
  <c r="AE582" i="12"/>
  <c r="AA580" i="12"/>
  <c r="D580" i="12"/>
  <c r="M578" i="12"/>
  <c r="W577" i="12"/>
  <c r="S575" i="12"/>
  <c r="O572" i="12"/>
  <c r="AE570" i="12"/>
  <c r="K570" i="12"/>
  <c r="U568" i="12"/>
  <c r="AC567" i="12"/>
  <c r="G567" i="12"/>
  <c r="W565" i="12"/>
  <c r="C565" i="12"/>
  <c r="U562" i="12"/>
  <c r="O560" i="12"/>
  <c r="AC558" i="12"/>
  <c r="M557" i="12"/>
  <c r="AB555" i="12"/>
  <c r="G555" i="12"/>
  <c r="E552" i="12"/>
  <c r="T550" i="12"/>
  <c r="E548" i="12"/>
  <c r="L545" i="12"/>
  <c r="AE542" i="12"/>
  <c r="AA540" i="12"/>
  <c r="D540" i="12"/>
  <c r="M538" i="12"/>
  <c r="W537" i="12"/>
  <c r="S535" i="12"/>
  <c r="O532" i="12"/>
  <c r="AE530" i="12"/>
  <c r="K530" i="12"/>
  <c r="U528" i="12"/>
  <c r="AC527" i="12"/>
  <c r="G527" i="12"/>
  <c r="W525" i="12"/>
  <c r="C525" i="12"/>
  <c r="U522" i="12"/>
  <c r="O520" i="12"/>
  <c r="AC518" i="12"/>
  <c r="M517" i="12"/>
  <c r="AB515" i="12"/>
  <c r="G515" i="12"/>
  <c r="E512" i="12"/>
  <c r="T510" i="12"/>
  <c r="E508" i="12"/>
  <c r="L505" i="12"/>
  <c r="AE502" i="12"/>
  <c r="AA500" i="12"/>
  <c r="D500" i="12"/>
  <c r="M498" i="12"/>
  <c r="W497" i="12"/>
  <c r="S495" i="12"/>
  <c r="O492" i="12"/>
  <c r="AE490" i="12"/>
  <c r="K490" i="12"/>
  <c r="U488" i="12"/>
  <c r="AC487" i="12"/>
  <c r="G487" i="12"/>
  <c r="W485" i="12"/>
  <c r="C485" i="12"/>
  <c r="U482" i="12"/>
  <c r="O480" i="12"/>
  <c r="AC478" i="12"/>
  <c r="M477" i="12"/>
  <c r="AB475" i="12"/>
  <c r="G475" i="12"/>
  <c r="E472" i="12"/>
  <c r="T470" i="12"/>
  <c r="E468" i="12"/>
  <c r="L465" i="12"/>
  <c r="AE462" i="12"/>
  <c r="AA460" i="12"/>
  <c r="D460" i="12"/>
  <c r="M458" i="12"/>
  <c r="W457" i="12"/>
  <c r="S455" i="12"/>
  <c r="O452" i="12"/>
  <c r="AE450" i="12"/>
  <c r="K450" i="12"/>
  <c r="U448" i="12"/>
  <c r="AC447" i="12"/>
  <c r="G447" i="12"/>
  <c r="W445" i="12"/>
  <c r="C445" i="12"/>
  <c r="U442" i="12"/>
  <c r="O440" i="12"/>
  <c r="AC438" i="12"/>
  <c r="M437" i="12"/>
  <c r="AB435" i="12"/>
  <c r="G435" i="12"/>
  <c r="E432" i="12"/>
  <c r="T430" i="12"/>
  <c r="E428" i="12"/>
  <c r="L425" i="12"/>
  <c r="AE422" i="12"/>
  <c r="AA420" i="12"/>
  <c r="D420" i="12"/>
  <c r="M418" i="12"/>
  <c r="W417" i="12"/>
  <c r="S415" i="12"/>
  <c r="O412" i="12"/>
  <c r="AE410" i="12"/>
  <c r="K410" i="12"/>
  <c r="U408" i="12"/>
  <c r="AC407" i="12"/>
  <c r="G407" i="12"/>
  <c r="W405" i="12"/>
  <c r="C405" i="12"/>
  <c r="U402" i="12"/>
  <c r="O400" i="12"/>
  <c r="AC398" i="12"/>
  <c r="M397" i="12"/>
  <c r="AB395" i="12"/>
  <c r="G395" i="12"/>
  <c r="E392" i="12"/>
  <c r="T390" i="12"/>
  <c r="E388" i="12"/>
  <c r="L385" i="12"/>
  <c r="AE382" i="12"/>
  <c r="AA380" i="12"/>
  <c r="D380" i="12"/>
  <c r="M378" i="12"/>
  <c r="W377" i="12"/>
  <c r="S375" i="12"/>
  <c r="O372" i="12"/>
  <c r="AE370" i="12"/>
  <c r="K370" i="12"/>
  <c r="U368" i="12"/>
  <c r="AC367" i="12"/>
  <c r="G367" i="12"/>
  <c r="W365" i="12"/>
  <c r="C365" i="12"/>
  <c r="U362" i="12"/>
  <c r="O360" i="12"/>
  <c r="AC358" i="12"/>
  <c r="M357" i="12"/>
  <c r="AB355" i="12"/>
  <c r="G355" i="12"/>
  <c r="E352" i="12"/>
  <c r="T350" i="12"/>
  <c r="E348" i="12"/>
  <c r="L345" i="12"/>
  <c r="AE342" i="12"/>
  <c r="AA340" i="12"/>
  <c r="D340" i="12"/>
  <c r="M338" i="12"/>
  <c r="W337" i="12"/>
  <c r="S335" i="12"/>
  <c r="O332" i="12"/>
  <c r="AE330" i="12"/>
  <c r="K330" i="12"/>
  <c r="U328" i="12"/>
  <c r="AC327" i="12"/>
  <c r="G327" i="12"/>
  <c r="W325" i="12"/>
  <c r="C325" i="12"/>
  <c r="U322" i="12"/>
  <c r="O320" i="12"/>
  <c r="AC318" i="12"/>
  <c r="E1182" i="12"/>
  <c r="O1150" i="12"/>
  <c r="AB1105" i="12"/>
  <c r="AE1092" i="12"/>
  <c r="M1048" i="12"/>
  <c r="C1035" i="12"/>
  <c r="E1022" i="12"/>
  <c r="AA1000" i="12"/>
  <c r="M978" i="12"/>
  <c r="S975" i="12"/>
  <c r="M972" i="12"/>
  <c r="E963" i="12"/>
  <c r="M938" i="12"/>
  <c r="S935" i="12"/>
  <c r="M932" i="12"/>
  <c r="E923" i="12"/>
  <c r="M898" i="12"/>
  <c r="S895" i="12"/>
  <c r="M892" i="12"/>
  <c r="E883" i="12"/>
  <c r="M858" i="12"/>
  <c r="S855" i="12"/>
  <c r="M852" i="12"/>
  <c r="E843" i="12"/>
  <c r="M818" i="12"/>
  <c r="S815" i="12"/>
  <c r="M812" i="12"/>
  <c r="E803" i="12"/>
  <c r="M778" i="12"/>
  <c r="S775" i="12"/>
  <c r="M772" i="12"/>
  <c r="E763" i="12"/>
  <c r="M738" i="12"/>
  <c r="S735" i="12"/>
  <c r="M732" i="12"/>
  <c r="AB720" i="12"/>
  <c r="D700" i="12"/>
  <c r="W697" i="12"/>
  <c r="O695" i="12"/>
  <c r="AC692" i="12"/>
  <c r="W690" i="12"/>
  <c r="AB680" i="12"/>
  <c r="D660" i="12"/>
  <c r="W657" i="12"/>
  <c r="O655" i="12"/>
  <c r="AC652" i="12"/>
  <c r="W650" i="12"/>
  <c r="AB640" i="12"/>
  <c r="D620" i="12"/>
  <c r="K615" i="12"/>
  <c r="M613" i="12"/>
  <c r="U612" i="12"/>
  <c r="K610" i="12"/>
  <c r="U608" i="12"/>
  <c r="E607" i="12"/>
  <c r="T605" i="12"/>
  <c r="E603" i="12"/>
  <c r="L600" i="12"/>
  <c r="AE597" i="12"/>
  <c r="AA595" i="12"/>
  <c r="D595" i="12"/>
  <c r="M593" i="12"/>
  <c r="W592" i="12"/>
  <c r="S590" i="12"/>
  <c r="O587" i="12"/>
  <c r="AE585" i="12"/>
  <c r="K585" i="12"/>
  <c r="U583" i="12"/>
  <c r="AC582" i="12"/>
  <c r="G582" i="12"/>
  <c r="W580" i="12"/>
  <c r="C580" i="12"/>
  <c r="U577" i="12"/>
  <c r="O575" i="12"/>
  <c r="AC573" i="12"/>
  <c r="M572" i="12"/>
  <c r="AB570" i="12"/>
  <c r="G570" i="12"/>
  <c r="E567" i="12"/>
  <c r="T565" i="12"/>
  <c r="E563" i="12"/>
  <c r="L560" i="12"/>
  <c r="AE557" i="12"/>
  <c r="AA555" i="12"/>
  <c r="D555" i="12"/>
  <c r="M553" i="12"/>
  <c r="W552" i="12"/>
  <c r="S550" i="12"/>
  <c r="O547" i="12"/>
  <c r="AE545" i="12"/>
  <c r="K545" i="12"/>
  <c r="U543" i="12"/>
  <c r="AC542" i="12"/>
  <c r="G542" i="12"/>
  <c r="W540" i="12"/>
  <c r="C540" i="12"/>
  <c r="U537" i="12"/>
  <c r="O535" i="12"/>
  <c r="AC533" i="12"/>
  <c r="M532" i="12"/>
  <c r="AB530" i="12"/>
  <c r="G530" i="12"/>
  <c r="E527" i="12"/>
  <c r="T525" i="12"/>
  <c r="E523" i="12"/>
  <c r="L520" i="12"/>
  <c r="AE517" i="12"/>
  <c r="AA515" i="12"/>
  <c r="D515" i="12"/>
  <c r="M513" i="12"/>
  <c r="W512" i="12"/>
  <c r="S510" i="12"/>
  <c r="O507" i="12"/>
  <c r="AE505" i="12"/>
  <c r="K505" i="12"/>
  <c r="U503" i="12"/>
  <c r="AC502" i="12"/>
  <c r="G502" i="12"/>
  <c r="W500" i="12"/>
  <c r="C500" i="12"/>
  <c r="U497" i="12"/>
  <c r="O495" i="12"/>
  <c r="AC493" i="12"/>
  <c r="M492" i="12"/>
  <c r="AB490" i="12"/>
  <c r="G490" i="12"/>
  <c r="E487" i="12"/>
  <c r="T485" i="12"/>
  <c r="E483" i="12"/>
  <c r="L480" i="12"/>
  <c r="AE477" i="12"/>
  <c r="AA475" i="12"/>
  <c r="D475" i="12"/>
  <c r="M473" i="12"/>
  <c r="W472" i="12"/>
  <c r="S470" i="12"/>
  <c r="O467" i="12"/>
  <c r="AE465" i="12"/>
  <c r="K465" i="12"/>
  <c r="U463" i="12"/>
  <c r="AC462" i="12"/>
  <c r="G462" i="12"/>
  <c r="W460" i="12"/>
  <c r="C460" i="12"/>
  <c r="U457" i="12"/>
  <c r="O455" i="12"/>
  <c r="AC453" i="12"/>
  <c r="M452" i="12"/>
  <c r="AB450" i="12"/>
  <c r="G450" i="12"/>
  <c r="E447" i="12"/>
  <c r="T445" i="12"/>
  <c r="E443" i="12"/>
  <c r="L440" i="12"/>
  <c r="AE437" i="12"/>
  <c r="AA435" i="12"/>
  <c r="D435" i="12"/>
  <c r="M433" i="12"/>
  <c r="W432" i="12"/>
  <c r="S430" i="12"/>
  <c r="O427" i="12"/>
  <c r="AE425" i="12"/>
  <c r="K425" i="12"/>
  <c r="U423" i="12"/>
  <c r="AC422" i="12"/>
  <c r="G422" i="12"/>
  <c r="W420" i="12"/>
  <c r="C420" i="12"/>
  <c r="U417" i="12"/>
  <c r="O415" i="12"/>
  <c r="AC413" i="12"/>
  <c r="M412" i="12"/>
  <c r="AB410" i="12"/>
  <c r="G410" i="12"/>
  <c r="E407" i="12"/>
  <c r="T405" i="12"/>
  <c r="E403" i="12"/>
  <c r="L400" i="12"/>
  <c r="AE397" i="12"/>
  <c r="AA395" i="12"/>
  <c r="D395" i="12"/>
  <c r="M393" i="12"/>
  <c r="W392" i="12"/>
  <c r="S390" i="12"/>
  <c r="O387" i="12"/>
  <c r="AE385" i="12"/>
  <c r="K385" i="12"/>
  <c r="U383" i="12"/>
  <c r="AC382" i="12"/>
  <c r="G382" i="12"/>
  <c r="W380" i="12"/>
  <c r="C380" i="12"/>
  <c r="U377" i="12"/>
  <c r="O375" i="12"/>
  <c r="AC373" i="12"/>
  <c r="M372" i="12"/>
  <c r="AB370" i="12"/>
  <c r="G370" i="12"/>
  <c r="E367" i="12"/>
  <c r="T365" i="12"/>
  <c r="E363" i="12"/>
  <c r="L360" i="12"/>
  <c r="AE357" i="12"/>
  <c r="AA355" i="12"/>
  <c r="D355" i="12"/>
  <c r="M353" i="12"/>
  <c r="W352" i="12"/>
  <c r="S350" i="12"/>
  <c r="O347" i="12"/>
  <c r="AE345" i="12"/>
  <c r="K345" i="12"/>
  <c r="U343" i="12"/>
  <c r="AC342" i="12"/>
  <c r="G342" i="12"/>
  <c r="W340" i="12"/>
  <c r="C340" i="12"/>
  <c r="U337" i="12"/>
  <c r="O335" i="12"/>
  <c r="AC333" i="12"/>
  <c r="M332" i="12"/>
  <c r="AB330" i="12"/>
  <c r="G330" i="12"/>
  <c r="E327" i="12"/>
  <c r="T325" i="12"/>
  <c r="E323" i="12"/>
  <c r="L320" i="12"/>
  <c r="AE317" i="12"/>
  <c r="W1155" i="12"/>
  <c r="T1000" i="12"/>
  <c r="M993" i="12"/>
  <c r="T990" i="12"/>
  <c r="O987" i="12"/>
  <c r="O975" i="12"/>
  <c r="U968" i="12"/>
  <c r="M953" i="12"/>
  <c r="T950" i="12"/>
  <c r="O947" i="12"/>
  <c r="O935" i="12"/>
  <c r="U928" i="12"/>
  <c r="M913" i="12"/>
  <c r="T910" i="12"/>
  <c r="O907" i="12"/>
  <c r="O895" i="12"/>
  <c r="U888" i="12"/>
  <c r="M873" i="12"/>
  <c r="T870" i="12"/>
  <c r="O867" i="12"/>
  <c r="O855" i="12"/>
  <c r="U848" i="12"/>
  <c r="M833" i="12"/>
  <c r="T830" i="12"/>
  <c r="O827" i="12"/>
  <c r="O815" i="12"/>
  <c r="U808" i="12"/>
  <c r="M793" i="12"/>
  <c r="T790" i="12"/>
  <c r="O787" i="12"/>
  <c r="O775" i="12"/>
  <c r="U768" i="12"/>
  <c r="M753" i="12"/>
  <c r="T750" i="12"/>
  <c r="O747" i="12"/>
  <c r="O735" i="12"/>
  <c r="U728" i="12"/>
  <c r="E723" i="12"/>
  <c r="O720" i="12"/>
  <c r="AB715" i="12"/>
  <c r="M713" i="12"/>
  <c r="E708" i="12"/>
  <c r="G702" i="12"/>
  <c r="C700" i="12"/>
  <c r="U697" i="12"/>
  <c r="K695" i="12"/>
  <c r="O692" i="12"/>
  <c r="K690" i="12"/>
  <c r="W685" i="12"/>
  <c r="E683" i="12"/>
  <c r="O680" i="12"/>
  <c r="AB675" i="12"/>
  <c r="M673" i="12"/>
  <c r="E668" i="12"/>
  <c r="G662" i="12"/>
  <c r="C660" i="12"/>
  <c r="U657" i="12"/>
  <c r="K655" i="12"/>
  <c r="O652" i="12"/>
  <c r="K650" i="12"/>
  <c r="W645" i="12"/>
  <c r="E643" i="12"/>
  <c r="O640" i="12"/>
  <c r="AB635" i="12"/>
  <c r="M633" i="12"/>
  <c r="E628" i="12"/>
  <c r="G622" i="12"/>
  <c r="C620" i="12"/>
  <c r="AC617" i="12"/>
  <c r="D615" i="12"/>
  <c r="AE610" i="12"/>
  <c r="G610" i="12"/>
  <c r="W607" i="12"/>
  <c r="S605" i="12"/>
  <c r="O602" i="12"/>
  <c r="AE600" i="12"/>
  <c r="K600" i="12"/>
  <c r="U598" i="12"/>
  <c r="AC597" i="12"/>
  <c r="G597" i="12"/>
  <c r="W595" i="12"/>
  <c r="C595" i="12"/>
  <c r="U592" i="12"/>
  <c r="O590" i="12"/>
  <c r="AC588" i="12"/>
  <c r="M587" i="12"/>
  <c r="AB585" i="12"/>
  <c r="G585" i="12"/>
  <c r="E582" i="12"/>
  <c r="T580" i="12"/>
  <c r="E578" i="12"/>
  <c r="L575" i="12"/>
  <c r="AE572" i="12"/>
  <c r="AA570" i="12"/>
  <c r="D570" i="12"/>
  <c r="M568" i="12"/>
  <c r="W567" i="12"/>
  <c r="S565" i="12"/>
  <c r="O562" i="12"/>
  <c r="AE560" i="12"/>
  <c r="K560" i="12"/>
  <c r="U558" i="12"/>
  <c r="AC557" i="12"/>
  <c r="G557" i="12"/>
  <c r="W555" i="12"/>
  <c r="C555" i="12"/>
  <c r="U552" i="12"/>
  <c r="O550" i="12"/>
  <c r="AC548" i="12"/>
  <c r="M547" i="12"/>
  <c r="AB545" i="12"/>
  <c r="G545" i="12"/>
  <c r="E542" i="12"/>
  <c r="T540" i="12"/>
  <c r="E538" i="12"/>
  <c r="L535" i="12"/>
  <c r="AE532" i="12"/>
  <c r="AA530" i="12"/>
  <c r="D530" i="12"/>
  <c r="M528" i="12"/>
  <c r="W527" i="12"/>
  <c r="S525" i="12"/>
  <c r="O522" i="12"/>
  <c r="AE520" i="12"/>
  <c r="K520" i="12"/>
  <c r="U518" i="12"/>
  <c r="AC517" i="12"/>
  <c r="G517" i="12"/>
  <c r="W515" i="12"/>
  <c r="C515" i="12"/>
  <c r="U512" i="12"/>
  <c r="O510" i="12"/>
  <c r="AC508" i="12"/>
  <c r="M507" i="12"/>
  <c r="AB505" i="12"/>
  <c r="G505" i="12"/>
  <c r="E502" i="12"/>
  <c r="T500" i="12"/>
  <c r="E498" i="12"/>
  <c r="L495" i="12"/>
  <c r="AE492" i="12"/>
  <c r="AA490" i="12"/>
  <c r="D490" i="12"/>
  <c r="M488" i="12"/>
  <c r="W487" i="12"/>
  <c r="S485" i="12"/>
  <c r="O482" i="12"/>
  <c r="AE480" i="12"/>
  <c r="K480" i="12"/>
  <c r="U478" i="12"/>
  <c r="AC477" i="12"/>
  <c r="G477" i="12"/>
  <c r="W475" i="12"/>
  <c r="C475" i="12"/>
  <c r="U472" i="12"/>
  <c r="O470" i="12"/>
  <c r="AC468" i="12"/>
  <c r="M467" i="12"/>
  <c r="AB465" i="12"/>
  <c r="G465" i="12"/>
  <c r="E462" i="12"/>
  <c r="T460" i="12"/>
  <c r="E458" i="12"/>
  <c r="L455" i="12"/>
  <c r="AE452" i="12"/>
  <c r="AA450" i="12"/>
  <c r="D450" i="12"/>
  <c r="M448" i="12"/>
  <c r="W447" i="12"/>
  <c r="S445" i="12"/>
  <c r="O442" i="12"/>
  <c r="AE440" i="12"/>
  <c r="K440" i="12"/>
  <c r="U438" i="12"/>
  <c r="AC437" i="12"/>
  <c r="G437" i="12"/>
  <c r="W435" i="12"/>
  <c r="C435" i="12"/>
  <c r="U432" i="12"/>
  <c r="O430" i="12"/>
  <c r="AC428" i="12"/>
  <c r="M427" i="12"/>
  <c r="AB425" i="12"/>
  <c r="G425" i="12"/>
  <c r="E422" i="12"/>
  <c r="T420" i="12"/>
  <c r="E418" i="12"/>
  <c r="L415" i="12"/>
  <c r="AE412" i="12"/>
  <c r="AA410" i="12"/>
  <c r="D410" i="12"/>
  <c r="M408" i="12"/>
  <c r="W407" i="12"/>
  <c r="S405" i="12"/>
  <c r="O402" i="12"/>
  <c r="AE400" i="12"/>
  <c r="K400" i="12"/>
  <c r="U398" i="12"/>
  <c r="AC397" i="12"/>
  <c r="G397" i="12"/>
  <c r="W395" i="12"/>
  <c r="C395" i="12"/>
  <c r="U392" i="12"/>
  <c r="O390" i="12"/>
  <c r="AC388" i="12"/>
  <c r="M387" i="12"/>
  <c r="AB385" i="12"/>
  <c r="G385" i="12"/>
  <c r="E382" i="12"/>
  <c r="T380" i="12"/>
  <c r="E378" i="12"/>
  <c r="L375" i="12"/>
  <c r="AE372" i="12"/>
  <c r="AA370" i="12"/>
  <c r="D370" i="12"/>
  <c r="M368" i="12"/>
  <c r="W367" i="12"/>
  <c r="S365" i="12"/>
  <c r="O362" i="12"/>
  <c r="AE360" i="12"/>
  <c r="K360" i="12"/>
  <c r="U358" i="12"/>
  <c r="AC357" i="12"/>
  <c r="G357" i="12"/>
  <c r="W355" i="12"/>
  <c r="C355" i="12"/>
  <c r="U352" i="12"/>
  <c r="O350" i="12"/>
  <c r="AC348" i="12"/>
  <c r="M347" i="12"/>
  <c r="AB345" i="12"/>
  <c r="G345" i="12"/>
  <c r="E342" i="12"/>
  <c r="T340" i="12"/>
  <c r="E338" i="12"/>
  <c r="L335" i="12"/>
  <c r="AE332" i="12"/>
  <c r="AA330" i="12"/>
  <c r="D330" i="12"/>
  <c r="M328" i="12"/>
  <c r="W327" i="12"/>
  <c r="S325" i="12"/>
  <c r="O322" i="12"/>
  <c r="AE320" i="12"/>
  <c r="K320" i="12"/>
  <c r="U318" i="12"/>
  <c r="AC317" i="12"/>
  <c r="AA980" i="12"/>
  <c r="AA940" i="12"/>
  <c r="AA900" i="12"/>
  <c r="AA860" i="12"/>
  <c r="AA820" i="12"/>
  <c r="AA780" i="12"/>
  <c r="AA740" i="12"/>
  <c r="L680" i="12"/>
  <c r="AA675" i="12"/>
  <c r="O657" i="12"/>
  <c r="AE622" i="12"/>
  <c r="U607" i="12"/>
  <c r="M588" i="12"/>
  <c r="AA585" i="12"/>
  <c r="W582" i="12"/>
  <c r="U573" i="12"/>
  <c r="W570" i="12"/>
  <c r="U567" i="12"/>
  <c r="M548" i="12"/>
  <c r="AA545" i="12"/>
  <c r="W542" i="12"/>
  <c r="U533" i="12"/>
  <c r="W530" i="12"/>
  <c r="U527" i="12"/>
  <c r="M508" i="12"/>
  <c r="AA505" i="12"/>
  <c r="W502" i="12"/>
  <c r="U493" i="12"/>
  <c r="W490" i="12"/>
  <c r="U487" i="12"/>
  <c r="M468" i="12"/>
  <c r="AA465" i="12"/>
  <c r="W462" i="12"/>
  <c r="U453" i="12"/>
  <c r="W450" i="12"/>
  <c r="U447" i="12"/>
  <c r="M428" i="12"/>
  <c r="AA425" i="12"/>
  <c r="W422" i="12"/>
  <c r="U413" i="12"/>
  <c r="W410" i="12"/>
  <c r="U407" i="12"/>
  <c r="M388" i="12"/>
  <c r="AA385" i="12"/>
  <c r="W382" i="12"/>
  <c r="U373" i="12"/>
  <c r="W370" i="12"/>
  <c r="U367" i="12"/>
  <c r="M362" i="12"/>
  <c r="G360" i="12"/>
  <c r="L355" i="12"/>
  <c r="G350" i="12"/>
  <c r="AE347" i="12"/>
  <c r="AA345" i="12"/>
  <c r="AE340" i="12"/>
  <c r="G332" i="12"/>
  <c r="M327" i="12"/>
  <c r="M322" i="12"/>
  <c r="G320" i="12"/>
  <c r="O315" i="12"/>
  <c r="AC313" i="12"/>
  <c r="M312" i="12"/>
  <c r="AB310" i="12"/>
  <c r="G310" i="12"/>
  <c r="E307" i="12"/>
  <c r="T305" i="12"/>
  <c r="E303" i="12"/>
  <c r="L300" i="12"/>
  <c r="AE297" i="12"/>
  <c r="AA295" i="12"/>
  <c r="D295" i="12"/>
  <c r="M293" i="12"/>
  <c r="W292" i="12"/>
  <c r="S290" i="12"/>
  <c r="O287" i="12"/>
  <c r="AE285" i="12"/>
  <c r="K285" i="12"/>
  <c r="U283" i="12"/>
  <c r="AC282" i="12"/>
  <c r="G282" i="12"/>
  <c r="W280" i="12"/>
  <c r="C280" i="12"/>
  <c r="U277" i="12"/>
  <c r="O275" i="12"/>
  <c r="AC273" i="12"/>
  <c r="M272" i="12"/>
  <c r="AB270" i="12"/>
  <c r="G270" i="12"/>
  <c r="E267" i="12"/>
  <c r="T265" i="12"/>
  <c r="E263" i="12"/>
  <c r="L260" i="12"/>
  <c r="AE257" i="12"/>
  <c r="AA255" i="12"/>
  <c r="D255" i="12"/>
  <c r="M253" i="12"/>
  <c r="W252" i="12"/>
  <c r="S250" i="12"/>
  <c r="O247" i="12"/>
  <c r="AE245" i="12"/>
  <c r="K245" i="12"/>
  <c r="U243" i="12"/>
  <c r="AC242" i="12"/>
  <c r="G242" i="12"/>
  <c r="W240" i="12"/>
  <c r="C240" i="12"/>
  <c r="U237" i="12"/>
  <c r="O235" i="12"/>
  <c r="AC233" i="12"/>
  <c r="M232" i="12"/>
  <c r="AB230" i="12"/>
  <c r="G230" i="12"/>
  <c r="E227" i="12"/>
  <c r="T225" i="12"/>
  <c r="E223" i="12"/>
  <c r="L220" i="12"/>
  <c r="AE217" i="12"/>
  <c r="AA215" i="12"/>
  <c r="D215" i="12"/>
  <c r="M213" i="12"/>
  <c r="W212" i="12"/>
  <c r="S210" i="12"/>
  <c r="O207" i="12"/>
  <c r="AE205" i="12"/>
  <c r="K205" i="12"/>
  <c r="U203" i="12"/>
  <c r="AC202" i="12"/>
  <c r="G202" i="12"/>
  <c r="W200" i="12"/>
  <c r="C200" i="12"/>
  <c r="U197" i="12"/>
  <c r="O195" i="12"/>
  <c r="AC193" i="12"/>
  <c r="M192" i="12"/>
  <c r="AB190" i="12"/>
  <c r="G190" i="12"/>
  <c r="E187" i="12"/>
  <c r="T185" i="12"/>
  <c r="E183" i="12"/>
  <c r="L180" i="12"/>
  <c r="AE177" i="12"/>
  <c r="AA175" i="12"/>
  <c r="D175" i="12"/>
  <c r="M173" i="12"/>
  <c r="W172" i="12"/>
  <c r="S170" i="12"/>
  <c r="O167" i="12"/>
  <c r="AE165" i="12"/>
  <c r="K165" i="12"/>
  <c r="U163" i="12"/>
  <c r="AC162" i="12"/>
  <c r="G162" i="12"/>
  <c r="W160" i="12"/>
  <c r="C160" i="12"/>
  <c r="U157" i="12"/>
  <c r="O155" i="12"/>
  <c r="AC153" i="12"/>
  <c r="M152" i="12"/>
  <c r="AB150" i="12"/>
  <c r="G150" i="12"/>
  <c r="E147" i="12"/>
  <c r="T145" i="12"/>
  <c r="E143" i="12"/>
  <c r="L140" i="12"/>
  <c r="AE137" i="12"/>
  <c r="AA135" i="12"/>
  <c r="D135" i="12"/>
  <c r="M133" i="12"/>
  <c r="W132" i="12"/>
  <c r="S130" i="12"/>
  <c r="O127" i="12"/>
  <c r="AE125" i="12"/>
  <c r="K125" i="12"/>
  <c r="U123" i="12"/>
  <c r="AC122" i="12"/>
  <c r="G122" i="12"/>
  <c r="W120" i="12"/>
  <c r="C120" i="12"/>
  <c r="U117" i="12"/>
  <c r="O115" i="12"/>
  <c r="AC113" i="12"/>
  <c r="M112" i="12"/>
  <c r="AB110" i="12"/>
  <c r="G110" i="12"/>
  <c r="E107" i="12"/>
  <c r="T105" i="12"/>
  <c r="E103" i="12"/>
  <c r="L100" i="12"/>
  <c r="AE97" i="12"/>
  <c r="AA95" i="12"/>
  <c r="D95" i="12"/>
  <c r="M93" i="12"/>
  <c r="W92" i="12"/>
  <c r="S90" i="12"/>
  <c r="O87" i="12"/>
  <c r="AE85" i="12"/>
  <c r="K85" i="12"/>
  <c r="U83" i="12"/>
  <c r="AC82" i="12"/>
  <c r="G82" i="12"/>
  <c r="W80" i="12"/>
  <c r="C80" i="12"/>
  <c r="U77" i="12"/>
  <c r="O75" i="12"/>
  <c r="AC73" i="12"/>
  <c r="M72" i="12"/>
  <c r="AB70" i="12"/>
  <c r="G70" i="12"/>
  <c r="E67" i="12"/>
  <c r="T65" i="12"/>
  <c r="E63" i="12"/>
  <c r="L60" i="12"/>
  <c r="AE57" i="12"/>
  <c r="AA55" i="12"/>
  <c r="D55" i="12"/>
  <c r="M53" i="12"/>
  <c r="W52" i="12"/>
  <c r="S50" i="12"/>
  <c r="O47" i="12"/>
  <c r="AE45" i="12"/>
  <c r="K45" i="12"/>
  <c r="U43" i="12"/>
  <c r="AC42" i="12"/>
  <c r="G42" i="12"/>
  <c r="W40" i="12"/>
  <c r="C40" i="12"/>
  <c r="U37" i="12"/>
  <c r="O35" i="12"/>
  <c r="AC33" i="12"/>
  <c r="M32" i="12"/>
  <c r="AB30" i="12"/>
  <c r="G30" i="12"/>
  <c r="E27" i="12"/>
  <c r="T25" i="12"/>
  <c r="E23" i="12"/>
  <c r="L20" i="12"/>
  <c r="E17" i="12"/>
  <c r="AE15" i="12"/>
  <c r="W965" i="12"/>
  <c r="W925" i="12"/>
  <c r="W885" i="12"/>
  <c r="W845" i="12"/>
  <c r="W805" i="12"/>
  <c r="W765" i="12"/>
  <c r="W725" i="12"/>
  <c r="E713" i="12"/>
  <c r="G690" i="12"/>
  <c r="T685" i="12"/>
  <c r="D675" i="12"/>
  <c r="L670" i="12"/>
  <c r="AE665" i="12"/>
  <c r="L640" i="12"/>
  <c r="AA635" i="12"/>
  <c r="AC613" i="12"/>
  <c r="AB610" i="12"/>
  <c r="M607" i="12"/>
  <c r="AC603" i="12"/>
  <c r="AB600" i="12"/>
  <c r="S585" i="12"/>
  <c r="O582" i="12"/>
  <c r="O570" i="12"/>
  <c r="M567" i="12"/>
  <c r="AC563" i="12"/>
  <c r="AB560" i="12"/>
  <c r="S545" i="12"/>
  <c r="O542" i="12"/>
  <c r="O530" i="12"/>
  <c r="M527" i="12"/>
  <c r="AC523" i="12"/>
  <c r="AB520" i="12"/>
  <c r="S505" i="12"/>
  <c r="O502" i="12"/>
  <c r="O490" i="12"/>
  <c r="M487" i="12"/>
  <c r="AC483" i="12"/>
  <c r="AB480" i="12"/>
  <c r="S465" i="12"/>
  <c r="O462" i="12"/>
  <c r="O450" i="12"/>
  <c r="M447" i="12"/>
  <c r="AC443" i="12"/>
  <c r="AB440" i="12"/>
  <c r="S425" i="12"/>
  <c r="O422" i="12"/>
  <c r="O410" i="12"/>
  <c r="M407" i="12"/>
  <c r="AC403" i="12"/>
  <c r="AB400" i="12"/>
  <c r="S385" i="12"/>
  <c r="O382" i="12"/>
  <c r="O370" i="12"/>
  <c r="M367" i="12"/>
  <c r="G362" i="12"/>
  <c r="C360" i="12"/>
  <c r="U357" i="12"/>
  <c r="M352" i="12"/>
  <c r="D350" i="12"/>
  <c r="T345" i="12"/>
  <c r="S340" i="12"/>
  <c r="AE335" i="12"/>
  <c r="U333" i="12"/>
  <c r="G322" i="12"/>
  <c r="C320" i="12"/>
  <c r="U317" i="12"/>
  <c r="L315" i="12"/>
  <c r="AE312" i="12"/>
  <c r="AA310" i="12"/>
  <c r="D310" i="12"/>
  <c r="M308" i="12"/>
  <c r="W307" i="12"/>
  <c r="S305" i="12"/>
  <c r="O302" i="12"/>
  <c r="AE300" i="12"/>
  <c r="K300" i="12"/>
  <c r="U298" i="12"/>
  <c r="AC297" i="12"/>
  <c r="G297" i="12"/>
  <c r="W295" i="12"/>
  <c r="C295" i="12"/>
  <c r="U292" i="12"/>
  <c r="O290" i="12"/>
  <c r="AC288" i="12"/>
  <c r="M287" i="12"/>
  <c r="AB285" i="12"/>
  <c r="G285" i="12"/>
  <c r="E282" i="12"/>
  <c r="T280" i="12"/>
  <c r="E278" i="12"/>
  <c r="L275" i="12"/>
  <c r="AE272" i="12"/>
  <c r="AA270" i="12"/>
  <c r="D270" i="12"/>
  <c r="M268" i="12"/>
  <c r="W267" i="12"/>
  <c r="S265" i="12"/>
  <c r="O262" i="12"/>
  <c r="AE260" i="12"/>
  <c r="K260" i="12"/>
  <c r="U258" i="12"/>
  <c r="AC257" i="12"/>
  <c r="G257" i="12"/>
  <c r="W255" i="12"/>
  <c r="C255" i="12"/>
  <c r="U252" i="12"/>
  <c r="O250" i="12"/>
  <c r="AC248" i="12"/>
  <c r="M247" i="12"/>
  <c r="AB245" i="12"/>
  <c r="G245" i="12"/>
  <c r="E242" i="12"/>
  <c r="T240" i="12"/>
  <c r="E238" i="12"/>
  <c r="L235" i="12"/>
  <c r="AE232" i="12"/>
  <c r="AA230" i="12"/>
  <c r="D230" i="12"/>
  <c r="M228" i="12"/>
  <c r="W227" i="12"/>
  <c r="S225" i="12"/>
  <c r="O222" i="12"/>
  <c r="AE220" i="12"/>
  <c r="K220" i="12"/>
  <c r="U218" i="12"/>
  <c r="AC217" i="12"/>
  <c r="G217" i="12"/>
  <c r="W215" i="12"/>
  <c r="C215" i="12"/>
  <c r="U212" i="12"/>
  <c r="O210" i="12"/>
  <c r="AC208" i="12"/>
  <c r="M207" i="12"/>
  <c r="AB205" i="12"/>
  <c r="G205" i="12"/>
  <c r="E202" i="12"/>
  <c r="T200" i="12"/>
  <c r="E198" i="12"/>
  <c r="L195" i="12"/>
  <c r="AE192" i="12"/>
  <c r="AA190" i="12"/>
  <c r="D190" i="12"/>
  <c r="M188" i="12"/>
  <c r="W187" i="12"/>
  <c r="S185" i="12"/>
  <c r="O182" i="12"/>
  <c r="AE180" i="12"/>
  <c r="K180" i="12"/>
  <c r="U178" i="12"/>
  <c r="AC177" i="12"/>
  <c r="G177" i="12"/>
  <c r="W175" i="12"/>
  <c r="C175" i="12"/>
  <c r="U172" i="12"/>
  <c r="O170" i="12"/>
  <c r="AC168" i="12"/>
  <c r="M167" i="12"/>
  <c r="AB165" i="12"/>
  <c r="G165" i="12"/>
  <c r="E162" i="12"/>
  <c r="T160" i="12"/>
  <c r="E158" i="12"/>
  <c r="L155" i="12"/>
  <c r="AE152" i="12"/>
  <c r="AA150" i="12"/>
  <c r="D150" i="12"/>
  <c r="M148" i="12"/>
  <c r="W147" i="12"/>
  <c r="S145" i="12"/>
  <c r="O142" i="12"/>
  <c r="AE140" i="12"/>
  <c r="K140" i="12"/>
  <c r="U138" i="12"/>
  <c r="AC137" i="12"/>
  <c r="G137" i="12"/>
  <c r="W135" i="12"/>
  <c r="C135" i="12"/>
  <c r="U132" i="12"/>
  <c r="O130" i="12"/>
  <c r="AC128" i="12"/>
  <c r="M127" i="12"/>
  <c r="AB125" i="12"/>
  <c r="G125" i="12"/>
  <c r="E122" i="12"/>
  <c r="T120" i="12"/>
  <c r="E118" i="12"/>
  <c r="L115" i="12"/>
  <c r="AE112" i="12"/>
  <c r="AA110" i="12"/>
  <c r="D110" i="12"/>
  <c r="M108" i="12"/>
  <c r="W107" i="12"/>
  <c r="S105" i="12"/>
  <c r="O102" i="12"/>
  <c r="AE100" i="12"/>
  <c r="K100" i="12"/>
  <c r="U98" i="12"/>
  <c r="AC97" i="12"/>
  <c r="G97" i="12"/>
  <c r="W95" i="12"/>
  <c r="C95" i="12"/>
  <c r="U92" i="12"/>
  <c r="O90" i="12"/>
  <c r="AC88" i="12"/>
  <c r="M87" i="12"/>
  <c r="AB85" i="12"/>
  <c r="G85" i="12"/>
  <c r="E82" i="12"/>
  <c r="T80" i="12"/>
  <c r="E78" i="12"/>
  <c r="L75" i="12"/>
  <c r="AE72" i="12"/>
  <c r="AA70" i="12"/>
  <c r="D70" i="12"/>
  <c r="M68" i="12"/>
  <c r="W67" i="12"/>
  <c r="S65" i="12"/>
  <c r="O62" i="12"/>
  <c r="AE60" i="12"/>
  <c r="K60" i="12"/>
  <c r="U58" i="12"/>
  <c r="AC57" i="12"/>
  <c r="G57" i="12"/>
  <c r="W55" i="12"/>
  <c r="C55" i="12"/>
  <c r="U52" i="12"/>
  <c r="O50" i="12"/>
  <c r="AC48" i="12"/>
  <c r="M47" i="12"/>
  <c r="AB45" i="12"/>
  <c r="G45" i="12"/>
  <c r="E42" i="12"/>
  <c r="T40" i="12"/>
  <c r="E38" i="12"/>
  <c r="L35" i="12"/>
  <c r="AE32" i="12"/>
  <c r="AA30" i="12"/>
  <c r="D30" i="12"/>
  <c r="M28" i="12"/>
  <c r="W27" i="12"/>
  <c r="S25" i="12"/>
  <c r="O22" i="12"/>
  <c r="AE20" i="12"/>
  <c r="K20" i="12"/>
  <c r="AC18" i="12"/>
  <c r="W17" i="12"/>
  <c r="AB15" i="12"/>
  <c r="G15" i="12"/>
  <c r="AE1052" i="12"/>
  <c r="AC958" i="12"/>
  <c r="AC918" i="12"/>
  <c r="AC878" i="12"/>
  <c r="AC838" i="12"/>
  <c r="AC798" i="12"/>
  <c r="AC758" i="12"/>
  <c r="K665" i="12"/>
  <c r="G650" i="12"/>
  <c r="T645" i="12"/>
  <c r="D635" i="12"/>
  <c r="L630" i="12"/>
  <c r="AE625" i="12"/>
  <c r="O617" i="12"/>
  <c r="E613" i="12"/>
  <c r="S610" i="12"/>
  <c r="T600" i="12"/>
  <c r="AA590" i="12"/>
  <c r="AE587" i="12"/>
  <c r="D585" i="12"/>
  <c r="U578" i="12"/>
  <c r="AE575" i="12"/>
  <c r="C570" i="12"/>
  <c r="T560" i="12"/>
  <c r="AA550" i="12"/>
  <c r="AE547" i="12"/>
  <c r="D545" i="12"/>
  <c r="U538" i="12"/>
  <c r="AE535" i="12"/>
  <c r="C530" i="12"/>
  <c r="T520" i="12"/>
  <c r="AA510" i="12"/>
  <c r="AE507" i="12"/>
  <c r="D505" i="12"/>
  <c r="U498" i="12"/>
  <c r="AE495" i="12"/>
  <c r="C490" i="12"/>
  <c r="T480" i="12"/>
  <c r="AA470" i="12"/>
  <c r="AE467" i="12"/>
  <c r="D465" i="12"/>
  <c r="U458" i="12"/>
  <c r="AE455" i="12"/>
  <c r="C450" i="12"/>
  <c r="T440" i="12"/>
  <c r="AA430" i="12"/>
  <c r="AE427" i="12"/>
  <c r="D425" i="12"/>
  <c r="U418" i="12"/>
  <c r="AE415" i="12"/>
  <c r="C410" i="12"/>
  <c r="T400" i="12"/>
  <c r="AA390" i="12"/>
  <c r="AE387" i="12"/>
  <c r="D385" i="12"/>
  <c r="U378" i="12"/>
  <c r="AE375" i="12"/>
  <c r="C370" i="12"/>
  <c r="AC363" i="12"/>
  <c r="E362" i="12"/>
  <c r="W347" i="12"/>
  <c r="S345" i="12"/>
  <c r="W342" i="12"/>
  <c r="L340" i="12"/>
  <c r="AE337" i="12"/>
  <c r="AA335" i="12"/>
  <c r="M333" i="12"/>
  <c r="AC328" i="12"/>
  <c r="AC323" i="12"/>
  <c r="E322" i="12"/>
  <c r="AE315" i="12"/>
  <c r="K315" i="12"/>
  <c r="U313" i="12"/>
  <c r="AC312" i="12"/>
  <c r="G312" i="12"/>
  <c r="W310" i="12"/>
  <c r="C310" i="12"/>
  <c r="U307" i="12"/>
  <c r="O305" i="12"/>
  <c r="AC303" i="12"/>
  <c r="M302" i="12"/>
  <c r="AB300" i="12"/>
  <c r="G300" i="12"/>
  <c r="E297" i="12"/>
  <c r="T295" i="12"/>
  <c r="E293" i="12"/>
  <c r="L290" i="12"/>
  <c r="AE287" i="12"/>
  <c r="AA285" i="12"/>
  <c r="D285" i="12"/>
  <c r="M283" i="12"/>
  <c r="W282" i="12"/>
  <c r="S280" i="12"/>
  <c r="O277" i="12"/>
  <c r="AE275" i="12"/>
  <c r="K275" i="12"/>
  <c r="U273" i="12"/>
  <c r="G272" i="12"/>
  <c r="W270" i="12"/>
  <c r="U267" i="12"/>
  <c r="E1142" i="12"/>
  <c r="AE717" i="12"/>
  <c r="AE705" i="12"/>
  <c r="AA660" i="12"/>
  <c r="K625" i="12"/>
  <c r="D610" i="12"/>
  <c r="G600" i="12"/>
  <c r="E597" i="12"/>
  <c r="E593" i="12"/>
  <c r="L590" i="12"/>
  <c r="W587" i="12"/>
  <c r="W575" i="12"/>
  <c r="AC572" i="12"/>
  <c r="G560" i="12"/>
  <c r="E557" i="12"/>
  <c r="E553" i="12"/>
  <c r="L550" i="12"/>
  <c r="W547" i="12"/>
  <c r="W535" i="12"/>
  <c r="AC532" i="12"/>
  <c r="G520" i="12"/>
  <c r="E517" i="12"/>
  <c r="E513" i="12"/>
  <c r="L510" i="12"/>
  <c r="W507" i="12"/>
  <c r="W495" i="12"/>
  <c r="AC492" i="12"/>
  <c r="G480" i="12"/>
  <c r="E477" i="12"/>
  <c r="E473" i="12"/>
  <c r="L470" i="12"/>
  <c r="W467" i="12"/>
  <c r="W455" i="12"/>
  <c r="AC452" i="12"/>
  <c r="G440" i="12"/>
  <c r="E437" i="12"/>
  <c r="E433" i="12"/>
  <c r="L430" i="12"/>
  <c r="W427" i="12"/>
  <c r="W415" i="12"/>
  <c r="AC412" i="12"/>
  <c r="G400" i="12"/>
  <c r="E397" i="12"/>
  <c r="E393" i="12"/>
  <c r="L390" i="12"/>
  <c r="W387" i="12"/>
  <c r="W375" i="12"/>
  <c r="AC372" i="12"/>
  <c r="U363" i="12"/>
  <c r="E357" i="12"/>
  <c r="AC353" i="12"/>
  <c r="D345" i="12"/>
  <c r="K340" i="12"/>
  <c r="AC337" i="12"/>
  <c r="W335" i="12"/>
  <c r="AE325" i="12"/>
  <c r="U323" i="12"/>
  <c r="M317" i="12"/>
  <c r="AB315" i="12"/>
  <c r="G315" i="12"/>
  <c r="E312" i="12"/>
  <c r="T310" i="12"/>
  <c r="E308" i="12"/>
  <c r="L305" i="12"/>
  <c r="AE302" i="12"/>
  <c r="AA300" i="12"/>
  <c r="D300" i="12"/>
  <c r="M298" i="12"/>
  <c r="W297" i="12"/>
  <c r="S295" i="12"/>
  <c r="O292" i="12"/>
  <c r="AE290" i="12"/>
  <c r="K290" i="12"/>
  <c r="U288" i="12"/>
  <c r="AC287" i="12"/>
  <c r="G287" i="12"/>
  <c r="W285" i="12"/>
  <c r="C285" i="12"/>
  <c r="U282" i="12"/>
  <c r="O280" i="12"/>
  <c r="AC278" i="12"/>
  <c r="M277" i="12"/>
  <c r="AB275" i="12"/>
  <c r="G275" i="12"/>
  <c r="E272" i="12"/>
  <c r="T270" i="12"/>
  <c r="E268" i="12"/>
  <c r="L265" i="12"/>
  <c r="AE262" i="12"/>
  <c r="AA260" i="12"/>
  <c r="D260" i="12"/>
  <c r="M258" i="12"/>
  <c r="W257" i="12"/>
  <c r="S255" i="12"/>
  <c r="O252" i="12"/>
  <c r="AE250" i="12"/>
  <c r="K250" i="12"/>
  <c r="U248" i="12"/>
  <c r="AC247" i="12"/>
  <c r="G247" i="12"/>
  <c r="W245" i="12"/>
  <c r="C245" i="12"/>
  <c r="U242" i="12"/>
  <c r="O240" i="12"/>
  <c r="AC238" i="12"/>
  <c r="M237" i="12"/>
  <c r="AB235" i="12"/>
  <c r="G235" i="12"/>
  <c r="E232" i="12"/>
  <c r="T230" i="12"/>
  <c r="E228" i="12"/>
  <c r="L225" i="12"/>
  <c r="AE222" i="12"/>
  <c r="AA220" i="12"/>
  <c r="D220" i="12"/>
  <c r="M218" i="12"/>
  <c r="W217" i="12"/>
  <c r="S215" i="12"/>
  <c r="O212" i="12"/>
  <c r="AE210" i="12"/>
  <c r="K210" i="12"/>
  <c r="U208" i="12"/>
  <c r="AC207" i="12"/>
  <c r="G207" i="12"/>
  <c r="W205" i="12"/>
  <c r="C205" i="12"/>
  <c r="U202" i="12"/>
  <c r="O200" i="12"/>
  <c r="AC198" i="12"/>
  <c r="M197" i="12"/>
  <c r="AB195" i="12"/>
  <c r="G195" i="12"/>
  <c r="E192" i="12"/>
  <c r="T190" i="12"/>
  <c r="E188" i="12"/>
  <c r="L185" i="12"/>
  <c r="AE182" i="12"/>
  <c r="AA180" i="12"/>
  <c r="D180" i="12"/>
  <c r="M178" i="12"/>
  <c r="W177" i="12"/>
  <c r="S175" i="12"/>
  <c r="O172" i="12"/>
  <c r="AE170" i="12"/>
  <c r="K170" i="12"/>
  <c r="U168" i="12"/>
  <c r="AC167" i="12"/>
  <c r="G167" i="12"/>
  <c r="W165" i="12"/>
  <c r="C165" i="12"/>
  <c r="U162" i="12"/>
  <c r="O160" i="12"/>
  <c r="AC158" i="12"/>
  <c r="M157" i="12"/>
  <c r="AB155" i="12"/>
  <c r="G155" i="12"/>
  <c r="E152" i="12"/>
  <c r="T150" i="12"/>
  <c r="E148" i="12"/>
  <c r="L145" i="12"/>
  <c r="AE142" i="12"/>
  <c r="AA140" i="12"/>
  <c r="D140" i="12"/>
  <c r="M138" i="12"/>
  <c r="W137" i="12"/>
  <c r="S135" i="12"/>
  <c r="O132" i="12"/>
  <c r="AE130" i="12"/>
  <c r="K130" i="12"/>
  <c r="U128" i="12"/>
  <c r="AC127" i="12"/>
  <c r="G127" i="12"/>
  <c r="W125" i="12"/>
  <c r="C125" i="12"/>
  <c r="U122" i="12"/>
  <c r="O120" i="12"/>
  <c r="AC118" i="12"/>
  <c r="M117" i="12"/>
  <c r="AB115" i="12"/>
  <c r="G115" i="12"/>
  <c r="E112" i="12"/>
  <c r="T110" i="12"/>
  <c r="E108" i="12"/>
  <c r="L105" i="12"/>
  <c r="AE102" i="12"/>
  <c r="AA100" i="12"/>
  <c r="D100" i="12"/>
  <c r="M98" i="12"/>
  <c r="W97" i="12"/>
  <c r="S95" i="12"/>
  <c r="O92" i="12"/>
  <c r="AE90" i="12"/>
  <c r="K90" i="12"/>
  <c r="U88" i="12"/>
  <c r="AC87" i="12"/>
  <c r="G87" i="12"/>
  <c r="W85" i="12"/>
  <c r="C85" i="12"/>
  <c r="U82" i="12"/>
  <c r="O80" i="12"/>
  <c r="AC78" i="12"/>
  <c r="M77" i="12"/>
  <c r="AB75" i="12"/>
  <c r="G75" i="12"/>
  <c r="E72" i="12"/>
  <c r="T70" i="12"/>
  <c r="E68" i="12"/>
  <c r="L65" i="12"/>
  <c r="AE62" i="12"/>
  <c r="AA60" i="12"/>
  <c r="D60" i="12"/>
  <c r="M58" i="12"/>
  <c r="W57" i="12"/>
  <c r="S55" i="12"/>
  <c r="O52" i="12"/>
  <c r="AE50" i="12"/>
  <c r="K50" i="12"/>
  <c r="U48" i="12"/>
  <c r="AC47" i="12"/>
  <c r="G47" i="12"/>
  <c r="W45" i="12"/>
  <c r="C45" i="12"/>
  <c r="U42" i="12"/>
  <c r="O40" i="12"/>
  <c r="AC38" i="12"/>
  <c r="M37" i="12"/>
  <c r="AB35" i="12"/>
  <c r="G35" i="12"/>
  <c r="E32" i="12"/>
  <c r="T30" i="12"/>
  <c r="E28" i="12"/>
  <c r="L25" i="12"/>
  <c r="AE22" i="12"/>
  <c r="AA20" i="12"/>
  <c r="D20" i="12"/>
  <c r="U18" i="12"/>
  <c r="W15" i="12"/>
  <c r="C15" i="12"/>
  <c r="T15" i="12"/>
  <c r="S15" i="12"/>
  <c r="AE27" i="12"/>
  <c r="AB1065" i="12"/>
  <c r="S990" i="12"/>
  <c r="U983" i="12"/>
  <c r="S950" i="12"/>
  <c r="U943" i="12"/>
  <c r="S910" i="12"/>
  <c r="U903" i="12"/>
  <c r="S870" i="12"/>
  <c r="U863" i="12"/>
  <c r="S830" i="12"/>
  <c r="U823" i="12"/>
  <c r="S790" i="12"/>
  <c r="U783" i="12"/>
  <c r="S750" i="12"/>
  <c r="U743" i="12"/>
  <c r="U693" i="12"/>
  <c r="AE677" i="12"/>
  <c r="E673" i="12"/>
  <c r="AA620" i="12"/>
  <c r="AE612" i="12"/>
  <c r="AB605" i="12"/>
  <c r="D590" i="12"/>
  <c r="K575" i="12"/>
  <c r="U572" i="12"/>
  <c r="AB565" i="12"/>
  <c r="D550" i="12"/>
  <c r="K535" i="12"/>
  <c r="U532" i="12"/>
  <c r="AB525" i="12"/>
  <c r="D510" i="12"/>
  <c r="K495" i="12"/>
  <c r="U492" i="12"/>
  <c r="AB485" i="12"/>
  <c r="D470" i="12"/>
  <c r="K455" i="12"/>
  <c r="U452" i="12"/>
  <c r="AB445" i="12"/>
  <c r="D430" i="12"/>
  <c r="K415" i="12"/>
  <c r="U412" i="12"/>
  <c r="AB405" i="12"/>
  <c r="D390" i="12"/>
  <c r="K375" i="12"/>
  <c r="U372" i="12"/>
  <c r="AB365" i="12"/>
  <c r="E347" i="12"/>
  <c r="O342" i="12"/>
  <c r="O337" i="12"/>
  <c r="K335" i="12"/>
  <c r="W330" i="12"/>
  <c r="AB325" i="12"/>
  <c r="AA315" i="12"/>
  <c r="D315" i="12"/>
  <c r="M313" i="12"/>
  <c r="W312" i="12"/>
  <c r="S310" i="12"/>
  <c r="O307" i="12"/>
  <c r="AE305" i="12"/>
  <c r="K305" i="12"/>
  <c r="U303" i="12"/>
  <c r="AC302" i="12"/>
  <c r="G302" i="12"/>
  <c r="W300" i="12"/>
  <c r="C300" i="12"/>
  <c r="U297" i="12"/>
  <c r="O295" i="12"/>
  <c r="AC293" i="12"/>
  <c r="M292" i="12"/>
  <c r="AB290" i="12"/>
  <c r="G290" i="12"/>
  <c r="E287" i="12"/>
  <c r="T285" i="12"/>
  <c r="E283" i="12"/>
  <c r="L280" i="12"/>
  <c r="AE277" i="12"/>
  <c r="AA275" i="12"/>
  <c r="D275" i="12"/>
  <c r="M273" i="12"/>
  <c r="W272" i="12"/>
  <c r="S270" i="12"/>
  <c r="O267" i="12"/>
  <c r="AE265" i="12"/>
  <c r="K265" i="12"/>
  <c r="U263" i="12"/>
  <c r="AC262" i="12"/>
  <c r="G262" i="12"/>
  <c r="W260" i="12"/>
  <c r="C260" i="12"/>
  <c r="U257" i="12"/>
  <c r="O255" i="12"/>
  <c r="AC253" i="12"/>
  <c r="M252" i="12"/>
  <c r="AB250" i="12"/>
  <c r="G250" i="12"/>
  <c r="E247" i="12"/>
  <c r="T245" i="12"/>
  <c r="E243" i="12"/>
  <c r="L240" i="12"/>
  <c r="AE237" i="12"/>
  <c r="AA235" i="12"/>
  <c r="D235" i="12"/>
  <c r="M233" i="12"/>
  <c r="W232" i="12"/>
  <c r="S230" i="12"/>
  <c r="O227" i="12"/>
  <c r="AE225" i="12"/>
  <c r="K225" i="12"/>
  <c r="U223" i="12"/>
  <c r="AC222" i="12"/>
  <c r="G222" i="12"/>
  <c r="W220" i="12"/>
  <c r="C220" i="12"/>
  <c r="U217" i="12"/>
  <c r="O215" i="12"/>
  <c r="AC213" i="12"/>
  <c r="M212" i="12"/>
  <c r="AB210" i="12"/>
  <c r="G210" i="12"/>
  <c r="E207" i="12"/>
  <c r="T205" i="12"/>
  <c r="E203" i="12"/>
  <c r="L200" i="12"/>
  <c r="AE197" i="12"/>
  <c r="AA195" i="12"/>
  <c r="D195" i="12"/>
  <c r="M193" i="12"/>
  <c r="W192" i="12"/>
  <c r="S190" i="12"/>
  <c r="O187" i="12"/>
  <c r="AE185" i="12"/>
  <c r="K185" i="12"/>
  <c r="U183" i="12"/>
  <c r="AC182" i="12"/>
  <c r="G182" i="12"/>
  <c r="W180" i="12"/>
  <c r="C180" i="12"/>
  <c r="U177" i="12"/>
  <c r="O175" i="12"/>
  <c r="AC173" i="12"/>
  <c r="M172" i="12"/>
  <c r="AB170" i="12"/>
  <c r="G170" i="12"/>
  <c r="E167" i="12"/>
  <c r="T165" i="12"/>
  <c r="E163" i="12"/>
  <c r="L160" i="12"/>
  <c r="AE157" i="12"/>
  <c r="AA155" i="12"/>
  <c r="D155" i="12"/>
  <c r="M153" i="12"/>
  <c r="W152" i="12"/>
  <c r="S150" i="12"/>
  <c r="O147" i="12"/>
  <c r="AE145" i="12"/>
  <c r="K145" i="12"/>
  <c r="U143" i="12"/>
  <c r="AC142" i="12"/>
  <c r="G142" i="12"/>
  <c r="W140" i="12"/>
  <c r="C140" i="12"/>
  <c r="U137" i="12"/>
  <c r="O135" i="12"/>
  <c r="AC133" i="12"/>
  <c r="M132" i="12"/>
  <c r="AB130" i="12"/>
  <c r="G130" i="12"/>
  <c r="E127" i="12"/>
  <c r="T125" i="12"/>
  <c r="E123" i="12"/>
  <c r="L120" i="12"/>
  <c r="AE117" i="12"/>
  <c r="AA115" i="12"/>
  <c r="D115" i="12"/>
  <c r="M113" i="12"/>
  <c r="W112" i="12"/>
  <c r="S110" i="12"/>
  <c r="O107" i="12"/>
  <c r="AE105" i="12"/>
  <c r="K105" i="12"/>
  <c r="U103" i="12"/>
  <c r="AC102" i="12"/>
  <c r="G102" i="12"/>
  <c r="W100" i="12"/>
  <c r="C100" i="12"/>
  <c r="U97" i="12"/>
  <c r="O95" i="12"/>
  <c r="AC93" i="12"/>
  <c r="M92" i="12"/>
  <c r="AB90" i="12"/>
  <c r="G90" i="12"/>
  <c r="E87" i="12"/>
  <c r="T85" i="12"/>
  <c r="E83" i="12"/>
  <c r="L80" i="12"/>
  <c r="AE77" i="12"/>
  <c r="AA75" i="12"/>
  <c r="D75" i="12"/>
  <c r="M73" i="12"/>
  <c r="W72" i="12"/>
  <c r="S70" i="12"/>
  <c r="O67" i="12"/>
  <c r="AE65" i="12"/>
  <c r="K65" i="12"/>
  <c r="U63" i="12"/>
  <c r="AC62" i="12"/>
  <c r="G62" i="12"/>
  <c r="W60" i="12"/>
  <c r="C60" i="12"/>
  <c r="U57" i="12"/>
  <c r="O55" i="12"/>
  <c r="AC53" i="12"/>
  <c r="M52" i="12"/>
  <c r="AB50" i="12"/>
  <c r="G50" i="12"/>
  <c r="E47" i="12"/>
  <c r="T45" i="12"/>
  <c r="E43" i="12"/>
  <c r="L40" i="12"/>
  <c r="AE37" i="12"/>
  <c r="AA35" i="12"/>
  <c r="D35" i="12"/>
  <c r="M33" i="12"/>
  <c r="W32" i="12"/>
  <c r="S30" i="12"/>
  <c r="O27" i="12"/>
  <c r="AE25" i="12"/>
  <c r="K25" i="12"/>
  <c r="U23" i="12"/>
  <c r="AC22" i="12"/>
  <c r="G22" i="12"/>
  <c r="W20" i="12"/>
  <c r="C20" i="12"/>
  <c r="AA25" i="12"/>
  <c r="C1155" i="12"/>
  <c r="O1110" i="12"/>
  <c r="U962" i="12"/>
  <c r="U922" i="12"/>
  <c r="U882" i="12"/>
  <c r="U842" i="12"/>
  <c r="U802" i="12"/>
  <c r="U762" i="12"/>
  <c r="AC687" i="12"/>
  <c r="M682" i="12"/>
  <c r="U663" i="12"/>
  <c r="U653" i="12"/>
  <c r="AE637" i="12"/>
  <c r="E633" i="12"/>
  <c r="T615" i="12"/>
  <c r="O612" i="12"/>
  <c r="O605" i="12"/>
  <c r="M602" i="12"/>
  <c r="AE592" i="12"/>
  <c r="M583" i="12"/>
  <c r="AE580" i="12"/>
  <c r="AC577" i="12"/>
  <c r="C575" i="12"/>
  <c r="G572" i="12"/>
  <c r="AC568" i="12"/>
  <c r="O565" i="12"/>
  <c r="M562" i="12"/>
  <c r="AE552" i="12"/>
  <c r="M543" i="12"/>
  <c r="AE540" i="12"/>
  <c r="AC537" i="12"/>
  <c r="C535" i="12"/>
  <c r="G532" i="12"/>
  <c r="AC528" i="12"/>
  <c r="O525" i="12"/>
  <c r="M522" i="12"/>
  <c r="AE512" i="12"/>
  <c r="M503" i="12"/>
  <c r="AE500" i="12"/>
  <c r="AC497" i="12"/>
  <c r="C495" i="12"/>
  <c r="G492" i="12"/>
  <c r="AC488" i="12"/>
  <c r="O485" i="12"/>
  <c r="M482" i="12"/>
  <c r="AE472" i="12"/>
  <c r="M463" i="12"/>
  <c r="AE460" i="12"/>
  <c r="AC457" i="12"/>
  <c r="C455" i="12"/>
  <c r="G452" i="12"/>
  <c r="AC448" i="12"/>
  <c r="O445" i="12"/>
  <c r="M442" i="12"/>
  <c r="AE432" i="12"/>
  <c r="M423" i="12"/>
  <c r="AE420" i="12"/>
  <c r="AC417" i="12"/>
  <c r="C415" i="12"/>
  <c r="G412" i="12"/>
  <c r="AC408" i="12"/>
  <c r="O405" i="12"/>
  <c r="M402" i="12"/>
  <c r="AE392" i="12"/>
  <c r="M383" i="12"/>
  <c r="AE380" i="12"/>
  <c r="AC377" i="12"/>
  <c r="C375" i="12"/>
  <c r="G372" i="12"/>
  <c r="AC368" i="12"/>
  <c r="O365" i="12"/>
  <c r="AB360" i="12"/>
  <c r="E353" i="12"/>
  <c r="AB350" i="12"/>
  <c r="D335" i="12"/>
  <c r="AC332" i="12"/>
  <c r="S330" i="12"/>
  <c r="O325" i="12"/>
  <c r="AB320" i="12"/>
  <c r="G317" i="12"/>
  <c r="W315" i="12"/>
  <c r="C315" i="12"/>
  <c r="U312" i="12"/>
  <c r="O310" i="12"/>
  <c r="AC308" i="12"/>
  <c r="M307" i="12"/>
  <c r="AB305" i="12"/>
  <c r="G305" i="12"/>
  <c r="E302" i="12"/>
  <c r="T300" i="12"/>
  <c r="E298" i="12"/>
  <c r="L295" i="12"/>
  <c r="AE292" i="12"/>
  <c r="AA290" i="12"/>
  <c r="D290" i="12"/>
  <c r="M288" i="12"/>
  <c r="W287" i="12"/>
  <c r="S285" i="12"/>
  <c r="O282" i="12"/>
  <c r="AE280" i="12"/>
  <c r="K280" i="12"/>
  <c r="U278" i="12"/>
  <c r="AC277" i="12"/>
  <c r="G277" i="12"/>
  <c r="W275" i="12"/>
  <c r="C275" i="12"/>
  <c r="U272" i="12"/>
  <c r="O270" i="12"/>
  <c r="AC268" i="12"/>
  <c r="M267" i="12"/>
  <c r="AB265" i="12"/>
  <c r="G265" i="12"/>
  <c r="E262" i="12"/>
  <c r="T260" i="12"/>
  <c r="E258" i="12"/>
  <c r="L255" i="12"/>
  <c r="AE252" i="12"/>
  <c r="AA250" i="12"/>
  <c r="D250" i="12"/>
  <c r="M248" i="12"/>
  <c r="W247" i="12"/>
  <c r="S245" i="12"/>
  <c r="O242" i="12"/>
  <c r="AE240" i="12"/>
  <c r="K240" i="12"/>
  <c r="U238" i="12"/>
  <c r="AC237" i="12"/>
  <c r="G237" i="12"/>
  <c r="W235" i="12"/>
  <c r="C235" i="12"/>
  <c r="U232" i="12"/>
  <c r="O230" i="12"/>
  <c r="AC228" i="12"/>
  <c r="M227" i="12"/>
  <c r="AB225" i="12"/>
  <c r="G225" i="12"/>
  <c r="E222" i="12"/>
  <c r="T220" i="12"/>
  <c r="E218" i="12"/>
  <c r="L215" i="12"/>
  <c r="AE212" i="12"/>
  <c r="AA210" i="12"/>
  <c r="D210" i="12"/>
  <c r="M208" i="12"/>
  <c r="W207" i="12"/>
  <c r="S205" i="12"/>
  <c r="O202" i="12"/>
  <c r="AE200" i="12"/>
  <c r="K200" i="12"/>
  <c r="U198" i="12"/>
  <c r="AC197" i="12"/>
  <c r="G197" i="12"/>
  <c r="W195" i="12"/>
  <c r="C195" i="12"/>
  <c r="U192" i="12"/>
  <c r="O190" i="12"/>
  <c r="AC188" i="12"/>
  <c r="M187" i="12"/>
  <c r="AB185" i="12"/>
  <c r="G185" i="12"/>
  <c r="E182" i="12"/>
  <c r="T180" i="12"/>
  <c r="E178" i="12"/>
  <c r="L175" i="12"/>
  <c r="AE172" i="12"/>
  <c r="AA170" i="12"/>
  <c r="D170" i="12"/>
  <c r="M168" i="12"/>
  <c r="W167" i="12"/>
  <c r="S165" i="12"/>
  <c r="O162" i="12"/>
  <c r="AE160" i="12"/>
  <c r="K160" i="12"/>
  <c r="U158" i="12"/>
  <c r="AC157" i="12"/>
  <c r="G157" i="12"/>
  <c r="W155" i="12"/>
  <c r="C155" i="12"/>
  <c r="U152" i="12"/>
  <c r="O150" i="12"/>
  <c r="AC148" i="12"/>
  <c r="M147" i="12"/>
  <c r="AB145" i="12"/>
  <c r="G145" i="12"/>
  <c r="E142" i="12"/>
  <c r="T140" i="12"/>
  <c r="E138" i="12"/>
  <c r="L135" i="12"/>
  <c r="AE132" i="12"/>
  <c r="AA130" i="12"/>
  <c r="D130" i="12"/>
  <c r="M128" i="12"/>
  <c r="W127" i="12"/>
  <c r="S125" i="12"/>
  <c r="O122" i="12"/>
  <c r="AE120" i="12"/>
  <c r="K120" i="12"/>
  <c r="U118" i="12"/>
  <c r="AC117" i="12"/>
  <c r="G117" i="12"/>
  <c r="W115" i="12"/>
  <c r="C115" i="12"/>
  <c r="U112" i="12"/>
  <c r="O110" i="12"/>
  <c r="AC108" i="12"/>
  <c r="M107" i="12"/>
  <c r="AB105" i="12"/>
  <c r="G105" i="12"/>
  <c r="E102" i="12"/>
  <c r="T100" i="12"/>
  <c r="E98" i="12"/>
  <c r="L95" i="12"/>
  <c r="AE92" i="12"/>
  <c r="AA90" i="12"/>
  <c r="D90" i="12"/>
  <c r="M88" i="12"/>
  <c r="W87" i="12"/>
  <c r="S85" i="12"/>
  <c r="O82" i="12"/>
  <c r="AE80" i="12"/>
  <c r="K80" i="12"/>
  <c r="U78" i="12"/>
  <c r="AC77" i="12"/>
  <c r="G77" i="12"/>
  <c r="W75" i="12"/>
  <c r="C75" i="12"/>
  <c r="U72" i="12"/>
  <c r="O70" i="12"/>
  <c r="AC68" i="12"/>
  <c r="M67" i="12"/>
  <c r="AB65" i="12"/>
  <c r="G65" i="12"/>
  <c r="E62" i="12"/>
  <c r="T60" i="12"/>
  <c r="E58" i="12"/>
  <c r="L55" i="12"/>
  <c r="AE52" i="12"/>
  <c r="AA50" i="12"/>
  <c r="D50" i="12"/>
  <c r="M48" i="12"/>
  <c r="W47" i="12"/>
  <c r="S45" i="12"/>
  <c r="O42" i="12"/>
  <c r="AE40" i="12"/>
  <c r="K40" i="12"/>
  <c r="U38" i="12"/>
  <c r="AC37" i="12"/>
  <c r="G37" i="12"/>
  <c r="W35" i="12"/>
  <c r="C35" i="12"/>
  <c r="U32" i="12"/>
  <c r="O30" i="12"/>
  <c r="AC28" i="12"/>
  <c r="M27" i="12"/>
  <c r="AB25" i="12"/>
  <c r="G25" i="12"/>
  <c r="E22" i="12"/>
  <c r="T20" i="12"/>
  <c r="G1280" i="12"/>
  <c r="AB995" i="12"/>
  <c r="AB955" i="12"/>
  <c r="AB915" i="12"/>
  <c r="AB875" i="12"/>
  <c r="AB835" i="12"/>
  <c r="AB795" i="12"/>
  <c r="AB755" i="12"/>
  <c r="AA715" i="12"/>
  <c r="U703" i="12"/>
  <c r="M692" i="12"/>
  <c r="G687" i="12"/>
  <c r="W672" i="12"/>
  <c r="AC647" i="12"/>
  <c r="M642" i="12"/>
  <c r="U623" i="12"/>
  <c r="C615" i="12"/>
  <c r="G612" i="12"/>
  <c r="M608" i="12"/>
  <c r="G605" i="12"/>
  <c r="E602" i="12"/>
  <c r="T595" i="12"/>
  <c r="S580" i="12"/>
  <c r="O577" i="12"/>
  <c r="G565" i="12"/>
  <c r="E562" i="12"/>
  <c r="T555" i="12"/>
  <c r="S540" i="12"/>
  <c r="O537" i="12"/>
  <c r="G525" i="12"/>
  <c r="E522" i="12"/>
  <c r="T515" i="12"/>
  <c r="S500" i="12"/>
  <c r="O497" i="12"/>
  <c r="G485" i="12"/>
  <c r="E482" i="12"/>
  <c r="T475" i="12"/>
  <c r="S460" i="12"/>
  <c r="O457" i="12"/>
  <c r="G445" i="12"/>
  <c r="E442" i="12"/>
  <c r="T435" i="12"/>
  <c r="S420" i="12"/>
  <c r="O417" i="12"/>
  <c r="G405" i="12"/>
  <c r="E402" i="12"/>
  <c r="T395" i="12"/>
  <c r="S380" i="12"/>
  <c r="O377" i="12"/>
  <c r="K365" i="12"/>
  <c r="AC362" i="12"/>
  <c r="W360" i="12"/>
  <c r="E358" i="12"/>
  <c r="T355" i="12"/>
  <c r="AA350" i="12"/>
  <c r="M348" i="12"/>
  <c r="M343" i="12"/>
  <c r="G337" i="12"/>
  <c r="C335" i="12"/>
  <c r="W332" i="12"/>
  <c r="O330" i="12"/>
  <c r="U327" i="12"/>
  <c r="K325" i="12"/>
  <c r="AC322" i="12"/>
  <c r="W320" i="12"/>
  <c r="E318" i="12"/>
  <c r="E317" i="12"/>
  <c r="T315" i="12"/>
  <c r="E313" i="12"/>
  <c r="L310" i="12"/>
  <c r="AE307" i="12"/>
  <c r="AA305" i="12"/>
  <c r="D305" i="12"/>
  <c r="M303" i="12"/>
  <c r="W302" i="12"/>
  <c r="S300" i="12"/>
  <c r="O297" i="12"/>
  <c r="AE295" i="12"/>
  <c r="K295" i="12"/>
  <c r="U293" i="12"/>
  <c r="AC292" i="12"/>
  <c r="G292" i="12"/>
  <c r="W290" i="12"/>
  <c r="C290" i="12"/>
  <c r="U287" i="12"/>
  <c r="O285" i="12"/>
  <c r="AC283" i="12"/>
  <c r="M282" i="12"/>
  <c r="AB280" i="12"/>
  <c r="G280" i="12"/>
  <c r="E277" i="12"/>
  <c r="T275" i="12"/>
  <c r="E273" i="12"/>
  <c r="L270" i="12"/>
  <c r="AE267" i="12"/>
  <c r="AA265" i="12"/>
  <c r="D265" i="12"/>
  <c r="M263" i="12"/>
  <c r="W262" i="12"/>
  <c r="S260" i="12"/>
  <c r="O257" i="12"/>
  <c r="AE255" i="12"/>
  <c r="K255" i="12"/>
  <c r="U253" i="12"/>
  <c r="AC252" i="12"/>
  <c r="G252" i="12"/>
  <c r="W250" i="12"/>
  <c r="C250" i="12"/>
  <c r="U247" i="12"/>
  <c r="O245" i="12"/>
  <c r="AC243" i="12"/>
  <c r="M242" i="12"/>
  <c r="AB240" i="12"/>
  <c r="G240" i="12"/>
  <c r="E237" i="12"/>
  <c r="T235" i="12"/>
  <c r="E233" i="12"/>
  <c r="L230" i="12"/>
  <c r="AE227" i="12"/>
  <c r="AA225" i="12"/>
  <c r="D225" i="12"/>
  <c r="M223" i="12"/>
  <c r="W222" i="12"/>
  <c r="S220" i="12"/>
  <c r="O217" i="12"/>
  <c r="AE215" i="12"/>
  <c r="K215" i="12"/>
  <c r="U213" i="12"/>
  <c r="AC212" i="12"/>
  <c r="G212" i="12"/>
  <c r="W210" i="12"/>
  <c r="C210" i="12"/>
  <c r="U207" i="12"/>
  <c r="O205" i="12"/>
  <c r="AC203" i="12"/>
  <c r="M202" i="12"/>
  <c r="AB200" i="12"/>
  <c r="G200" i="12"/>
  <c r="E197" i="12"/>
  <c r="T195" i="12"/>
  <c r="E193" i="12"/>
  <c r="L190" i="12"/>
  <c r="AE187" i="12"/>
  <c r="AA185" i="12"/>
  <c r="D185" i="12"/>
  <c r="M183" i="12"/>
  <c r="W182" i="12"/>
  <c r="S180" i="12"/>
  <c r="O177" i="12"/>
  <c r="AE175" i="12"/>
  <c r="K175" i="12"/>
  <c r="U173" i="12"/>
  <c r="AC172" i="12"/>
  <c r="G172" i="12"/>
  <c r="W170" i="12"/>
  <c r="C170" i="12"/>
  <c r="U167" i="12"/>
  <c r="O165" i="12"/>
  <c r="AC163" i="12"/>
  <c r="M162" i="12"/>
  <c r="AB160" i="12"/>
  <c r="G160" i="12"/>
  <c r="E157" i="12"/>
  <c r="T155" i="12"/>
  <c r="E153" i="12"/>
  <c r="L150" i="12"/>
  <c r="AE147" i="12"/>
  <c r="AA145" i="12"/>
  <c r="D145" i="12"/>
  <c r="M143" i="12"/>
  <c r="W142" i="12"/>
  <c r="S140" i="12"/>
  <c r="O137" i="12"/>
  <c r="AE135" i="12"/>
  <c r="K135" i="12"/>
  <c r="U133" i="12"/>
  <c r="AC132" i="12"/>
  <c r="G132" i="12"/>
  <c r="W130" i="12"/>
  <c r="C130" i="12"/>
  <c r="U127" i="12"/>
  <c r="O125" i="12"/>
  <c r="AC123" i="12"/>
  <c r="M122" i="12"/>
  <c r="AB120" i="12"/>
  <c r="G120" i="12"/>
  <c r="E117" i="12"/>
  <c r="T115" i="12"/>
  <c r="E113" i="12"/>
  <c r="L110" i="12"/>
  <c r="AE107" i="12"/>
  <c r="AA105" i="12"/>
  <c r="D105" i="12"/>
  <c r="M103" i="12"/>
  <c r="W102" i="12"/>
  <c r="S100" i="12"/>
  <c r="O97" i="12"/>
  <c r="AE95" i="12"/>
  <c r="K95" i="12"/>
  <c r="U93" i="12"/>
  <c r="AC92" i="12"/>
  <c r="G92" i="12"/>
  <c r="W90" i="12"/>
  <c r="C90" i="12"/>
  <c r="U87" i="12"/>
  <c r="O85" i="12"/>
  <c r="AC83" i="12"/>
  <c r="M82" i="12"/>
  <c r="AB80" i="12"/>
  <c r="G80" i="12"/>
  <c r="E77" i="12"/>
  <c r="T75" i="12"/>
  <c r="E73" i="12"/>
  <c r="L70" i="12"/>
  <c r="AE67" i="12"/>
  <c r="AA65" i="12"/>
  <c r="D65" i="12"/>
  <c r="M63" i="12"/>
  <c r="W62" i="12"/>
  <c r="S60" i="12"/>
  <c r="O57" i="12"/>
  <c r="AE55" i="12"/>
  <c r="K55" i="12"/>
  <c r="U53" i="12"/>
  <c r="AC52" i="12"/>
  <c r="G52" i="12"/>
  <c r="W50" i="12"/>
  <c r="C50" i="12"/>
  <c r="U47" i="12"/>
  <c r="O45" i="12"/>
  <c r="AC43" i="12"/>
  <c r="M42" i="12"/>
  <c r="AB40" i="12"/>
  <c r="G40" i="12"/>
  <c r="E37" i="12"/>
  <c r="T35" i="12"/>
  <c r="E33" i="12"/>
  <c r="L30" i="12"/>
  <c r="C30" i="12"/>
  <c r="AE35" i="12"/>
  <c r="M57" i="12"/>
  <c r="AC63" i="12"/>
  <c r="C70" i="12"/>
  <c r="AE75" i="12"/>
  <c r="AE87" i="12"/>
  <c r="O100" i="12"/>
  <c r="G107" i="12"/>
  <c r="AC112" i="12"/>
  <c r="M118" i="12"/>
  <c r="AE127" i="12"/>
  <c r="M137" i="12"/>
  <c r="O140" i="12"/>
  <c r="AC143" i="12"/>
  <c r="G147" i="12"/>
  <c r="C150" i="12"/>
  <c r="AC152" i="12"/>
  <c r="AE155" i="12"/>
  <c r="M158" i="12"/>
  <c r="AE167" i="12"/>
  <c r="M177" i="12"/>
  <c r="O180" i="12"/>
  <c r="AC183" i="12"/>
  <c r="G187" i="12"/>
  <c r="C190" i="12"/>
  <c r="AC192" i="12"/>
  <c r="AE195" i="12"/>
  <c r="M198" i="12"/>
  <c r="AE207" i="12"/>
  <c r="M217" i="12"/>
  <c r="O220" i="12"/>
  <c r="AC223" i="12"/>
  <c r="G227" i="12"/>
  <c r="C230" i="12"/>
  <c r="AC232" i="12"/>
  <c r="AE235" i="12"/>
  <c r="M238" i="12"/>
  <c r="AE247" i="12"/>
  <c r="M257" i="12"/>
  <c r="O260" i="12"/>
  <c r="AC263" i="12"/>
  <c r="G267" i="12"/>
  <c r="AE270" i="12"/>
  <c r="K310" i="12"/>
  <c r="T320" i="12"/>
  <c r="U338" i="12"/>
  <c r="G27" i="12"/>
  <c r="AC32" i="12"/>
  <c r="M38" i="12"/>
  <c r="AE47" i="12"/>
  <c r="O60" i="12"/>
  <c r="G67" i="12"/>
  <c r="AC72" i="12"/>
  <c r="M78" i="12"/>
  <c r="M97" i="12"/>
  <c r="AC103" i="12"/>
  <c r="C110" i="12"/>
  <c r="AE115" i="12"/>
  <c r="M22" i="12"/>
  <c r="U27" i="12"/>
  <c r="K30" i="12"/>
  <c r="D45" i="12"/>
  <c r="AB57" i="12"/>
  <c r="AB60" i="12"/>
  <c r="U67" i="12"/>
  <c r="K70" i="12"/>
  <c r="D85" i="12"/>
  <c r="AB97" i="12"/>
  <c r="AB100" i="12"/>
  <c r="U107" i="12"/>
  <c r="K110" i="12"/>
  <c r="D125" i="12"/>
  <c r="AB137" i="12"/>
  <c r="AB140" i="12"/>
  <c r="U147" i="12"/>
  <c r="K150" i="12"/>
  <c r="D165" i="12"/>
  <c r="AB177" i="12"/>
  <c r="AB180" i="12"/>
  <c r="U187" i="12"/>
  <c r="K190" i="12"/>
  <c r="D205" i="12"/>
  <c r="AB217" i="12"/>
  <c r="AB220" i="12"/>
  <c r="U227" i="12"/>
  <c r="K230" i="12"/>
  <c r="D245" i="12"/>
  <c r="AB257" i="12"/>
  <c r="AB260" i="12"/>
  <c r="AC267" i="12"/>
  <c r="S275" i="12"/>
  <c r="E288" i="12"/>
  <c r="M297" i="12"/>
  <c r="U302" i="12"/>
  <c r="AE310" i="12"/>
  <c r="S315" i="12"/>
  <c r="U332" i="12"/>
  <c r="AE352" i="12"/>
  <c r="E398" i="12"/>
  <c r="K420" i="12"/>
  <c r="L475" i="12"/>
  <c r="G497" i="12"/>
  <c r="E558" i="12"/>
  <c r="K580" i="12"/>
  <c r="O697" i="12"/>
  <c r="E18" i="12"/>
  <c r="U22" i="12"/>
  <c r="AC27" i="12"/>
  <c r="W42" i="12"/>
  <c r="E48" i="12"/>
  <c r="AC67" i="12"/>
  <c r="W82" i="12"/>
  <c r="L85" i="12"/>
  <c r="E92" i="12"/>
  <c r="G95" i="12"/>
  <c r="W110" i="12"/>
  <c r="W122" i="12"/>
  <c r="L125" i="12"/>
  <c r="E128" i="12"/>
  <c r="E132" i="12"/>
  <c r="G135" i="12"/>
  <c r="AC147" i="12"/>
  <c r="W150" i="12"/>
  <c r="W162" i="12"/>
  <c r="L165" i="12"/>
  <c r="E168" i="12"/>
  <c r="E172" i="12"/>
  <c r="G175" i="12"/>
  <c r="AC187" i="12"/>
  <c r="W190" i="12"/>
  <c r="W202" i="12"/>
  <c r="L205" i="12"/>
  <c r="E208" i="12"/>
  <c r="E212" i="12"/>
  <c r="G215" i="12"/>
  <c r="AC227" i="12"/>
  <c r="W230" i="12"/>
  <c r="W242" i="12"/>
  <c r="L245" i="12"/>
  <c r="E248" i="12"/>
  <c r="E252" i="12"/>
  <c r="G255" i="12"/>
  <c r="D280" i="12"/>
  <c r="T293" i="12"/>
  <c r="G307" i="12"/>
  <c r="O327" i="12"/>
  <c r="G365" i="12"/>
  <c r="M652" i="12"/>
  <c r="L720" i="12"/>
  <c r="U17" i="12"/>
  <c r="G20" i="12"/>
  <c r="C25" i="12"/>
  <c r="W30" i="12"/>
  <c r="L45" i="12"/>
  <c r="E52" i="12"/>
  <c r="G55" i="12"/>
  <c r="W70" i="12"/>
  <c r="E88" i="12"/>
  <c r="AC107" i="12"/>
  <c r="D15" i="12"/>
  <c r="AC17" i="12"/>
  <c r="O20" i="12"/>
  <c r="W22" i="12"/>
  <c r="D25" i="12"/>
  <c r="AE30" i="12"/>
  <c r="U33" i="12"/>
  <c r="D40" i="12"/>
  <c r="AE42" i="12"/>
  <c r="AA45" i="12"/>
  <c r="T55" i="12"/>
  <c r="C65" i="12"/>
  <c r="AE70" i="12"/>
  <c r="U73" i="12"/>
  <c r="D80" i="12"/>
  <c r="AE82" i="12"/>
  <c r="AA85" i="12"/>
  <c r="T95" i="12"/>
  <c r="C105" i="12"/>
  <c r="AE110" i="12"/>
  <c r="U113" i="12"/>
  <c r="D120" i="12"/>
  <c r="AE122" i="12"/>
  <c r="AA125" i="12"/>
  <c r="T135" i="12"/>
  <c r="C145" i="12"/>
  <c r="AE150" i="12"/>
  <c r="U153" i="12"/>
  <c r="D160" i="12"/>
  <c r="AE162" i="12"/>
  <c r="AA165" i="12"/>
  <c r="T175" i="12"/>
  <c r="C185" i="12"/>
  <c r="AE190" i="12"/>
  <c r="U193" i="12"/>
  <c r="D200" i="12"/>
  <c r="AE202" i="12"/>
  <c r="AA205" i="12"/>
  <c r="T215" i="12"/>
  <c r="C225" i="12"/>
  <c r="AE230" i="12"/>
  <c r="U233" i="12"/>
  <c r="D240" i="12"/>
  <c r="AE242" i="12"/>
  <c r="AA245" i="12"/>
  <c r="T255" i="12"/>
  <c r="C265" i="12"/>
  <c r="U268" i="12"/>
  <c r="O272" i="12"/>
  <c r="AA280" i="12"/>
  <c r="AC298" i="12"/>
  <c r="AC307" i="12"/>
  <c r="T360" i="12"/>
  <c r="K380" i="12"/>
  <c r="L435" i="12"/>
  <c r="G457" i="12"/>
  <c r="E518" i="12"/>
  <c r="K540" i="12"/>
  <c r="L595" i="12"/>
  <c r="U1008" i="12"/>
  <c r="AC2518" i="12"/>
  <c r="M2517" i="12"/>
  <c r="AB2515" i="12"/>
  <c r="G2515" i="12"/>
  <c r="E2512" i="12"/>
  <c r="T2510" i="12"/>
  <c r="E2508" i="12"/>
  <c r="L2505" i="12"/>
  <c r="AE2502" i="12"/>
  <c r="AA2500" i="12"/>
  <c r="D2500" i="12"/>
  <c r="M2498" i="12"/>
  <c r="W2497" i="12"/>
  <c r="S2495" i="12"/>
  <c r="O2492" i="12"/>
  <c r="AE2490" i="12"/>
  <c r="K2490" i="12"/>
  <c r="U2488" i="12"/>
  <c r="AC2487" i="12"/>
  <c r="G2487" i="12"/>
  <c r="W2485" i="12"/>
  <c r="C2485" i="12"/>
  <c r="U2482" i="12"/>
  <c r="O2480" i="12"/>
  <c r="AC2478" i="12"/>
  <c r="M2477" i="12"/>
  <c r="AB2475" i="12"/>
  <c r="G2475" i="12"/>
  <c r="E2472" i="12"/>
  <c r="T2470" i="12"/>
  <c r="E2468" i="12"/>
  <c r="L2465" i="12"/>
  <c r="AE2462" i="12"/>
  <c r="AA2460" i="12"/>
  <c r="D2460" i="12"/>
  <c r="M2458" i="12"/>
  <c r="W2457" i="12"/>
  <c r="S2455" i="12"/>
  <c r="O2452" i="12"/>
  <c r="AE2450" i="12"/>
  <c r="K2450" i="12"/>
  <c r="U2448" i="12"/>
  <c r="AC2447" i="12"/>
  <c r="G2447" i="12"/>
  <c r="W2445" i="12"/>
  <c r="C2445" i="12"/>
  <c r="U2442" i="12"/>
  <c r="O2440" i="12"/>
  <c r="AC2438" i="12"/>
  <c r="M2437" i="12"/>
  <c r="AB2435" i="12"/>
  <c r="G2435" i="12"/>
  <c r="E2432" i="12"/>
  <c r="T2430" i="12"/>
  <c r="E2428" i="12"/>
  <c r="L2425" i="12"/>
  <c r="AE2422" i="12"/>
  <c r="AA2420" i="12"/>
  <c r="D2420" i="12"/>
  <c r="M2418" i="12"/>
  <c r="W2417" i="12"/>
  <c r="AE2517" i="12"/>
  <c r="AA2515" i="12"/>
  <c r="D2515" i="12"/>
  <c r="M2513" i="12"/>
  <c r="W2512" i="12"/>
  <c r="S2510" i="12"/>
  <c r="O2507" i="12"/>
  <c r="AE2505" i="12"/>
  <c r="K2505" i="12"/>
  <c r="U2503" i="12"/>
  <c r="AC2502" i="12"/>
  <c r="G2502" i="12"/>
  <c r="W2500" i="12"/>
  <c r="C2500" i="12"/>
  <c r="U2497" i="12"/>
  <c r="O2495" i="12"/>
  <c r="AC2493" i="12"/>
  <c r="M2492" i="12"/>
  <c r="AB2490" i="12"/>
  <c r="G2490" i="12"/>
  <c r="E2487" i="12"/>
  <c r="T2485" i="12"/>
  <c r="E2483" i="12"/>
  <c r="L2480" i="12"/>
  <c r="AE2477" i="12"/>
  <c r="AA2475" i="12"/>
  <c r="D2475" i="12"/>
  <c r="M2473" i="12"/>
  <c r="W2472" i="12"/>
  <c r="S2470" i="12"/>
  <c r="O2467" i="12"/>
  <c r="AE2465" i="12"/>
  <c r="K2465" i="12"/>
  <c r="U2463" i="12"/>
  <c r="AC2462" i="12"/>
  <c r="G2462" i="12"/>
  <c r="W2460" i="12"/>
  <c r="C2460" i="12"/>
  <c r="U2457" i="12"/>
  <c r="O2455" i="12"/>
  <c r="AC2453" i="12"/>
  <c r="M2452" i="12"/>
  <c r="AB2450" i="12"/>
  <c r="G2450" i="12"/>
  <c r="E2447" i="12"/>
  <c r="T2445" i="12"/>
  <c r="E2443" i="12"/>
  <c r="L2440" i="12"/>
  <c r="AE2437" i="12"/>
  <c r="AA2435" i="12"/>
  <c r="D2435" i="12"/>
  <c r="M2433" i="12"/>
  <c r="W2432" i="12"/>
  <c r="S2430" i="12"/>
  <c r="O2427" i="12"/>
  <c r="AE2425" i="12"/>
  <c r="K2425" i="12"/>
  <c r="U2423" i="12"/>
  <c r="AC2422" i="12"/>
  <c r="G2422" i="12"/>
  <c r="W2420" i="12"/>
  <c r="C2420" i="12"/>
  <c r="U2417" i="12"/>
  <c r="O2415" i="12"/>
  <c r="U2518" i="12"/>
  <c r="M2518" i="12"/>
  <c r="U2517" i="12"/>
  <c r="O2515" i="12"/>
  <c r="AC2513" i="12"/>
  <c r="M2512" i="12"/>
  <c r="AB2510" i="12"/>
  <c r="G2510" i="12"/>
  <c r="E2507" i="12"/>
  <c r="T2505" i="12"/>
  <c r="E2503" i="12"/>
  <c r="L2500" i="12"/>
  <c r="AE2497" i="12"/>
  <c r="AA2495" i="12"/>
  <c r="D2495" i="12"/>
  <c r="M2493" i="12"/>
  <c r="W2492" i="12"/>
  <c r="S2490" i="12"/>
  <c r="O2487" i="12"/>
  <c r="AE2485" i="12"/>
  <c r="K2485" i="12"/>
  <c r="U2483" i="12"/>
  <c r="AC2482" i="12"/>
  <c r="G2482" i="12"/>
  <c r="W2480" i="12"/>
  <c r="C2480" i="12"/>
  <c r="U2477" i="12"/>
  <c r="O2475" i="12"/>
  <c r="AC2473" i="12"/>
  <c r="M2472" i="12"/>
  <c r="AB2470" i="12"/>
  <c r="G2470" i="12"/>
  <c r="E2467" i="12"/>
  <c r="T2465" i="12"/>
  <c r="E2463" i="12"/>
  <c r="L2460" i="12"/>
  <c r="AE2457" i="12"/>
  <c r="AA2455" i="12"/>
  <c r="D2455" i="12"/>
  <c r="M2453" i="12"/>
  <c r="W2452" i="12"/>
  <c r="S2450" i="12"/>
  <c r="O2447" i="12"/>
  <c r="AE2445" i="12"/>
  <c r="K2445" i="12"/>
  <c r="U2443" i="12"/>
  <c r="AC2442" i="12"/>
  <c r="G2442" i="12"/>
  <c r="W2440" i="12"/>
  <c r="C2440" i="12"/>
  <c r="U2437" i="12"/>
  <c r="O2435" i="12"/>
  <c r="AC2433" i="12"/>
  <c r="M2432" i="12"/>
  <c r="AB2430" i="12"/>
  <c r="G2430" i="12"/>
  <c r="E2427" i="12"/>
  <c r="T2425" i="12"/>
  <c r="E2423" i="12"/>
  <c r="L2420" i="12"/>
  <c r="AE2417" i="12"/>
  <c r="AA2415" i="12"/>
  <c r="D2415" i="12"/>
  <c r="O2517" i="12"/>
  <c r="T2515" i="12"/>
  <c r="U2513" i="12"/>
  <c r="W2510" i="12"/>
  <c r="AC2508" i="12"/>
  <c r="W2507" i="12"/>
  <c r="AB2505" i="12"/>
  <c r="AC2497" i="12"/>
  <c r="C2495" i="12"/>
  <c r="E2492" i="12"/>
  <c r="D2490" i="12"/>
  <c r="E2488" i="12"/>
  <c r="G2485" i="12"/>
  <c r="E2482" i="12"/>
  <c r="S2480" i="12"/>
  <c r="M2478" i="12"/>
  <c r="O2477" i="12"/>
  <c r="T2475" i="12"/>
  <c r="U2473" i="12"/>
  <c r="W2470" i="12"/>
  <c r="AC2468" i="12"/>
  <c r="W2467" i="12"/>
  <c r="AB2465" i="12"/>
  <c r="AC2457" i="12"/>
  <c r="C2455" i="12"/>
  <c r="E2452" i="12"/>
  <c r="D2450" i="12"/>
  <c r="E2448" i="12"/>
  <c r="G2445" i="12"/>
  <c r="E2442" i="12"/>
  <c r="S2440" i="12"/>
  <c r="M2438" i="12"/>
  <c r="O2437" i="12"/>
  <c r="T2435" i="12"/>
  <c r="U2433" i="12"/>
  <c r="W2430" i="12"/>
  <c r="AC2428" i="12"/>
  <c r="W2427" i="12"/>
  <c r="AB2425" i="12"/>
  <c r="AC2417" i="12"/>
  <c r="K2415" i="12"/>
  <c r="E2412" i="12"/>
  <c r="T2410" i="12"/>
  <c r="E2408" i="12"/>
  <c r="E2518" i="12"/>
  <c r="G2517" i="12"/>
  <c r="S2515" i="12"/>
  <c r="O2512" i="12"/>
  <c r="O2510" i="12"/>
  <c r="U2507" i="12"/>
  <c r="AA2505" i="12"/>
  <c r="W2502" i="12"/>
  <c r="AE2500" i="12"/>
  <c r="AE2495" i="12"/>
  <c r="AE2492" i="12"/>
  <c r="C2490" i="12"/>
  <c r="D2485" i="12"/>
  <c r="K2480" i="12"/>
  <c r="E2478" i="12"/>
  <c r="G2477" i="12"/>
  <c r="S2475" i="12"/>
  <c r="O2472" i="12"/>
  <c r="O2470" i="12"/>
  <c r="U2467" i="12"/>
  <c r="AA2465" i="12"/>
  <c r="W2462" i="12"/>
  <c r="AE2460" i="12"/>
  <c r="AE2455" i="12"/>
  <c r="AE2452" i="12"/>
  <c r="C2450" i="12"/>
  <c r="D2445" i="12"/>
  <c r="K2440" i="12"/>
  <c r="E2517" i="12"/>
  <c r="L2515" i="12"/>
  <c r="E2513" i="12"/>
  <c r="L2510" i="12"/>
  <c r="U2508" i="12"/>
  <c r="M2507" i="12"/>
  <c r="W2505" i="12"/>
  <c r="AC2503" i="12"/>
  <c r="U2502" i="12"/>
  <c r="AB2500" i="12"/>
  <c r="AC2498" i="12"/>
  <c r="AB2495" i="12"/>
  <c r="AC2492" i="12"/>
  <c r="AE2487" i="12"/>
  <c r="AE2482" i="12"/>
  <c r="G2480" i="12"/>
  <c r="E2477" i="12"/>
  <c r="L2475" i="12"/>
  <c r="E2473" i="12"/>
  <c r="L2470" i="12"/>
  <c r="U2468" i="12"/>
  <c r="M2467" i="12"/>
  <c r="W2465" i="12"/>
  <c r="AC2463" i="12"/>
  <c r="U2462" i="12"/>
  <c r="AB2460" i="12"/>
  <c r="AC2458" i="12"/>
  <c r="AB2455" i="12"/>
  <c r="AC2452" i="12"/>
  <c r="AE2447" i="12"/>
  <c r="AE2442" i="12"/>
  <c r="G2440" i="12"/>
  <c r="E2437" i="12"/>
  <c r="L2435" i="12"/>
  <c r="E2433" i="12"/>
  <c r="L2430" i="12"/>
  <c r="U2428" i="12"/>
  <c r="M2427" i="12"/>
  <c r="W2425" i="12"/>
  <c r="AC2423" i="12"/>
  <c r="U2422" i="12"/>
  <c r="AB2420" i="12"/>
  <c r="AC2418" i="12"/>
  <c r="AE2415" i="12"/>
  <c r="C2415" i="12"/>
  <c r="U2412" i="12"/>
  <c r="O2410" i="12"/>
  <c r="AC2408" i="12"/>
  <c r="M2407" i="12"/>
  <c r="AB2405" i="12"/>
  <c r="G2405" i="12"/>
  <c r="E2402" i="12"/>
  <c r="T2400" i="12"/>
  <c r="E2398" i="12"/>
  <c r="L2395" i="12"/>
  <c r="AE2392" i="12"/>
  <c r="AA2390" i="12"/>
  <c r="D2390" i="12"/>
  <c r="M2388" i="12"/>
  <c r="W2387" i="12"/>
  <c r="AC2517" i="12"/>
  <c r="C2515" i="12"/>
  <c r="D2510" i="12"/>
  <c r="G2507" i="12"/>
  <c r="O2505" i="12"/>
  <c r="M2503" i="12"/>
  <c r="M2502" i="12"/>
  <c r="S2500" i="12"/>
  <c r="M2497" i="12"/>
  <c r="T2495" i="12"/>
  <c r="U2493" i="12"/>
  <c r="U2492" i="12"/>
  <c r="W2490" i="12"/>
  <c r="AC2488" i="12"/>
  <c r="U2487" i="12"/>
  <c r="AA2485" i="12"/>
  <c r="AC2483" i="12"/>
  <c r="W2482" i="12"/>
  <c r="AE2480" i="12"/>
  <c r="AC2477" i="12"/>
  <c r="C2475" i="12"/>
  <c r="D2470" i="12"/>
  <c r="G2467" i="12"/>
  <c r="O2465" i="12"/>
  <c r="M2463" i="12"/>
  <c r="M2462" i="12"/>
  <c r="S2460" i="12"/>
  <c r="M2457" i="12"/>
  <c r="T2455" i="12"/>
  <c r="U2453" i="12"/>
  <c r="U2452" i="12"/>
  <c r="W2450" i="12"/>
  <c r="AC2448" i="12"/>
  <c r="U2447" i="12"/>
  <c r="AA2445" i="12"/>
  <c r="AC2443" i="12"/>
  <c r="W2442" i="12"/>
  <c r="AE2440" i="12"/>
  <c r="AC2437" i="12"/>
  <c r="C2435" i="12"/>
  <c r="D2430" i="12"/>
  <c r="G2427" i="12"/>
  <c r="O2425" i="12"/>
  <c r="M2423" i="12"/>
  <c r="M2422" i="12"/>
  <c r="S2420" i="12"/>
  <c r="M2417" i="12"/>
  <c r="W2415" i="12"/>
  <c r="O2412" i="12"/>
  <c r="AE2410" i="12"/>
  <c r="K2410" i="12"/>
  <c r="U2408" i="12"/>
  <c r="AC2407" i="12"/>
  <c r="G2407" i="12"/>
  <c r="W2405" i="12"/>
  <c r="C2405" i="12"/>
  <c r="U2402" i="12"/>
  <c r="O2400" i="12"/>
  <c r="AC2398" i="12"/>
  <c r="M2397" i="12"/>
  <c r="AB2395" i="12"/>
  <c r="G2395" i="12"/>
  <c r="E2392" i="12"/>
  <c r="T2390" i="12"/>
  <c r="E2388" i="12"/>
  <c r="AE2512" i="12"/>
  <c r="C2510" i="12"/>
  <c r="G2505" i="12"/>
  <c r="E2502" i="12"/>
  <c r="O2500" i="12"/>
  <c r="E2498" i="12"/>
  <c r="G2497" i="12"/>
  <c r="L2495" i="12"/>
  <c r="T2490" i="12"/>
  <c r="S2485" i="12"/>
  <c r="O2482" i="12"/>
  <c r="AB2480" i="12"/>
  <c r="AE2472" i="12"/>
  <c r="C2470" i="12"/>
  <c r="G2465" i="12"/>
  <c r="E2462" i="12"/>
  <c r="O2460" i="12"/>
  <c r="E2458" i="12"/>
  <c r="G2457" i="12"/>
  <c r="L2455" i="12"/>
  <c r="T2450" i="12"/>
  <c r="S2445" i="12"/>
  <c r="O2442" i="12"/>
  <c r="AB2440" i="12"/>
  <c r="AE2432" i="12"/>
  <c r="C2430" i="12"/>
  <c r="G2425" i="12"/>
  <c r="E2422" i="12"/>
  <c r="O2420" i="12"/>
  <c r="E2418" i="12"/>
  <c r="G2417" i="12"/>
  <c r="T2415" i="12"/>
  <c r="AC2413" i="12"/>
  <c r="M2412" i="12"/>
  <c r="AB2410" i="12"/>
  <c r="G2410" i="12"/>
  <c r="E2407" i="12"/>
  <c r="T2405" i="12"/>
  <c r="E2403" i="12"/>
  <c r="L2400" i="12"/>
  <c r="AE2397" i="12"/>
  <c r="AA2395" i="12"/>
  <c r="D2395" i="12"/>
  <c r="M2393" i="12"/>
  <c r="W2392" i="12"/>
  <c r="S2390" i="12"/>
  <c r="O2387" i="12"/>
  <c r="AE2385" i="12"/>
  <c r="K2385" i="12"/>
  <c r="U2383" i="12"/>
  <c r="AC2382" i="12"/>
  <c r="G2382" i="12"/>
  <c r="W2380" i="12"/>
  <c r="C2380" i="12"/>
  <c r="U2377" i="12"/>
  <c r="O2375" i="12"/>
  <c r="AC2373" i="12"/>
  <c r="M2372" i="12"/>
  <c r="K2515" i="12"/>
  <c r="G2512" i="12"/>
  <c r="M2508" i="12"/>
  <c r="D2505" i="12"/>
  <c r="U2498" i="12"/>
  <c r="K2495" i="12"/>
  <c r="M2483" i="12"/>
  <c r="T2480" i="12"/>
  <c r="AE2467" i="12"/>
  <c r="G2452" i="12"/>
  <c r="M2448" i="12"/>
  <c r="AB2445" i="12"/>
  <c r="G2437" i="12"/>
  <c r="O2432" i="12"/>
  <c r="AB2415" i="12"/>
  <c r="M2413" i="12"/>
  <c r="G2412" i="12"/>
  <c r="D2410" i="12"/>
  <c r="D2405" i="12"/>
  <c r="K2400" i="12"/>
  <c r="M2398" i="12"/>
  <c r="O2397" i="12"/>
  <c r="T2395" i="12"/>
  <c r="U2393" i="12"/>
  <c r="O2392" i="12"/>
  <c r="O2390" i="12"/>
  <c r="U2387" i="12"/>
  <c r="G2385" i="12"/>
  <c r="M2383" i="12"/>
  <c r="U2382" i="12"/>
  <c r="K2380" i="12"/>
  <c r="W2377" i="12"/>
  <c r="L2375" i="12"/>
  <c r="U2373" i="12"/>
  <c r="AC2372" i="12"/>
  <c r="E2372" i="12"/>
  <c r="T2370" i="12"/>
  <c r="E2368" i="12"/>
  <c r="L2365" i="12"/>
  <c r="AE2362" i="12"/>
  <c r="AA2360" i="12"/>
  <c r="D2360" i="12"/>
  <c r="M2358" i="12"/>
  <c r="W2357" i="12"/>
  <c r="S2355" i="12"/>
  <c r="O2352" i="12"/>
  <c r="AE2350" i="12"/>
  <c r="K2350" i="12"/>
  <c r="U2348" i="12"/>
  <c r="AC2347" i="12"/>
  <c r="G2347" i="12"/>
  <c r="W2345" i="12"/>
  <c r="C2345" i="12"/>
  <c r="U2342" i="12"/>
  <c r="O2340" i="12"/>
  <c r="AC2338" i="12"/>
  <c r="M2337" i="12"/>
  <c r="AB2335" i="12"/>
  <c r="G2335" i="12"/>
  <c r="E2332" i="12"/>
  <c r="T2330" i="12"/>
  <c r="E2328" i="12"/>
  <c r="L2325" i="12"/>
  <c r="AE2322" i="12"/>
  <c r="W2517" i="12"/>
  <c r="C2505" i="12"/>
  <c r="G2495" i="12"/>
  <c r="D2480" i="12"/>
  <c r="AE2470" i="12"/>
  <c r="AC2467" i="12"/>
  <c r="T2460" i="12"/>
  <c r="O2457" i="12"/>
  <c r="O2445" i="12"/>
  <c r="M2442" i="12"/>
  <c r="G2432" i="12"/>
  <c r="AE2420" i="12"/>
  <c r="S2415" i="12"/>
  <c r="E2413" i="12"/>
  <c r="C2410" i="12"/>
  <c r="AE2407" i="12"/>
  <c r="AE2402" i="12"/>
  <c r="G2400" i="12"/>
  <c r="G2397" i="12"/>
  <c r="S2395" i="12"/>
  <c r="M2392" i="12"/>
  <c r="L2390" i="12"/>
  <c r="U2388" i="12"/>
  <c r="AB2385" i="12"/>
  <c r="D2385" i="12"/>
  <c r="AE2380" i="12"/>
  <c r="G2380" i="12"/>
  <c r="M2378" i="12"/>
  <c r="K2375" i="12"/>
  <c r="S2370" i="12"/>
  <c r="O2367" i="12"/>
  <c r="AE2365" i="12"/>
  <c r="K2365" i="12"/>
  <c r="U2363" i="12"/>
  <c r="AC2362" i="12"/>
  <c r="G2362" i="12"/>
  <c r="W2360" i="12"/>
  <c r="C2360" i="12"/>
  <c r="U2357" i="12"/>
  <c r="O2355" i="12"/>
  <c r="AC2353" i="12"/>
  <c r="M2352" i="12"/>
  <c r="AB2350" i="12"/>
  <c r="G2350" i="12"/>
  <c r="E2347" i="12"/>
  <c r="T2345" i="12"/>
  <c r="E2343" i="12"/>
  <c r="L2340" i="12"/>
  <c r="AE2337" i="12"/>
  <c r="AA2335" i="12"/>
  <c r="D2335" i="12"/>
  <c r="M2333" i="12"/>
  <c r="W2332" i="12"/>
  <c r="S2330" i="12"/>
  <c r="O2327" i="12"/>
  <c r="AE2325" i="12"/>
  <c r="K2325" i="12"/>
  <c r="U2323" i="12"/>
  <c r="AC2322" i="12"/>
  <c r="G2322" i="12"/>
  <c r="W2320" i="12"/>
  <c r="AE2507" i="12"/>
  <c r="G2492" i="12"/>
  <c r="M2488" i="12"/>
  <c r="AB2485" i="12"/>
  <c r="AA2470" i="12"/>
  <c r="K2460" i="12"/>
  <c r="E2457" i="12"/>
  <c r="L2445" i="12"/>
  <c r="U2438" i="12"/>
  <c r="T2420" i="12"/>
  <c r="L2415" i="12"/>
  <c r="W2407" i="12"/>
  <c r="AE2405" i="12"/>
  <c r="AC2402" i="12"/>
  <c r="D2400" i="12"/>
  <c r="E2397" i="12"/>
  <c r="O2395" i="12"/>
  <c r="E2393" i="12"/>
  <c r="G2392" i="12"/>
  <c r="K2390" i="12"/>
  <c r="M2387" i="12"/>
  <c r="AA2385" i="12"/>
  <c r="C2385" i="12"/>
  <c r="E2383" i="12"/>
  <c r="O2382" i="12"/>
  <c r="AB2380" i="12"/>
  <c r="D2380" i="12"/>
  <c r="E2378" i="12"/>
  <c r="O2377" i="12"/>
  <c r="AE2375" i="12"/>
  <c r="G2375" i="12"/>
  <c r="M2373" i="12"/>
  <c r="W2372" i="12"/>
  <c r="O2370" i="12"/>
  <c r="AC2368" i="12"/>
  <c r="M2367" i="12"/>
  <c r="AB2365" i="12"/>
  <c r="G2365" i="12"/>
  <c r="E2362" i="12"/>
  <c r="T2360" i="12"/>
  <c r="E2358" i="12"/>
  <c r="L2355" i="12"/>
  <c r="AE2352" i="12"/>
  <c r="AA2350" i="12"/>
  <c r="D2350" i="12"/>
  <c r="M2348" i="12"/>
  <c r="W2347" i="12"/>
  <c r="S2345" i="12"/>
  <c r="O2342" i="12"/>
  <c r="AE2340" i="12"/>
  <c r="K2340" i="12"/>
  <c r="U2338" i="12"/>
  <c r="AC2337" i="12"/>
  <c r="G2337" i="12"/>
  <c r="AA2510" i="12"/>
  <c r="K2500" i="12"/>
  <c r="E2497" i="12"/>
  <c r="L2485" i="12"/>
  <c r="U2478" i="12"/>
  <c r="AE2475" i="12"/>
  <c r="AC2472" i="12"/>
  <c r="E2453" i="12"/>
  <c r="O2450" i="12"/>
  <c r="M2447" i="12"/>
  <c r="E2438" i="12"/>
  <c r="AE2435" i="12"/>
  <c r="AE2430" i="12"/>
  <c r="S2425" i="12"/>
  <c r="W2422" i="12"/>
  <c r="G2420" i="12"/>
  <c r="E2417" i="12"/>
  <c r="AC2412" i="12"/>
  <c r="AA2410" i="12"/>
  <c r="S2405" i="12"/>
  <c r="O2402" i="12"/>
  <c r="AB2400" i="12"/>
  <c r="AC2397" i="12"/>
  <c r="C2395" i="12"/>
  <c r="C2390" i="12"/>
  <c r="G2387" i="12"/>
  <c r="T2385" i="12"/>
  <c r="T2380" i="12"/>
  <c r="AA2375" i="12"/>
  <c r="C2375" i="12"/>
  <c r="E2373" i="12"/>
  <c r="AE2370" i="12"/>
  <c r="K2370" i="12"/>
  <c r="U2368" i="12"/>
  <c r="AC2367" i="12"/>
  <c r="G2367" i="12"/>
  <c r="W2365" i="12"/>
  <c r="C2365" i="12"/>
  <c r="U2362" i="12"/>
  <c r="O2360" i="12"/>
  <c r="AC2358" i="12"/>
  <c r="M2357" i="12"/>
  <c r="AB2355" i="12"/>
  <c r="G2355" i="12"/>
  <c r="E2352" i="12"/>
  <c r="T2350" i="12"/>
  <c r="E2348" i="12"/>
  <c r="L2345" i="12"/>
  <c r="AE2342" i="12"/>
  <c r="AA2340" i="12"/>
  <c r="D2340" i="12"/>
  <c r="M2338" i="12"/>
  <c r="W2337" i="12"/>
  <c r="S2335" i="12"/>
  <c r="O2332" i="12"/>
  <c r="AE2330" i="12"/>
  <c r="K2330" i="12"/>
  <c r="U2328" i="12"/>
  <c r="AC2327" i="12"/>
  <c r="G2327" i="12"/>
  <c r="W2325" i="12"/>
  <c r="C2325" i="12"/>
  <c r="U2322" i="12"/>
  <c r="O2320" i="12"/>
  <c r="K2510" i="12"/>
  <c r="G2500" i="12"/>
  <c r="AA2490" i="12"/>
  <c r="W2487" i="12"/>
  <c r="W2475" i="12"/>
  <c r="U2472" i="12"/>
  <c r="S2465" i="12"/>
  <c r="O2462" i="12"/>
  <c r="W2455" i="12"/>
  <c r="L2450" i="12"/>
  <c r="AA2440" i="12"/>
  <c r="W2435" i="12"/>
  <c r="AA2430" i="12"/>
  <c r="AE2427" i="12"/>
  <c r="D2425" i="12"/>
  <c r="O2422" i="12"/>
  <c r="W2412" i="12"/>
  <c r="W2410" i="12"/>
  <c r="M2408" i="12"/>
  <c r="O2407" i="12"/>
  <c r="O2405" i="12"/>
  <c r="U2403" i="12"/>
  <c r="M2402" i="12"/>
  <c r="AA2400" i="12"/>
  <c r="AC2392" i="12"/>
  <c r="AE2390" i="12"/>
  <c r="AE2387" i="12"/>
  <c r="E2387" i="12"/>
  <c r="S2385" i="12"/>
  <c r="AC2383" i="12"/>
  <c r="AE2382" i="12"/>
  <c r="E2382" i="12"/>
  <c r="S2380" i="12"/>
  <c r="AC2378" i="12"/>
  <c r="AE2377" i="12"/>
  <c r="G2377" i="12"/>
  <c r="W2375" i="12"/>
  <c r="O2372" i="12"/>
  <c r="AB2370" i="12"/>
  <c r="G2370" i="12"/>
  <c r="E2367" i="12"/>
  <c r="T2365" i="12"/>
  <c r="E2363" i="12"/>
  <c r="L2360" i="12"/>
  <c r="AE2357" i="12"/>
  <c r="AA2355" i="12"/>
  <c r="D2355" i="12"/>
  <c r="M2353" i="12"/>
  <c r="W2352" i="12"/>
  <c r="S2350" i="12"/>
  <c r="O2347" i="12"/>
  <c r="AE2345" i="12"/>
  <c r="K2345" i="12"/>
  <c r="U2343" i="12"/>
  <c r="AC2342" i="12"/>
  <c r="G2342" i="12"/>
  <c r="W2340" i="12"/>
  <c r="C2340" i="12"/>
  <c r="U2337" i="12"/>
  <c r="O2335" i="12"/>
  <c r="AC2333" i="12"/>
  <c r="M2332" i="12"/>
  <c r="AB2330" i="12"/>
  <c r="G2330" i="12"/>
  <c r="E2327" i="12"/>
  <c r="T2325" i="12"/>
  <c r="O2497" i="12"/>
  <c r="M2487" i="12"/>
  <c r="W2477" i="12"/>
  <c r="W2447" i="12"/>
  <c r="C2425" i="12"/>
  <c r="K2405" i="12"/>
  <c r="G2390" i="12"/>
  <c r="M2362" i="12"/>
  <c r="G2360" i="12"/>
  <c r="T2355" i="12"/>
  <c r="O2350" i="12"/>
  <c r="AA2345" i="12"/>
  <c r="M2343" i="12"/>
  <c r="E2338" i="12"/>
  <c r="U2332" i="12"/>
  <c r="O2330" i="12"/>
  <c r="M2328" i="12"/>
  <c r="D2325" i="12"/>
  <c r="L2320" i="12"/>
  <c r="AE2317" i="12"/>
  <c r="AA2315" i="12"/>
  <c r="D2315" i="12"/>
  <c r="M2313" i="12"/>
  <c r="W2312" i="12"/>
  <c r="S2310" i="12"/>
  <c r="O2307" i="12"/>
  <c r="AE2305" i="12"/>
  <c r="K2305" i="12"/>
  <c r="U2303" i="12"/>
  <c r="AC2302" i="12"/>
  <c r="G2302" i="12"/>
  <c r="W2300" i="12"/>
  <c r="C2300" i="12"/>
  <c r="U2297" i="12"/>
  <c r="O2295" i="12"/>
  <c r="AC2293" i="12"/>
  <c r="M2292" i="12"/>
  <c r="AB2290" i="12"/>
  <c r="G2290" i="12"/>
  <c r="E2287" i="12"/>
  <c r="T2285" i="12"/>
  <c r="O2502" i="12"/>
  <c r="M2482" i="12"/>
  <c r="D2465" i="12"/>
  <c r="T2440" i="12"/>
  <c r="AC2432" i="12"/>
  <c r="M2428" i="12"/>
  <c r="U2407" i="12"/>
  <c r="G2402" i="12"/>
  <c r="U2378" i="12"/>
  <c r="O2357" i="12"/>
  <c r="K2355" i="12"/>
  <c r="AC2352" i="12"/>
  <c r="L2350" i="12"/>
  <c r="AE2347" i="12"/>
  <c r="O2345" i="12"/>
  <c r="AB2340" i="12"/>
  <c r="AE2335" i="12"/>
  <c r="L2330" i="12"/>
  <c r="K2320" i="12"/>
  <c r="U2318" i="12"/>
  <c r="AC2317" i="12"/>
  <c r="G2317" i="12"/>
  <c r="W2315" i="12"/>
  <c r="C2315" i="12"/>
  <c r="U2312" i="12"/>
  <c r="O2310" i="12"/>
  <c r="AC2308" i="12"/>
  <c r="M2307" i="12"/>
  <c r="AB2305" i="12"/>
  <c r="G2305" i="12"/>
  <c r="E2302" i="12"/>
  <c r="T2300" i="12"/>
  <c r="E2298" i="12"/>
  <c r="L2295" i="12"/>
  <c r="AE2292" i="12"/>
  <c r="AA2290" i="12"/>
  <c r="D2290" i="12"/>
  <c r="M2288" i="12"/>
  <c r="W2287" i="12"/>
  <c r="S2285" i="12"/>
  <c r="O2282" i="12"/>
  <c r="AE2280" i="12"/>
  <c r="K2280" i="12"/>
  <c r="U2278" i="12"/>
  <c r="AC2277" i="12"/>
  <c r="G2277" i="12"/>
  <c r="W2275" i="12"/>
  <c r="C2275" i="12"/>
  <c r="U2272" i="12"/>
  <c r="O2270" i="12"/>
  <c r="AC2268" i="12"/>
  <c r="M2267" i="12"/>
  <c r="AB2265" i="12"/>
  <c r="G2265" i="12"/>
  <c r="E2262" i="12"/>
  <c r="T2260" i="12"/>
  <c r="E2258" i="12"/>
  <c r="L2255" i="12"/>
  <c r="AE2252" i="12"/>
  <c r="AC2512" i="12"/>
  <c r="AC2507" i="12"/>
  <c r="O2490" i="12"/>
  <c r="K2470" i="12"/>
  <c r="C2465" i="12"/>
  <c r="G2460" i="12"/>
  <c r="K2455" i="12"/>
  <c r="D2440" i="12"/>
  <c r="U2432" i="12"/>
  <c r="U2418" i="12"/>
  <c r="S2410" i="12"/>
  <c r="U2398" i="12"/>
  <c r="AE2395" i="12"/>
  <c r="U2392" i="12"/>
  <c r="AA2370" i="12"/>
  <c r="M2368" i="12"/>
  <c r="AC2363" i="12"/>
  <c r="G2357" i="12"/>
  <c r="C2355" i="12"/>
  <c r="U2352" i="12"/>
  <c r="C2350" i="12"/>
  <c r="U2347" i="12"/>
  <c r="G2345" i="12"/>
  <c r="T2340" i="12"/>
  <c r="W2335" i="12"/>
  <c r="U2333" i="12"/>
  <c r="D2330" i="12"/>
  <c r="W2322" i="12"/>
  <c r="G2320" i="12"/>
  <c r="E2317" i="12"/>
  <c r="T2315" i="12"/>
  <c r="E2313" i="12"/>
  <c r="L2310" i="12"/>
  <c r="AE2307" i="12"/>
  <c r="AA2305" i="12"/>
  <c r="D2305" i="12"/>
  <c r="M2303" i="12"/>
  <c r="W2302" i="12"/>
  <c r="S2300" i="12"/>
  <c r="O2297" i="12"/>
  <c r="AE2295" i="12"/>
  <c r="K2295" i="12"/>
  <c r="U2293" i="12"/>
  <c r="AC2292" i="12"/>
  <c r="G2292" i="12"/>
  <c r="W2290" i="12"/>
  <c r="C2290" i="12"/>
  <c r="U2287" i="12"/>
  <c r="O2285" i="12"/>
  <c r="AC2283" i="12"/>
  <c r="M2282" i="12"/>
  <c r="AB2280" i="12"/>
  <c r="G2280" i="12"/>
  <c r="E2277" i="12"/>
  <c r="T2275" i="12"/>
  <c r="E2273" i="12"/>
  <c r="L2270" i="12"/>
  <c r="AE2267" i="12"/>
  <c r="AA2265" i="12"/>
  <c r="D2265" i="12"/>
  <c r="M2263" i="12"/>
  <c r="W2262" i="12"/>
  <c r="S2260" i="12"/>
  <c r="U2512" i="12"/>
  <c r="E2493" i="12"/>
  <c r="K2475" i="12"/>
  <c r="L2405" i="12"/>
  <c r="K2395" i="12"/>
  <c r="AB2390" i="12"/>
  <c r="O2380" i="12"/>
  <c r="E2377" i="12"/>
  <c r="W2370" i="12"/>
  <c r="AE2367" i="12"/>
  <c r="D2365" i="12"/>
  <c r="U2358" i="12"/>
  <c r="AE2355" i="12"/>
  <c r="D2345" i="12"/>
  <c r="E2342" i="12"/>
  <c r="T2335" i="12"/>
  <c r="C2330" i="12"/>
  <c r="U2327" i="12"/>
  <c r="O2325" i="12"/>
  <c r="W2317" i="12"/>
  <c r="AE2315" i="12"/>
  <c r="AC2312" i="12"/>
  <c r="D2310" i="12"/>
  <c r="E2308" i="12"/>
  <c r="E2307" i="12"/>
  <c r="L2305" i="12"/>
  <c r="G2300" i="12"/>
  <c r="M2298" i="12"/>
  <c r="G2297" i="12"/>
  <c r="T2295" i="12"/>
  <c r="M2293" i="12"/>
  <c r="S2290" i="12"/>
  <c r="U2288" i="12"/>
  <c r="M2287" i="12"/>
  <c r="W2285" i="12"/>
  <c r="AC2282" i="12"/>
  <c r="L2280" i="12"/>
  <c r="O2277" i="12"/>
  <c r="AA2275" i="12"/>
  <c r="S2505" i="12"/>
  <c r="M2468" i="12"/>
  <c r="O2417" i="12"/>
  <c r="AE2412" i="12"/>
  <c r="W2390" i="12"/>
  <c r="L2380" i="12"/>
  <c r="L2370" i="12"/>
  <c r="W2367" i="12"/>
  <c r="W2355" i="12"/>
  <c r="G2352" i="12"/>
  <c r="L2335" i="12"/>
  <c r="AE2332" i="12"/>
  <c r="M2327" i="12"/>
  <c r="G2325" i="12"/>
  <c r="AE2320" i="12"/>
  <c r="U2317" i="12"/>
  <c r="AB2315" i="12"/>
  <c r="AC2313" i="12"/>
  <c r="AE2310" i="12"/>
  <c r="C2310" i="12"/>
  <c r="C2305" i="12"/>
  <c r="D2300" i="12"/>
  <c r="E2297" i="12"/>
  <c r="S2295" i="12"/>
  <c r="O2292" i="12"/>
  <c r="O2290" i="12"/>
  <c r="E2288" i="12"/>
  <c r="L2285" i="12"/>
  <c r="U2283" i="12"/>
  <c r="D2280" i="12"/>
  <c r="E2278" i="12"/>
  <c r="M2277" i="12"/>
  <c r="S2275" i="12"/>
  <c r="AC2273" i="12"/>
  <c r="AC2272" i="12"/>
  <c r="S2270" i="12"/>
  <c r="W2267" i="12"/>
  <c r="C2265" i="12"/>
  <c r="O2260" i="12"/>
  <c r="AC2258" i="12"/>
  <c r="AC2257" i="12"/>
  <c r="E2257" i="12"/>
  <c r="T2255" i="12"/>
  <c r="AA2250" i="12"/>
  <c r="D2250" i="12"/>
  <c r="M2248" i="12"/>
  <c r="W2247" i="12"/>
  <c r="S2245" i="12"/>
  <c r="O2242" i="12"/>
  <c r="AE2240" i="12"/>
  <c r="K2240" i="12"/>
  <c r="U2238" i="12"/>
  <c r="AC2237" i="12"/>
  <c r="G2237" i="12"/>
  <c r="W2235" i="12"/>
  <c r="C2235" i="12"/>
  <c r="U2232" i="12"/>
  <c r="O2230" i="12"/>
  <c r="AC2228" i="12"/>
  <c r="M2227" i="12"/>
  <c r="AB2225" i="12"/>
  <c r="G2225" i="12"/>
  <c r="E2222" i="12"/>
  <c r="T2220" i="12"/>
  <c r="E2218" i="12"/>
  <c r="L2215" i="12"/>
  <c r="AE2212" i="12"/>
  <c r="AA2210" i="12"/>
  <c r="D2210" i="12"/>
  <c r="M2208" i="12"/>
  <c r="W2207" i="12"/>
  <c r="S2205" i="12"/>
  <c r="O2202" i="12"/>
  <c r="AE2200" i="12"/>
  <c r="K2200" i="12"/>
  <c r="U2198" i="12"/>
  <c r="AC2197" i="12"/>
  <c r="G2197" i="12"/>
  <c r="W2195" i="12"/>
  <c r="C2195" i="12"/>
  <c r="U2192" i="12"/>
  <c r="O2190" i="12"/>
  <c r="AC2188" i="12"/>
  <c r="M2187" i="12"/>
  <c r="AB2185" i="12"/>
  <c r="G2185" i="12"/>
  <c r="E2182" i="12"/>
  <c r="T2180" i="12"/>
  <c r="E2178" i="12"/>
  <c r="L2175" i="12"/>
  <c r="AE2172" i="12"/>
  <c r="AA2170" i="12"/>
  <c r="D2170" i="12"/>
  <c r="M2168" i="12"/>
  <c r="W2167" i="12"/>
  <c r="S2165" i="12"/>
  <c r="O2162" i="12"/>
  <c r="AE2160" i="12"/>
  <c r="AA2480" i="12"/>
  <c r="AA2450" i="12"/>
  <c r="M2443" i="12"/>
  <c r="W2437" i="12"/>
  <c r="AC2427" i="12"/>
  <c r="AE2400" i="12"/>
  <c r="W2397" i="12"/>
  <c r="AE2372" i="12"/>
  <c r="D2370" i="12"/>
  <c r="U2367" i="12"/>
  <c r="AE2360" i="12"/>
  <c r="K2335" i="12"/>
  <c r="AC2332" i="12"/>
  <c r="AB2320" i="12"/>
  <c r="AC2318" i="12"/>
  <c r="S2315" i="12"/>
  <c r="O2312" i="12"/>
  <c r="AB2310" i="12"/>
  <c r="AC2307" i="12"/>
  <c r="AE2302" i="12"/>
  <c r="AE2300" i="12"/>
  <c r="AE2297" i="12"/>
  <c r="G2295" i="12"/>
  <c r="E2293" i="12"/>
  <c r="E2292" i="12"/>
  <c r="L2290" i="12"/>
  <c r="G2287" i="12"/>
  <c r="K2285" i="12"/>
  <c r="W2282" i="12"/>
  <c r="C2280" i="12"/>
  <c r="O2275" i="12"/>
  <c r="K2270" i="12"/>
  <c r="M2268" i="12"/>
  <c r="U2267" i="12"/>
  <c r="AE2265" i="12"/>
  <c r="G2262" i="12"/>
  <c r="L2260" i="12"/>
  <c r="S2255" i="12"/>
  <c r="AC2253" i="12"/>
  <c r="AC2252" i="12"/>
  <c r="G2252" i="12"/>
  <c r="W2250" i="12"/>
  <c r="C2250" i="12"/>
  <c r="U2247" i="12"/>
  <c r="O2245" i="12"/>
  <c r="AC2243" i="12"/>
  <c r="M2242" i="12"/>
  <c r="AB2240" i="12"/>
  <c r="G2240" i="12"/>
  <c r="E2237" i="12"/>
  <c r="T2235" i="12"/>
  <c r="E2233" i="12"/>
  <c r="L2230" i="12"/>
  <c r="AE2227" i="12"/>
  <c r="AA2225" i="12"/>
  <c r="D2225" i="12"/>
  <c r="M2223" i="12"/>
  <c r="W2222" i="12"/>
  <c r="S2220" i="12"/>
  <c r="O2217" i="12"/>
  <c r="AE2215" i="12"/>
  <c r="K2215" i="12"/>
  <c r="U2213" i="12"/>
  <c r="AC2212" i="12"/>
  <c r="G2212" i="12"/>
  <c r="W2210" i="12"/>
  <c r="C2210" i="12"/>
  <c r="U2207" i="12"/>
  <c r="O2205" i="12"/>
  <c r="AC2203" i="12"/>
  <c r="M2202" i="12"/>
  <c r="AB2200" i="12"/>
  <c r="G2200" i="12"/>
  <c r="E2197" i="12"/>
  <c r="T2195" i="12"/>
  <c r="E2193" i="12"/>
  <c r="L2190" i="12"/>
  <c r="AE2187" i="12"/>
  <c r="AA2185" i="12"/>
  <c r="D2185" i="12"/>
  <c r="M2183" i="12"/>
  <c r="W2182" i="12"/>
  <c r="S2180" i="12"/>
  <c r="O2177" i="12"/>
  <c r="AE2175" i="12"/>
  <c r="K2175" i="12"/>
  <c r="U2173" i="12"/>
  <c r="AC2172" i="12"/>
  <c r="G2172" i="12"/>
  <c r="W2170" i="12"/>
  <c r="C2170" i="12"/>
  <c r="U2167" i="12"/>
  <c r="O2165" i="12"/>
  <c r="AE2515" i="12"/>
  <c r="AE2510" i="12"/>
  <c r="O2485" i="12"/>
  <c r="G2455" i="12"/>
  <c r="U2427" i="12"/>
  <c r="AC2403" i="12"/>
  <c r="W2400" i="12"/>
  <c r="U2397" i="12"/>
  <c r="AC2393" i="12"/>
  <c r="W2385" i="12"/>
  <c r="W2382" i="12"/>
  <c r="AB2375" i="12"/>
  <c r="U2372" i="12"/>
  <c r="C2370" i="12"/>
  <c r="M2363" i="12"/>
  <c r="AB2360" i="12"/>
  <c r="M2347" i="12"/>
  <c r="AC2343" i="12"/>
  <c r="C2335" i="12"/>
  <c r="G2332" i="12"/>
  <c r="AC2328" i="12"/>
  <c r="O2322" i="12"/>
  <c r="AA2320" i="12"/>
  <c r="M2318" i="12"/>
  <c r="O2317" i="12"/>
  <c r="O2315" i="12"/>
  <c r="U2313" i="12"/>
  <c r="M2312" i="12"/>
  <c r="AA2310" i="12"/>
  <c r="U2302" i="12"/>
  <c r="AB2300" i="12"/>
  <c r="AC2297" i="12"/>
  <c r="D2295" i="12"/>
  <c r="K2290" i="12"/>
  <c r="G2285" i="12"/>
  <c r="M2283" i="12"/>
  <c r="U2282" i="12"/>
  <c r="AA2280" i="12"/>
  <c r="L2275" i="12"/>
  <c r="U2273" i="12"/>
  <c r="W2272" i="12"/>
  <c r="G2270" i="12"/>
  <c r="W2265" i="12"/>
  <c r="AE2262" i="12"/>
  <c r="K2260" i="12"/>
  <c r="U2258" i="12"/>
  <c r="W2257" i="12"/>
  <c r="O2255" i="12"/>
  <c r="U2253" i="12"/>
  <c r="E2252" i="12"/>
  <c r="T2250" i="12"/>
  <c r="E2248" i="12"/>
  <c r="L2245" i="12"/>
  <c r="AE2242" i="12"/>
  <c r="AA2240" i="12"/>
  <c r="D2240" i="12"/>
  <c r="M2238" i="12"/>
  <c r="W2237" i="12"/>
  <c r="S2235" i="12"/>
  <c r="O2232" i="12"/>
  <c r="AE2230" i="12"/>
  <c r="K2230" i="12"/>
  <c r="U2228" i="12"/>
  <c r="AC2227" i="12"/>
  <c r="G2227" i="12"/>
  <c r="W2225" i="12"/>
  <c r="C2225" i="12"/>
  <c r="U2222" i="12"/>
  <c r="O2220" i="12"/>
  <c r="AC2218" i="12"/>
  <c r="W2495" i="12"/>
  <c r="S2435" i="12"/>
  <c r="O2430" i="12"/>
  <c r="K2420" i="12"/>
  <c r="C2400" i="12"/>
  <c r="L2385" i="12"/>
  <c r="AC2377" i="12"/>
  <c r="S2375" i="12"/>
  <c r="G2372" i="12"/>
  <c r="AA2365" i="12"/>
  <c r="K2360" i="12"/>
  <c r="E2357" i="12"/>
  <c r="G2340" i="12"/>
  <c r="E2337" i="12"/>
  <c r="AB2325" i="12"/>
  <c r="S2320" i="12"/>
  <c r="E2318" i="12"/>
  <c r="K2315" i="12"/>
  <c r="G2312" i="12"/>
  <c r="T2310" i="12"/>
  <c r="U2307" i="12"/>
  <c r="T2305" i="12"/>
  <c r="O2302" i="12"/>
  <c r="O2300" i="12"/>
  <c r="W2297" i="12"/>
  <c r="AB2295" i="12"/>
  <c r="AC2287" i="12"/>
  <c r="AE2285" i="12"/>
  <c r="C2285" i="12"/>
  <c r="W2342" i="12"/>
  <c r="O2337" i="12"/>
  <c r="AE2327" i="12"/>
  <c r="AC2323" i="12"/>
  <c r="T2320" i="12"/>
  <c r="M2317" i="12"/>
  <c r="G2310" i="12"/>
  <c r="U2298" i="12"/>
  <c r="AA2295" i="12"/>
  <c r="U2292" i="12"/>
  <c r="AA2285" i="12"/>
  <c r="S2280" i="12"/>
  <c r="AE2277" i="12"/>
  <c r="K2275" i="12"/>
  <c r="O2267" i="12"/>
  <c r="O2265" i="12"/>
  <c r="C2260" i="12"/>
  <c r="U2257" i="12"/>
  <c r="AB2255" i="12"/>
  <c r="U2252" i="12"/>
  <c r="AB2250" i="12"/>
  <c r="AC2248" i="12"/>
  <c r="AE2245" i="12"/>
  <c r="C2245" i="12"/>
  <c r="C2240" i="12"/>
  <c r="D2235" i="12"/>
  <c r="E2232" i="12"/>
  <c r="S2230" i="12"/>
  <c r="O2227" i="12"/>
  <c r="O2225" i="12"/>
  <c r="E2223" i="12"/>
  <c r="L2220" i="12"/>
  <c r="U2218" i="12"/>
  <c r="W2217" i="12"/>
  <c r="D2215" i="12"/>
  <c r="E2213" i="12"/>
  <c r="M2212" i="12"/>
  <c r="S2210" i="12"/>
  <c r="G2205" i="12"/>
  <c r="M2203" i="12"/>
  <c r="U2202" i="12"/>
  <c r="AA2200" i="12"/>
  <c r="L2195" i="12"/>
  <c r="U2193" i="12"/>
  <c r="W2192" i="12"/>
  <c r="G2190" i="12"/>
  <c r="W2185" i="12"/>
  <c r="AE2182" i="12"/>
  <c r="K2180" i="12"/>
  <c r="U2178" i="12"/>
  <c r="W2177" i="12"/>
  <c r="D2175" i="12"/>
  <c r="E2173" i="12"/>
  <c r="M2172" i="12"/>
  <c r="S2170" i="12"/>
  <c r="G2165" i="12"/>
  <c r="W2162" i="12"/>
  <c r="L2160" i="12"/>
  <c r="AE2157" i="12"/>
  <c r="AA2155" i="12"/>
  <c r="D2155" i="12"/>
  <c r="M2153" i="12"/>
  <c r="W2152" i="12"/>
  <c r="S2150" i="12"/>
  <c r="AA2425" i="12"/>
  <c r="W2395" i="12"/>
  <c r="AC2388" i="12"/>
  <c r="W2362" i="12"/>
  <c r="AC2357" i="12"/>
  <c r="M2342" i="12"/>
  <c r="W2327" i="12"/>
  <c r="M2323" i="12"/>
  <c r="D2320" i="12"/>
  <c r="AE2312" i="12"/>
  <c r="G2307" i="12"/>
  <c r="AC2303" i="12"/>
  <c r="W2295" i="12"/>
  <c r="D2285" i="12"/>
  <c r="O2280" i="12"/>
  <c r="W2277" i="12"/>
  <c r="G2275" i="12"/>
  <c r="AE2272" i="12"/>
  <c r="AE2270" i="12"/>
  <c r="G2267" i="12"/>
  <c r="L2265" i="12"/>
  <c r="E2263" i="12"/>
  <c r="O2257" i="12"/>
  <c r="AA2255" i="12"/>
  <c r="S2250" i="12"/>
  <c r="O2247" i="12"/>
  <c r="AB2245" i="12"/>
  <c r="AC2242" i="12"/>
  <c r="AE2237" i="12"/>
  <c r="AE2235" i="12"/>
  <c r="AE2232" i="12"/>
  <c r="G2230" i="12"/>
  <c r="E2228" i="12"/>
  <c r="E2227" i="12"/>
  <c r="L2225" i="12"/>
  <c r="G2222" i="12"/>
  <c r="K2220" i="12"/>
  <c r="U2217" i="12"/>
  <c r="AB2215" i="12"/>
  <c r="C2215" i="12"/>
  <c r="E2212" i="12"/>
  <c r="O2210" i="12"/>
  <c r="U2208" i="12"/>
  <c r="AE2205" i="12"/>
  <c r="D2205" i="12"/>
  <c r="W2200" i="12"/>
  <c r="AE2197" i="12"/>
  <c r="K2195" i="12"/>
  <c r="O2192" i="12"/>
  <c r="AE2190" i="12"/>
  <c r="D2190" i="12"/>
  <c r="E2188" i="12"/>
  <c r="O2187" i="12"/>
  <c r="T2185" i="12"/>
  <c r="AA2405" i="12"/>
  <c r="S2400" i="12"/>
  <c r="M2382" i="12"/>
  <c r="M2377" i="12"/>
  <c r="O2362" i="12"/>
  <c r="AA2330" i="12"/>
  <c r="E2323" i="12"/>
  <c r="C2320" i="12"/>
  <c r="AA2300" i="12"/>
  <c r="C2295" i="12"/>
  <c r="AE2287" i="12"/>
  <c r="G2282" i="12"/>
  <c r="U2277" i="12"/>
  <c r="D2275" i="12"/>
  <c r="O2272" i="12"/>
  <c r="AB2270" i="12"/>
  <c r="U2268" i="12"/>
  <c r="E2267" i="12"/>
  <c r="K2265" i="12"/>
  <c r="AE2260" i="12"/>
  <c r="M2257" i="12"/>
  <c r="W2255" i="12"/>
  <c r="M2253" i="12"/>
  <c r="O2252" i="12"/>
  <c r="O2250" i="12"/>
  <c r="U2248" i="12"/>
  <c r="M2247" i="12"/>
  <c r="AA2245" i="12"/>
  <c r="U2237" i="12"/>
  <c r="AB2235" i="12"/>
  <c r="AC2232" i="12"/>
  <c r="D2230" i="12"/>
  <c r="K2225" i="12"/>
  <c r="G2220" i="12"/>
  <c r="M2218" i="12"/>
  <c r="M2217" i="12"/>
  <c r="AA2215" i="12"/>
  <c r="L2210" i="12"/>
  <c r="O2207" i="12"/>
  <c r="AB2205" i="12"/>
  <c r="C2205" i="12"/>
  <c r="E2203" i="12"/>
  <c r="T2200" i="12"/>
  <c r="AC2198" i="12"/>
  <c r="W2197" i="12"/>
  <c r="G2195" i="12"/>
  <c r="M2193" i="12"/>
  <c r="M2192" i="12"/>
  <c r="AB2190" i="12"/>
  <c r="C2190" i="12"/>
  <c r="G2187" i="12"/>
  <c r="S2185" i="12"/>
  <c r="U2182" i="12"/>
  <c r="AE2180" i="12"/>
  <c r="W2515" i="12"/>
  <c r="T2500" i="12"/>
  <c r="G2472" i="12"/>
  <c r="U2458" i="12"/>
  <c r="K2430" i="12"/>
  <c r="L2410" i="12"/>
  <c r="AC2387" i="12"/>
  <c r="S2365" i="12"/>
  <c r="W2350" i="12"/>
  <c r="AB2345" i="12"/>
  <c r="W2330" i="12"/>
  <c r="L2315" i="12"/>
  <c r="E2312" i="12"/>
  <c r="U2308" i="12"/>
  <c r="E2303" i="12"/>
  <c r="L2300" i="12"/>
  <c r="AE2290" i="12"/>
  <c r="E2282" i="12"/>
  <c r="M2272" i="12"/>
  <c r="AA2270" i="12"/>
  <c r="E2268" i="12"/>
  <c r="AC2262" i="12"/>
  <c r="AB2260" i="12"/>
  <c r="K2255" i="12"/>
  <c r="M2252" i="12"/>
  <c r="L2250" i="12"/>
  <c r="W2245" i="12"/>
  <c r="U2243" i="12"/>
  <c r="W2242" i="12"/>
  <c r="W2240" i="12"/>
  <c r="AC2238" i="12"/>
  <c r="AA2235" i="12"/>
  <c r="AC2233" i="12"/>
  <c r="C2230" i="12"/>
  <c r="AE2222" i="12"/>
  <c r="D2220" i="12"/>
  <c r="W2215" i="12"/>
  <c r="K2210" i="12"/>
  <c r="E2208" i="12"/>
  <c r="M2207" i="12"/>
  <c r="AA2205" i="12"/>
  <c r="G2202" i="12"/>
  <c r="S2200" i="12"/>
  <c r="U2197" i="12"/>
  <c r="AE2195" i="12"/>
  <c r="D2195" i="12"/>
  <c r="AA2190" i="12"/>
  <c r="E2187" i="12"/>
  <c r="O2185" i="12"/>
  <c r="U2183" i="12"/>
  <c r="AB2180" i="12"/>
  <c r="C2180" i="12"/>
  <c r="W2175" i="12"/>
  <c r="K2170" i="12"/>
  <c r="E2168" i="12"/>
  <c r="M2167" i="12"/>
  <c r="AA2165" i="12"/>
  <c r="E2163" i="12"/>
  <c r="G2415" i="12"/>
  <c r="O2365" i="12"/>
  <c r="S2340" i="12"/>
  <c r="AA2325" i="12"/>
  <c r="M2322" i="12"/>
  <c r="G2315" i="12"/>
  <c r="M2308" i="12"/>
  <c r="W2305" i="12"/>
  <c r="K2300" i="12"/>
  <c r="M2297" i="12"/>
  <c r="T2290" i="12"/>
  <c r="O2287" i="12"/>
  <c r="AC2278" i="12"/>
  <c r="W2270" i="12"/>
  <c r="U2262" i="12"/>
  <c r="AA2260" i="12"/>
  <c r="M2258" i="12"/>
  <c r="G2257" i="12"/>
  <c r="G2255" i="12"/>
  <c r="E2253" i="12"/>
  <c r="K2250" i="12"/>
  <c r="G2247" i="12"/>
  <c r="T2245" i="12"/>
  <c r="U2242" i="12"/>
  <c r="T2240" i="12"/>
  <c r="O2237" i="12"/>
  <c r="O2235" i="12"/>
  <c r="S2325" i="12"/>
  <c r="AE2282" i="12"/>
  <c r="M2278" i="12"/>
  <c r="T2270" i="12"/>
  <c r="U2263" i="12"/>
  <c r="G2260" i="12"/>
  <c r="W2252" i="12"/>
  <c r="AE2247" i="12"/>
  <c r="E2242" i="12"/>
  <c r="L2235" i="12"/>
  <c r="M2233" i="12"/>
  <c r="AB2230" i="12"/>
  <c r="T2225" i="12"/>
  <c r="AC2222" i="12"/>
  <c r="AA2220" i="12"/>
  <c r="AC2217" i="12"/>
  <c r="S2215" i="12"/>
  <c r="AE2210" i="12"/>
  <c r="W2205" i="12"/>
  <c r="M2198" i="12"/>
  <c r="E2192" i="12"/>
  <c r="W2187" i="12"/>
  <c r="C2185" i="12"/>
  <c r="AC2182" i="12"/>
  <c r="W2180" i="12"/>
  <c r="M2177" i="12"/>
  <c r="T2175" i="12"/>
  <c r="O2172" i="12"/>
  <c r="O2170" i="12"/>
  <c r="E2167" i="12"/>
  <c r="K2165" i="12"/>
  <c r="M2163" i="12"/>
  <c r="M2162" i="12"/>
  <c r="AA2160" i="12"/>
  <c r="C2160" i="12"/>
  <c r="E2158" i="12"/>
  <c r="O2157" i="12"/>
  <c r="AB2155" i="12"/>
  <c r="C2155" i="12"/>
  <c r="E2153" i="12"/>
  <c r="O2152" i="12"/>
  <c r="AB2150" i="12"/>
  <c r="D2150" i="12"/>
  <c r="M2148" i="12"/>
  <c r="U2147" i="12"/>
  <c r="O2145" i="12"/>
  <c r="AC2143" i="12"/>
  <c r="M2142" i="12"/>
  <c r="AB2140" i="12"/>
  <c r="G2140" i="12"/>
  <c r="E2137" i="12"/>
  <c r="T2135" i="12"/>
  <c r="E2133" i="12"/>
  <c r="L2130" i="12"/>
  <c r="AE2127" i="12"/>
  <c r="AA2125" i="12"/>
  <c r="D2125" i="12"/>
  <c r="M2123" i="12"/>
  <c r="W2122" i="12"/>
  <c r="S2120" i="12"/>
  <c r="O2117" i="12"/>
  <c r="AE2115" i="12"/>
  <c r="K2115" i="12"/>
  <c r="U2113" i="12"/>
  <c r="AC2112" i="12"/>
  <c r="G2112" i="12"/>
  <c r="W2110" i="12"/>
  <c r="C2110" i="12"/>
  <c r="U2107" i="12"/>
  <c r="O2105" i="12"/>
  <c r="AC2103" i="12"/>
  <c r="M2102" i="12"/>
  <c r="AB2100" i="12"/>
  <c r="G2100" i="12"/>
  <c r="E2097" i="12"/>
  <c r="T2095" i="12"/>
  <c r="E2093" i="12"/>
  <c r="L2090" i="12"/>
  <c r="AE2087" i="12"/>
  <c r="AA2085" i="12"/>
  <c r="D2085" i="12"/>
  <c r="M2083" i="12"/>
  <c r="W2082" i="12"/>
  <c r="S2080" i="12"/>
  <c r="O2077" i="12"/>
  <c r="AE2075" i="12"/>
  <c r="K2075" i="12"/>
  <c r="U2073" i="12"/>
  <c r="AC2072" i="12"/>
  <c r="G2072" i="12"/>
  <c r="W2070" i="12"/>
  <c r="C2070" i="12"/>
  <c r="U2067" i="12"/>
  <c r="O2065" i="12"/>
  <c r="AC2063" i="12"/>
  <c r="M2062" i="12"/>
  <c r="AB2060" i="12"/>
  <c r="G2060" i="12"/>
  <c r="E2057" i="12"/>
  <c r="T2055" i="12"/>
  <c r="E2053" i="12"/>
  <c r="L2050" i="12"/>
  <c r="AE2047" i="12"/>
  <c r="AA2045" i="12"/>
  <c r="D2045" i="12"/>
  <c r="M2043" i="12"/>
  <c r="W2042" i="12"/>
  <c r="S2040" i="12"/>
  <c r="O2037" i="12"/>
  <c r="AE2035" i="12"/>
  <c r="K2035" i="12"/>
  <c r="U2033" i="12"/>
  <c r="AC2032" i="12"/>
  <c r="G2032" i="12"/>
  <c r="W2030" i="12"/>
  <c r="C2030" i="12"/>
  <c r="U2027" i="12"/>
  <c r="O2025" i="12"/>
  <c r="AC2023" i="12"/>
  <c r="M2022" i="12"/>
  <c r="AB2020" i="12"/>
  <c r="G2020" i="12"/>
  <c r="E2017" i="12"/>
  <c r="T2015" i="12"/>
  <c r="E2013" i="12"/>
  <c r="L2010" i="12"/>
  <c r="AE2007" i="12"/>
  <c r="AA2005" i="12"/>
  <c r="D2005" i="12"/>
  <c r="M2003" i="12"/>
  <c r="M2403" i="12"/>
  <c r="AC2298" i="12"/>
  <c r="M2273" i="12"/>
  <c r="D2270" i="12"/>
  <c r="D2260" i="12"/>
  <c r="AE2255" i="12"/>
  <c r="AC2247" i="12"/>
  <c r="E2238" i="12"/>
  <c r="K2235" i="12"/>
  <c r="AA2230" i="12"/>
  <c r="S2225" i="12"/>
  <c r="W2220" i="12"/>
  <c r="O2215" i="12"/>
  <c r="AB2210" i="12"/>
  <c r="AE2207" i="12"/>
  <c r="T2205" i="12"/>
  <c r="AC2193" i="12"/>
  <c r="U2187" i="12"/>
  <c r="O2182" i="12"/>
  <c r="O2180" i="12"/>
  <c r="G2177" i="12"/>
  <c r="S2175" i="12"/>
  <c r="M2173" i="12"/>
  <c r="E2172" i="12"/>
  <c r="L2170" i="12"/>
  <c r="D2165" i="12"/>
  <c r="W2160" i="12"/>
  <c r="M2157" i="12"/>
  <c r="W2155" i="12"/>
  <c r="M2152" i="12"/>
  <c r="AA2150" i="12"/>
  <c r="C2150" i="12"/>
  <c r="L2145" i="12"/>
  <c r="AE2142" i="12"/>
  <c r="AA2140" i="12"/>
  <c r="D2140" i="12"/>
  <c r="M2138" i="12"/>
  <c r="W2137" i="12"/>
  <c r="S2135" i="12"/>
  <c r="O2132" i="12"/>
  <c r="AE2130" i="12"/>
  <c r="K2130" i="12"/>
  <c r="U2128" i="12"/>
  <c r="AC2127" i="12"/>
  <c r="G2127" i="12"/>
  <c r="W2125" i="12"/>
  <c r="C2125" i="12"/>
  <c r="U2122" i="12"/>
  <c r="O2120" i="12"/>
  <c r="AC2118" i="12"/>
  <c r="M2117" i="12"/>
  <c r="AB2115" i="12"/>
  <c r="G2115" i="12"/>
  <c r="E2112" i="12"/>
  <c r="T2110" i="12"/>
  <c r="E2108" i="12"/>
  <c r="L2105" i="12"/>
  <c r="AE2102" i="12"/>
  <c r="AA2100" i="12"/>
  <c r="D2100" i="12"/>
  <c r="M2098" i="12"/>
  <c r="W2097" i="12"/>
  <c r="S2095" i="12"/>
  <c r="O2092" i="12"/>
  <c r="AE2090" i="12"/>
  <c r="K2090" i="12"/>
  <c r="U2088" i="12"/>
  <c r="AC2087" i="12"/>
  <c r="G2087" i="12"/>
  <c r="W2085" i="12"/>
  <c r="C2085" i="12"/>
  <c r="U2082" i="12"/>
  <c r="O2080" i="12"/>
  <c r="AC2078" i="12"/>
  <c r="M2077" i="12"/>
  <c r="AB2075" i="12"/>
  <c r="G2075" i="12"/>
  <c r="E2072" i="12"/>
  <c r="T2070" i="12"/>
  <c r="E2068" i="12"/>
  <c r="L2065" i="12"/>
  <c r="AE2062" i="12"/>
  <c r="AA2060" i="12"/>
  <c r="D2060" i="12"/>
  <c r="M2058" i="12"/>
  <c r="W2057" i="12"/>
  <c r="S2055" i="12"/>
  <c r="O2052" i="12"/>
  <c r="AE2050" i="12"/>
  <c r="K2050" i="12"/>
  <c r="U2048" i="12"/>
  <c r="AC2047" i="12"/>
  <c r="G2047" i="12"/>
  <c r="W2045" i="12"/>
  <c r="C2045" i="12"/>
  <c r="U2042" i="12"/>
  <c r="O2040" i="12"/>
  <c r="AC2038" i="12"/>
  <c r="M2037" i="12"/>
  <c r="AB2035" i="12"/>
  <c r="G2035" i="12"/>
  <c r="E2032" i="12"/>
  <c r="T2030" i="12"/>
  <c r="E2028" i="12"/>
  <c r="L2025" i="12"/>
  <c r="AE2022" i="12"/>
  <c r="AA2020" i="12"/>
  <c r="D2020" i="12"/>
  <c r="M2018" i="12"/>
  <c r="W2017" i="12"/>
  <c r="S2015" i="12"/>
  <c r="O2012" i="12"/>
  <c r="AE2010" i="12"/>
  <c r="T2375" i="12"/>
  <c r="W2307" i="12"/>
  <c r="W2292" i="12"/>
  <c r="C2270" i="12"/>
  <c r="T2265" i="12"/>
  <c r="D2255" i="12"/>
  <c r="E2247" i="12"/>
  <c r="M2243" i="12"/>
  <c r="G2235" i="12"/>
  <c r="W2232" i="12"/>
  <c r="W2230" i="12"/>
  <c r="W2227" i="12"/>
  <c r="O2222" i="12"/>
  <c r="C2220" i="12"/>
  <c r="G2217" i="12"/>
  <c r="G2215" i="12"/>
  <c r="W2212" i="12"/>
  <c r="T2210" i="12"/>
  <c r="AC2207" i="12"/>
  <c r="L2205" i="12"/>
  <c r="AE2202" i="12"/>
  <c r="O2200" i="12"/>
  <c r="E2198" i="12"/>
  <c r="U2188" i="12"/>
  <c r="M2182" i="12"/>
  <c r="L2180" i="12"/>
  <c r="M2178" i="12"/>
  <c r="E2177" i="12"/>
  <c r="O2175" i="12"/>
  <c r="G2170" i="12"/>
  <c r="AE2167" i="12"/>
  <c r="C2165" i="12"/>
  <c r="G2162" i="12"/>
  <c r="T2160" i="12"/>
  <c r="G2157" i="12"/>
  <c r="T2155" i="12"/>
  <c r="W2150" i="12"/>
  <c r="E2148" i="12"/>
  <c r="O2147" i="12"/>
  <c r="AE2145" i="12"/>
  <c r="K2145" i="12"/>
  <c r="U2143" i="12"/>
  <c r="AC2142" i="12"/>
  <c r="G2142" i="12"/>
  <c r="W2140" i="12"/>
  <c r="C2140" i="12"/>
  <c r="U2137" i="12"/>
  <c r="O2135" i="12"/>
  <c r="AC2133" i="12"/>
  <c r="M2132" i="12"/>
  <c r="AB2130" i="12"/>
  <c r="G2130" i="12"/>
  <c r="E2127" i="12"/>
  <c r="T2125" i="12"/>
  <c r="E2123" i="12"/>
  <c r="L2120" i="12"/>
  <c r="AE2117" i="12"/>
  <c r="AA2115" i="12"/>
  <c r="D2115" i="12"/>
  <c r="M2113" i="12"/>
  <c r="W2112" i="12"/>
  <c r="S2110" i="12"/>
  <c r="O2107" i="12"/>
  <c r="AE2105" i="12"/>
  <c r="K2105" i="12"/>
  <c r="U2103" i="12"/>
  <c r="AC2102" i="12"/>
  <c r="G2102" i="12"/>
  <c r="W2100" i="12"/>
  <c r="C2100" i="12"/>
  <c r="W2402" i="12"/>
  <c r="D2375" i="12"/>
  <c r="M2302" i="12"/>
  <c r="AB2285" i="12"/>
  <c r="W2280" i="12"/>
  <c r="S2265" i="12"/>
  <c r="O2262" i="12"/>
  <c r="C2255" i="12"/>
  <c r="AE2250" i="12"/>
  <c r="S2240" i="12"/>
  <c r="M2232" i="12"/>
  <c r="T2230" i="12"/>
  <c r="U2227" i="12"/>
  <c r="M2222" i="12"/>
  <c r="E2217" i="12"/>
  <c r="U2212" i="12"/>
  <c r="G2210" i="12"/>
  <c r="K2205" i="12"/>
  <c r="AC2202" i="12"/>
  <c r="L2200" i="12"/>
  <c r="AB2195" i="12"/>
  <c r="AC2183" i="12"/>
  <c r="G2180" i="12"/>
  <c r="G2175" i="12"/>
  <c r="AC2167" i="12"/>
  <c r="AE2165" i="12"/>
  <c r="AE2162" i="12"/>
  <c r="E2162" i="12"/>
  <c r="S2160" i="12"/>
  <c r="AC2158" i="12"/>
  <c r="AC2157" i="12"/>
  <c r="E2157" i="12"/>
  <c r="S2155" i="12"/>
  <c r="AC2153" i="12"/>
  <c r="AE2152" i="12"/>
  <c r="G2152" i="12"/>
  <c r="T2150" i="12"/>
  <c r="M2147" i="12"/>
  <c r="AB2145" i="12"/>
  <c r="G2145" i="12"/>
  <c r="E2142" i="12"/>
  <c r="T2140" i="12"/>
  <c r="E2138" i="12"/>
  <c r="L2135" i="12"/>
  <c r="AE2132" i="12"/>
  <c r="AA2130" i="12"/>
  <c r="D2130" i="12"/>
  <c r="M2128" i="12"/>
  <c r="W2127" i="12"/>
  <c r="S2125" i="12"/>
  <c r="O2122" i="12"/>
  <c r="AE2120" i="12"/>
  <c r="K2120" i="12"/>
  <c r="U2118" i="12"/>
  <c r="AC2117" i="12"/>
  <c r="G2117" i="12"/>
  <c r="W2115" i="12"/>
  <c r="C2115" i="12"/>
  <c r="U2112" i="12"/>
  <c r="O2110" i="12"/>
  <c r="AC2108" i="12"/>
  <c r="M2107" i="12"/>
  <c r="AB2105" i="12"/>
  <c r="G2105" i="12"/>
  <c r="E2102" i="12"/>
  <c r="T2100" i="12"/>
  <c r="E2098" i="12"/>
  <c r="L2095" i="12"/>
  <c r="AE2092" i="12"/>
  <c r="AA2090" i="12"/>
  <c r="D2090" i="12"/>
  <c r="M2088" i="12"/>
  <c r="W2087" i="12"/>
  <c r="S2085" i="12"/>
  <c r="O2082" i="12"/>
  <c r="AE2080" i="12"/>
  <c r="K2080" i="12"/>
  <c r="U2078" i="12"/>
  <c r="AC2077" i="12"/>
  <c r="G2077" i="12"/>
  <c r="W2075" i="12"/>
  <c r="C2075" i="12"/>
  <c r="U2072" i="12"/>
  <c r="O2070" i="12"/>
  <c r="AC2068" i="12"/>
  <c r="M2067" i="12"/>
  <c r="AB2065" i="12"/>
  <c r="G2065" i="12"/>
  <c r="E2062" i="12"/>
  <c r="T2060" i="12"/>
  <c r="E2058" i="12"/>
  <c r="L2055" i="12"/>
  <c r="AE2052" i="12"/>
  <c r="AA2050" i="12"/>
  <c r="D2050" i="12"/>
  <c r="M2048" i="12"/>
  <c r="W2047" i="12"/>
  <c r="S2045" i="12"/>
  <c r="O2042" i="12"/>
  <c r="AE2040" i="12"/>
  <c r="K2040" i="12"/>
  <c r="U2038" i="12"/>
  <c r="AC2037" i="12"/>
  <c r="G2037" i="12"/>
  <c r="W2035" i="12"/>
  <c r="C2035" i="12"/>
  <c r="U2032" i="12"/>
  <c r="O2030" i="12"/>
  <c r="AC2028" i="12"/>
  <c r="M2027" i="12"/>
  <c r="AB2025" i="12"/>
  <c r="G2025" i="12"/>
  <c r="E2022" i="12"/>
  <c r="T2020" i="12"/>
  <c r="E2018" i="12"/>
  <c r="L2015" i="12"/>
  <c r="AE2012" i="12"/>
  <c r="AA2010" i="12"/>
  <c r="D2010" i="12"/>
  <c r="M2008" i="12"/>
  <c r="W2007" i="12"/>
  <c r="S2005" i="12"/>
  <c r="O2002" i="12"/>
  <c r="L2490" i="12"/>
  <c r="AA2380" i="12"/>
  <c r="AC2348" i="12"/>
  <c r="E2322" i="12"/>
  <c r="W2310" i="12"/>
  <c r="T2280" i="12"/>
  <c r="AE2275" i="12"/>
  <c r="G2272" i="12"/>
  <c r="M2262" i="12"/>
  <c r="G2250" i="12"/>
  <c r="E2243" i="12"/>
  <c r="O2240" i="12"/>
  <c r="M2237" i="12"/>
  <c r="AC2223" i="12"/>
  <c r="G2207" i="12"/>
  <c r="D2200" i="12"/>
  <c r="AA2195" i="12"/>
  <c r="AE2192" i="12"/>
  <c r="W2190" i="12"/>
  <c r="M2188" i="12"/>
  <c r="G2182" i="12"/>
  <c r="D2180" i="12"/>
  <c r="AE2177" i="12"/>
  <c r="C2175" i="12"/>
  <c r="AB2165" i="12"/>
  <c r="AC2162" i="12"/>
  <c r="O2160" i="12"/>
  <c r="U2158" i="12"/>
  <c r="O2155" i="12"/>
  <c r="AC2152" i="12"/>
  <c r="E2152" i="12"/>
  <c r="O2150" i="12"/>
  <c r="AC2148" i="12"/>
  <c r="AE2147" i="12"/>
  <c r="AA2145" i="12"/>
  <c r="D2145" i="12"/>
  <c r="M2143" i="12"/>
  <c r="W2142" i="12"/>
  <c r="S2140" i="12"/>
  <c r="O2137" i="12"/>
  <c r="AE2135" i="12"/>
  <c r="K2135" i="12"/>
  <c r="U2133" i="12"/>
  <c r="AC2132" i="12"/>
  <c r="G2132" i="12"/>
  <c r="W2130" i="12"/>
  <c r="C2130" i="12"/>
  <c r="U2127" i="12"/>
  <c r="O2125" i="12"/>
  <c r="AC2123" i="12"/>
  <c r="M2122" i="12"/>
  <c r="AB2120" i="12"/>
  <c r="G2120" i="12"/>
  <c r="E2117" i="12"/>
  <c r="T2115" i="12"/>
  <c r="E2113" i="12"/>
  <c r="L2110" i="12"/>
  <c r="AE2107" i="12"/>
  <c r="AA2105" i="12"/>
  <c r="D2105" i="12"/>
  <c r="M2103" i="12"/>
  <c r="W2102" i="12"/>
  <c r="S2100" i="12"/>
  <c r="O2097" i="12"/>
  <c r="AE2095" i="12"/>
  <c r="K2095" i="12"/>
  <c r="U2093" i="12"/>
  <c r="AC2092" i="12"/>
  <c r="G2092" i="12"/>
  <c r="W2090" i="12"/>
  <c r="C2090" i="12"/>
  <c r="U2087" i="12"/>
  <c r="O2085" i="12"/>
  <c r="AC2083" i="12"/>
  <c r="M2082" i="12"/>
  <c r="AB2080" i="12"/>
  <c r="G2080" i="12"/>
  <c r="E2077" i="12"/>
  <c r="T2075" i="12"/>
  <c r="E2073" i="12"/>
  <c r="L2070" i="12"/>
  <c r="AE2067" i="12"/>
  <c r="AA2065" i="12"/>
  <c r="D2065" i="12"/>
  <c r="M2063" i="12"/>
  <c r="W2062" i="12"/>
  <c r="S2060" i="12"/>
  <c r="O2057" i="12"/>
  <c r="AE2055" i="12"/>
  <c r="K2055" i="12"/>
  <c r="U2053" i="12"/>
  <c r="AC2052" i="12"/>
  <c r="G2052" i="12"/>
  <c r="W2050" i="12"/>
  <c r="C2050" i="12"/>
  <c r="U2047" i="12"/>
  <c r="O2045" i="12"/>
  <c r="AC2043" i="12"/>
  <c r="M2042" i="12"/>
  <c r="AB2040" i="12"/>
  <c r="E2333" i="12"/>
  <c r="K2310" i="12"/>
  <c r="K2245" i="12"/>
  <c r="O2195" i="12"/>
  <c r="E2183" i="12"/>
  <c r="AC2178" i="12"/>
  <c r="AA2175" i="12"/>
  <c r="U2168" i="12"/>
  <c r="W2165" i="12"/>
  <c r="G2160" i="12"/>
  <c r="W2157" i="12"/>
  <c r="G2155" i="12"/>
  <c r="U2152" i="12"/>
  <c r="W2147" i="12"/>
  <c r="S2145" i="12"/>
  <c r="U2142" i="12"/>
  <c r="K2140" i="12"/>
  <c r="AC2137" i="12"/>
  <c r="W2135" i="12"/>
  <c r="AB2125" i="12"/>
  <c r="AC2113" i="12"/>
  <c r="W2107" i="12"/>
  <c r="S2105" i="12"/>
  <c r="U2102" i="12"/>
  <c r="K2100" i="12"/>
  <c r="AE2097" i="12"/>
  <c r="AB2095" i="12"/>
  <c r="U2092" i="12"/>
  <c r="S2090" i="12"/>
  <c r="W2080" i="12"/>
  <c r="M2078" i="12"/>
  <c r="D2075" i="12"/>
  <c r="AE2072" i="12"/>
  <c r="AE2070" i="12"/>
  <c r="W2067" i="12"/>
  <c r="W2065" i="12"/>
  <c r="G2062" i="12"/>
  <c r="C2060" i="12"/>
  <c r="AE2057" i="12"/>
  <c r="AB2055" i="12"/>
  <c r="U2052" i="12"/>
  <c r="S2050" i="12"/>
  <c r="W2040" i="12"/>
  <c r="W2037" i="12"/>
  <c r="AA2035" i="12"/>
  <c r="AC2033" i="12"/>
  <c r="AB2030" i="12"/>
  <c r="AC2027" i="12"/>
  <c r="D2025" i="12"/>
  <c r="K2020" i="12"/>
  <c r="G2017" i="12"/>
  <c r="K2015" i="12"/>
  <c r="M2012" i="12"/>
  <c r="T2010" i="12"/>
  <c r="AC2008" i="12"/>
  <c r="G2005" i="12"/>
  <c r="AE2000" i="12"/>
  <c r="K2000" i="12"/>
  <c r="U1998" i="12"/>
  <c r="AC1997" i="12"/>
  <c r="G1997" i="12"/>
  <c r="W1995" i="12"/>
  <c r="C1995" i="12"/>
  <c r="U1992" i="12"/>
  <c r="O1990" i="12"/>
  <c r="AC1988" i="12"/>
  <c r="M1987" i="12"/>
  <c r="AB1985" i="12"/>
  <c r="G1985" i="12"/>
  <c r="E1982" i="12"/>
  <c r="T1980" i="12"/>
  <c r="E1978" i="12"/>
  <c r="L1975" i="12"/>
  <c r="AE1972" i="12"/>
  <c r="AA1970" i="12"/>
  <c r="D1970" i="12"/>
  <c r="M1968" i="12"/>
  <c r="W1967" i="12"/>
  <c r="S1965" i="12"/>
  <c r="O1962" i="12"/>
  <c r="AE1960" i="12"/>
  <c r="K1960" i="12"/>
  <c r="U1958" i="12"/>
  <c r="AC1957" i="12"/>
  <c r="G1957" i="12"/>
  <c r="W1955" i="12"/>
  <c r="C1955" i="12"/>
  <c r="U1952" i="12"/>
  <c r="O1950" i="12"/>
  <c r="AC1948" i="12"/>
  <c r="M1947" i="12"/>
  <c r="AB1945" i="12"/>
  <c r="G1945" i="12"/>
  <c r="E1942" i="12"/>
  <c r="T1940" i="12"/>
  <c r="E1938" i="12"/>
  <c r="L1935" i="12"/>
  <c r="AE1932" i="12"/>
  <c r="AA1930" i="12"/>
  <c r="D1930" i="12"/>
  <c r="M1928" i="12"/>
  <c r="W1927" i="12"/>
  <c r="S1925" i="12"/>
  <c r="O1922" i="12"/>
  <c r="AE1920" i="12"/>
  <c r="K1920" i="12"/>
  <c r="U1918" i="12"/>
  <c r="AC1917" i="12"/>
  <c r="G1917" i="12"/>
  <c r="W1915" i="12"/>
  <c r="C1915" i="12"/>
  <c r="U1912" i="12"/>
  <c r="O1910" i="12"/>
  <c r="AC1908" i="12"/>
  <c r="M1907" i="12"/>
  <c r="AB1905" i="12"/>
  <c r="G1905" i="12"/>
  <c r="E1902" i="12"/>
  <c r="T1900" i="12"/>
  <c r="E1898" i="12"/>
  <c r="L1895" i="12"/>
  <c r="AE1892" i="12"/>
  <c r="AA1890" i="12"/>
  <c r="D1890" i="12"/>
  <c r="M1888" i="12"/>
  <c r="W1887" i="12"/>
  <c r="S1885" i="12"/>
  <c r="S2360" i="12"/>
  <c r="U2353" i="12"/>
  <c r="AC2288" i="12"/>
  <c r="AB2275" i="12"/>
  <c r="AC2263" i="12"/>
  <c r="G2245" i="12"/>
  <c r="AE2225" i="12"/>
  <c r="AE2220" i="12"/>
  <c r="O2212" i="12"/>
  <c r="E2207" i="12"/>
  <c r="W2202" i="12"/>
  <c r="T2190" i="12"/>
  <c r="T2165" i="12"/>
  <c r="D2160" i="12"/>
  <c r="U2157" i="12"/>
  <c r="G2147" i="12"/>
  <c r="C2145" i="12"/>
  <c r="M2137" i="12"/>
  <c r="G2135" i="12"/>
  <c r="T2130" i="12"/>
  <c r="L2125" i="12"/>
  <c r="M2118" i="12"/>
  <c r="G2107" i="12"/>
  <c r="C2105" i="12"/>
  <c r="AC2097" i="12"/>
  <c r="AA2095" i="12"/>
  <c r="AC2093" i="12"/>
  <c r="M2092" i="12"/>
  <c r="O2090" i="12"/>
  <c r="AE2085" i="12"/>
  <c r="T2080" i="12"/>
  <c r="W2072" i="12"/>
  <c r="AB2070" i="12"/>
  <c r="U2068" i="12"/>
  <c r="O2067" i="12"/>
  <c r="T2065" i="12"/>
  <c r="E2063" i="12"/>
  <c r="AC2057" i="12"/>
  <c r="AA2055" i="12"/>
  <c r="AC2053" i="12"/>
  <c r="M2052" i="12"/>
  <c r="O2050" i="12"/>
  <c r="AE2045" i="12"/>
  <c r="T2040" i="12"/>
  <c r="U2037" i="12"/>
  <c r="T2035" i="12"/>
  <c r="O2032" i="12"/>
  <c r="AA2030" i="12"/>
  <c r="C2025" i="12"/>
  <c r="C2020" i="12"/>
  <c r="G2015" i="12"/>
  <c r="M2013" i="12"/>
  <c r="G2012" i="12"/>
  <c r="S2010" i="12"/>
  <c r="U2008" i="12"/>
  <c r="U2007" i="12"/>
  <c r="AE2005" i="12"/>
  <c r="C2005" i="12"/>
  <c r="E2003" i="12"/>
  <c r="M2002" i="12"/>
  <c r="AB2000" i="12"/>
  <c r="G2000" i="12"/>
  <c r="E1997" i="12"/>
  <c r="T1995" i="12"/>
  <c r="E1993" i="12"/>
  <c r="L1990" i="12"/>
  <c r="AE1987" i="12"/>
  <c r="AA1985" i="12"/>
  <c r="D1985" i="12"/>
  <c r="M1983" i="12"/>
  <c r="W1982" i="12"/>
  <c r="S1980" i="12"/>
  <c r="O1977" i="12"/>
  <c r="AE1975" i="12"/>
  <c r="K1975" i="12"/>
  <c r="U1973" i="12"/>
  <c r="AC1972" i="12"/>
  <c r="G1972" i="12"/>
  <c r="W1970" i="12"/>
  <c r="C1970" i="12"/>
  <c r="U1967" i="12"/>
  <c r="O1965" i="12"/>
  <c r="AC1963" i="12"/>
  <c r="M1962" i="12"/>
  <c r="AB1960" i="12"/>
  <c r="G1960" i="12"/>
  <c r="E1957" i="12"/>
  <c r="T1955" i="12"/>
  <c r="E1953" i="12"/>
  <c r="L1950" i="12"/>
  <c r="AE1947" i="12"/>
  <c r="AA1945" i="12"/>
  <c r="D1945" i="12"/>
  <c r="M1943" i="12"/>
  <c r="W1942" i="12"/>
  <c r="S1940" i="12"/>
  <c r="O1937" i="12"/>
  <c r="AE1935" i="12"/>
  <c r="K1935" i="12"/>
  <c r="U1933" i="12"/>
  <c r="AC1932" i="12"/>
  <c r="G1932" i="12"/>
  <c r="W1930" i="12"/>
  <c r="C1930" i="12"/>
  <c r="U1927" i="12"/>
  <c r="O1925" i="12"/>
  <c r="AC1923" i="12"/>
  <c r="M1922" i="12"/>
  <c r="AB1920" i="12"/>
  <c r="G1920" i="12"/>
  <c r="E1917" i="12"/>
  <c r="T1915" i="12"/>
  <c r="E1913" i="12"/>
  <c r="L1910" i="12"/>
  <c r="AE1907" i="12"/>
  <c r="AA1905" i="12"/>
  <c r="D1905" i="12"/>
  <c r="M1903" i="12"/>
  <c r="W1902" i="12"/>
  <c r="S1900" i="12"/>
  <c r="O1897" i="12"/>
  <c r="AE1895" i="12"/>
  <c r="K1895" i="12"/>
  <c r="U1893" i="12"/>
  <c r="AC1892" i="12"/>
  <c r="G1892" i="12"/>
  <c r="W1890" i="12"/>
  <c r="C1890" i="12"/>
  <c r="U1887" i="12"/>
  <c r="U2413" i="12"/>
  <c r="E2353" i="12"/>
  <c r="AE2257" i="12"/>
  <c r="D2245" i="12"/>
  <c r="L2240" i="12"/>
  <c r="AB2220" i="12"/>
  <c r="T2215" i="12"/>
  <c r="E2202" i="12"/>
  <c r="S2190" i="12"/>
  <c r="AC2177" i="12"/>
  <c r="AE2170" i="12"/>
  <c r="L2165" i="12"/>
  <c r="U2162" i="12"/>
  <c r="E2147" i="12"/>
  <c r="O2142" i="12"/>
  <c r="D2135" i="12"/>
  <c r="S2130" i="12"/>
  <c r="K2125" i="12"/>
  <c r="AE2122" i="12"/>
  <c r="AA2120" i="12"/>
  <c r="AE2110" i="12"/>
  <c r="U2108" i="12"/>
  <c r="E2107" i="12"/>
  <c r="O2102" i="12"/>
  <c r="U2097" i="12"/>
  <c r="W2095" i="12"/>
  <c r="E2092" i="12"/>
  <c r="G2090" i="12"/>
  <c r="AB2085" i="12"/>
  <c r="U2083" i="12"/>
  <c r="L2080" i="12"/>
  <c r="E2078" i="12"/>
  <c r="O2072" i="12"/>
  <c r="AA2070" i="12"/>
  <c r="G2067" i="12"/>
  <c r="S2065" i="12"/>
  <c r="U2057" i="12"/>
  <c r="W2055" i="12"/>
  <c r="E2052" i="12"/>
  <c r="G2050" i="12"/>
  <c r="AB2045" i="12"/>
  <c r="U2043" i="12"/>
  <c r="L2040" i="12"/>
  <c r="M2038" i="12"/>
  <c r="S2035" i="12"/>
  <c r="M2033" i="12"/>
  <c r="M2032" i="12"/>
  <c r="S2030" i="12"/>
  <c r="U2028" i="12"/>
  <c r="W2027" i="12"/>
  <c r="AE2025" i="12"/>
  <c r="AC2022" i="12"/>
  <c r="AE2017" i="12"/>
  <c r="D2015" i="12"/>
  <c r="E2012" i="12"/>
  <c r="O2010" i="12"/>
  <c r="AB2005" i="12"/>
  <c r="AA2000" i="12"/>
  <c r="D2000" i="12"/>
  <c r="M1998" i="12"/>
  <c r="W1997" i="12"/>
  <c r="S1995" i="12"/>
  <c r="O1992" i="12"/>
  <c r="AE1990" i="12"/>
  <c r="K1990" i="12"/>
  <c r="U1988" i="12"/>
  <c r="AC1987" i="12"/>
  <c r="G1987" i="12"/>
  <c r="W1985" i="12"/>
  <c r="C1985" i="12"/>
  <c r="U1982" i="12"/>
  <c r="O1980" i="12"/>
  <c r="AC1978" i="12"/>
  <c r="M1977" i="12"/>
  <c r="AB1975" i="12"/>
  <c r="G1975" i="12"/>
  <c r="E1972" i="12"/>
  <c r="T1970" i="12"/>
  <c r="E1968" i="12"/>
  <c r="L1965" i="12"/>
  <c r="AE1962" i="12"/>
  <c r="AA1960" i="12"/>
  <c r="D1960" i="12"/>
  <c r="M1958" i="12"/>
  <c r="W1957" i="12"/>
  <c r="S1955" i="12"/>
  <c r="O1952" i="12"/>
  <c r="AE1950" i="12"/>
  <c r="K1950" i="12"/>
  <c r="U1948" i="12"/>
  <c r="AC1947" i="12"/>
  <c r="G1947" i="12"/>
  <c r="W1945" i="12"/>
  <c r="C1945" i="12"/>
  <c r="U1942" i="12"/>
  <c r="O1940" i="12"/>
  <c r="AC1938" i="12"/>
  <c r="M1937" i="12"/>
  <c r="AB1935" i="12"/>
  <c r="G1935" i="12"/>
  <c r="E1932" i="12"/>
  <c r="T1930" i="12"/>
  <c r="E1928" i="12"/>
  <c r="L1925" i="12"/>
  <c r="AE1922" i="12"/>
  <c r="AA1920" i="12"/>
  <c r="D1920" i="12"/>
  <c r="M1918" i="12"/>
  <c r="W1917" i="12"/>
  <c r="S1915" i="12"/>
  <c r="O1912" i="12"/>
  <c r="AE1910" i="12"/>
  <c r="K1910" i="12"/>
  <c r="U1908" i="12"/>
  <c r="K2435" i="12"/>
  <c r="AC2267" i="12"/>
  <c r="O2197" i="12"/>
  <c r="K2190" i="12"/>
  <c r="AE2185" i="12"/>
  <c r="AC2173" i="12"/>
  <c r="AB2170" i="12"/>
  <c r="O2167" i="12"/>
  <c r="U2153" i="12"/>
  <c r="U2148" i="12"/>
  <c r="AC2138" i="12"/>
  <c r="G2137" i="12"/>
  <c r="C2135" i="12"/>
  <c r="W2132" i="12"/>
  <c r="O2130" i="12"/>
  <c r="O2127" i="12"/>
  <c r="G2125" i="12"/>
  <c r="AC2122" i="12"/>
  <c r="W2120" i="12"/>
  <c r="E2118" i="12"/>
  <c r="S2115" i="12"/>
  <c r="AB2110" i="12"/>
  <c r="AC2098" i="12"/>
  <c r="M2097" i="12"/>
  <c r="O2095" i="12"/>
  <c r="M2093" i="12"/>
  <c r="T2085" i="12"/>
  <c r="G2082" i="12"/>
  <c r="D2080" i="12"/>
  <c r="AC2073" i="12"/>
  <c r="M2072" i="12"/>
  <c r="S2070" i="12"/>
  <c r="M2068" i="12"/>
  <c r="E2067" i="12"/>
  <c r="K2065" i="12"/>
  <c r="AE2060" i="12"/>
  <c r="AC2058" i="12"/>
  <c r="M2057" i="12"/>
  <c r="O2055" i="12"/>
  <c r="M2053" i="12"/>
  <c r="T2045" i="12"/>
  <c r="G2042" i="12"/>
  <c r="G2040" i="12"/>
  <c r="O2035" i="12"/>
  <c r="E2033" i="12"/>
  <c r="L2030" i="12"/>
  <c r="O2027" i="12"/>
  <c r="AA2025" i="12"/>
  <c r="W2022" i="12"/>
  <c r="AE2020" i="12"/>
  <c r="AC2017" i="12"/>
  <c r="AE2015" i="12"/>
  <c r="C2015" i="12"/>
  <c r="K2010" i="12"/>
  <c r="O2007" i="12"/>
  <c r="W2005" i="12"/>
  <c r="AE2002" i="12"/>
  <c r="G2002" i="12"/>
  <c r="W2000" i="12"/>
  <c r="C2000" i="12"/>
  <c r="U1997" i="12"/>
  <c r="O1995" i="12"/>
  <c r="AC1993" i="12"/>
  <c r="M1992" i="12"/>
  <c r="AB1990" i="12"/>
  <c r="G1990" i="12"/>
  <c r="E1987" i="12"/>
  <c r="T1985" i="12"/>
  <c r="E1983" i="12"/>
  <c r="L1980" i="12"/>
  <c r="AE1977" i="12"/>
  <c r="AA1975" i="12"/>
  <c r="D1975" i="12"/>
  <c r="M1973" i="12"/>
  <c r="W1972" i="12"/>
  <c r="S1970" i="12"/>
  <c r="O1967" i="12"/>
  <c r="AE1965" i="12"/>
  <c r="K1965" i="12"/>
  <c r="U1963" i="12"/>
  <c r="AC1962" i="12"/>
  <c r="G1962" i="12"/>
  <c r="W1960" i="12"/>
  <c r="C1960" i="12"/>
  <c r="U1957" i="12"/>
  <c r="O1955" i="12"/>
  <c r="AC1953" i="12"/>
  <c r="M1952" i="12"/>
  <c r="AB1950" i="12"/>
  <c r="G1950" i="12"/>
  <c r="E1947" i="12"/>
  <c r="T1945" i="12"/>
  <c r="E1943" i="12"/>
  <c r="L1940" i="12"/>
  <c r="AE1937" i="12"/>
  <c r="AA1935" i="12"/>
  <c r="D1935" i="12"/>
  <c r="M1933" i="12"/>
  <c r="W1932" i="12"/>
  <c r="S1930" i="12"/>
  <c r="O1927" i="12"/>
  <c r="AE1925" i="12"/>
  <c r="K1925" i="12"/>
  <c r="U1923" i="12"/>
  <c r="AC1922" i="12"/>
  <c r="G1922" i="12"/>
  <c r="W1920" i="12"/>
  <c r="C1920" i="12"/>
  <c r="U1917" i="12"/>
  <c r="O1915" i="12"/>
  <c r="AC1913" i="12"/>
  <c r="M1912" i="12"/>
  <c r="AB1910" i="12"/>
  <c r="G1910" i="12"/>
  <c r="E1907" i="12"/>
  <c r="T1905" i="12"/>
  <c r="E1903" i="12"/>
  <c r="L1900" i="12"/>
  <c r="AE1897" i="12"/>
  <c r="AA1895" i="12"/>
  <c r="D1895" i="12"/>
  <c r="M1893" i="12"/>
  <c r="W1892" i="12"/>
  <c r="S1890" i="12"/>
  <c r="O1887" i="12"/>
  <c r="AE1885" i="12"/>
  <c r="K1885" i="12"/>
  <c r="U2233" i="12"/>
  <c r="M2197" i="12"/>
  <c r="AC2192" i="12"/>
  <c r="L2185" i="12"/>
  <c r="U2177" i="12"/>
  <c r="T2170" i="12"/>
  <c r="AE2150" i="12"/>
  <c r="U2132" i="12"/>
  <c r="M2127" i="12"/>
  <c r="T2120" i="12"/>
  <c r="O2115" i="12"/>
  <c r="AE2112" i="12"/>
  <c r="AA2110" i="12"/>
  <c r="M2108" i="12"/>
  <c r="G2095" i="12"/>
  <c r="O2087" i="12"/>
  <c r="L2085" i="12"/>
  <c r="E2083" i="12"/>
  <c r="E2082" i="12"/>
  <c r="C2080" i="12"/>
  <c r="AE2077" i="12"/>
  <c r="AA2075" i="12"/>
  <c r="K2070" i="12"/>
  <c r="C2065" i="12"/>
  <c r="AC2062" i="12"/>
  <c r="W2060" i="12"/>
  <c r="G2055" i="12"/>
  <c r="O2047" i="12"/>
  <c r="L2045" i="12"/>
  <c r="E2043" i="12"/>
  <c r="E2042" i="12"/>
  <c r="D2040" i="12"/>
  <c r="E2038" i="12"/>
  <c r="E2037" i="12"/>
  <c r="L2035" i="12"/>
  <c r="K2030" i="12"/>
  <c r="M2028" i="12"/>
  <c r="W2025" i="12"/>
  <c r="U2023" i="12"/>
  <c r="U2022" i="12"/>
  <c r="W2020" i="12"/>
  <c r="AC2018" i="12"/>
  <c r="U2017" i="12"/>
  <c r="AB2015" i="12"/>
  <c r="AC2012" i="12"/>
  <c r="G2010" i="12"/>
  <c r="E2008" i="12"/>
  <c r="M2007" i="12"/>
  <c r="T2005" i="12"/>
  <c r="AC2003" i="12"/>
  <c r="AC2002" i="12"/>
  <c r="E2002" i="12"/>
  <c r="T2000" i="12"/>
  <c r="E1998" i="12"/>
  <c r="L1995" i="12"/>
  <c r="AE1992" i="12"/>
  <c r="AA1990" i="12"/>
  <c r="D1990" i="12"/>
  <c r="M1988" i="12"/>
  <c r="W1987" i="12"/>
  <c r="S1985" i="12"/>
  <c r="O1982" i="12"/>
  <c r="AE1980" i="12"/>
  <c r="K1980" i="12"/>
  <c r="U1978" i="12"/>
  <c r="AC1977" i="12"/>
  <c r="G1977" i="12"/>
  <c r="W1975" i="12"/>
  <c r="C1975" i="12"/>
  <c r="U1972" i="12"/>
  <c r="O1970" i="12"/>
  <c r="AC1968" i="12"/>
  <c r="M1967" i="12"/>
  <c r="AB1965" i="12"/>
  <c r="G1965" i="12"/>
  <c r="E1962" i="12"/>
  <c r="T1960" i="12"/>
  <c r="E1958" i="12"/>
  <c r="L1955" i="12"/>
  <c r="AE1952" i="12"/>
  <c r="AA1950" i="12"/>
  <c r="D1950" i="12"/>
  <c r="M1948" i="12"/>
  <c r="W1947" i="12"/>
  <c r="S1945" i="12"/>
  <c r="O1942" i="12"/>
  <c r="AE1940" i="12"/>
  <c r="K1940" i="12"/>
  <c r="U1938" i="12"/>
  <c r="AC1937" i="12"/>
  <c r="G1937" i="12"/>
  <c r="W1935" i="12"/>
  <c r="C1935" i="12"/>
  <c r="U1932" i="12"/>
  <c r="O1930" i="12"/>
  <c r="AC1928" i="12"/>
  <c r="M1927" i="12"/>
  <c r="AB1925" i="12"/>
  <c r="G1925" i="12"/>
  <c r="E1922" i="12"/>
  <c r="T1920" i="12"/>
  <c r="E1918" i="12"/>
  <c r="L1915" i="12"/>
  <c r="AE1912" i="12"/>
  <c r="AA1910" i="12"/>
  <c r="D1910" i="12"/>
  <c r="M1908" i="12"/>
  <c r="W1907" i="12"/>
  <c r="S1905" i="12"/>
  <c r="O1902" i="12"/>
  <c r="AE1900" i="12"/>
  <c r="K1900" i="12"/>
  <c r="U1898" i="12"/>
  <c r="AC1897" i="12"/>
  <c r="G1897" i="12"/>
  <c r="W1895" i="12"/>
  <c r="C1895" i="12"/>
  <c r="U1892" i="12"/>
  <c r="O1890" i="12"/>
  <c r="AC1888" i="12"/>
  <c r="M1887" i="12"/>
  <c r="AB1885" i="12"/>
  <c r="C1750" i="12"/>
  <c r="W1750" i="12"/>
  <c r="G1752" i="12"/>
  <c r="AC1752" i="12"/>
  <c r="U1753" i="12"/>
  <c r="K1755" i="12"/>
  <c r="AE1755" i="12"/>
  <c r="O1757" i="12"/>
  <c r="S1760" i="12"/>
  <c r="W1762" i="12"/>
  <c r="M1763" i="12"/>
  <c r="D1765" i="12"/>
  <c r="AA1765" i="12"/>
  <c r="AE1767" i="12"/>
  <c r="L1770" i="12"/>
  <c r="E1773" i="12"/>
  <c r="T1775" i="12"/>
  <c r="E1777" i="12"/>
  <c r="G1780" i="12"/>
  <c r="AB1780" i="12"/>
  <c r="M1782" i="12"/>
  <c r="AC1783" i="12"/>
  <c r="O1785" i="12"/>
  <c r="U1787" i="12"/>
  <c r="C1790" i="12"/>
  <c r="W1790" i="12"/>
  <c r="G1792" i="12"/>
  <c r="AC1792" i="12"/>
  <c r="U1793" i="12"/>
  <c r="K1795" i="12"/>
  <c r="AE1795" i="12"/>
  <c r="O1797" i="12"/>
  <c r="S1800" i="12"/>
  <c r="W1802" i="12"/>
  <c r="M1803" i="12"/>
  <c r="D1805" i="12"/>
  <c r="AA1805" i="12"/>
  <c r="AE1807" i="12"/>
  <c r="L1810" i="12"/>
  <c r="E1813" i="12"/>
  <c r="T1815" i="12"/>
  <c r="E1817" i="12"/>
  <c r="G1820" i="12"/>
  <c r="AB1820" i="12"/>
  <c r="M1822" i="12"/>
  <c r="AC1823" i="12"/>
  <c r="O1825" i="12"/>
  <c r="U1827" i="12"/>
  <c r="C1830" i="12"/>
  <c r="W1830" i="12"/>
  <c r="G1832" i="12"/>
  <c r="AC1832" i="12"/>
  <c r="U1833" i="12"/>
  <c r="K1835" i="12"/>
  <c r="AE1835" i="12"/>
  <c r="O1837" i="12"/>
  <c r="S1840" i="12"/>
  <c r="W1842" i="12"/>
  <c r="M1843" i="12"/>
  <c r="D1845" i="12"/>
  <c r="AA1845" i="12"/>
  <c r="AE1847" i="12"/>
  <c r="L1850" i="12"/>
  <c r="E1853" i="12"/>
  <c r="T1855" i="12"/>
  <c r="E1857" i="12"/>
  <c r="G1860" i="12"/>
  <c r="AB1860" i="12"/>
  <c r="M1862" i="12"/>
  <c r="AC1863" i="12"/>
  <c r="O1865" i="12"/>
  <c r="U1867" i="12"/>
  <c r="C1870" i="12"/>
  <c r="W1870" i="12"/>
  <c r="G1872" i="12"/>
  <c r="AC1872" i="12"/>
  <c r="U1873" i="12"/>
  <c r="K1875" i="12"/>
  <c r="AE1875" i="12"/>
  <c r="O1877" i="12"/>
  <c r="S1880" i="12"/>
  <c r="W1882" i="12"/>
  <c r="M1883" i="12"/>
  <c r="D1885" i="12"/>
  <c r="K1890" i="12"/>
  <c r="M1892" i="12"/>
  <c r="AC1893" i="12"/>
  <c r="D1900" i="12"/>
  <c r="G1902" i="12"/>
  <c r="U1903" i="12"/>
  <c r="O1905" i="12"/>
  <c r="U1907" i="12"/>
  <c r="C1910" i="12"/>
  <c r="G1912" i="12"/>
  <c r="M1923" i="12"/>
  <c r="L1930" i="12"/>
  <c r="T1935" i="12"/>
  <c r="G1940" i="12"/>
  <c r="M1942" i="12"/>
  <c r="C1950" i="12"/>
  <c r="G1952" i="12"/>
  <c r="M1963" i="12"/>
  <c r="L1970" i="12"/>
  <c r="T1975" i="12"/>
  <c r="G1980" i="12"/>
  <c r="M1982" i="12"/>
  <c r="C1990" i="12"/>
  <c r="G1992" i="12"/>
  <c r="E2007" i="12"/>
  <c r="W2010" i="12"/>
  <c r="U2013" i="12"/>
  <c r="O2022" i="12"/>
  <c r="K2025" i="12"/>
  <c r="AE2027" i="12"/>
  <c r="C2040" i="12"/>
  <c r="E2048" i="12"/>
  <c r="K2060" i="12"/>
  <c r="AC2067" i="12"/>
  <c r="S2075" i="12"/>
  <c r="D2095" i="12"/>
  <c r="E2103" i="12"/>
  <c r="AC2107" i="12"/>
  <c r="C2120" i="12"/>
  <c r="U2123" i="12"/>
  <c r="E2128" i="12"/>
  <c r="AE2140" i="12"/>
  <c r="T2145" i="12"/>
  <c r="S2195" i="12"/>
  <c r="M2213" i="12"/>
  <c r="O2385" i="12"/>
  <c r="G1765" i="12"/>
  <c r="AB1765" i="12"/>
  <c r="M1767" i="12"/>
  <c r="AC1768" i="12"/>
  <c r="O1770" i="12"/>
  <c r="U1772" i="12"/>
  <c r="C1775" i="12"/>
  <c r="W1775" i="12"/>
  <c r="G1777" i="12"/>
  <c r="AC1777" i="12"/>
  <c r="U1778" i="12"/>
  <c r="K1780" i="12"/>
  <c r="AE1780" i="12"/>
  <c r="O1782" i="12"/>
  <c r="S1785" i="12"/>
  <c r="W1787" i="12"/>
  <c r="M1788" i="12"/>
  <c r="D1790" i="12"/>
  <c r="AA1790" i="12"/>
  <c r="AE1792" i="12"/>
  <c r="L1795" i="12"/>
  <c r="E1798" i="12"/>
  <c r="T1800" i="12"/>
  <c r="E1802" i="12"/>
  <c r="G1805" i="12"/>
  <c r="AB1805" i="12"/>
  <c r="M1807" i="12"/>
  <c r="AC1808" i="12"/>
  <c r="O1810" i="12"/>
  <c r="U1812" i="12"/>
  <c r="C1815" i="12"/>
  <c r="W1815" i="12"/>
  <c r="G1817" i="12"/>
  <c r="AC1817" i="12"/>
  <c r="U1818" i="12"/>
  <c r="K1820" i="12"/>
  <c r="AE1820" i="12"/>
  <c r="O1822" i="12"/>
  <c r="S1825" i="12"/>
  <c r="W1827" i="12"/>
  <c r="M1828" i="12"/>
  <c r="D1830" i="12"/>
  <c r="AA1830" i="12"/>
  <c r="AE1832" i="12"/>
  <c r="L1835" i="12"/>
  <c r="E1838" i="12"/>
  <c r="T1840" i="12"/>
  <c r="E1842" i="12"/>
  <c r="G1845" i="12"/>
  <c r="AB1845" i="12"/>
  <c r="M1847" i="12"/>
  <c r="AC1848" i="12"/>
  <c r="O1850" i="12"/>
  <c r="U1852" i="12"/>
  <c r="C1855" i="12"/>
  <c r="W1855" i="12"/>
  <c r="G1857" i="12"/>
  <c r="AC1857" i="12"/>
  <c r="U1858" i="12"/>
  <c r="K1860" i="12"/>
  <c r="AE1860" i="12"/>
  <c r="O1862" i="12"/>
  <c r="S1865" i="12"/>
  <c r="W1867" i="12"/>
  <c r="M1868" i="12"/>
  <c r="D1870" i="12"/>
  <c r="AA1870" i="12"/>
  <c r="AE1872" i="12"/>
  <c r="L1875" i="12"/>
  <c r="E1878" i="12"/>
  <c r="T1880" i="12"/>
  <c r="E1882" i="12"/>
  <c r="G1885" i="12"/>
  <c r="E1887" i="12"/>
  <c r="E1888" i="12"/>
  <c r="L1890" i="12"/>
  <c r="O1892" i="12"/>
  <c r="G1900" i="12"/>
  <c r="W1905" i="12"/>
  <c r="AC1907" i="12"/>
  <c r="S1910" i="12"/>
  <c r="W1912" i="12"/>
  <c r="AC1918" i="12"/>
  <c r="AB1930" i="12"/>
  <c r="W1940" i="12"/>
  <c r="AC1942" i="12"/>
  <c r="K1945" i="12"/>
  <c r="U1947" i="12"/>
  <c r="S1950" i="12"/>
  <c r="W1952" i="12"/>
  <c r="AC1958" i="12"/>
  <c r="AB1970" i="12"/>
  <c r="W1980" i="12"/>
  <c r="AC1982" i="12"/>
  <c r="K1985" i="12"/>
  <c r="U1987" i="12"/>
  <c r="S1990" i="12"/>
  <c r="W1992" i="12"/>
  <c r="AC1998" i="12"/>
  <c r="G2007" i="12"/>
  <c r="AB2010" i="12"/>
  <c r="AC2013" i="12"/>
  <c r="S2025" i="12"/>
  <c r="AA2040" i="12"/>
  <c r="G2045" i="12"/>
  <c r="W2052" i="12"/>
  <c r="L2060" i="12"/>
  <c r="U2063" i="12"/>
  <c r="E2088" i="12"/>
  <c r="L2100" i="12"/>
  <c r="D2120" i="12"/>
  <c r="AC2128" i="12"/>
  <c r="M2133" i="12"/>
  <c r="AE2137" i="12"/>
  <c r="W2145" i="12"/>
  <c r="G2150" i="12"/>
  <c r="G2167" i="12"/>
  <c r="U2172" i="12"/>
  <c r="E2272" i="12"/>
  <c r="E1783" i="12"/>
  <c r="T1785" i="12"/>
  <c r="E1787" i="12"/>
  <c r="G1790" i="12"/>
  <c r="AB1790" i="12"/>
  <c r="M1792" i="12"/>
  <c r="AC1793" i="12"/>
  <c r="O1795" i="12"/>
  <c r="U1797" i="12"/>
  <c r="C1800" i="12"/>
  <c r="W1800" i="12"/>
  <c r="G1802" i="12"/>
  <c r="AC1802" i="12"/>
  <c r="U1803" i="12"/>
  <c r="K1805" i="12"/>
  <c r="AE1805" i="12"/>
  <c r="O1807" i="12"/>
  <c r="S1810" i="12"/>
  <c r="W1812" i="12"/>
  <c r="M1813" i="12"/>
  <c r="D1815" i="12"/>
  <c r="AA1815" i="12"/>
  <c r="AE1817" i="12"/>
  <c r="L1820" i="12"/>
  <c r="E1823" i="12"/>
  <c r="T1825" i="12"/>
  <c r="E1827" i="12"/>
  <c r="G1830" i="12"/>
  <c r="AB1830" i="12"/>
  <c r="M1832" i="12"/>
  <c r="AC1833" i="12"/>
  <c r="O1835" i="12"/>
  <c r="U1837" i="12"/>
  <c r="C1840" i="12"/>
  <c r="W1840" i="12"/>
  <c r="G1842" i="12"/>
  <c r="AC1842" i="12"/>
  <c r="U1843" i="12"/>
  <c r="K1845" i="12"/>
  <c r="AE1845" i="12"/>
  <c r="O1847" i="12"/>
  <c r="S1850" i="12"/>
  <c r="W1852" i="12"/>
  <c r="M1853" i="12"/>
  <c r="D1855" i="12"/>
  <c r="AA1855" i="12"/>
  <c r="AE1857" i="12"/>
  <c r="L1860" i="12"/>
  <c r="E1863" i="12"/>
  <c r="T1865" i="12"/>
  <c r="E1867" i="12"/>
  <c r="G1870" i="12"/>
  <c r="AB1870" i="12"/>
  <c r="M1872" i="12"/>
  <c r="AC1873" i="12"/>
  <c r="O1875" i="12"/>
  <c r="U1877" i="12"/>
  <c r="C1880" i="12"/>
  <c r="W1880" i="12"/>
  <c r="G1882" i="12"/>
  <c r="AC1882" i="12"/>
  <c r="U1883" i="12"/>
  <c r="L1885" i="12"/>
  <c r="G1887" i="12"/>
  <c r="T1890" i="12"/>
  <c r="M1898" i="12"/>
  <c r="O1900" i="12"/>
  <c r="M1902" i="12"/>
  <c r="AC1903" i="12"/>
  <c r="AE1905" i="12"/>
  <c r="T1910" i="12"/>
  <c r="D1915" i="12"/>
  <c r="E1927" i="12"/>
  <c r="U1928" i="12"/>
  <c r="AE1930" i="12"/>
  <c r="E1933" i="12"/>
  <c r="M1938" i="12"/>
  <c r="AA1940" i="12"/>
  <c r="AE1942" i="12"/>
  <c r="L1945" i="12"/>
  <c r="T1950" i="12"/>
  <c r="D1955" i="12"/>
  <c r="E1967" i="12"/>
  <c r="U1968" i="12"/>
  <c r="AE1970" i="12"/>
  <c r="E1973" i="12"/>
  <c r="M1978" i="12"/>
  <c r="AA1980" i="12"/>
  <c r="AE1982" i="12"/>
  <c r="L1985" i="12"/>
  <c r="T1990" i="12"/>
  <c r="D1995" i="12"/>
  <c r="U2002" i="12"/>
  <c r="AC2007" i="12"/>
  <c r="M2017" i="12"/>
  <c r="L2020" i="12"/>
  <c r="T2025" i="12"/>
  <c r="W2032" i="12"/>
  <c r="K2045" i="12"/>
  <c r="AC2048" i="12"/>
  <c r="G2057" i="12"/>
  <c r="O2060" i="12"/>
  <c r="AA2080" i="12"/>
  <c r="G2085" i="12"/>
  <c r="W2092" i="12"/>
  <c r="O2100" i="12"/>
  <c r="M2112" i="12"/>
  <c r="K2150" i="12"/>
  <c r="M2158" i="12"/>
  <c r="U2163" i="12"/>
  <c r="W2172" i="12"/>
  <c r="K2185" i="12"/>
  <c r="U2203" i="12"/>
  <c r="AC2208" i="12"/>
  <c r="AC2213" i="12"/>
  <c r="G2232" i="12"/>
  <c r="AC1867" i="12"/>
  <c r="U1868" i="12"/>
  <c r="K1870" i="12"/>
  <c r="AE1870" i="12"/>
  <c r="O1872" i="12"/>
  <c r="S1875" i="12"/>
  <c r="W1877" i="12"/>
  <c r="M1878" i="12"/>
  <c r="D1880" i="12"/>
  <c r="AA1880" i="12"/>
  <c r="AE1882" i="12"/>
  <c r="O1885" i="12"/>
  <c r="U1888" i="12"/>
  <c r="AB1890" i="12"/>
  <c r="G1895" i="12"/>
  <c r="E1897" i="12"/>
  <c r="W1900" i="12"/>
  <c r="U1902" i="12"/>
  <c r="W1910" i="12"/>
  <c r="AC1912" i="12"/>
  <c r="G1915" i="12"/>
  <c r="M1917" i="12"/>
  <c r="U1922" i="12"/>
  <c r="C1925" i="12"/>
  <c r="G1927" i="12"/>
  <c r="AC1933" i="12"/>
  <c r="AB1940" i="12"/>
  <c r="O1945" i="12"/>
  <c r="W1950" i="12"/>
  <c r="AC1952" i="12"/>
  <c r="G1955" i="12"/>
  <c r="M1957" i="12"/>
  <c r="U1962" i="12"/>
  <c r="C1965" i="12"/>
  <c r="G1967" i="12"/>
  <c r="AC1973" i="12"/>
  <c r="AB1980" i="12"/>
  <c r="O1985" i="12"/>
  <c r="W1990" i="12"/>
  <c r="AC1992" i="12"/>
  <c r="G1995" i="12"/>
  <c r="M1997" i="12"/>
  <c r="W2002" i="12"/>
  <c r="K2005" i="12"/>
  <c r="O2017" i="12"/>
  <c r="O2020" i="12"/>
  <c r="E2023" i="12"/>
  <c r="AE2032" i="12"/>
  <c r="M2073" i="12"/>
  <c r="K2085" i="12"/>
  <c r="AC2088" i="12"/>
  <c r="G2097" i="12"/>
  <c r="AE2100" i="12"/>
  <c r="T2105" i="12"/>
  <c r="O2112" i="12"/>
  <c r="U2117" i="12"/>
  <c r="U2138" i="12"/>
  <c r="L2150" i="12"/>
  <c r="K2155" i="12"/>
  <c r="AC2168" i="12"/>
  <c r="G2192" i="12"/>
  <c r="AE1747" i="12"/>
  <c r="L1750" i="12"/>
  <c r="E1753" i="12"/>
  <c r="T1755" i="12"/>
  <c r="E1757" i="12"/>
  <c r="G1760" i="12"/>
  <c r="AB1760" i="12"/>
  <c r="M1762" i="12"/>
  <c r="AC1763" i="12"/>
  <c r="O1765" i="12"/>
  <c r="U1767" i="12"/>
  <c r="C1770" i="12"/>
  <c r="W1770" i="12"/>
  <c r="G1772" i="12"/>
  <c r="AC1772" i="12"/>
  <c r="U1773" i="12"/>
  <c r="K1775" i="12"/>
  <c r="AE1775" i="12"/>
  <c r="O1777" i="12"/>
  <c r="S1780" i="12"/>
  <c r="W1782" i="12"/>
  <c r="M1783" i="12"/>
  <c r="D1785" i="12"/>
  <c r="AA1785" i="12"/>
  <c r="AE1787" i="12"/>
  <c r="L1790" i="12"/>
  <c r="E1793" i="12"/>
  <c r="T1795" i="12"/>
  <c r="E1797" i="12"/>
  <c r="G1800" i="12"/>
  <c r="AB1800" i="12"/>
  <c r="M1802" i="12"/>
  <c r="AC1803" i="12"/>
  <c r="O1805" i="12"/>
  <c r="U1807" i="12"/>
  <c r="C1810" i="12"/>
  <c r="W1810" i="12"/>
  <c r="G1812" i="12"/>
  <c r="AC1812" i="12"/>
  <c r="U1813" i="12"/>
  <c r="K1815" i="12"/>
  <c r="AE1815" i="12"/>
  <c r="O1817" i="12"/>
  <c r="S1820" i="12"/>
  <c r="W1822" i="12"/>
  <c r="M1823" i="12"/>
  <c r="D1825" i="12"/>
  <c r="AA1825" i="12"/>
  <c r="AE1827" i="12"/>
  <c r="L1830" i="12"/>
  <c r="E1833" i="12"/>
  <c r="T1835" i="12"/>
  <c r="E1837" i="12"/>
  <c r="G1840" i="12"/>
  <c r="AB1840" i="12"/>
  <c r="M1842" i="12"/>
  <c r="AC1843" i="12"/>
  <c r="O1845" i="12"/>
  <c r="U1847" i="12"/>
  <c r="C1850" i="12"/>
  <c r="W1850" i="12"/>
  <c r="G1852" i="12"/>
  <c r="AC1852" i="12"/>
  <c r="U1853" i="12"/>
  <c r="K1855" i="12"/>
  <c r="AE1855" i="12"/>
  <c r="O1857" i="12"/>
  <c r="S1860" i="12"/>
  <c r="W1862" i="12"/>
  <c r="M1863" i="12"/>
  <c r="D1865" i="12"/>
  <c r="AA1865" i="12"/>
  <c r="AE1867" i="12"/>
  <c r="L1870" i="12"/>
  <c r="E1873" i="12"/>
  <c r="T1875" i="12"/>
  <c r="E1877" i="12"/>
  <c r="G1880" i="12"/>
  <c r="AB1880" i="12"/>
  <c r="M1882" i="12"/>
  <c r="AC1883" i="12"/>
  <c r="T1885" i="12"/>
  <c r="AE1890" i="12"/>
  <c r="O1895" i="12"/>
  <c r="M1897" i="12"/>
  <c r="AC1898" i="12"/>
  <c r="AA1900" i="12"/>
  <c r="AC1902" i="12"/>
  <c r="E1908" i="12"/>
  <c r="K1915" i="12"/>
  <c r="O1917" i="12"/>
  <c r="L1920" i="12"/>
  <c r="W1922" i="12"/>
  <c r="D1925" i="12"/>
  <c r="E1937" i="12"/>
  <c r="U1943" i="12"/>
  <c r="AE1945" i="12"/>
  <c r="E1948" i="12"/>
  <c r="K1955" i="12"/>
  <c r="O1957" i="12"/>
  <c r="L1960" i="12"/>
  <c r="W1962" i="12"/>
  <c r="D1965" i="12"/>
  <c r="E1977" i="12"/>
  <c r="U1983" i="12"/>
  <c r="AE1985" i="12"/>
  <c r="E1988" i="12"/>
  <c r="K1995" i="12"/>
  <c r="O1997" i="12"/>
  <c r="L2000" i="12"/>
  <c r="L2005" i="12"/>
  <c r="U2012" i="12"/>
  <c r="O2015" i="12"/>
  <c r="S2020" i="12"/>
  <c r="AE2037" i="12"/>
  <c r="AC2042" i="12"/>
  <c r="AE2065" i="12"/>
  <c r="D2070" i="12"/>
  <c r="U2077" i="12"/>
  <c r="W2105" i="12"/>
  <c r="D2110" i="12"/>
  <c r="W2117" i="12"/>
  <c r="E2122" i="12"/>
  <c r="AE2125" i="12"/>
  <c r="L2155" i="12"/>
  <c r="AC2163" i="12"/>
  <c r="AA2180" i="12"/>
  <c r="W2260" i="12"/>
  <c r="AC1797" i="12"/>
  <c r="U1798" i="12"/>
  <c r="K1800" i="12"/>
  <c r="AE1800" i="12"/>
  <c r="O1802" i="12"/>
  <c r="S1805" i="12"/>
  <c r="W1807" i="12"/>
  <c r="M1808" i="12"/>
  <c r="D1810" i="12"/>
  <c r="AA1810" i="12"/>
  <c r="AE1812" i="12"/>
  <c r="L1815" i="12"/>
  <c r="E1818" i="12"/>
  <c r="T1820" i="12"/>
  <c r="E1822" i="12"/>
  <c r="G1825" i="12"/>
  <c r="AB1825" i="12"/>
  <c r="M1827" i="12"/>
  <c r="AC1828" i="12"/>
  <c r="O1830" i="12"/>
  <c r="U1832" i="12"/>
  <c r="C1835" i="12"/>
  <c r="W1835" i="12"/>
  <c r="G1837" i="12"/>
  <c r="AC1837" i="12"/>
  <c r="U1838" i="12"/>
  <c r="K1840" i="12"/>
  <c r="AE1840" i="12"/>
  <c r="O1842" i="12"/>
  <c r="S1845" i="12"/>
  <c r="W1847" i="12"/>
  <c r="M1848" i="12"/>
  <c r="D1850" i="12"/>
  <c r="AA1850" i="12"/>
  <c r="AE1852" i="12"/>
  <c r="L1855" i="12"/>
  <c r="E1858" i="12"/>
  <c r="T1860" i="12"/>
  <c r="E1862" i="12"/>
  <c r="G1865" i="12"/>
  <c r="AB1865" i="12"/>
  <c r="M1867" i="12"/>
  <c r="AC1868" i="12"/>
  <c r="O1870" i="12"/>
  <c r="U1872" i="12"/>
  <c r="C1875" i="12"/>
  <c r="W1875" i="12"/>
  <c r="G1877" i="12"/>
  <c r="AC1877" i="12"/>
  <c r="U1878" i="12"/>
  <c r="K1880" i="12"/>
  <c r="AE1880" i="12"/>
  <c r="O1882" i="12"/>
  <c r="W1885" i="12"/>
  <c r="S1895" i="12"/>
  <c r="U1897" i="12"/>
  <c r="AB1900" i="12"/>
  <c r="AE1902" i="12"/>
  <c r="C1905" i="12"/>
  <c r="G1907" i="12"/>
  <c r="M1913" i="12"/>
  <c r="AA1915" i="12"/>
  <c r="AE1917" i="12"/>
  <c r="O1920" i="12"/>
  <c r="T1925" i="12"/>
  <c r="M1932" i="12"/>
  <c r="U1937" i="12"/>
  <c r="M1953" i="12"/>
  <c r="AA1955" i="12"/>
  <c r="AE1957" i="12"/>
  <c r="O1960" i="12"/>
  <c r="T1965" i="12"/>
  <c r="M1972" i="12"/>
  <c r="U1977" i="12"/>
  <c r="M1993" i="12"/>
  <c r="AA1995" i="12"/>
  <c r="AE1997" i="12"/>
  <c r="O2000" i="12"/>
  <c r="O2005" i="12"/>
  <c r="W2012" i="12"/>
  <c r="W2015" i="12"/>
  <c r="M2023" i="12"/>
  <c r="D2030" i="12"/>
  <c r="AE2042" i="12"/>
  <c r="E2047" i="12"/>
  <c r="T2050" i="12"/>
  <c r="U2058" i="12"/>
  <c r="O2062" i="12"/>
  <c r="G2070" i="12"/>
  <c r="W2077" i="12"/>
  <c r="AC2082" i="12"/>
  <c r="G2110" i="12"/>
  <c r="G2122" i="12"/>
  <c r="AA2135" i="12"/>
  <c r="E2143" i="12"/>
  <c r="AC2147" i="12"/>
  <c r="AE2155" i="12"/>
  <c r="K2160" i="12"/>
  <c r="AC2187" i="12"/>
  <c r="M2228" i="12"/>
  <c r="O2305" i="12"/>
  <c r="AH17" i="12" l="1"/>
  <c r="AH16" i="12"/>
  <c r="AA200" i="12"/>
  <c r="AA120" i="12"/>
  <c r="AA40" i="12"/>
  <c r="S240" i="12"/>
  <c r="S80" i="12"/>
  <c r="S160" i="12"/>
  <c r="S20" i="12"/>
  <c r="S40" i="12"/>
  <c r="AO16" i="12"/>
  <c r="AO17" i="12"/>
  <c r="L18" i="12"/>
  <c r="AB1868" i="12"/>
  <c r="AB1867" i="12"/>
  <c r="T1927" i="12"/>
  <c r="T1928" i="12"/>
  <c r="L2157" i="12"/>
  <c r="L2158" i="12"/>
  <c r="AB1902" i="12"/>
  <c r="AB1903" i="12"/>
  <c r="L1962" i="12"/>
  <c r="L1963" i="12"/>
  <c r="L2152" i="12"/>
  <c r="L2153" i="12"/>
  <c r="AB2013" i="12"/>
  <c r="AB2012" i="12"/>
  <c r="L1878" i="12"/>
  <c r="L1877" i="12"/>
  <c r="D1812" i="12"/>
  <c r="D1813" i="12"/>
  <c r="L1987" i="12"/>
  <c r="L1988" i="12"/>
  <c r="T1788" i="12"/>
  <c r="T1787" i="12"/>
  <c r="T2002" i="12"/>
  <c r="T2003" i="12"/>
  <c r="T1908" i="12"/>
  <c r="T1907" i="12"/>
  <c r="T1933" i="12"/>
  <c r="T1932" i="12"/>
  <c r="AB2222" i="12"/>
  <c r="AB2223" i="12"/>
  <c r="T2152" i="12"/>
  <c r="T2153" i="12"/>
  <c r="AB2197" i="12"/>
  <c r="AB2198" i="12"/>
  <c r="D2118" i="12"/>
  <c r="D2117" i="12"/>
  <c r="AB2133" i="12"/>
  <c r="AB2132" i="12"/>
  <c r="D2023" i="12"/>
  <c r="D2022" i="12"/>
  <c r="AB2038" i="12"/>
  <c r="AB2037" i="12"/>
  <c r="D2062" i="12"/>
  <c r="D2063" i="12"/>
  <c r="AB2077" i="12"/>
  <c r="AB2078" i="12"/>
  <c r="D2102" i="12"/>
  <c r="D2103" i="12"/>
  <c r="AB2118" i="12"/>
  <c r="AB2117" i="12"/>
  <c r="D2142" i="12"/>
  <c r="D2143" i="12"/>
  <c r="D2272" i="12"/>
  <c r="D2273" i="12"/>
  <c r="L2012" i="12"/>
  <c r="L2013" i="12"/>
  <c r="L2052" i="12"/>
  <c r="L2053" i="12"/>
  <c r="L2092" i="12"/>
  <c r="L2093" i="12"/>
  <c r="L2132" i="12"/>
  <c r="L2133" i="12"/>
  <c r="AB2158" i="12"/>
  <c r="AB2157" i="12"/>
  <c r="T2243" i="12"/>
  <c r="T2242" i="12"/>
  <c r="AB2182" i="12"/>
  <c r="AB2183" i="12"/>
  <c r="AB2193" i="12"/>
  <c r="AB2192" i="12"/>
  <c r="AB2217" i="12"/>
  <c r="AB2218" i="12"/>
  <c r="T2312" i="12"/>
  <c r="T2313" i="12"/>
  <c r="AB2318" i="12"/>
  <c r="AB2317" i="12"/>
  <c r="T2338" i="12"/>
  <c r="T2337" i="12"/>
  <c r="T2278" i="12"/>
  <c r="T2277" i="12"/>
  <c r="T2318" i="12"/>
  <c r="T2317" i="12"/>
  <c r="L2257" i="12"/>
  <c r="L2258" i="12"/>
  <c r="L2298" i="12"/>
  <c r="L2297" i="12"/>
  <c r="L2332" i="12"/>
  <c r="L2333" i="12"/>
  <c r="L2323" i="12"/>
  <c r="L2322" i="12"/>
  <c r="D2382" i="12"/>
  <c r="D2383" i="12"/>
  <c r="L2418" i="12"/>
  <c r="L2417" i="12"/>
  <c r="L2343" i="12"/>
  <c r="L2342" i="12"/>
  <c r="AB2388" i="12"/>
  <c r="AB2387" i="12"/>
  <c r="T2482" i="12"/>
  <c r="T2483" i="12"/>
  <c r="D2512" i="12"/>
  <c r="D2513" i="12"/>
  <c r="L2397" i="12"/>
  <c r="L2398" i="12"/>
  <c r="D2448" i="12"/>
  <c r="D2447" i="12"/>
  <c r="AB2427" i="12"/>
  <c r="AB2428" i="12"/>
  <c r="AB2467" i="12"/>
  <c r="AB2468" i="12"/>
  <c r="AB2507" i="12"/>
  <c r="AB2508" i="12"/>
  <c r="T2448" i="12"/>
  <c r="T2447" i="12"/>
  <c r="T2488" i="12"/>
  <c r="T2487" i="12"/>
  <c r="D2423" i="12"/>
  <c r="D2422" i="12"/>
  <c r="AB2438" i="12"/>
  <c r="AB2437" i="12"/>
  <c r="D2462" i="12"/>
  <c r="D2463" i="12"/>
  <c r="AB2478" i="12"/>
  <c r="AB2477" i="12"/>
  <c r="D2502" i="12"/>
  <c r="D2503" i="12"/>
  <c r="AB2518" i="12"/>
  <c r="AB2517" i="12"/>
  <c r="L438" i="12"/>
  <c r="L437" i="12"/>
  <c r="T217" i="12"/>
  <c r="T218" i="12"/>
  <c r="D83" i="12"/>
  <c r="D82" i="12"/>
  <c r="L128" i="12"/>
  <c r="L127" i="12"/>
  <c r="D48" i="12"/>
  <c r="D47" i="12"/>
  <c r="T477" i="12"/>
  <c r="T478" i="12"/>
  <c r="AB877" i="12"/>
  <c r="AB878" i="12"/>
  <c r="AB27" i="12"/>
  <c r="AB28" i="12"/>
  <c r="D52" i="12"/>
  <c r="D53" i="12"/>
  <c r="AB67" i="12"/>
  <c r="AB68" i="12"/>
  <c r="D92" i="12"/>
  <c r="D93" i="12"/>
  <c r="AB107" i="12"/>
  <c r="AB108" i="12"/>
  <c r="D132" i="12"/>
  <c r="D133" i="12"/>
  <c r="AB147" i="12"/>
  <c r="AB148" i="12"/>
  <c r="D172" i="12"/>
  <c r="D173" i="12"/>
  <c r="AB187" i="12"/>
  <c r="AB188" i="12"/>
  <c r="D212" i="12"/>
  <c r="D213" i="12"/>
  <c r="AB227" i="12"/>
  <c r="AB228" i="12"/>
  <c r="D252" i="12"/>
  <c r="D253" i="12"/>
  <c r="AB267" i="12"/>
  <c r="AB268" i="12"/>
  <c r="D292" i="12"/>
  <c r="D293" i="12"/>
  <c r="AB307" i="12"/>
  <c r="AB308" i="12"/>
  <c r="AB323" i="12"/>
  <c r="AB322" i="12"/>
  <c r="T617" i="12"/>
  <c r="T618" i="12"/>
  <c r="T48" i="12"/>
  <c r="T47" i="12"/>
  <c r="T88" i="12"/>
  <c r="T87" i="12"/>
  <c r="T128" i="12"/>
  <c r="T127" i="12"/>
  <c r="T168" i="12"/>
  <c r="T167" i="12"/>
  <c r="T208" i="12"/>
  <c r="T207" i="12"/>
  <c r="T248" i="12"/>
  <c r="T247" i="12"/>
  <c r="T288" i="12"/>
  <c r="T287" i="12"/>
  <c r="L553" i="12"/>
  <c r="L552" i="12"/>
  <c r="T298" i="12"/>
  <c r="T297" i="12"/>
  <c r="T442" i="12"/>
  <c r="T443" i="12"/>
  <c r="L357" i="12"/>
  <c r="L358" i="12"/>
  <c r="T343" i="12"/>
  <c r="T342" i="12"/>
  <c r="T382" i="12"/>
  <c r="T383" i="12"/>
  <c r="T422" i="12"/>
  <c r="T423" i="12"/>
  <c r="T462" i="12"/>
  <c r="T463" i="12"/>
  <c r="T502" i="12"/>
  <c r="T503" i="12"/>
  <c r="T542" i="12"/>
  <c r="T543" i="12"/>
  <c r="T582" i="12"/>
  <c r="T583" i="12"/>
  <c r="T752" i="12"/>
  <c r="T753" i="12"/>
  <c r="T1003" i="12"/>
  <c r="T1002" i="12"/>
  <c r="AB332" i="12"/>
  <c r="AB333" i="12"/>
  <c r="D357" i="12"/>
  <c r="D358" i="12"/>
  <c r="AB372" i="12"/>
  <c r="AB373" i="12"/>
  <c r="D397" i="12"/>
  <c r="D398" i="12"/>
  <c r="AB412" i="12"/>
  <c r="AB413" i="12"/>
  <c r="D437" i="12"/>
  <c r="D438" i="12"/>
  <c r="AB452" i="12"/>
  <c r="AB453" i="12"/>
  <c r="D477" i="12"/>
  <c r="D478" i="12"/>
  <c r="AB492" i="12"/>
  <c r="AB493" i="12"/>
  <c r="D517" i="12"/>
  <c r="D518" i="12"/>
  <c r="AB532" i="12"/>
  <c r="AB533" i="12"/>
  <c r="D557" i="12"/>
  <c r="D558" i="12"/>
  <c r="AB572" i="12"/>
  <c r="AB573" i="12"/>
  <c r="D597" i="12"/>
  <c r="D598" i="12"/>
  <c r="D703" i="12"/>
  <c r="D702" i="12"/>
  <c r="T353" i="12"/>
  <c r="T352" i="12"/>
  <c r="T393" i="12"/>
  <c r="T392" i="12"/>
  <c r="T433" i="12"/>
  <c r="T432" i="12"/>
  <c r="T473" i="12"/>
  <c r="T472" i="12"/>
  <c r="T513" i="12"/>
  <c r="T512" i="12"/>
  <c r="T553" i="12"/>
  <c r="T552" i="12"/>
  <c r="T593" i="12"/>
  <c r="T592" i="12"/>
  <c r="L802" i="12"/>
  <c r="L803" i="12"/>
  <c r="L882" i="12"/>
  <c r="L883" i="12"/>
  <c r="L962" i="12"/>
  <c r="L963" i="12"/>
  <c r="D707" i="12"/>
  <c r="D708" i="12"/>
  <c r="L747" i="12"/>
  <c r="L748" i="12"/>
  <c r="L787" i="12"/>
  <c r="L788" i="12"/>
  <c r="L827" i="12"/>
  <c r="L828" i="12"/>
  <c r="L867" i="12"/>
  <c r="L868" i="12"/>
  <c r="L907" i="12"/>
  <c r="L908" i="12"/>
  <c r="L947" i="12"/>
  <c r="L948" i="12"/>
  <c r="L987" i="12"/>
  <c r="L988" i="12"/>
  <c r="D782" i="12"/>
  <c r="D783" i="12"/>
  <c r="D942" i="12"/>
  <c r="D943" i="12"/>
  <c r="T717" i="12"/>
  <c r="T718" i="12"/>
  <c r="T767" i="12"/>
  <c r="T768" i="12"/>
  <c r="AB1003" i="12"/>
  <c r="AB1002" i="12"/>
  <c r="D1092" i="12"/>
  <c r="D1093" i="12"/>
  <c r="T1062" i="12"/>
  <c r="T1063" i="12"/>
  <c r="L1177" i="12"/>
  <c r="L1178" i="12"/>
  <c r="AB1323" i="12"/>
  <c r="AB1322" i="12"/>
  <c r="T1032" i="12"/>
  <c r="T1033" i="12"/>
  <c r="T1072" i="12"/>
  <c r="T1073" i="12"/>
  <c r="T1112" i="12"/>
  <c r="T1113" i="12"/>
  <c r="T1152" i="12"/>
  <c r="T1153" i="12"/>
  <c r="L1192" i="12"/>
  <c r="L1193" i="12"/>
  <c r="L1013" i="12"/>
  <c r="L1012" i="12"/>
  <c r="L1053" i="12"/>
  <c r="L1052" i="12"/>
  <c r="L1093" i="12"/>
  <c r="L1092" i="12"/>
  <c r="L1133" i="12"/>
  <c r="L1132" i="12"/>
  <c r="L1173" i="12"/>
  <c r="L1172" i="12"/>
  <c r="D1033" i="12"/>
  <c r="D1032" i="12"/>
  <c r="AB1048" i="12"/>
  <c r="AB1047" i="12"/>
  <c r="D1073" i="12"/>
  <c r="D1072" i="12"/>
  <c r="AB1088" i="12"/>
  <c r="AB1087" i="12"/>
  <c r="D1113" i="12"/>
  <c r="D1112" i="12"/>
  <c r="AB1128" i="12"/>
  <c r="AB1127" i="12"/>
  <c r="D1153" i="12"/>
  <c r="D1152" i="12"/>
  <c r="AB1168" i="12"/>
  <c r="AB1167" i="12"/>
  <c r="L1023" i="12"/>
  <c r="L1022" i="12"/>
  <c r="L1063" i="12"/>
  <c r="L1062" i="12"/>
  <c r="L1103" i="12"/>
  <c r="L1102" i="12"/>
  <c r="L1143" i="12"/>
  <c r="L1142" i="12"/>
  <c r="L1183" i="12"/>
  <c r="L1182" i="12"/>
  <c r="D1347" i="12"/>
  <c r="D1348" i="12"/>
  <c r="L1032" i="12"/>
  <c r="L1033" i="12"/>
  <c r="L1072" i="12"/>
  <c r="L1073" i="12"/>
  <c r="L1112" i="12"/>
  <c r="L1113" i="12"/>
  <c r="L1152" i="12"/>
  <c r="L1153" i="12"/>
  <c r="AB1193" i="12"/>
  <c r="AB1192" i="12"/>
  <c r="T1277" i="12"/>
  <c r="T1278" i="12"/>
  <c r="D1212" i="12"/>
  <c r="D1213" i="12"/>
  <c r="AB1227" i="12"/>
  <c r="AB1228" i="12"/>
  <c r="D1252" i="12"/>
  <c r="D1253" i="12"/>
  <c r="AB1267" i="12"/>
  <c r="AB1268" i="12"/>
  <c r="D1292" i="12"/>
  <c r="D1293" i="12"/>
  <c r="AB1307" i="12"/>
  <c r="AB1308" i="12"/>
  <c r="D1332" i="12"/>
  <c r="D1333" i="12"/>
  <c r="AB1347" i="12"/>
  <c r="AB1348" i="12"/>
  <c r="L1372" i="12"/>
  <c r="L1373" i="12"/>
  <c r="D1417" i="12"/>
  <c r="D1418" i="12"/>
  <c r="T1233" i="12"/>
  <c r="T1232" i="12"/>
  <c r="T1273" i="12"/>
  <c r="T1272" i="12"/>
  <c r="T1313" i="12"/>
  <c r="T1312" i="12"/>
  <c r="T1353" i="12"/>
  <c r="T1352" i="12"/>
  <c r="L1213" i="12"/>
  <c r="L1212" i="12"/>
  <c r="L1253" i="12"/>
  <c r="L1252" i="12"/>
  <c r="L1293" i="12"/>
  <c r="L1292" i="12"/>
  <c r="L1333" i="12"/>
  <c r="L1332" i="12"/>
  <c r="T1387" i="12"/>
  <c r="T1388" i="12"/>
  <c r="L1502" i="12"/>
  <c r="L1503" i="12"/>
  <c r="D1217" i="12"/>
  <c r="D1218" i="12"/>
  <c r="AB1233" i="12"/>
  <c r="AB1232" i="12"/>
  <c r="D1257" i="12"/>
  <c r="D1258" i="12"/>
  <c r="AB1273" i="12"/>
  <c r="AB1272" i="12"/>
  <c r="D1297" i="12"/>
  <c r="D1298" i="12"/>
  <c r="AB1313" i="12"/>
  <c r="AB1312" i="12"/>
  <c r="D1337" i="12"/>
  <c r="D1338" i="12"/>
  <c r="AB1353" i="12"/>
  <c r="AB1352" i="12"/>
  <c r="AB1393" i="12"/>
  <c r="AB1392" i="12"/>
  <c r="D1402" i="12"/>
  <c r="D1403" i="12"/>
  <c r="AB1417" i="12"/>
  <c r="AB1418" i="12"/>
  <c r="D1442" i="12"/>
  <c r="D1443" i="12"/>
  <c r="AB1457" i="12"/>
  <c r="AB1458" i="12"/>
  <c r="D1482" i="12"/>
  <c r="D1483" i="12"/>
  <c r="AB1497" i="12"/>
  <c r="AB1498" i="12"/>
  <c r="D1522" i="12"/>
  <c r="D1523" i="12"/>
  <c r="AB1537" i="12"/>
  <c r="AB1538" i="12"/>
  <c r="T1397" i="12"/>
  <c r="T1398" i="12"/>
  <c r="T1437" i="12"/>
  <c r="T1438" i="12"/>
  <c r="T1477" i="12"/>
  <c r="T1478" i="12"/>
  <c r="T1517" i="12"/>
  <c r="T1518" i="12"/>
  <c r="T1557" i="12"/>
  <c r="T1558" i="12"/>
  <c r="AB1753" i="12"/>
  <c r="AB1752" i="12"/>
  <c r="L1418" i="12"/>
  <c r="L1417" i="12"/>
  <c r="L1458" i="12"/>
  <c r="L1457" i="12"/>
  <c r="L1498" i="12"/>
  <c r="L1497" i="12"/>
  <c r="L1538" i="12"/>
  <c r="L1537" i="12"/>
  <c r="D1398" i="12"/>
  <c r="D1397" i="12"/>
  <c r="AB1413" i="12"/>
  <c r="AB1412" i="12"/>
  <c r="D1438" i="12"/>
  <c r="D1437" i="12"/>
  <c r="AB1453" i="12"/>
  <c r="AB1452" i="12"/>
  <c r="D1478" i="12"/>
  <c r="D1477" i="12"/>
  <c r="AB1493" i="12"/>
  <c r="AB1492" i="12"/>
  <c r="D1518" i="12"/>
  <c r="D1517" i="12"/>
  <c r="AB1533" i="12"/>
  <c r="AB1532" i="12"/>
  <c r="L1622" i="12"/>
  <c r="L1623" i="12"/>
  <c r="D1577" i="12"/>
  <c r="D1578" i="12"/>
  <c r="T1573" i="12"/>
  <c r="T1572" i="12"/>
  <c r="T1612" i="12"/>
  <c r="T1613" i="12"/>
  <c r="T1652" i="12"/>
  <c r="T1653" i="12"/>
  <c r="T1692" i="12"/>
  <c r="T1693" i="12"/>
  <c r="T1583" i="12"/>
  <c r="T1582" i="12"/>
  <c r="T1623" i="12"/>
  <c r="T1622" i="12"/>
  <c r="T1663" i="12"/>
  <c r="T1662" i="12"/>
  <c r="T1703" i="12"/>
  <c r="T1702" i="12"/>
  <c r="D1743" i="12"/>
  <c r="D1742" i="12"/>
  <c r="AB1567" i="12"/>
  <c r="AB1568" i="12"/>
  <c r="D1592" i="12"/>
  <c r="D1593" i="12"/>
  <c r="AB1608" i="12"/>
  <c r="AB1607" i="12"/>
  <c r="D1632" i="12"/>
  <c r="D1633" i="12"/>
  <c r="AB1648" i="12"/>
  <c r="AB1647" i="12"/>
  <c r="D1672" i="12"/>
  <c r="D1673" i="12"/>
  <c r="AB1688" i="12"/>
  <c r="AB1687" i="12"/>
  <c r="D1712" i="12"/>
  <c r="D1713" i="12"/>
  <c r="AB2162" i="12"/>
  <c r="AB2163" i="12"/>
  <c r="T1782" i="12"/>
  <c r="T1783" i="12"/>
  <c r="L1827" i="12"/>
  <c r="L1828" i="12"/>
  <c r="T1743" i="12"/>
  <c r="T1742" i="12"/>
  <c r="AB1777" i="12"/>
  <c r="AB1778" i="12"/>
  <c r="D1803" i="12"/>
  <c r="D1802" i="12"/>
  <c r="L1783" i="12"/>
  <c r="L1782" i="12"/>
  <c r="L93" i="12"/>
  <c r="L92" i="12"/>
  <c r="D1852" i="12"/>
  <c r="D1853" i="12"/>
  <c r="D1957" i="12"/>
  <c r="D1958" i="12"/>
  <c r="T1868" i="12"/>
  <c r="T1867" i="12"/>
  <c r="T1923" i="12"/>
  <c r="T1922" i="12"/>
  <c r="T1988" i="12"/>
  <c r="T1987" i="12"/>
  <c r="D2017" i="12"/>
  <c r="D2018" i="12"/>
  <c r="T2012" i="12"/>
  <c r="T2013" i="12"/>
  <c r="AB1982" i="12"/>
  <c r="AB1983" i="12"/>
  <c r="T1952" i="12"/>
  <c r="T1953" i="12"/>
  <c r="AB2017" i="12"/>
  <c r="AB2018" i="12"/>
  <c r="T2087" i="12"/>
  <c r="T2088" i="12"/>
  <c r="AB2088" i="12"/>
  <c r="AB2087" i="12"/>
  <c r="L2242" i="12"/>
  <c r="L2243" i="12"/>
  <c r="T2038" i="12"/>
  <c r="T2037" i="12"/>
  <c r="D2163" i="12"/>
  <c r="D2162" i="12"/>
  <c r="L2073" i="12"/>
  <c r="L2072" i="12"/>
  <c r="L2113" i="12"/>
  <c r="L2112" i="12"/>
  <c r="AB2168" i="12"/>
  <c r="AB2167" i="12"/>
  <c r="L2492" i="12"/>
  <c r="L2493" i="12"/>
  <c r="L2018" i="12"/>
  <c r="L2017" i="12"/>
  <c r="L2057" i="12"/>
  <c r="L2058" i="12"/>
  <c r="L2097" i="12"/>
  <c r="L2098" i="12"/>
  <c r="L2138" i="12"/>
  <c r="L2137" i="12"/>
  <c r="L2203" i="12"/>
  <c r="L2202" i="12"/>
  <c r="T2232" i="12"/>
  <c r="T2233" i="12"/>
  <c r="AB2287" i="12"/>
  <c r="AB2288" i="12"/>
  <c r="T2163" i="12"/>
  <c r="T2162" i="12"/>
  <c r="L2182" i="12"/>
  <c r="L2183" i="12"/>
  <c r="T2212" i="12"/>
  <c r="T2213" i="12"/>
  <c r="T2227" i="12"/>
  <c r="T2228" i="12"/>
  <c r="L2252" i="12"/>
  <c r="L2253" i="12"/>
  <c r="AB2347" i="12"/>
  <c r="AB2348" i="12"/>
  <c r="T2502" i="12"/>
  <c r="T2503" i="12"/>
  <c r="AB2208" i="12"/>
  <c r="AB2207" i="12"/>
  <c r="D2233" i="12"/>
  <c r="D2232" i="12"/>
  <c r="AB2273" i="12"/>
  <c r="AB2272" i="12"/>
  <c r="T2187" i="12"/>
  <c r="T2188" i="12"/>
  <c r="D2287" i="12"/>
  <c r="D2288" i="12"/>
  <c r="D2298" i="12"/>
  <c r="D2297" i="12"/>
  <c r="AB2323" i="12"/>
  <c r="AB2322" i="12"/>
  <c r="T2183" i="12"/>
  <c r="T2182" i="12"/>
  <c r="T2223" i="12"/>
  <c r="T2222" i="12"/>
  <c r="D2312" i="12"/>
  <c r="D2313" i="12"/>
  <c r="D2328" i="12"/>
  <c r="D2327" i="12"/>
  <c r="T2357" i="12"/>
  <c r="T2358" i="12"/>
  <c r="L2362" i="12"/>
  <c r="L2363" i="12"/>
  <c r="T2382" i="12"/>
  <c r="T2383" i="12"/>
  <c r="L2487" i="12"/>
  <c r="L2488" i="12"/>
  <c r="L2358" i="12"/>
  <c r="L2357" i="12"/>
  <c r="AB2383" i="12"/>
  <c r="AB2382" i="12"/>
  <c r="T2422" i="12"/>
  <c r="T2423" i="12"/>
  <c r="T2462" i="12"/>
  <c r="T2463" i="12"/>
  <c r="L2328" i="12"/>
  <c r="L2327" i="12"/>
  <c r="L2367" i="12"/>
  <c r="L2368" i="12"/>
  <c r="T2397" i="12"/>
  <c r="T2398" i="12"/>
  <c r="AB2418" i="12"/>
  <c r="AB2417" i="12"/>
  <c r="T2493" i="12"/>
  <c r="T2492" i="12"/>
  <c r="T2497" i="12"/>
  <c r="T2498" i="12"/>
  <c r="T257" i="12"/>
  <c r="T258" i="12"/>
  <c r="D123" i="12"/>
  <c r="D122" i="12"/>
  <c r="L722" i="12"/>
  <c r="L723" i="12"/>
  <c r="L168" i="12"/>
  <c r="L167" i="12"/>
  <c r="L478" i="12"/>
  <c r="L477" i="12"/>
  <c r="D168" i="12"/>
  <c r="D167" i="12"/>
  <c r="AB103" i="12"/>
  <c r="AB102" i="12"/>
  <c r="T322" i="12"/>
  <c r="T323" i="12"/>
  <c r="T37" i="12"/>
  <c r="T38" i="12"/>
  <c r="T77" i="12"/>
  <c r="T78" i="12"/>
  <c r="T117" i="12"/>
  <c r="T118" i="12"/>
  <c r="T157" i="12"/>
  <c r="T158" i="12"/>
  <c r="T197" i="12"/>
  <c r="T198" i="12"/>
  <c r="T237" i="12"/>
  <c r="T238" i="12"/>
  <c r="T277" i="12"/>
  <c r="T278" i="12"/>
  <c r="T317" i="12"/>
  <c r="T318" i="12"/>
  <c r="AB917" i="12"/>
  <c r="AB918" i="12"/>
  <c r="L27" i="12"/>
  <c r="L28" i="12"/>
  <c r="L67" i="12"/>
  <c r="L68" i="12"/>
  <c r="L107" i="12"/>
  <c r="L108" i="12"/>
  <c r="L147" i="12"/>
  <c r="L148" i="12"/>
  <c r="L187" i="12"/>
  <c r="L188" i="12"/>
  <c r="L227" i="12"/>
  <c r="L228" i="12"/>
  <c r="L268" i="12"/>
  <c r="L267" i="12"/>
  <c r="L308" i="12"/>
  <c r="L307" i="12"/>
  <c r="L513" i="12"/>
  <c r="L512" i="12"/>
  <c r="T402" i="12"/>
  <c r="T403" i="12"/>
  <c r="D588" i="12"/>
  <c r="D587" i="12"/>
  <c r="L633" i="12"/>
  <c r="L632" i="12"/>
  <c r="T347" i="12"/>
  <c r="T348" i="12"/>
  <c r="AB443" i="12"/>
  <c r="AB442" i="12"/>
  <c r="AB603" i="12"/>
  <c r="AB602" i="12"/>
  <c r="L673" i="12"/>
  <c r="L672" i="12"/>
  <c r="T28" i="12"/>
  <c r="T27" i="12"/>
  <c r="T68" i="12"/>
  <c r="T67" i="12"/>
  <c r="T108" i="12"/>
  <c r="T107" i="12"/>
  <c r="T148" i="12"/>
  <c r="T147" i="12"/>
  <c r="T188" i="12"/>
  <c r="T187" i="12"/>
  <c r="T228" i="12"/>
  <c r="T227" i="12"/>
  <c r="T268" i="12"/>
  <c r="T267" i="12"/>
  <c r="T308" i="12"/>
  <c r="T307" i="12"/>
  <c r="T952" i="12"/>
  <c r="T953" i="12"/>
  <c r="AB723" i="12"/>
  <c r="AB722" i="12"/>
  <c r="L713" i="12"/>
  <c r="L712" i="12"/>
  <c r="AB853" i="12"/>
  <c r="AB852" i="12"/>
  <c r="AB1028" i="12"/>
  <c r="AB1027" i="12"/>
  <c r="T967" i="12"/>
  <c r="T968" i="12"/>
  <c r="AB622" i="12"/>
  <c r="AB623" i="12"/>
  <c r="D647" i="12"/>
  <c r="D648" i="12"/>
  <c r="AB662" i="12"/>
  <c r="AB663" i="12"/>
  <c r="D687" i="12"/>
  <c r="D688" i="12"/>
  <c r="AB702" i="12"/>
  <c r="AB703" i="12"/>
  <c r="D727" i="12"/>
  <c r="D728" i="12"/>
  <c r="AB742" i="12"/>
  <c r="AB743" i="12"/>
  <c r="D767" i="12"/>
  <c r="D768" i="12"/>
  <c r="AB782" i="12"/>
  <c r="AB783" i="12"/>
  <c r="D807" i="12"/>
  <c r="D808" i="12"/>
  <c r="AB822" i="12"/>
  <c r="AB823" i="12"/>
  <c r="D847" i="12"/>
  <c r="D848" i="12"/>
  <c r="AB862" i="12"/>
  <c r="AB863" i="12"/>
  <c r="D887" i="12"/>
  <c r="D888" i="12"/>
  <c r="AB902" i="12"/>
  <c r="AB903" i="12"/>
  <c r="D927" i="12"/>
  <c r="D928" i="12"/>
  <c r="AB942" i="12"/>
  <c r="AB943" i="12"/>
  <c r="D967" i="12"/>
  <c r="D968" i="12"/>
  <c r="AB982" i="12"/>
  <c r="AB983" i="12"/>
  <c r="D633" i="12"/>
  <c r="D632" i="12"/>
  <c r="AB648" i="12"/>
  <c r="AB647" i="12"/>
  <c r="D673" i="12"/>
  <c r="D672" i="12"/>
  <c r="AB688" i="12"/>
  <c r="AB687" i="12"/>
  <c r="D713" i="12"/>
  <c r="D712" i="12"/>
  <c r="AB728" i="12"/>
  <c r="AB727" i="12"/>
  <c r="D753" i="12"/>
  <c r="D752" i="12"/>
  <c r="AB768" i="12"/>
  <c r="AB767" i="12"/>
  <c r="D793" i="12"/>
  <c r="D792" i="12"/>
  <c r="AB808" i="12"/>
  <c r="AB807" i="12"/>
  <c r="D833" i="12"/>
  <c r="D832" i="12"/>
  <c r="AB848" i="12"/>
  <c r="AB847" i="12"/>
  <c r="D873" i="12"/>
  <c r="D872" i="12"/>
  <c r="AB888" i="12"/>
  <c r="AB887" i="12"/>
  <c r="D913" i="12"/>
  <c r="D912" i="12"/>
  <c r="AB928" i="12"/>
  <c r="AB927" i="12"/>
  <c r="D953" i="12"/>
  <c r="D952" i="12"/>
  <c r="AB968" i="12"/>
  <c r="AB967" i="12"/>
  <c r="D993" i="12"/>
  <c r="D992" i="12"/>
  <c r="T613" i="12"/>
  <c r="T612" i="12"/>
  <c r="T653" i="12"/>
  <c r="T652" i="12"/>
  <c r="T693" i="12"/>
  <c r="T692" i="12"/>
  <c r="T733" i="12"/>
  <c r="T732" i="12"/>
  <c r="T773" i="12"/>
  <c r="T772" i="12"/>
  <c r="T813" i="12"/>
  <c r="T812" i="12"/>
  <c r="T853" i="12"/>
  <c r="T852" i="12"/>
  <c r="T893" i="12"/>
  <c r="T892" i="12"/>
  <c r="T933" i="12"/>
  <c r="T932" i="12"/>
  <c r="T973" i="12"/>
  <c r="T972" i="12"/>
  <c r="T1182" i="12"/>
  <c r="T1183" i="12"/>
  <c r="AB1012" i="12"/>
  <c r="AB1013" i="12"/>
  <c r="D1037" i="12"/>
  <c r="D1038" i="12"/>
  <c r="AB1052" i="12"/>
  <c r="AB1053" i="12"/>
  <c r="D1077" i="12"/>
  <c r="D1078" i="12"/>
  <c r="AB1092" i="12"/>
  <c r="AB1093" i="12"/>
  <c r="D1117" i="12"/>
  <c r="D1118" i="12"/>
  <c r="AB1132" i="12"/>
  <c r="AB1133" i="12"/>
  <c r="D1157" i="12"/>
  <c r="D1158" i="12"/>
  <c r="AB1172" i="12"/>
  <c r="AB1173" i="12"/>
  <c r="L1008" i="12"/>
  <c r="L1007" i="12"/>
  <c r="L1048" i="12"/>
  <c r="L1047" i="12"/>
  <c r="L1088" i="12"/>
  <c r="L1087" i="12"/>
  <c r="L1128" i="12"/>
  <c r="L1127" i="12"/>
  <c r="L1168" i="12"/>
  <c r="L1167" i="12"/>
  <c r="D1197" i="12"/>
  <c r="D1198" i="12"/>
  <c r="AB1212" i="12"/>
  <c r="AB1213" i="12"/>
  <c r="D1237" i="12"/>
  <c r="D1238" i="12"/>
  <c r="AB1252" i="12"/>
  <c r="AB1253" i="12"/>
  <c r="D1277" i="12"/>
  <c r="D1278" i="12"/>
  <c r="AB1292" i="12"/>
  <c r="AB1293" i="12"/>
  <c r="D1317" i="12"/>
  <c r="D1318" i="12"/>
  <c r="AB1332" i="12"/>
  <c r="AB1333" i="12"/>
  <c r="D1357" i="12"/>
  <c r="D1358" i="12"/>
  <c r="T1507" i="12"/>
  <c r="T1508" i="12"/>
  <c r="D1782" i="12"/>
  <c r="D1783" i="12"/>
  <c r="AB1513" i="12"/>
  <c r="AB1512" i="12"/>
  <c r="L1207" i="12"/>
  <c r="L1208" i="12"/>
  <c r="L1247" i="12"/>
  <c r="L1248" i="12"/>
  <c r="L1287" i="12"/>
  <c r="L1288" i="12"/>
  <c r="L1327" i="12"/>
  <c r="L1328" i="12"/>
  <c r="L1367" i="12"/>
  <c r="L1368" i="12"/>
  <c r="D1617" i="12"/>
  <c r="D1618" i="12"/>
  <c r="T1627" i="12"/>
  <c r="T1628" i="12"/>
  <c r="D1383" i="12"/>
  <c r="D1382" i="12"/>
  <c r="AB1398" i="12"/>
  <c r="AB1397" i="12"/>
  <c r="D1423" i="12"/>
  <c r="D1422" i="12"/>
  <c r="AB1438" i="12"/>
  <c r="AB1437" i="12"/>
  <c r="D1463" i="12"/>
  <c r="D1462" i="12"/>
  <c r="AB1478" i="12"/>
  <c r="AB1477" i="12"/>
  <c r="D1503" i="12"/>
  <c r="D1502" i="12"/>
  <c r="AB1518" i="12"/>
  <c r="AB1517" i="12"/>
  <c r="D1543" i="12"/>
  <c r="D1542" i="12"/>
  <c r="T1418" i="12"/>
  <c r="T1417" i="12"/>
  <c r="T1458" i="12"/>
  <c r="T1457" i="12"/>
  <c r="T1498" i="12"/>
  <c r="T1497" i="12"/>
  <c r="T1538" i="12"/>
  <c r="T1537" i="12"/>
  <c r="AB1673" i="12"/>
  <c r="AB1672" i="12"/>
  <c r="L1397" i="12"/>
  <c r="L1398" i="12"/>
  <c r="L1437" i="12"/>
  <c r="L1438" i="12"/>
  <c r="L1477" i="12"/>
  <c r="L1478" i="12"/>
  <c r="L1517" i="12"/>
  <c r="L1518" i="12"/>
  <c r="D1587" i="12"/>
  <c r="D1588" i="12"/>
  <c r="AB1602" i="12"/>
  <c r="AB1603" i="12"/>
  <c r="D1627" i="12"/>
  <c r="D1628" i="12"/>
  <c r="AB1642" i="12"/>
  <c r="AB1643" i="12"/>
  <c r="D1667" i="12"/>
  <c r="D1668" i="12"/>
  <c r="AB1682" i="12"/>
  <c r="AB1683" i="12"/>
  <c r="D1707" i="12"/>
  <c r="D1708" i="12"/>
  <c r="AB1723" i="12"/>
  <c r="AB1722" i="12"/>
  <c r="AB1742" i="12"/>
  <c r="AB1743" i="12"/>
  <c r="L1763" i="12"/>
  <c r="L1762" i="12"/>
  <c r="T1763" i="12"/>
  <c r="T1762" i="12"/>
  <c r="L1587" i="12"/>
  <c r="L1588" i="12"/>
  <c r="L1628" i="12"/>
  <c r="L1627" i="12"/>
  <c r="L1668" i="12"/>
  <c r="L1667" i="12"/>
  <c r="L1708" i="12"/>
  <c r="L1707" i="12"/>
  <c r="D1607" i="12"/>
  <c r="D1608" i="12"/>
  <c r="AB1623" i="12"/>
  <c r="AB1622" i="12"/>
  <c r="D1647" i="12"/>
  <c r="D1648" i="12"/>
  <c r="AB1663" i="12"/>
  <c r="AB1662" i="12"/>
  <c r="D1687" i="12"/>
  <c r="D1688" i="12"/>
  <c r="AB1703" i="12"/>
  <c r="AB1702" i="12"/>
  <c r="AB2178" i="12"/>
  <c r="AB2177" i="12"/>
  <c r="D1758" i="12"/>
  <c r="D1757" i="12"/>
  <c r="L1867" i="12"/>
  <c r="L1868" i="12"/>
  <c r="L1757" i="12"/>
  <c r="L1758" i="12"/>
  <c r="D1843" i="12"/>
  <c r="D1842" i="12"/>
  <c r="D1877" i="12"/>
  <c r="D1878" i="12"/>
  <c r="L1848" i="12"/>
  <c r="L1847" i="12"/>
  <c r="T1812" i="12"/>
  <c r="T1813" i="12"/>
  <c r="L1907" i="12"/>
  <c r="L1908" i="12"/>
  <c r="L518" i="12"/>
  <c r="L517" i="12"/>
  <c r="T92" i="12"/>
  <c r="T93" i="12"/>
  <c r="L353" i="12"/>
  <c r="L352" i="12"/>
  <c r="L253" i="12"/>
  <c r="L252" i="12"/>
  <c r="L173" i="12"/>
  <c r="L172" i="12"/>
  <c r="L558" i="12"/>
  <c r="L557" i="12"/>
  <c r="D2112" i="12"/>
  <c r="D2113" i="12"/>
  <c r="T2107" i="12"/>
  <c r="T2108" i="12"/>
  <c r="L2047" i="12"/>
  <c r="L2048" i="12"/>
  <c r="T1948" i="12"/>
  <c r="T1947" i="12"/>
  <c r="T1973" i="12"/>
  <c r="T1972" i="12"/>
  <c r="T2027" i="12"/>
  <c r="T2028" i="12"/>
  <c r="L2187" i="12"/>
  <c r="L2188" i="12"/>
  <c r="L2007" i="12"/>
  <c r="L2008" i="12"/>
  <c r="D1967" i="12"/>
  <c r="D1968" i="12"/>
  <c r="AB1883" i="12"/>
  <c r="AB1882" i="12"/>
  <c r="D1867" i="12"/>
  <c r="D1868" i="12"/>
  <c r="AB1842" i="12"/>
  <c r="AB1843" i="12"/>
  <c r="D1827" i="12"/>
  <c r="D1828" i="12"/>
  <c r="AB1802" i="12"/>
  <c r="AB1803" i="12"/>
  <c r="D1787" i="12"/>
  <c r="D1788" i="12"/>
  <c r="AB1763" i="12"/>
  <c r="AB1762" i="12"/>
  <c r="L2022" i="12"/>
  <c r="L2023" i="12"/>
  <c r="L1947" i="12"/>
  <c r="L1948" i="12"/>
  <c r="D1917" i="12"/>
  <c r="D1918" i="12"/>
  <c r="L1862" i="12"/>
  <c r="L1863" i="12"/>
  <c r="L1822" i="12"/>
  <c r="L1823" i="12"/>
  <c r="D2122" i="12"/>
  <c r="D2123" i="12"/>
  <c r="T1883" i="12"/>
  <c r="T1882" i="12"/>
  <c r="T1843" i="12"/>
  <c r="T1842" i="12"/>
  <c r="T1803" i="12"/>
  <c r="T1802" i="12"/>
  <c r="T1937" i="12"/>
  <c r="T1938" i="12"/>
  <c r="T1857" i="12"/>
  <c r="T1858" i="12"/>
  <c r="T1817" i="12"/>
  <c r="T1818" i="12"/>
  <c r="T1778" i="12"/>
  <c r="T1777" i="12"/>
  <c r="L2038" i="12"/>
  <c r="L2037" i="12"/>
  <c r="L2168" i="12"/>
  <c r="L2167" i="12"/>
  <c r="D2247" i="12"/>
  <c r="D2248" i="12"/>
  <c r="D1907" i="12"/>
  <c r="D1908" i="12"/>
  <c r="AB1923" i="12"/>
  <c r="AB1922" i="12"/>
  <c r="D1947" i="12"/>
  <c r="D1948" i="12"/>
  <c r="AB1963" i="12"/>
  <c r="AB1962" i="12"/>
  <c r="D1987" i="12"/>
  <c r="D1988" i="12"/>
  <c r="AB2002" i="12"/>
  <c r="AB2003" i="12"/>
  <c r="L2127" i="12"/>
  <c r="L2128" i="12"/>
  <c r="T2167" i="12"/>
  <c r="T2168" i="12"/>
  <c r="D1892" i="12"/>
  <c r="D1893" i="12"/>
  <c r="AB1908" i="12"/>
  <c r="AB1907" i="12"/>
  <c r="D1932" i="12"/>
  <c r="D1933" i="12"/>
  <c r="AB1948" i="12"/>
  <c r="AB1947" i="12"/>
  <c r="D1972" i="12"/>
  <c r="D1973" i="12"/>
  <c r="AB1988" i="12"/>
  <c r="AB1987" i="12"/>
  <c r="AB2128" i="12"/>
  <c r="AB2127" i="12"/>
  <c r="D2203" i="12"/>
  <c r="D2202" i="12"/>
  <c r="T2378" i="12"/>
  <c r="T2377" i="12"/>
  <c r="D2167" i="12"/>
  <c r="D2168" i="12"/>
  <c r="T2018" i="12"/>
  <c r="T2017" i="12"/>
  <c r="T2058" i="12"/>
  <c r="T2057" i="12"/>
  <c r="T2098" i="12"/>
  <c r="T2097" i="12"/>
  <c r="T2138" i="12"/>
  <c r="T2137" i="12"/>
  <c r="AB2232" i="12"/>
  <c r="AB2233" i="12"/>
  <c r="T2272" i="12"/>
  <c r="T2273" i="12"/>
  <c r="T2247" i="12"/>
  <c r="T2248" i="12"/>
  <c r="D2207" i="12"/>
  <c r="D2208" i="12"/>
  <c r="L2267" i="12"/>
  <c r="L2268" i="12"/>
  <c r="D2158" i="12"/>
  <c r="D2157" i="12"/>
  <c r="AB2253" i="12"/>
  <c r="AB2252" i="12"/>
  <c r="T2322" i="12"/>
  <c r="T2323" i="12"/>
  <c r="AB2298" i="12"/>
  <c r="AB2297" i="12"/>
  <c r="D2243" i="12"/>
  <c r="D2242" i="12"/>
  <c r="AB2363" i="12"/>
  <c r="AB2362" i="12"/>
  <c r="L2193" i="12"/>
  <c r="L2192" i="12"/>
  <c r="L2233" i="12"/>
  <c r="L2232" i="12"/>
  <c r="L2262" i="12"/>
  <c r="L2263" i="12"/>
  <c r="L2373" i="12"/>
  <c r="L2372" i="12"/>
  <c r="T2297" i="12"/>
  <c r="T2298" i="12"/>
  <c r="D2347" i="12"/>
  <c r="D2348" i="12"/>
  <c r="AB2393" i="12"/>
  <c r="AB2392" i="12"/>
  <c r="T2263" i="12"/>
  <c r="T2262" i="12"/>
  <c r="T2303" i="12"/>
  <c r="T2302" i="12"/>
  <c r="AB2343" i="12"/>
  <c r="AB2342" i="12"/>
  <c r="T2288" i="12"/>
  <c r="T2287" i="12"/>
  <c r="D2343" i="12"/>
  <c r="D2342" i="12"/>
  <c r="AB2358" i="12"/>
  <c r="AB2357" i="12"/>
  <c r="T2387" i="12"/>
  <c r="T2388" i="12"/>
  <c r="T2348" i="12"/>
  <c r="T2347" i="12"/>
  <c r="L2392" i="12"/>
  <c r="L2393" i="12"/>
  <c r="L2403" i="12"/>
  <c r="L2402" i="12"/>
  <c r="T2417" i="12"/>
  <c r="T2418" i="12"/>
  <c r="AB2443" i="12"/>
  <c r="AB2442" i="12"/>
  <c r="L2498" i="12"/>
  <c r="L2497" i="12"/>
  <c r="D2432" i="12"/>
  <c r="D2433" i="12"/>
  <c r="T2403" i="12"/>
  <c r="T2402" i="12"/>
  <c r="L2422" i="12"/>
  <c r="L2423" i="12"/>
  <c r="L2462" i="12"/>
  <c r="L2463" i="12"/>
  <c r="L2502" i="12"/>
  <c r="L2503" i="12"/>
  <c r="T362" i="12"/>
  <c r="T363" i="12"/>
  <c r="D163" i="12"/>
  <c r="D162" i="12"/>
  <c r="D27" i="12"/>
  <c r="D28" i="12"/>
  <c r="L208" i="12"/>
  <c r="L207" i="12"/>
  <c r="AB223" i="12"/>
  <c r="AB222" i="12"/>
  <c r="T557" i="12"/>
  <c r="T558" i="12"/>
  <c r="AB957" i="12"/>
  <c r="AB958" i="12"/>
  <c r="D433" i="12"/>
  <c r="D432" i="12"/>
  <c r="D513" i="12"/>
  <c r="D512" i="12"/>
  <c r="D593" i="12"/>
  <c r="D592" i="12"/>
  <c r="T17" i="12"/>
  <c r="T18" i="12"/>
  <c r="L473" i="12"/>
  <c r="L472" i="12"/>
  <c r="D548" i="12"/>
  <c r="D547" i="12"/>
  <c r="D637" i="12"/>
  <c r="D638" i="12"/>
  <c r="L38" i="12"/>
  <c r="L37" i="12"/>
  <c r="L78" i="12"/>
  <c r="L77" i="12"/>
  <c r="L118" i="12"/>
  <c r="L117" i="12"/>
  <c r="L158" i="12"/>
  <c r="L157" i="12"/>
  <c r="L198" i="12"/>
  <c r="L197" i="12"/>
  <c r="L238" i="12"/>
  <c r="L237" i="12"/>
  <c r="L278" i="12"/>
  <c r="L277" i="12"/>
  <c r="L317" i="12"/>
  <c r="L318" i="12"/>
  <c r="D353" i="12"/>
  <c r="D352" i="12"/>
  <c r="D677" i="12"/>
  <c r="D678" i="12"/>
  <c r="AB637" i="12"/>
  <c r="AB638" i="12"/>
  <c r="AB717" i="12"/>
  <c r="AB718" i="12"/>
  <c r="T832" i="12"/>
  <c r="T833" i="12"/>
  <c r="D663" i="12"/>
  <c r="D662" i="12"/>
  <c r="AB1108" i="12"/>
  <c r="AB1107" i="12"/>
  <c r="D327" i="12"/>
  <c r="D328" i="12"/>
  <c r="AB343" i="12"/>
  <c r="AB342" i="12"/>
  <c r="D368" i="12"/>
  <c r="D367" i="12"/>
  <c r="AB383" i="12"/>
  <c r="AB382" i="12"/>
  <c r="D408" i="12"/>
  <c r="D407" i="12"/>
  <c r="AB423" i="12"/>
  <c r="AB422" i="12"/>
  <c r="D448" i="12"/>
  <c r="D447" i="12"/>
  <c r="AB463" i="12"/>
  <c r="AB462" i="12"/>
  <c r="D488" i="12"/>
  <c r="D487" i="12"/>
  <c r="AB503" i="12"/>
  <c r="AB502" i="12"/>
  <c r="D528" i="12"/>
  <c r="D527" i="12"/>
  <c r="AB543" i="12"/>
  <c r="AB542" i="12"/>
  <c r="D568" i="12"/>
  <c r="D567" i="12"/>
  <c r="AB583" i="12"/>
  <c r="AB582" i="12"/>
  <c r="D608" i="12"/>
  <c r="D607" i="12"/>
  <c r="D377" i="12"/>
  <c r="D378" i="12"/>
  <c r="AB392" i="12"/>
  <c r="AB393" i="12"/>
  <c r="D417" i="12"/>
  <c r="D418" i="12"/>
  <c r="AB432" i="12"/>
  <c r="AB433" i="12"/>
  <c r="D457" i="12"/>
  <c r="D458" i="12"/>
  <c r="AB472" i="12"/>
  <c r="AB473" i="12"/>
  <c r="D497" i="12"/>
  <c r="D498" i="12"/>
  <c r="AB512" i="12"/>
  <c r="AB513" i="12"/>
  <c r="D537" i="12"/>
  <c r="D538" i="12"/>
  <c r="AB552" i="12"/>
  <c r="AB553" i="12"/>
  <c r="D577" i="12"/>
  <c r="D578" i="12"/>
  <c r="AB592" i="12"/>
  <c r="AB593" i="12"/>
  <c r="L628" i="12"/>
  <c r="L627" i="12"/>
  <c r="D822" i="12"/>
  <c r="D823" i="12"/>
  <c r="D982" i="12"/>
  <c r="D983" i="12"/>
  <c r="D322" i="12"/>
  <c r="D323" i="12"/>
  <c r="AB337" i="12"/>
  <c r="AB338" i="12"/>
  <c r="D362" i="12"/>
  <c r="D363" i="12"/>
  <c r="AB378" i="12"/>
  <c r="AB377" i="12"/>
  <c r="D402" i="12"/>
  <c r="D403" i="12"/>
  <c r="AB418" i="12"/>
  <c r="AB417" i="12"/>
  <c r="D442" i="12"/>
  <c r="D443" i="12"/>
  <c r="AB458" i="12"/>
  <c r="AB457" i="12"/>
  <c r="D482" i="12"/>
  <c r="D483" i="12"/>
  <c r="AB498" i="12"/>
  <c r="AB497" i="12"/>
  <c r="D522" i="12"/>
  <c r="D523" i="12"/>
  <c r="AB538" i="12"/>
  <c r="AB537" i="12"/>
  <c r="D562" i="12"/>
  <c r="D563" i="12"/>
  <c r="AB578" i="12"/>
  <c r="AB577" i="12"/>
  <c r="D602" i="12"/>
  <c r="D603" i="12"/>
  <c r="T847" i="12"/>
  <c r="T848" i="12"/>
  <c r="D1012" i="12"/>
  <c r="D1013" i="12"/>
  <c r="AB633" i="12"/>
  <c r="AB632" i="12"/>
  <c r="D657" i="12"/>
  <c r="D658" i="12"/>
  <c r="AB673" i="12"/>
  <c r="AB672" i="12"/>
  <c r="D697" i="12"/>
  <c r="D698" i="12"/>
  <c r="AB713" i="12"/>
  <c r="AB712" i="12"/>
  <c r="D738" i="12"/>
  <c r="D737" i="12"/>
  <c r="AB753" i="12"/>
  <c r="AB752" i="12"/>
  <c r="D778" i="12"/>
  <c r="D777" i="12"/>
  <c r="AB793" i="12"/>
  <c r="AB792" i="12"/>
  <c r="D818" i="12"/>
  <c r="D817" i="12"/>
  <c r="AB833" i="12"/>
  <c r="AB832" i="12"/>
  <c r="D858" i="12"/>
  <c r="D857" i="12"/>
  <c r="AB873" i="12"/>
  <c r="AB872" i="12"/>
  <c r="D898" i="12"/>
  <c r="D897" i="12"/>
  <c r="AB913" i="12"/>
  <c r="AB912" i="12"/>
  <c r="D938" i="12"/>
  <c r="D937" i="12"/>
  <c r="AB953" i="12"/>
  <c r="AB952" i="12"/>
  <c r="D978" i="12"/>
  <c r="D977" i="12"/>
  <c r="AB993" i="12"/>
  <c r="AB992" i="12"/>
  <c r="T1007" i="12"/>
  <c r="T1008" i="12"/>
  <c r="D1132" i="12"/>
  <c r="D1133" i="12"/>
  <c r="D747" i="12"/>
  <c r="D748" i="12"/>
  <c r="AB763" i="12"/>
  <c r="AB762" i="12"/>
  <c r="D787" i="12"/>
  <c r="D788" i="12"/>
  <c r="AB803" i="12"/>
  <c r="AB802" i="12"/>
  <c r="D827" i="12"/>
  <c r="D828" i="12"/>
  <c r="AB843" i="12"/>
  <c r="AB842" i="12"/>
  <c r="D867" i="12"/>
  <c r="D868" i="12"/>
  <c r="AB883" i="12"/>
  <c r="AB882" i="12"/>
  <c r="D907" i="12"/>
  <c r="D908" i="12"/>
  <c r="AB923" i="12"/>
  <c r="AB922" i="12"/>
  <c r="D947" i="12"/>
  <c r="D948" i="12"/>
  <c r="AB963" i="12"/>
  <c r="AB962" i="12"/>
  <c r="D987" i="12"/>
  <c r="D988" i="12"/>
  <c r="L1097" i="12"/>
  <c r="L1098" i="12"/>
  <c r="AB627" i="12"/>
  <c r="AB628" i="12"/>
  <c r="D652" i="12"/>
  <c r="D653" i="12"/>
  <c r="AB667" i="12"/>
  <c r="AB668" i="12"/>
  <c r="D692" i="12"/>
  <c r="D693" i="12"/>
  <c r="AB707" i="12"/>
  <c r="AB708" i="12"/>
  <c r="D732" i="12"/>
  <c r="D733" i="12"/>
  <c r="AB748" i="12"/>
  <c r="AB747" i="12"/>
  <c r="D772" i="12"/>
  <c r="D773" i="12"/>
  <c r="AB788" i="12"/>
  <c r="AB787" i="12"/>
  <c r="D812" i="12"/>
  <c r="D813" i="12"/>
  <c r="AB828" i="12"/>
  <c r="AB827" i="12"/>
  <c r="D852" i="12"/>
  <c r="D853" i="12"/>
  <c r="AB868" i="12"/>
  <c r="AB867" i="12"/>
  <c r="D892" i="12"/>
  <c r="D893" i="12"/>
  <c r="AB908" i="12"/>
  <c r="AB907" i="12"/>
  <c r="D932" i="12"/>
  <c r="D933" i="12"/>
  <c r="AB948" i="12"/>
  <c r="AB947" i="12"/>
  <c r="D972" i="12"/>
  <c r="D973" i="12"/>
  <c r="AB988" i="12"/>
  <c r="AB987" i="12"/>
  <c r="AB1243" i="12"/>
  <c r="AB1242" i="12"/>
  <c r="AB1373" i="12"/>
  <c r="AB1372" i="12"/>
  <c r="T1018" i="12"/>
  <c r="T1017" i="12"/>
  <c r="T1058" i="12"/>
  <c r="T1057" i="12"/>
  <c r="T1098" i="12"/>
  <c r="T1097" i="12"/>
  <c r="T1138" i="12"/>
  <c r="T1137" i="12"/>
  <c r="T1178" i="12"/>
  <c r="T1177" i="12"/>
  <c r="T1028" i="12"/>
  <c r="T1027" i="12"/>
  <c r="T1068" i="12"/>
  <c r="T1067" i="12"/>
  <c r="T1108" i="12"/>
  <c r="T1107" i="12"/>
  <c r="T1148" i="12"/>
  <c r="T1147" i="12"/>
  <c r="T1188" i="12"/>
  <c r="T1187" i="12"/>
  <c r="D1227" i="12"/>
  <c r="D1228" i="12"/>
  <c r="T1038" i="12"/>
  <c r="T1037" i="12"/>
  <c r="T1078" i="12"/>
  <c r="T1077" i="12"/>
  <c r="T1118" i="12"/>
  <c r="T1117" i="12"/>
  <c r="T1158" i="12"/>
  <c r="T1157" i="12"/>
  <c r="L1312" i="12"/>
  <c r="L1313" i="12"/>
  <c r="D1457" i="12"/>
  <c r="D1458" i="12"/>
  <c r="T1218" i="12"/>
  <c r="T1217" i="12"/>
  <c r="T1258" i="12"/>
  <c r="T1257" i="12"/>
  <c r="T1298" i="12"/>
  <c r="T1297" i="12"/>
  <c r="T1338" i="12"/>
  <c r="T1337" i="12"/>
  <c r="L1422" i="12"/>
  <c r="L1423" i="12"/>
  <c r="D1193" i="12"/>
  <c r="D1192" i="12"/>
  <c r="AB1208" i="12"/>
  <c r="AB1207" i="12"/>
  <c r="D1233" i="12"/>
  <c r="D1232" i="12"/>
  <c r="AB1248" i="12"/>
  <c r="AB1247" i="12"/>
  <c r="D1273" i="12"/>
  <c r="D1272" i="12"/>
  <c r="AB1288" i="12"/>
  <c r="AB1287" i="12"/>
  <c r="D1313" i="12"/>
  <c r="D1312" i="12"/>
  <c r="AB1328" i="12"/>
  <c r="AB1327" i="12"/>
  <c r="D1353" i="12"/>
  <c r="D1352" i="12"/>
  <c r="AB1368" i="12"/>
  <c r="AB1367" i="12"/>
  <c r="T1577" i="12"/>
  <c r="T1578" i="12"/>
  <c r="T1423" i="12"/>
  <c r="T1422" i="12"/>
  <c r="T1463" i="12"/>
  <c r="T1462" i="12"/>
  <c r="T1503" i="12"/>
  <c r="T1502" i="12"/>
  <c r="T1543" i="12"/>
  <c r="T1542" i="12"/>
  <c r="D2038" i="12"/>
  <c r="D2037" i="12"/>
  <c r="D1557" i="12"/>
  <c r="D1558" i="12"/>
  <c r="AB1573" i="12"/>
  <c r="AB1572" i="12"/>
  <c r="D1598" i="12"/>
  <c r="D1597" i="12"/>
  <c r="AB1613" i="12"/>
  <c r="AB1612" i="12"/>
  <c r="D1638" i="12"/>
  <c r="D1637" i="12"/>
  <c r="AB1653" i="12"/>
  <c r="AB1652" i="12"/>
  <c r="D1678" i="12"/>
  <c r="D1677" i="12"/>
  <c r="AB1693" i="12"/>
  <c r="AB1692" i="12"/>
  <c r="D1718" i="12"/>
  <c r="D1717" i="12"/>
  <c r="L1733" i="12"/>
  <c r="L1732" i="12"/>
  <c r="T1747" i="12"/>
  <c r="T1748" i="12"/>
  <c r="AB1818" i="12"/>
  <c r="AB1817" i="12"/>
  <c r="D1738" i="12"/>
  <c r="D1737" i="12"/>
  <c r="AB1917" i="12"/>
  <c r="AB1918" i="12"/>
  <c r="L1728" i="12"/>
  <c r="L1727" i="12"/>
  <c r="L1882" i="12"/>
  <c r="L1883" i="12"/>
  <c r="AB1733" i="12"/>
  <c r="AB1732" i="12"/>
  <c r="D1778" i="12"/>
  <c r="D1777" i="12"/>
  <c r="T1807" i="12"/>
  <c r="T1808" i="12"/>
  <c r="T2092" i="12"/>
  <c r="T2093" i="12"/>
  <c r="AB1877" i="12"/>
  <c r="AB1878" i="12"/>
  <c r="T212" i="12"/>
  <c r="T213" i="12"/>
  <c r="AB1828" i="12"/>
  <c r="AB1827" i="12"/>
  <c r="AB1893" i="12"/>
  <c r="AB1892" i="12"/>
  <c r="T1828" i="12"/>
  <c r="T1827" i="12"/>
  <c r="T1963" i="12"/>
  <c r="T1962" i="12"/>
  <c r="T2082" i="12"/>
  <c r="T2083" i="12"/>
  <c r="T1967" i="12"/>
  <c r="T1968" i="12"/>
  <c r="T1892" i="12"/>
  <c r="T1893" i="12"/>
  <c r="T2052" i="12"/>
  <c r="T2053" i="12"/>
  <c r="T1863" i="12"/>
  <c r="T1862" i="12"/>
  <c r="T1823" i="12"/>
  <c r="T1822" i="12"/>
  <c r="D2073" i="12"/>
  <c r="D2072" i="12"/>
  <c r="L2003" i="12"/>
  <c r="L2002" i="12"/>
  <c r="D1927" i="12"/>
  <c r="D1928" i="12"/>
  <c r="AB1942" i="12"/>
  <c r="AB1943" i="12"/>
  <c r="T1912" i="12"/>
  <c r="T1913" i="12"/>
  <c r="L1888" i="12"/>
  <c r="L1887" i="12"/>
  <c r="L2102" i="12"/>
  <c r="L2103" i="12"/>
  <c r="D2097" i="12"/>
  <c r="D2098" i="12"/>
  <c r="T1977" i="12"/>
  <c r="T1978" i="12"/>
  <c r="L1932" i="12"/>
  <c r="L1933" i="12"/>
  <c r="D1902" i="12"/>
  <c r="D1903" i="12"/>
  <c r="AB1887" i="12"/>
  <c r="AB1888" i="12"/>
  <c r="D1913" i="12"/>
  <c r="D1912" i="12"/>
  <c r="AB1927" i="12"/>
  <c r="AB1928" i="12"/>
  <c r="D1953" i="12"/>
  <c r="D1952" i="12"/>
  <c r="AB1967" i="12"/>
  <c r="AB1968" i="12"/>
  <c r="D1993" i="12"/>
  <c r="D1992" i="12"/>
  <c r="T2122" i="12"/>
  <c r="T2123" i="12"/>
  <c r="D1898" i="12"/>
  <c r="D1897" i="12"/>
  <c r="AB1913" i="12"/>
  <c r="AB1912" i="12"/>
  <c r="D1938" i="12"/>
  <c r="D1937" i="12"/>
  <c r="AB1953" i="12"/>
  <c r="AB1952" i="12"/>
  <c r="D1978" i="12"/>
  <c r="D1977" i="12"/>
  <c r="AB1993" i="12"/>
  <c r="AB1992" i="12"/>
  <c r="T2047" i="12"/>
  <c r="T2048" i="12"/>
  <c r="D1923" i="12"/>
  <c r="D1922" i="12"/>
  <c r="AB1938" i="12"/>
  <c r="AB1937" i="12"/>
  <c r="D1963" i="12"/>
  <c r="D1962" i="12"/>
  <c r="AB1978" i="12"/>
  <c r="AB1977" i="12"/>
  <c r="D2003" i="12"/>
  <c r="D2002" i="12"/>
  <c r="L2043" i="12"/>
  <c r="L2042" i="12"/>
  <c r="T2042" i="12"/>
  <c r="T2043" i="12"/>
  <c r="T2067" i="12"/>
  <c r="T2068" i="12"/>
  <c r="T2132" i="12"/>
  <c r="T2133" i="12"/>
  <c r="T2192" i="12"/>
  <c r="T2193" i="12"/>
  <c r="AB2277" i="12"/>
  <c r="AB2278" i="12"/>
  <c r="AB2097" i="12"/>
  <c r="AB2098" i="12"/>
  <c r="T2078" i="12"/>
  <c r="T2077" i="12"/>
  <c r="T2118" i="12"/>
  <c r="T2117" i="12"/>
  <c r="T2023" i="12"/>
  <c r="T2022" i="12"/>
  <c r="T2063" i="12"/>
  <c r="T2062" i="12"/>
  <c r="T2103" i="12"/>
  <c r="T2102" i="12"/>
  <c r="T2143" i="12"/>
  <c r="T2142" i="12"/>
  <c r="D2377" i="12"/>
  <c r="D2378" i="12"/>
  <c r="L2123" i="12"/>
  <c r="L2122" i="12"/>
  <c r="L2028" i="12"/>
  <c r="L2027" i="12"/>
  <c r="L2068" i="12"/>
  <c r="L2067" i="12"/>
  <c r="L2108" i="12"/>
  <c r="L2107" i="12"/>
  <c r="L2148" i="12"/>
  <c r="L2147" i="12"/>
  <c r="L2172" i="12"/>
  <c r="L2173" i="12"/>
  <c r="D2152" i="12"/>
  <c r="D2153" i="12"/>
  <c r="T2177" i="12"/>
  <c r="T2178" i="12"/>
  <c r="L2303" i="12"/>
  <c r="L2302" i="12"/>
  <c r="L2212" i="12"/>
  <c r="L2213" i="12"/>
  <c r="AB2237" i="12"/>
  <c r="AB2238" i="12"/>
  <c r="D2278" i="12"/>
  <c r="D2277" i="12"/>
  <c r="D2178" i="12"/>
  <c r="D2177" i="12"/>
  <c r="L2278" i="12"/>
  <c r="L2277" i="12"/>
  <c r="AB2302" i="12"/>
  <c r="AB2303" i="12"/>
  <c r="D2283" i="12"/>
  <c r="D2282" i="12"/>
  <c r="D2302" i="12"/>
  <c r="D2303" i="12"/>
  <c r="L2383" i="12"/>
  <c r="L2382" i="12"/>
  <c r="L2282" i="12"/>
  <c r="L2283" i="12"/>
  <c r="D2267" i="12"/>
  <c r="D2268" i="12"/>
  <c r="AB2283" i="12"/>
  <c r="AB2282" i="12"/>
  <c r="D2308" i="12"/>
  <c r="D2307" i="12"/>
  <c r="T2327" i="12"/>
  <c r="T2328" i="12"/>
  <c r="T2367" i="12"/>
  <c r="T2368" i="12"/>
  <c r="L2452" i="12"/>
  <c r="L2453" i="12"/>
  <c r="T2363" i="12"/>
  <c r="T2362" i="12"/>
  <c r="L2448" i="12"/>
  <c r="L2447" i="12"/>
  <c r="T2333" i="12"/>
  <c r="T2332" i="12"/>
  <c r="T2373" i="12"/>
  <c r="T2372" i="12"/>
  <c r="T2393" i="12"/>
  <c r="T2392" i="12"/>
  <c r="L2432" i="12"/>
  <c r="L2433" i="12"/>
  <c r="AB2458" i="12"/>
  <c r="AB2457" i="12"/>
  <c r="L2473" i="12"/>
  <c r="L2472" i="12"/>
  <c r="AB2498" i="12"/>
  <c r="AB2497" i="12"/>
  <c r="L2513" i="12"/>
  <c r="L2512" i="12"/>
  <c r="D2438" i="12"/>
  <c r="D2437" i="12"/>
  <c r="AB2453" i="12"/>
  <c r="AB2452" i="12"/>
  <c r="D2478" i="12"/>
  <c r="D2477" i="12"/>
  <c r="AB2492" i="12"/>
  <c r="AB2493" i="12"/>
  <c r="D2518" i="12"/>
  <c r="D2517" i="12"/>
  <c r="L2428" i="12"/>
  <c r="L2427" i="12"/>
  <c r="L2468" i="12"/>
  <c r="L2467" i="12"/>
  <c r="L2508" i="12"/>
  <c r="L2507" i="12"/>
  <c r="D203" i="12"/>
  <c r="D202" i="12"/>
  <c r="L248" i="12"/>
  <c r="L247" i="12"/>
  <c r="D88" i="12"/>
  <c r="D87" i="12"/>
  <c r="T437" i="12"/>
  <c r="T438" i="12"/>
  <c r="AB998" i="12"/>
  <c r="AB997" i="12"/>
  <c r="L57" i="12"/>
  <c r="L58" i="12"/>
  <c r="L97" i="12"/>
  <c r="L98" i="12"/>
  <c r="L137" i="12"/>
  <c r="L138" i="12"/>
  <c r="L177" i="12"/>
  <c r="L178" i="12"/>
  <c r="L217" i="12"/>
  <c r="L218" i="12"/>
  <c r="L257" i="12"/>
  <c r="L258" i="12"/>
  <c r="L297" i="12"/>
  <c r="L298" i="12"/>
  <c r="D37" i="12"/>
  <c r="D38" i="12"/>
  <c r="AB53" i="12"/>
  <c r="AB52" i="12"/>
  <c r="D77" i="12"/>
  <c r="D78" i="12"/>
  <c r="AB93" i="12"/>
  <c r="AB92" i="12"/>
  <c r="D117" i="12"/>
  <c r="D118" i="12"/>
  <c r="AB133" i="12"/>
  <c r="AB132" i="12"/>
  <c r="D157" i="12"/>
  <c r="D158" i="12"/>
  <c r="AB173" i="12"/>
  <c r="AB172" i="12"/>
  <c r="D197" i="12"/>
  <c r="D198" i="12"/>
  <c r="AB213" i="12"/>
  <c r="AB212" i="12"/>
  <c r="D237" i="12"/>
  <c r="D238" i="12"/>
  <c r="AB253" i="12"/>
  <c r="AB252" i="12"/>
  <c r="D278" i="12"/>
  <c r="D277" i="12"/>
  <c r="AB293" i="12"/>
  <c r="AB292" i="12"/>
  <c r="D318" i="12"/>
  <c r="D317" i="12"/>
  <c r="AB368" i="12"/>
  <c r="AB367" i="12"/>
  <c r="AB448" i="12"/>
  <c r="AB447" i="12"/>
  <c r="AB528" i="12"/>
  <c r="AB527" i="12"/>
  <c r="AB608" i="12"/>
  <c r="AB607" i="12"/>
  <c r="T33" i="12"/>
  <c r="T32" i="12"/>
  <c r="T73" i="12"/>
  <c r="T72" i="12"/>
  <c r="T113" i="12"/>
  <c r="T112" i="12"/>
  <c r="T153" i="12"/>
  <c r="T152" i="12"/>
  <c r="T193" i="12"/>
  <c r="T192" i="12"/>
  <c r="T233" i="12"/>
  <c r="T232" i="12"/>
  <c r="T273" i="12"/>
  <c r="T272" i="12"/>
  <c r="T313" i="12"/>
  <c r="T312" i="12"/>
  <c r="L433" i="12"/>
  <c r="L432" i="12"/>
  <c r="D613" i="12"/>
  <c r="D612" i="12"/>
  <c r="D288" i="12"/>
  <c r="D287" i="12"/>
  <c r="AB303" i="12"/>
  <c r="AB302" i="12"/>
  <c r="D508" i="12"/>
  <c r="D507" i="12"/>
  <c r="T647" i="12"/>
  <c r="T648" i="12"/>
  <c r="AB403" i="12"/>
  <c r="AB402" i="12"/>
  <c r="AB563" i="12"/>
  <c r="AB562" i="12"/>
  <c r="T687" i="12"/>
  <c r="T688" i="12"/>
  <c r="L682" i="12"/>
  <c r="L683" i="12"/>
  <c r="D333" i="12"/>
  <c r="D332" i="12"/>
  <c r="AB347" i="12"/>
  <c r="AB348" i="12"/>
  <c r="D372" i="12"/>
  <c r="D373" i="12"/>
  <c r="AB387" i="12"/>
  <c r="AB388" i="12"/>
  <c r="D412" i="12"/>
  <c r="D413" i="12"/>
  <c r="AB427" i="12"/>
  <c r="AB428" i="12"/>
  <c r="D452" i="12"/>
  <c r="D453" i="12"/>
  <c r="AB467" i="12"/>
  <c r="AB468" i="12"/>
  <c r="D492" i="12"/>
  <c r="D493" i="12"/>
  <c r="AB507" i="12"/>
  <c r="AB508" i="12"/>
  <c r="D532" i="12"/>
  <c r="D533" i="12"/>
  <c r="AB547" i="12"/>
  <c r="AB548" i="12"/>
  <c r="D572" i="12"/>
  <c r="D573" i="12"/>
  <c r="AB587" i="12"/>
  <c r="AB588" i="12"/>
  <c r="L322" i="12"/>
  <c r="L323" i="12"/>
  <c r="L362" i="12"/>
  <c r="L363" i="12"/>
  <c r="L402" i="12"/>
  <c r="L403" i="12"/>
  <c r="L442" i="12"/>
  <c r="L443" i="12"/>
  <c r="L482" i="12"/>
  <c r="L483" i="12"/>
  <c r="L522" i="12"/>
  <c r="L523" i="12"/>
  <c r="L562" i="12"/>
  <c r="L563" i="12"/>
  <c r="L602" i="12"/>
  <c r="L603" i="12"/>
  <c r="AB683" i="12"/>
  <c r="AB682" i="12"/>
  <c r="D343" i="12"/>
  <c r="D342" i="12"/>
  <c r="AB358" i="12"/>
  <c r="AB357" i="12"/>
  <c r="D382" i="12"/>
  <c r="D383" i="12"/>
  <c r="AB398" i="12"/>
  <c r="AB397" i="12"/>
  <c r="D422" i="12"/>
  <c r="D423" i="12"/>
  <c r="AB438" i="12"/>
  <c r="AB437" i="12"/>
  <c r="D462" i="12"/>
  <c r="D463" i="12"/>
  <c r="AB478" i="12"/>
  <c r="AB477" i="12"/>
  <c r="D502" i="12"/>
  <c r="D503" i="12"/>
  <c r="AB518" i="12"/>
  <c r="AB517" i="12"/>
  <c r="D542" i="12"/>
  <c r="D543" i="12"/>
  <c r="AB558" i="12"/>
  <c r="AB557" i="12"/>
  <c r="D582" i="12"/>
  <c r="D583" i="12"/>
  <c r="AB598" i="12"/>
  <c r="AB597" i="12"/>
  <c r="AB693" i="12"/>
  <c r="AB692" i="12"/>
  <c r="AB1148" i="12"/>
  <c r="AB1147" i="12"/>
  <c r="D717" i="12"/>
  <c r="D718" i="12"/>
  <c r="D757" i="12"/>
  <c r="D758" i="12"/>
  <c r="D797" i="12"/>
  <c r="D798" i="12"/>
  <c r="D837" i="12"/>
  <c r="D838" i="12"/>
  <c r="D877" i="12"/>
  <c r="D878" i="12"/>
  <c r="D917" i="12"/>
  <c r="D918" i="12"/>
  <c r="D957" i="12"/>
  <c r="D958" i="12"/>
  <c r="D997" i="12"/>
  <c r="D998" i="12"/>
  <c r="L668" i="12"/>
  <c r="L667" i="12"/>
  <c r="AB733" i="12"/>
  <c r="AB732" i="12"/>
  <c r="AB893" i="12"/>
  <c r="AB892" i="12"/>
  <c r="T727" i="12"/>
  <c r="T728" i="12"/>
  <c r="L1003" i="12"/>
  <c r="L1002" i="12"/>
  <c r="AB1008" i="12"/>
  <c r="AB1007" i="12"/>
  <c r="T1102" i="12"/>
  <c r="T1103" i="12"/>
  <c r="AB1363" i="12"/>
  <c r="AB1362" i="12"/>
  <c r="D1022" i="12"/>
  <c r="D1023" i="12"/>
  <c r="AB1037" i="12"/>
  <c r="AB1038" i="12"/>
  <c r="D1062" i="12"/>
  <c r="D1063" i="12"/>
  <c r="AB1077" i="12"/>
  <c r="AB1078" i="12"/>
  <c r="D1102" i="12"/>
  <c r="D1103" i="12"/>
  <c r="AB1117" i="12"/>
  <c r="AB1118" i="12"/>
  <c r="D1142" i="12"/>
  <c r="D1143" i="12"/>
  <c r="AB1157" i="12"/>
  <c r="AB1158" i="12"/>
  <c r="D1182" i="12"/>
  <c r="D1183" i="12"/>
  <c r="L1038" i="12"/>
  <c r="L1037" i="12"/>
  <c r="L1078" i="12"/>
  <c r="L1077" i="12"/>
  <c r="L1118" i="12"/>
  <c r="L1117" i="12"/>
  <c r="L1158" i="12"/>
  <c r="L1157" i="12"/>
  <c r="T1013" i="12"/>
  <c r="T1012" i="12"/>
  <c r="T1053" i="12"/>
  <c r="T1052" i="12"/>
  <c r="T1093" i="12"/>
  <c r="T1092" i="12"/>
  <c r="T1133" i="12"/>
  <c r="T1132" i="12"/>
  <c r="T1173" i="12"/>
  <c r="T1172" i="12"/>
  <c r="T1317" i="12"/>
  <c r="T1318" i="12"/>
  <c r="L1217" i="12"/>
  <c r="L1218" i="12"/>
  <c r="L1257" i="12"/>
  <c r="L1258" i="12"/>
  <c r="L1297" i="12"/>
  <c r="L1298" i="12"/>
  <c r="L1337" i="12"/>
  <c r="L1338" i="12"/>
  <c r="D1377" i="12"/>
  <c r="D1378" i="12"/>
  <c r="AB1198" i="12"/>
  <c r="AB1197" i="12"/>
  <c r="D1223" i="12"/>
  <c r="D1222" i="12"/>
  <c r="AB1238" i="12"/>
  <c r="AB1237" i="12"/>
  <c r="D1263" i="12"/>
  <c r="D1262" i="12"/>
  <c r="AB1278" i="12"/>
  <c r="AB1277" i="12"/>
  <c r="D1303" i="12"/>
  <c r="D1302" i="12"/>
  <c r="AB1318" i="12"/>
  <c r="AB1317" i="12"/>
  <c r="D1343" i="12"/>
  <c r="D1342" i="12"/>
  <c r="AB1358" i="12"/>
  <c r="AB1357" i="12"/>
  <c r="T1427" i="12"/>
  <c r="T1428" i="12"/>
  <c r="L1542" i="12"/>
  <c r="L1543" i="12"/>
  <c r="L1223" i="12"/>
  <c r="L1222" i="12"/>
  <c r="L1263" i="12"/>
  <c r="L1262" i="12"/>
  <c r="L1303" i="12"/>
  <c r="L1302" i="12"/>
  <c r="L1343" i="12"/>
  <c r="L1342" i="12"/>
  <c r="AB1433" i="12"/>
  <c r="AB1432" i="12"/>
  <c r="T1213" i="12"/>
  <c r="T1212" i="12"/>
  <c r="T1253" i="12"/>
  <c r="T1252" i="12"/>
  <c r="T1293" i="12"/>
  <c r="T1292" i="12"/>
  <c r="T1333" i="12"/>
  <c r="T1332" i="12"/>
  <c r="L1407" i="12"/>
  <c r="L1408" i="12"/>
  <c r="L1447" i="12"/>
  <c r="L1448" i="12"/>
  <c r="L1487" i="12"/>
  <c r="L1488" i="12"/>
  <c r="L1527" i="12"/>
  <c r="L1528" i="12"/>
  <c r="D1387" i="12"/>
  <c r="D1388" i="12"/>
  <c r="AB1402" i="12"/>
  <c r="AB1403" i="12"/>
  <c r="D1427" i="12"/>
  <c r="D1428" i="12"/>
  <c r="AB1442" i="12"/>
  <c r="AB1443" i="12"/>
  <c r="D1467" i="12"/>
  <c r="D1468" i="12"/>
  <c r="AB1482" i="12"/>
  <c r="AB1483" i="12"/>
  <c r="D1507" i="12"/>
  <c r="D1508" i="12"/>
  <c r="AB1522" i="12"/>
  <c r="AB1523" i="12"/>
  <c r="D1547" i="12"/>
  <c r="D1548" i="12"/>
  <c r="D1657" i="12"/>
  <c r="D1658" i="12"/>
  <c r="L1403" i="12"/>
  <c r="L1402" i="12"/>
  <c r="L1443" i="12"/>
  <c r="L1442" i="12"/>
  <c r="L1483" i="12"/>
  <c r="L1482" i="12"/>
  <c r="L1523" i="12"/>
  <c r="L1522" i="12"/>
  <c r="AB1583" i="12"/>
  <c r="AB1582" i="12"/>
  <c r="L1662" i="12"/>
  <c r="L1663" i="12"/>
  <c r="D1567" i="12"/>
  <c r="D1568" i="12"/>
  <c r="AB1593" i="12"/>
  <c r="AB1592" i="12"/>
  <c r="T1403" i="12"/>
  <c r="T1402" i="12"/>
  <c r="T1443" i="12"/>
  <c r="T1442" i="12"/>
  <c r="T1483" i="12"/>
  <c r="T1482" i="12"/>
  <c r="T1523" i="12"/>
  <c r="T1522" i="12"/>
  <c r="AB1562" i="12"/>
  <c r="AB1563" i="12"/>
  <c r="D1563" i="12"/>
  <c r="D1562" i="12"/>
  <c r="AB1578" i="12"/>
  <c r="AB1577" i="12"/>
  <c r="D1602" i="12"/>
  <c r="D1603" i="12"/>
  <c r="AB1617" i="12"/>
  <c r="AB1618" i="12"/>
  <c r="D1642" i="12"/>
  <c r="D1643" i="12"/>
  <c r="AB1657" i="12"/>
  <c r="AB1658" i="12"/>
  <c r="D1682" i="12"/>
  <c r="D1683" i="12"/>
  <c r="AB1697" i="12"/>
  <c r="AB1698" i="12"/>
  <c r="D1722" i="12"/>
  <c r="D1723" i="12"/>
  <c r="T1727" i="12"/>
  <c r="T1728" i="12"/>
  <c r="D1747" i="12"/>
  <c r="D1748" i="12"/>
  <c r="D1573" i="12"/>
  <c r="D1572" i="12"/>
  <c r="AB1588" i="12"/>
  <c r="AB1587" i="12"/>
  <c r="D1613" i="12"/>
  <c r="D1612" i="12"/>
  <c r="AB1628" i="12"/>
  <c r="AB1627" i="12"/>
  <c r="D1653" i="12"/>
  <c r="D1652" i="12"/>
  <c r="AB1668" i="12"/>
  <c r="AB1667" i="12"/>
  <c r="D1693" i="12"/>
  <c r="D1692" i="12"/>
  <c r="AB1708" i="12"/>
  <c r="AB1707" i="12"/>
  <c r="T1593" i="12"/>
  <c r="T1592" i="12"/>
  <c r="T1633" i="12"/>
  <c r="T1632" i="12"/>
  <c r="T1673" i="12"/>
  <c r="T1672" i="12"/>
  <c r="T1713" i="12"/>
  <c r="T1712" i="12"/>
  <c r="D1728" i="12"/>
  <c r="D1727" i="12"/>
  <c r="L1557" i="12"/>
  <c r="L1558" i="12"/>
  <c r="L1597" i="12"/>
  <c r="L1598" i="12"/>
  <c r="L1637" i="12"/>
  <c r="L1638" i="12"/>
  <c r="L1677" i="12"/>
  <c r="L1678" i="12"/>
  <c r="L1717" i="12"/>
  <c r="L1718" i="12"/>
  <c r="L1743" i="12"/>
  <c r="L1742" i="12"/>
  <c r="D1732" i="12"/>
  <c r="D1733" i="12"/>
  <c r="AB1748" i="12"/>
  <c r="AB1747" i="12"/>
  <c r="L1768" i="12"/>
  <c r="L1767" i="12"/>
  <c r="AB1797" i="12"/>
  <c r="AB1798" i="12"/>
  <c r="D1942" i="12"/>
  <c r="D1943" i="12"/>
  <c r="AB1837" i="12"/>
  <c r="AB1838" i="12"/>
  <c r="L2117" i="12"/>
  <c r="L2118" i="12"/>
  <c r="T1852" i="12"/>
  <c r="T1853" i="12"/>
  <c r="L1798" i="12"/>
  <c r="L1797" i="12"/>
  <c r="T2147" i="12"/>
  <c r="T2148" i="12"/>
  <c r="L1852" i="12"/>
  <c r="L1853" i="12"/>
  <c r="D2182" i="12"/>
  <c r="D2183" i="12"/>
  <c r="T2283" i="12"/>
  <c r="T2282" i="12"/>
  <c r="T2207" i="12"/>
  <c r="T2208" i="12"/>
  <c r="AB2153" i="12"/>
  <c r="AB2152" i="12"/>
  <c r="L2238" i="12"/>
  <c r="L2237" i="12"/>
  <c r="AB2262" i="12"/>
  <c r="AB2263" i="12"/>
  <c r="D2193" i="12"/>
  <c r="D2192" i="12"/>
  <c r="L2227" i="12"/>
  <c r="L2228" i="12"/>
  <c r="AB2247" i="12"/>
  <c r="AB2248" i="12"/>
  <c r="L2197" i="12"/>
  <c r="L2198" i="12"/>
  <c r="D2218" i="12"/>
  <c r="D2217" i="12"/>
  <c r="AB2258" i="12"/>
  <c r="AB2257" i="12"/>
  <c r="T2198" i="12"/>
  <c r="T2197" i="12"/>
  <c r="T2238" i="12"/>
  <c r="T2237" i="12"/>
  <c r="D2172" i="12"/>
  <c r="D2173" i="12"/>
  <c r="AB2188" i="12"/>
  <c r="AB2187" i="12"/>
  <c r="D2213" i="12"/>
  <c r="D2212" i="12"/>
  <c r="AB2228" i="12"/>
  <c r="AB2227" i="12"/>
  <c r="D2252" i="12"/>
  <c r="D2253" i="12"/>
  <c r="L2407" i="12"/>
  <c r="L2408" i="12"/>
  <c r="D2332" i="12"/>
  <c r="D2333" i="12"/>
  <c r="D2402" i="12"/>
  <c r="D2403" i="12"/>
  <c r="D2483" i="12"/>
  <c r="D2482" i="12"/>
  <c r="AB2447" i="12"/>
  <c r="AB2448" i="12"/>
  <c r="D2508" i="12"/>
  <c r="D2507" i="12"/>
  <c r="T2408" i="12"/>
  <c r="T2407" i="12"/>
  <c r="T2413" i="12"/>
  <c r="T2412" i="12"/>
  <c r="D2453" i="12"/>
  <c r="D2452" i="12"/>
  <c r="D2493" i="12"/>
  <c r="D2492" i="12"/>
  <c r="T2427" i="12"/>
  <c r="T2428" i="12"/>
  <c r="T2467" i="12"/>
  <c r="T2468" i="12"/>
  <c r="T2507" i="12"/>
  <c r="T2508" i="12"/>
  <c r="L598" i="12"/>
  <c r="L597" i="12"/>
  <c r="D243" i="12"/>
  <c r="D242" i="12"/>
  <c r="T57" i="12"/>
  <c r="T58" i="12"/>
  <c r="L48" i="12"/>
  <c r="L47" i="12"/>
  <c r="D208" i="12"/>
  <c r="D207" i="12"/>
  <c r="AB143" i="12"/>
  <c r="AB142" i="12"/>
  <c r="AB42" i="12"/>
  <c r="AB43" i="12"/>
  <c r="D67" i="12"/>
  <c r="D68" i="12"/>
  <c r="AB82" i="12"/>
  <c r="AB83" i="12"/>
  <c r="D107" i="12"/>
  <c r="D108" i="12"/>
  <c r="AB122" i="12"/>
  <c r="AB123" i="12"/>
  <c r="D147" i="12"/>
  <c r="D148" i="12"/>
  <c r="AB162" i="12"/>
  <c r="AB163" i="12"/>
  <c r="D187" i="12"/>
  <c r="D188" i="12"/>
  <c r="AB202" i="12"/>
  <c r="AB203" i="12"/>
  <c r="D227" i="12"/>
  <c r="D228" i="12"/>
  <c r="AB242" i="12"/>
  <c r="AB243" i="12"/>
  <c r="D267" i="12"/>
  <c r="D268" i="12"/>
  <c r="AB282" i="12"/>
  <c r="AB283" i="12"/>
  <c r="D307" i="12"/>
  <c r="D308" i="12"/>
  <c r="D337" i="12"/>
  <c r="D338" i="12"/>
  <c r="L393" i="12"/>
  <c r="L392" i="12"/>
  <c r="D468" i="12"/>
  <c r="D467" i="12"/>
  <c r="T602" i="12"/>
  <c r="T603" i="12"/>
  <c r="T43" i="12"/>
  <c r="T42" i="12"/>
  <c r="T83" i="12"/>
  <c r="T82" i="12"/>
  <c r="T123" i="12"/>
  <c r="T122" i="12"/>
  <c r="T163" i="12"/>
  <c r="T162" i="12"/>
  <c r="T203" i="12"/>
  <c r="T202" i="12"/>
  <c r="T243" i="12"/>
  <c r="T242" i="12"/>
  <c r="T283" i="12"/>
  <c r="T282" i="12"/>
  <c r="AB612" i="12"/>
  <c r="AB613" i="12"/>
  <c r="AB33" i="12"/>
  <c r="AB32" i="12"/>
  <c r="D57" i="12"/>
  <c r="D58" i="12"/>
  <c r="AB73" i="12"/>
  <c r="AB72" i="12"/>
  <c r="D97" i="12"/>
  <c r="D98" i="12"/>
  <c r="AB113" i="12"/>
  <c r="AB112" i="12"/>
  <c r="D137" i="12"/>
  <c r="D138" i="12"/>
  <c r="AB153" i="12"/>
  <c r="AB152" i="12"/>
  <c r="D177" i="12"/>
  <c r="D178" i="12"/>
  <c r="AB193" i="12"/>
  <c r="AB192" i="12"/>
  <c r="D217" i="12"/>
  <c r="D218" i="12"/>
  <c r="AB233" i="12"/>
  <c r="AB232" i="12"/>
  <c r="D257" i="12"/>
  <c r="D258" i="12"/>
  <c r="AB273" i="12"/>
  <c r="AB272" i="12"/>
  <c r="D297" i="12"/>
  <c r="D298" i="12"/>
  <c r="AB313" i="12"/>
  <c r="AB312" i="12"/>
  <c r="D618" i="12"/>
  <c r="D617" i="12"/>
  <c r="T912" i="12"/>
  <c r="T913" i="12"/>
  <c r="D623" i="12"/>
  <c r="D622" i="12"/>
  <c r="L612" i="12"/>
  <c r="L613" i="12"/>
  <c r="L762" i="12"/>
  <c r="L763" i="12"/>
  <c r="L842" i="12"/>
  <c r="L843" i="12"/>
  <c r="L922" i="12"/>
  <c r="L923" i="12"/>
  <c r="D627" i="12"/>
  <c r="D628" i="12"/>
  <c r="L708" i="12"/>
  <c r="L707" i="12"/>
  <c r="D862" i="12"/>
  <c r="D863" i="12"/>
  <c r="T927" i="12"/>
  <c r="T928" i="12"/>
  <c r="L652" i="12"/>
  <c r="L653" i="12"/>
  <c r="L692" i="12"/>
  <c r="L693" i="12"/>
  <c r="L732" i="12"/>
  <c r="L733" i="12"/>
  <c r="L772" i="12"/>
  <c r="L773" i="12"/>
  <c r="L812" i="12"/>
  <c r="L813" i="12"/>
  <c r="L852" i="12"/>
  <c r="L853" i="12"/>
  <c r="L892" i="12"/>
  <c r="L893" i="12"/>
  <c r="L932" i="12"/>
  <c r="L933" i="12"/>
  <c r="L972" i="12"/>
  <c r="L973" i="12"/>
  <c r="L638" i="12"/>
  <c r="L637" i="12"/>
  <c r="L678" i="12"/>
  <c r="L677" i="12"/>
  <c r="L718" i="12"/>
  <c r="L717" i="12"/>
  <c r="L758" i="12"/>
  <c r="L757" i="12"/>
  <c r="L798" i="12"/>
  <c r="L797" i="12"/>
  <c r="L838" i="12"/>
  <c r="L837" i="12"/>
  <c r="L878" i="12"/>
  <c r="L877" i="12"/>
  <c r="L918" i="12"/>
  <c r="L917" i="12"/>
  <c r="L958" i="12"/>
  <c r="L957" i="12"/>
  <c r="L998" i="12"/>
  <c r="L997" i="12"/>
  <c r="D1172" i="12"/>
  <c r="D1173" i="12"/>
  <c r="AB618" i="12"/>
  <c r="AB617" i="12"/>
  <c r="D643" i="12"/>
  <c r="D642" i="12"/>
  <c r="AB658" i="12"/>
  <c r="AB657" i="12"/>
  <c r="D683" i="12"/>
  <c r="D682" i="12"/>
  <c r="AB698" i="12"/>
  <c r="AB697" i="12"/>
  <c r="D723" i="12"/>
  <c r="D722" i="12"/>
  <c r="AB738" i="12"/>
  <c r="AB737" i="12"/>
  <c r="D763" i="12"/>
  <c r="D762" i="12"/>
  <c r="AB778" i="12"/>
  <c r="AB777" i="12"/>
  <c r="D803" i="12"/>
  <c r="D802" i="12"/>
  <c r="AB818" i="12"/>
  <c r="AB817" i="12"/>
  <c r="D843" i="12"/>
  <c r="D842" i="12"/>
  <c r="AB858" i="12"/>
  <c r="AB857" i="12"/>
  <c r="D883" i="12"/>
  <c r="D882" i="12"/>
  <c r="AB898" i="12"/>
  <c r="AB897" i="12"/>
  <c r="D923" i="12"/>
  <c r="D922" i="12"/>
  <c r="AB938" i="12"/>
  <c r="AB937" i="12"/>
  <c r="D963" i="12"/>
  <c r="D962" i="12"/>
  <c r="AB978" i="12"/>
  <c r="AB977" i="12"/>
  <c r="L1017" i="12"/>
  <c r="L1018" i="12"/>
  <c r="L1042" i="12"/>
  <c r="L1043" i="12"/>
  <c r="L1082" i="12"/>
  <c r="L1083" i="12"/>
  <c r="L1122" i="12"/>
  <c r="L1123" i="12"/>
  <c r="L1162" i="12"/>
  <c r="L1163" i="12"/>
  <c r="D1267" i="12"/>
  <c r="D1268" i="12"/>
  <c r="L1232" i="12"/>
  <c r="L1233" i="12"/>
  <c r="AB1378" i="12"/>
  <c r="AB1377" i="12"/>
  <c r="L1202" i="12"/>
  <c r="L1203" i="12"/>
  <c r="L1242" i="12"/>
  <c r="L1243" i="12"/>
  <c r="L1282" i="12"/>
  <c r="L1283" i="12"/>
  <c r="L1322" i="12"/>
  <c r="L1323" i="12"/>
  <c r="L1362" i="12"/>
  <c r="L1363" i="12"/>
  <c r="D1497" i="12"/>
  <c r="D1498" i="12"/>
  <c r="L1377" i="12"/>
  <c r="L1378" i="12"/>
  <c r="T1547" i="12"/>
  <c r="T1548" i="12"/>
  <c r="T1373" i="12"/>
  <c r="T1372" i="12"/>
  <c r="AB1553" i="12"/>
  <c r="AB1552" i="12"/>
  <c r="T1587" i="12"/>
  <c r="T1588" i="12"/>
  <c r="T1667" i="12"/>
  <c r="T1668" i="12"/>
  <c r="L1388" i="12"/>
  <c r="L1387" i="12"/>
  <c r="L1428" i="12"/>
  <c r="L1427" i="12"/>
  <c r="L1468" i="12"/>
  <c r="L1467" i="12"/>
  <c r="L1508" i="12"/>
  <c r="L1507" i="12"/>
  <c r="L1548" i="12"/>
  <c r="L1547" i="12"/>
  <c r="D1407" i="12"/>
  <c r="D1408" i="12"/>
  <c r="AB1423" i="12"/>
  <c r="AB1422" i="12"/>
  <c r="D1447" i="12"/>
  <c r="D1448" i="12"/>
  <c r="AB1463" i="12"/>
  <c r="AB1462" i="12"/>
  <c r="D1487" i="12"/>
  <c r="D1488" i="12"/>
  <c r="AB1503" i="12"/>
  <c r="AB1502" i="12"/>
  <c r="D1527" i="12"/>
  <c r="D1528" i="12"/>
  <c r="AB1543" i="12"/>
  <c r="AB1542" i="12"/>
  <c r="AB1713" i="12"/>
  <c r="AB1712" i="12"/>
  <c r="L1592" i="12"/>
  <c r="L1593" i="12"/>
  <c r="L1632" i="12"/>
  <c r="L1633" i="12"/>
  <c r="L1672" i="12"/>
  <c r="L1673" i="12"/>
  <c r="L1712" i="12"/>
  <c r="L1713" i="12"/>
  <c r="D1982" i="12"/>
  <c r="D1983" i="12"/>
  <c r="AB1997" i="12"/>
  <c r="AB1998" i="12"/>
  <c r="L1613" i="12"/>
  <c r="L1612" i="12"/>
  <c r="L1653" i="12"/>
  <c r="L1652" i="12"/>
  <c r="L1693" i="12"/>
  <c r="L1692" i="12"/>
  <c r="T1733" i="12"/>
  <c r="T1732" i="12"/>
  <c r="D1838" i="12"/>
  <c r="D1837" i="12"/>
  <c r="AB2053" i="12"/>
  <c r="AB2052" i="12"/>
  <c r="AB1957" i="12"/>
  <c r="AB1958" i="12"/>
  <c r="AB2137" i="12"/>
  <c r="AB2138" i="12"/>
  <c r="D1822" i="12"/>
  <c r="D1823" i="12"/>
  <c r="T132" i="12"/>
  <c r="T133" i="12"/>
  <c r="L133" i="12"/>
  <c r="L132" i="12"/>
  <c r="L53" i="12"/>
  <c r="L52" i="12"/>
  <c r="L1838" i="12"/>
  <c r="L1837" i="12"/>
  <c r="L1773" i="12"/>
  <c r="L1772" i="12"/>
  <c r="L2087" i="12"/>
  <c r="L2088" i="12"/>
  <c r="L1857" i="12"/>
  <c r="L1858" i="12"/>
  <c r="L1817" i="12"/>
  <c r="L1818" i="12"/>
  <c r="L1922" i="12"/>
  <c r="L1923" i="12"/>
  <c r="D1883" i="12"/>
  <c r="D1882" i="12"/>
  <c r="AB1873" i="12"/>
  <c r="AB1872" i="12"/>
  <c r="AB1833" i="12"/>
  <c r="AB1832" i="12"/>
  <c r="AB1793" i="12"/>
  <c r="AB1792" i="12"/>
  <c r="L1892" i="12"/>
  <c r="L1893" i="12"/>
  <c r="L1913" i="12"/>
  <c r="L1912" i="12"/>
  <c r="L1953" i="12"/>
  <c r="L1952" i="12"/>
  <c r="L1993" i="12"/>
  <c r="L1992" i="12"/>
  <c r="L1897" i="12"/>
  <c r="L1898" i="12"/>
  <c r="L1937" i="12"/>
  <c r="L1938" i="12"/>
  <c r="L1977" i="12"/>
  <c r="L1978" i="12"/>
  <c r="D2027" i="12"/>
  <c r="D2028" i="12"/>
  <c r="T2128" i="12"/>
  <c r="T2127" i="12"/>
  <c r="D2258" i="12"/>
  <c r="D2257" i="12"/>
  <c r="T2033" i="12"/>
  <c r="T2032" i="12"/>
  <c r="T2073" i="12"/>
  <c r="T2072" i="12"/>
  <c r="T2113" i="12"/>
  <c r="T2112" i="12"/>
  <c r="D2007" i="12"/>
  <c r="D2008" i="12"/>
  <c r="AB2023" i="12"/>
  <c r="AB2022" i="12"/>
  <c r="D2047" i="12"/>
  <c r="D2048" i="12"/>
  <c r="AB2063" i="12"/>
  <c r="AB2062" i="12"/>
  <c r="D2087" i="12"/>
  <c r="D2088" i="12"/>
  <c r="AB2103" i="12"/>
  <c r="AB2102" i="12"/>
  <c r="D2127" i="12"/>
  <c r="D2128" i="12"/>
  <c r="AB2143" i="12"/>
  <c r="AB2142" i="12"/>
  <c r="D2197" i="12"/>
  <c r="D2198" i="12"/>
  <c r="L2413" i="12"/>
  <c r="L2412" i="12"/>
  <c r="L2163" i="12"/>
  <c r="L2162" i="12"/>
  <c r="D2237" i="12"/>
  <c r="D2238" i="12"/>
  <c r="AB2327" i="12"/>
  <c r="AB2328" i="12"/>
  <c r="L2248" i="12"/>
  <c r="L2247" i="12"/>
  <c r="L2292" i="12"/>
  <c r="L2293" i="12"/>
  <c r="AB2312" i="12"/>
  <c r="AB2313" i="12"/>
  <c r="L2288" i="12"/>
  <c r="L2287" i="12"/>
  <c r="D2368" i="12"/>
  <c r="D2367" i="12"/>
  <c r="AB2268" i="12"/>
  <c r="AB2267" i="12"/>
  <c r="D2293" i="12"/>
  <c r="D2292" i="12"/>
  <c r="AB2308" i="12"/>
  <c r="AB2307" i="12"/>
  <c r="L2352" i="12"/>
  <c r="L2353" i="12"/>
  <c r="AB2293" i="12"/>
  <c r="AB2292" i="12"/>
  <c r="D2317" i="12"/>
  <c r="D2318" i="12"/>
  <c r="L2348" i="12"/>
  <c r="L2347" i="12"/>
  <c r="D2337" i="12"/>
  <c r="D2338" i="12"/>
  <c r="AB2353" i="12"/>
  <c r="AB2352" i="12"/>
  <c r="D2408" i="12"/>
  <c r="D2407" i="12"/>
  <c r="T2453" i="12"/>
  <c r="T2452" i="12"/>
  <c r="D2472" i="12"/>
  <c r="D2473" i="12"/>
  <c r="D2392" i="12"/>
  <c r="D2393" i="12"/>
  <c r="AB2407" i="12"/>
  <c r="AB2408" i="12"/>
  <c r="AB2423" i="12"/>
  <c r="AB2422" i="12"/>
  <c r="L2437" i="12"/>
  <c r="L2438" i="12"/>
  <c r="AB2463" i="12"/>
  <c r="AB2462" i="12"/>
  <c r="L2477" i="12"/>
  <c r="L2478" i="12"/>
  <c r="AB2503" i="12"/>
  <c r="AB2502" i="12"/>
  <c r="L2517" i="12"/>
  <c r="L2518" i="12"/>
  <c r="T2437" i="12"/>
  <c r="T2438" i="12"/>
  <c r="T2477" i="12"/>
  <c r="T2478" i="12"/>
  <c r="T2518" i="12"/>
  <c r="T2517" i="12"/>
  <c r="T2433" i="12"/>
  <c r="T2432" i="12"/>
  <c r="T2473" i="12"/>
  <c r="T2472" i="12"/>
  <c r="T2513" i="12"/>
  <c r="T2512" i="12"/>
  <c r="T97" i="12"/>
  <c r="T98" i="12"/>
  <c r="L88" i="12"/>
  <c r="L87" i="12"/>
  <c r="AB263" i="12"/>
  <c r="AB262" i="12"/>
  <c r="T517" i="12"/>
  <c r="T518" i="12"/>
  <c r="AB757" i="12"/>
  <c r="AB758" i="12"/>
  <c r="T22" i="12"/>
  <c r="T23" i="12"/>
  <c r="T62" i="12"/>
  <c r="T63" i="12"/>
  <c r="T102" i="12"/>
  <c r="T103" i="12"/>
  <c r="T142" i="12"/>
  <c r="T143" i="12"/>
  <c r="T182" i="12"/>
  <c r="T183" i="12"/>
  <c r="T222" i="12"/>
  <c r="T223" i="12"/>
  <c r="T262" i="12"/>
  <c r="T263" i="12"/>
  <c r="T302" i="12"/>
  <c r="T303" i="12"/>
  <c r="AB352" i="12"/>
  <c r="AB353" i="12"/>
  <c r="AB328" i="12"/>
  <c r="AB327" i="12"/>
  <c r="D348" i="12"/>
  <c r="D347" i="12"/>
  <c r="L343" i="12"/>
  <c r="L342" i="12"/>
  <c r="D428" i="12"/>
  <c r="D427" i="12"/>
  <c r="T562" i="12"/>
  <c r="T563" i="12"/>
  <c r="AB523" i="12"/>
  <c r="AB522" i="12"/>
  <c r="T792" i="12"/>
  <c r="T793" i="12"/>
  <c r="T327" i="12"/>
  <c r="T328" i="12"/>
  <c r="T367" i="12"/>
  <c r="T368" i="12"/>
  <c r="T407" i="12"/>
  <c r="T408" i="12"/>
  <c r="T447" i="12"/>
  <c r="T448" i="12"/>
  <c r="T487" i="12"/>
  <c r="T488" i="12"/>
  <c r="T527" i="12"/>
  <c r="T528" i="12"/>
  <c r="T567" i="12"/>
  <c r="T568" i="12"/>
  <c r="T607" i="12"/>
  <c r="T608" i="12"/>
  <c r="AB643" i="12"/>
  <c r="AB642" i="12"/>
  <c r="AB653" i="12"/>
  <c r="AB652" i="12"/>
  <c r="L332" i="12"/>
  <c r="L333" i="12"/>
  <c r="L372" i="12"/>
  <c r="L373" i="12"/>
  <c r="L412" i="12"/>
  <c r="L413" i="12"/>
  <c r="L452" i="12"/>
  <c r="L453" i="12"/>
  <c r="L492" i="12"/>
  <c r="L493" i="12"/>
  <c r="L532" i="12"/>
  <c r="L533" i="12"/>
  <c r="L572" i="12"/>
  <c r="L573" i="12"/>
  <c r="L383" i="12"/>
  <c r="L382" i="12"/>
  <c r="L423" i="12"/>
  <c r="L422" i="12"/>
  <c r="L463" i="12"/>
  <c r="L462" i="12"/>
  <c r="L503" i="12"/>
  <c r="L502" i="12"/>
  <c r="L543" i="12"/>
  <c r="L542" i="12"/>
  <c r="L583" i="12"/>
  <c r="L582" i="12"/>
  <c r="AB773" i="12"/>
  <c r="AB772" i="12"/>
  <c r="AB933" i="12"/>
  <c r="AB932" i="12"/>
  <c r="L327" i="12"/>
  <c r="L328" i="12"/>
  <c r="L367" i="12"/>
  <c r="L368" i="12"/>
  <c r="L407" i="12"/>
  <c r="L408" i="12"/>
  <c r="L447" i="12"/>
  <c r="L448" i="12"/>
  <c r="L487" i="12"/>
  <c r="L488" i="12"/>
  <c r="L527" i="12"/>
  <c r="L528" i="12"/>
  <c r="L567" i="12"/>
  <c r="L568" i="12"/>
  <c r="L608" i="12"/>
  <c r="L607" i="12"/>
  <c r="T632" i="12"/>
  <c r="T633" i="12"/>
  <c r="T807" i="12"/>
  <c r="T808" i="12"/>
  <c r="L623" i="12"/>
  <c r="L622" i="12"/>
  <c r="L663" i="12"/>
  <c r="L662" i="12"/>
  <c r="L703" i="12"/>
  <c r="L702" i="12"/>
  <c r="L743" i="12"/>
  <c r="L742" i="12"/>
  <c r="L783" i="12"/>
  <c r="L782" i="12"/>
  <c r="L823" i="12"/>
  <c r="L822" i="12"/>
  <c r="L863" i="12"/>
  <c r="L862" i="12"/>
  <c r="L903" i="12"/>
  <c r="L902" i="12"/>
  <c r="L943" i="12"/>
  <c r="L942" i="12"/>
  <c r="L983" i="12"/>
  <c r="L982" i="12"/>
  <c r="L753" i="12"/>
  <c r="L752" i="12"/>
  <c r="L793" i="12"/>
  <c r="L792" i="12"/>
  <c r="L833" i="12"/>
  <c r="L832" i="12"/>
  <c r="L873" i="12"/>
  <c r="L872" i="12"/>
  <c r="L913" i="12"/>
  <c r="L912" i="12"/>
  <c r="L953" i="12"/>
  <c r="L952" i="12"/>
  <c r="L993" i="12"/>
  <c r="L992" i="12"/>
  <c r="T1022" i="12"/>
  <c r="T1023" i="12"/>
  <c r="L1137" i="12"/>
  <c r="L1138" i="12"/>
  <c r="L617" i="12"/>
  <c r="L618" i="12"/>
  <c r="L657" i="12"/>
  <c r="L658" i="12"/>
  <c r="L697" i="12"/>
  <c r="L698" i="12"/>
  <c r="L737" i="12"/>
  <c r="L738" i="12"/>
  <c r="L777" i="12"/>
  <c r="L778" i="12"/>
  <c r="L817" i="12"/>
  <c r="L818" i="12"/>
  <c r="L857" i="12"/>
  <c r="L858" i="12"/>
  <c r="L897" i="12"/>
  <c r="L898" i="12"/>
  <c r="L937" i="12"/>
  <c r="L938" i="12"/>
  <c r="L977" i="12"/>
  <c r="L978" i="12"/>
  <c r="AB1283" i="12"/>
  <c r="AB1282" i="12"/>
  <c r="D1373" i="12"/>
  <c r="D1372" i="12"/>
  <c r="D1008" i="12"/>
  <c r="D1007" i="12"/>
  <c r="AB1023" i="12"/>
  <c r="AB1022" i="12"/>
  <c r="D1048" i="12"/>
  <c r="D1047" i="12"/>
  <c r="AB1063" i="12"/>
  <c r="AB1062" i="12"/>
  <c r="D1088" i="12"/>
  <c r="D1087" i="12"/>
  <c r="AB1103" i="12"/>
  <c r="AB1102" i="12"/>
  <c r="D1128" i="12"/>
  <c r="D1127" i="12"/>
  <c r="AB1143" i="12"/>
  <c r="AB1142" i="12"/>
  <c r="D1168" i="12"/>
  <c r="D1167" i="12"/>
  <c r="AB1183" i="12"/>
  <c r="AB1182" i="12"/>
  <c r="T1043" i="12"/>
  <c r="T1042" i="12"/>
  <c r="T1083" i="12"/>
  <c r="T1082" i="12"/>
  <c r="T1123" i="12"/>
  <c r="T1122" i="12"/>
  <c r="T1163" i="12"/>
  <c r="T1162" i="12"/>
  <c r="D1018" i="12"/>
  <c r="D1017" i="12"/>
  <c r="AB1033" i="12"/>
  <c r="AB1032" i="12"/>
  <c r="D1058" i="12"/>
  <c r="D1057" i="12"/>
  <c r="AB1073" i="12"/>
  <c r="AB1072" i="12"/>
  <c r="D1098" i="12"/>
  <c r="D1097" i="12"/>
  <c r="AB1113" i="12"/>
  <c r="AB1112" i="12"/>
  <c r="D1138" i="12"/>
  <c r="D1137" i="12"/>
  <c r="AB1153" i="12"/>
  <c r="AB1152" i="12"/>
  <c r="D1178" i="12"/>
  <c r="D1177" i="12"/>
  <c r="D1027" i="12"/>
  <c r="D1028" i="12"/>
  <c r="AB1043" i="12"/>
  <c r="AB1042" i="12"/>
  <c r="D1067" i="12"/>
  <c r="D1068" i="12"/>
  <c r="AB1083" i="12"/>
  <c r="AB1082" i="12"/>
  <c r="D1107" i="12"/>
  <c r="D1108" i="12"/>
  <c r="AB1123" i="12"/>
  <c r="AB1122" i="12"/>
  <c r="D1147" i="12"/>
  <c r="D1148" i="12"/>
  <c r="AB1163" i="12"/>
  <c r="AB1162" i="12"/>
  <c r="D1187" i="12"/>
  <c r="D1188" i="12"/>
  <c r="T1237" i="12"/>
  <c r="T1238" i="12"/>
  <c r="L1352" i="12"/>
  <c r="L1353" i="12"/>
  <c r="T1222" i="12"/>
  <c r="T1223" i="12"/>
  <c r="T1262" i="12"/>
  <c r="T1263" i="12"/>
  <c r="T1302" i="12"/>
  <c r="T1303" i="12"/>
  <c r="T1342" i="12"/>
  <c r="T1343" i="12"/>
  <c r="L1382" i="12"/>
  <c r="L1383" i="12"/>
  <c r="D1208" i="12"/>
  <c r="D1207" i="12"/>
  <c r="AB1223" i="12"/>
  <c r="AB1222" i="12"/>
  <c r="D1248" i="12"/>
  <c r="D1247" i="12"/>
  <c r="AB1263" i="12"/>
  <c r="AB1262" i="12"/>
  <c r="D1288" i="12"/>
  <c r="D1287" i="12"/>
  <c r="AB1303" i="12"/>
  <c r="AB1302" i="12"/>
  <c r="D1328" i="12"/>
  <c r="D1327" i="12"/>
  <c r="AB1343" i="12"/>
  <c r="AB1342" i="12"/>
  <c r="D1368" i="12"/>
  <c r="D1367" i="12"/>
  <c r="L1462" i="12"/>
  <c r="L1463" i="12"/>
  <c r="L1198" i="12"/>
  <c r="L1197" i="12"/>
  <c r="L1238" i="12"/>
  <c r="L1237" i="12"/>
  <c r="L1278" i="12"/>
  <c r="L1277" i="12"/>
  <c r="L1318" i="12"/>
  <c r="L1317" i="12"/>
  <c r="L1358" i="12"/>
  <c r="L1357" i="12"/>
  <c r="T1228" i="12"/>
  <c r="T1227" i="12"/>
  <c r="T1268" i="12"/>
  <c r="T1267" i="12"/>
  <c r="T1308" i="12"/>
  <c r="T1307" i="12"/>
  <c r="T1348" i="12"/>
  <c r="T1347" i="12"/>
  <c r="T1412" i="12"/>
  <c r="T1413" i="12"/>
  <c r="T1452" i="12"/>
  <c r="T1453" i="12"/>
  <c r="T1492" i="12"/>
  <c r="T1493" i="12"/>
  <c r="T1532" i="12"/>
  <c r="T1533" i="12"/>
  <c r="D1697" i="12"/>
  <c r="D1698" i="12"/>
  <c r="AB1388" i="12"/>
  <c r="AB1387" i="12"/>
  <c r="D1413" i="12"/>
  <c r="D1412" i="12"/>
  <c r="AB1428" i="12"/>
  <c r="AB1427" i="12"/>
  <c r="D1453" i="12"/>
  <c r="D1452" i="12"/>
  <c r="AB1468" i="12"/>
  <c r="AB1467" i="12"/>
  <c r="D1493" i="12"/>
  <c r="D1492" i="12"/>
  <c r="AB1508" i="12"/>
  <c r="AB1507" i="12"/>
  <c r="D1533" i="12"/>
  <c r="D1532" i="12"/>
  <c r="AB1548" i="12"/>
  <c r="AB1547" i="12"/>
  <c r="T1408" i="12"/>
  <c r="T1407" i="12"/>
  <c r="T1448" i="12"/>
  <c r="T1447" i="12"/>
  <c r="T1488" i="12"/>
  <c r="T1487" i="12"/>
  <c r="T1528" i="12"/>
  <c r="T1527" i="12"/>
  <c r="L1563" i="12"/>
  <c r="L1562" i="12"/>
  <c r="L1603" i="12"/>
  <c r="L1602" i="12"/>
  <c r="L1643" i="12"/>
  <c r="L1642" i="12"/>
  <c r="L1683" i="12"/>
  <c r="L1682" i="12"/>
  <c r="L1723" i="12"/>
  <c r="L1722" i="12"/>
  <c r="L2077" i="12"/>
  <c r="L2078" i="12"/>
  <c r="T1563" i="12"/>
  <c r="T1562" i="12"/>
  <c r="T1603" i="12"/>
  <c r="T1602" i="12"/>
  <c r="T1643" i="12"/>
  <c r="T1642" i="12"/>
  <c r="T1683" i="12"/>
  <c r="T1682" i="12"/>
  <c r="T1723" i="12"/>
  <c r="T1722" i="12"/>
  <c r="AB1788" i="12"/>
  <c r="AB1787" i="12"/>
  <c r="AB1772" i="12"/>
  <c r="AB1773" i="12"/>
  <c r="L1803" i="12"/>
  <c r="L1802" i="12"/>
  <c r="T1847" i="12"/>
  <c r="T1848" i="12"/>
  <c r="T1897" i="12"/>
  <c r="T1898" i="12"/>
  <c r="AB2093" i="12"/>
  <c r="AB2092" i="12"/>
  <c r="T1772" i="12"/>
  <c r="T1773" i="12"/>
  <c r="D1798" i="12"/>
  <c r="D1797" i="12"/>
  <c r="T1872" i="12"/>
  <c r="T1873" i="12"/>
  <c r="T252" i="12"/>
  <c r="T253" i="12"/>
  <c r="L213" i="12"/>
  <c r="L212" i="12"/>
  <c r="L398" i="12"/>
  <c r="L397" i="12"/>
  <c r="T2008" i="12"/>
  <c r="T2007" i="12"/>
  <c r="D1858" i="12"/>
  <c r="D1857" i="12"/>
  <c r="D1818" i="12"/>
  <c r="D1817" i="12"/>
  <c r="AB1973" i="12"/>
  <c r="AB1972" i="12"/>
  <c r="D2042" i="12"/>
  <c r="D2043" i="12"/>
  <c r="AB2173" i="12"/>
  <c r="AB2172" i="12"/>
  <c r="AB2008" i="12"/>
  <c r="AB2007" i="12"/>
  <c r="D2033" i="12"/>
  <c r="D2032" i="12"/>
  <c r="D1997" i="12"/>
  <c r="D1998" i="12"/>
  <c r="L2062" i="12"/>
  <c r="L2063" i="12"/>
  <c r="L1918" i="12"/>
  <c r="L1917" i="12"/>
  <c r="L1958" i="12"/>
  <c r="L1957" i="12"/>
  <c r="L1998" i="12"/>
  <c r="L1997" i="12"/>
  <c r="L1902" i="12"/>
  <c r="L1903" i="12"/>
  <c r="L1943" i="12"/>
  <c r="L1942" i="12"/>
  <c r="L1983" i="12"/>
  <c r="L1982" i="12"/>
  <c r="L2033" i="12"/>
  <c r="L2032" i="12"/>
  <c r="AB2112" i="12"/>
  <c r="AB2113" i="12"/>
  <c r="L1928" i="12"/>
  <c r="L1927" i="12"/>
  <c r="L1968" i="12"/>
  <c r="L1967" i="12"/>
  <c r="D2137" i="12"/>
  <c r="D2138" i="12"/>
  <c r="AB2072" i="12"/>
  <c r="AB2073" i="12"/>
  <c r="AB2057" i="12"/>
  <c r="AB2058" i="12"/>
  <c r="D2078" i="12"/>
  <c r="D2077" i="12"/>
  <c r="AB2042" i="12"/>
  <c r="AB2043" i="12"/>
  <c r="D2068" i="12"/>
  <c r="D2067" i="12"/>
  <c r="AB2082" i="12"/>
  <c r="AB2083" i="12"/>
  <c r="D2108" i="12"/>
  <c r="D2107" i="12"/>
  <c r="AB2122" i="12"/>
  <c r="AB2123" i="12"/>
  <c r="D2148" i="12"/>
  <c r="D2147" i="12"/>
  <c r="D2013" i="12"/>
  <c r="D2012" i="12"/>
  <c r="AB2028" i="12"/>
  <c r="AB2027" i="12"/>
  <c r="D2053" i="12"/>
  <c r="D2052" i="12"/>
  <c r="AB2068" i="12"/>
  <c r="AB2067" i="12"/>
  <c r="D2093" i="12"/>
  <c r="D2092" i="12"/>
  <c r="AB2108" i="12"/>
  <c r="AB2107" i="12"/>
  <c r="D2133" i="12"/>
  <c r="D2132" i="12"/>
  <c r="AB2148" i="12"/>
  <c r="AB2147" i="12"/>
  <c r="T2268" i="12"/>
  <c r="T2267" i="12"/>
  <c r="AB2213" i="12"/>
  <c r="AB2212" i="12"/>
  <c r="T2292" i="12"/>
  <c r="T2293" i="12"/>
  <c r="T2202" i="12"/>
  <c r="T2203" i="12"/>
  <c r="D2322" i="12"/>
  <c r="D2323" i="12"/>
  <c r="T2308" i="12"/>
  <c r="T2307" i="12"/>
  <c r="L2387" i="12"/>
  <c r="L2388" i="12"/>
  <c r="AB2378" i="12"/>
  <c r="AB2377" i="12"/>
  <c r="D2372" i="12"/>
  <c r="D2373" i="12"/>
  <c r="T2257" i="12"/>
  <c r="T2258" i="12"/>
  <c r="L2337" i="12"/>
  <c r="L2338" i="12"/>
  <c r="L2307" i="12"/>
  <c r="L2308" i="12"/>
  <c r="L2273" i="12"/>
  <c r="L2272" i="12"/>
  <c r="L2313" i="12"/>
  <c r="L2312" i="12"/>
  <c r="T2442" i="12"/>
  <c r="T2443" i="12"/>
  <c r="AB2332" i="12"/>
  <c r="AB2333" i="12"/>
  <c r="D2357" i="12"/>
  <c r="D2358" i="12"/>
  <c r="AB2372" i="12"/>
  <c r="AB2373" i="12"/>
  <c r="D2428" i="12"/>
  <c r="D2427" i="12"/>
  <c r="D2353" i="12"/>
  <c r="D2352" i="12"/>
  <c r="AB2367" i="12"/>
  <c r="AB2368" i="12"/>
  <c r="AB2338" i="12"/>
  <c r="AB2337" i="12"/>
  <c r="D2362" i="12"/>
  <c r="D2363" i="12"/>
  <c r="D2413" i="12"/>
  <c r="D2412" i="12"/>
  <c r="L2458" i="12"/>
  <c r="L2457" i="12"/>
  <c r="AB2483" i="12"/>
  <c r="AB2482" i="12"/>
  <c r="AB2398" i="12"/>
  <c r="AB2397" i="12"/>
  <c r="T2457" i="12"/>
  <c r="T2458" i="12"/>
  <c r="D2488" i="12"/>
  <c r="D2487" i="12"/>
  <c r="L2443" i="12"/>
  <c r="L2442" i="12"/>
  <c r="L2483" i="12"/>
  <c r="L2482" i="12"/>
  <c r="T137" i="12"/>
  <c r="T138" i="12"/>
  <c r="D18" i="12"/>
  <c r="D17" i="12"/>
  <c r="D128" i="12"/>
  <c r="D127" i="12"/>
  <c r="AB63" i="12"/>
  <c r="AB62" i="12"/>
  <c r="T397" i="12"/>
  <c r="T398" i="12"/>
  <c r="AB797" i="12"/>
  <c r="AB798" i="12"/>
  <c r="L43" i="12"/>
  <c r="L42" i="12"/>
  <c r="L83" i="12"/>
  <c r="L82" i="12"/>
  <c r="L123" i="12"/>
  <c r="L122" i="12"/>
  <c r="L163" i="12"/>
  <c r="L162" i="12"/>
  <c r="L203" i="12"/>
  <c r="L202" i="12"/>
  <c r="L243" i="12"/>
  <c r="L242" i="12"/>
  <c r="L283" i="12"/>
  <c r="L282" i="12"/>
  <c r="D393" i="12"/>
  <c r="D392" i="12"/>
  <c r="D473" i="12"/>
  <c r="D472" i="12"/>
  <c r="D553" i="12"/>
  <c r="D552" i="12"/>
  <c r="D23" i="12"/>
  <c r="D22" i="12"/>
  <c r="AB38" i="12"/>
  <c r="AB37" i="12"/>
  <c r="D63" i="12"/>
  <c r="D62" i="12"/>
  <c r="AB78" i="12"/>
  <c r="AB77" i="12"/>
  <c r="D103" i="12"/>
  <c r="D102" i="12"/>
  <c r="AB118" i="12"/>
  <c r="AB117" i="12"/>
  <c r="D143" i="12"/>
  <c r="D142" i="12"/>
  <c r="AB158" i="12"/>
  <c r="AB157" i="12"/>
  <c r="D183" i="12"/>
  <c r="D182" i="12"/>
  <c r="AB198" i="12"/>
  <c r="AB197" i="12"/>
  <c r="D223" i="12"/>
  <c r="D222" i="12"/>
  <c r="AB238" i="12"/>
  <c r="AB237" i="12"/>
  <c r="D263" i="12"/>
  <c r="D262" i="12"/>
  <c r="AB278" i="12"/>
  <c r="AB277" i="12"/>
  <c r="D303" i="12"/>
  <c r="D302" i="12"/>
  <c r="AB318" i="12"/>
  <c r="AB317" i="12"/>
  <c r="L293" i="12"/>
  <c r="L292" i="12"/>
  <c r="D388" i="12"/>
  <c r="D387" i="12"/>
  <c r="T522" i="12"/>
  <c r="T523" i="12"/>
  <c r="AB17" i="12"/>
  <c r="AB18" i="12"/>
  <c r="L338" i="12"/>
  <c r="L337" i="12"/>
  <c r="L377" i="12"/>
  <c r="L378" i="12"/>
  <c r="L417" i="12"/>
  <c r="L418" i="12"/>
  <c r="L457" i="12"/>
  <c r="L458" i="12"/>
  <c r="L497" i="12"/>
  <c r="L498" i="12"/>
  <c r="L537" i="12"/>
  <c r="L538" i="12"/>
  <c r="L577" i="12"/>
  <c r="L578" i="12"/>
  <c r="AB677" i="12"/>
  <c r="AB678" i="12"/>
  <c r="T992" i="12"/>
  <c r="T993" i="12"/>
  <c r="L348" i="12"/>
  <c r="L347" i="12"/>
  <c r="L388" i="12"/>
  <c r="L387" i="12"/>
  <c r="L428" i="12"/>
  <c r="L427" i="12"/>
  <c r="L468" i="12"/>
  <c r="L467" i="12"/>
  <c r="L508" i="12"/>
  <c r="L507" i="12"/>
  <c r="L548" i="12"/>
  <c r="L547" i="12"/>
  <c r="L588" i="12"/>
  <c r="L587" i="12"/>
  <c r="D667" i="12"/>
  <c r="D668" i="12"/>
  <c r="D742" i="12"/>
  <c r="D743" i="12"/>
  <c r="D902" i="12"/>
  <c r="D903" i="12"/>
  <c r="T637" i="12"/>
  <c r="T638" i="12"/>
  <c r="T672" i="12"/>
  <c r="T673" i="12"/>
  <c r="T657" i="12"/>
  <c r="T658" i="12"/>
  <c r="T697" i="12"/>
  <c r="T698" i="12"/>
  <c r="T737" i="12"/>
  <c r="T738" i="12"/>
  <c r="T777" i="12"/>
  <c r="T778" i="12"/>
  <c r="T817" i="12"/>
  <c r="T818" i="12"/>
  <c r="T857" i="12"/>
  <c r="T858" i="12"/>
  <c r="T897" i="12"/>
  <c r="T898" i="12"/>
  <c r="T937" i="12"/>
  <c r="T938" i="12"/>
  <c r="T977" i="12"/>
  <c r="T978" i="12"/>
  <c r="T643" i="12"/>
  <c r="T642" i="12"/>
  <c r="T683" i="12"/>
  <c r="T682" i="12"/>
  <c r="T723" i="12"/>
  <c r="T722" i="12"/>
  <c r="T763" i="12"/>
  <c r="T762" i="12"/>
  <c r="T803" i="12"/>
  <c r="T802" i="12"/>
  <c r="T843" i="12"/>
  <c r="T842" i="12"/>
  <c r="T883" i="12"/>
  <c r="T882" i="12"/>
  <c r="T923" i="12"/>
  <c r="T922" i="12"/>
  <c r="T963" i="12"/>
  <c r="T962" i="12"/>
  <c r="D1052" i="12"/>
  <c r="D1053" i="12"/>
  <c r="T1142" i="12"/>
  <c r="T1143" i="12"/>
  <c r="T1047" i="12"/>
  <c r="T1048" i="12"/>
  <c r="T1087" i="12"/>
  <c r="T1088" i="12"/>
  <c r="T1127" i="12"/>
  <c r="T1128" i="12"/>
  <c r="T1167" i="12"/>
  <c r="T1168" i="12"/>
  <c r="L1027" i="12"/>
  <c r="L1028" i="12"/>
  <c r="L1067" i="12"/>
  <c r="L1068" i="12"/>
  <c r="L1107" i="12"/>
  <c r="L1108" i="12"/>
  <c r="L1147" i="12"/>
  <c r="L1148" i="12"/>
  <c r="L1187" i="12"/>
  <c r="L1188" i="12"/>
  <c r="T1193" i="12"/>
  <c r="T1192" i="12"/>
  <c r="D1307" i="12"/>
  <c r="D1308" i="12"/>
  <c r="AB1018" i="12"/>
  <c r="AB1017" i="12"/>
  <c r="D1042" i="12"/>
  <c r="D1043" i="12"/>
  <c r="AB1058" i="12"/>
  <c r="AB1057" i="12"/>
  <c r="D1082" i="12"/>
  <c r="D1083" i="12"/>
  <c r="AB1098" i="12"/>
  <c r="AB1097" i="12"/>
  <c r="D1122" i="12"/>
  <c r="D1123" i="12"/>
  <c r="AB1138" i="12"/>
  <c r="AB1137" i="12"/>
  <c r="D1162" i="12"/>
  <c r="D1163" i="12"/>
  <c r="AB1178" i="12"/>
  <c r="AB1177" i="12"/>
  <c r="T1197" i="12"/>
  <c r="T1198" i="12"/>
  <c r="T1357" i="12"/>
  <c r="T1358" i="12"/>
  <c r="T1207" i="12"/>
  <c r="T1208" i="12"/>
  <c r="T1247" i="12"/>
  <c r="T1248" i="12"/>
  <c r="T1287" i="12"/>
  <c r="T1288" i="12"/>
  <c r="T1327" i="12"/>
  <c r="T1328" i="12"/>
  <c r="T1367" i="12"/>
  <c r="T1368" i="12"/>
  <c r="D1537" i="12"/>
  <c r="D1538" i="12"/>
  <c r="L1228" i="12"/>
  <c r="L1227" i="12"/>
  <c r="L1268" i="12"/>
  <c r="L1267" i="12"/>
  <c r="L1308" i="12"/>
  <c r="L1307" i="12"/>
  <c r="L1348" i="12"/>
  <c r="L1347" i="12"/>
  <c r="T1467" i="12"/>
  <c r="T1468" i="12"/>
  <c r="T1378" i="12"/>
  <c r="T1377" i="12"/>
  <c r="AB1473" i="12"/>
  <c r="AB1472" i="12"/>
  <c r="D1202" i="12"/>
  <c r="D1203" i="12"/>
  <c r="AB1218" i="12"/>
  <c r="AB1217" i="12"/>
  <c r="D1242" i="12"/>
  <c r="D1243" i="12"/>
  <c r="AB1258" i="12"/>
  <c r="AB1257" i="12"/>
  <c r="D1282" i="12"/>
  <c r="D1283" i="12"/>
  <c r="AB1298" i="12"/>
  <c r="AB1297" i="12"/>
  <c r="D1322" i="12"/>
  <c r="D1323" i="12"/>
  <c r="AB1338" i="12"/>
  <c r="AB1337" i="12"/>
  <c r="D1362" i="12"/>
  <c r="D1363" i="12"/>
  <c r="L1392" i="12"/>
  <c r="L1393" i="12"/>
  <c r="L1432" i="12"/>
  <c r="L1433" i="12"/>
  <c r="L1472" i="12"/>
  <c r="L1473" i="12"/>
  <c r="L1512" i="12"/>
  <c r="L1513" i="12"/>
  <c r="L1552" i="12"/>
  <c r="L1553" i="12"/>
  <c r="L1582" i="12"/>
  <c r="L1583" i="12"/>
  <c r="L1702" i="12"/>
  <c r="L1703" i="12"/>
  <c r="T1393" i="12"/>
  <c r="T1392" i="12"/>
  <c r="T1433" i="12"/>
  <c r="T1432" i="12"/>
  <c r="T1473" i="12"/>
  <c r="T1472" i="12"/>
  <c r="T1513" i="12"/>
  <c r="T1512" i="12"/>
  <c r="T1552" i="12"/>
  <c r="T1553" i="12"/>
  <c r="AB1633" i="12"/>
  <c r="AB1632" i="12"/>
  <c r="D1392" i="12"/>
  <c r="D1393" i="12"/>
  <c r="AB1408" i="12"/>
  <c r="AB1407" i="12"/>
  <c r="D1432" i="12"/>
  <c r="D1433" i="12"/>
  <c r="AB1448" i="12"/>
  <c r="AB1447" i="12"/>
  <c r="D1472" i="12"/>
  <c r="D1473" i="12"/>
  <c r="AB1488" i="12"/>
  <c r="AB1487" i="12"/>
  <c r="D1512" i="12"/>
  <c r="D1513" i="12"/>
  <c r="AB1528" i="12"/>
  <c r="AB1527" i="12"/>
  <c r="D1553" i="12"/>
  <c r="D1552" i="12"/>
  <c r="L1573" i="12"/>
  <c r="L1572" i="12"/>
  <c r="L1567" i="12"/>
  <c r="L1568" i="12"/>
  <c r="L1607" i="12"/>
  <c r="L1608" i="12"/>
  <c r="L1647" i="12"/>
  <c r="L1648" i="12"/>
  <c r="L1687" i="12"/>
  <c r="L1688" i="12"/>
  <c r="T1597" i="12"/>
  <c r="T1598" i="12"/>
  <c r="T1637" i="12"/>
  <c r="T1638" i="12"/>
  <c r="T1677" i="12"/>
  <c r="T1678" i="12"/>
  <c r="T1717" i="12"/>
  <c r="T1718" i="12"/>
  <c r="L1578" i="12"/>
  <c r="L1577" i="12"/>
  <c r="L1618" i="12"/>
  <c r="L1617" i="12"/>
  <c r="L1658" i="12"/>
  <c r="L1657" i="12"/>
  <c r="L1698" i="12"/>
  <c r="L1697" i="12"/>
  <c r="L1747" i="12"/>
  <c r="L1748" i="12"/>
  <c r="AB1558" i="12"/>
  <c r="AB1557" i="12"/>
  <c r="D1583" i="12"/>
  <c r="D1582" i="12"/>
  <c r="AB1598" i="12"/>
  <c r="AB1597" i="12"/>
  <c r="D1623" i="12"/>
  <c r="D1622" i="12"/>
  <c r="AB1638" i="12"/>
  <c r="AB1637" i="12"/>
  <c r="D1663" i="12"/>
  <c r="D1662" i="12"/>
  <c r="AB1678" i="12"/>
  <c r="AB1677" i="12"/>
  <c r="D1703" i="12"/>
  <c r="D1702" i="12"/>
  <c r="AB1718" i="12"/>
  <c r="AB1717" i="12"/>
  <c r="T1618" i="12"/>
  <c r="T1617" i="12"/>
  <c r="T1658" i="12"/>
  <c r="T1657" i="12"/>
  <c r="T1698" i="12"/>
  <c r="T1697" i="12"/>
  <c r="L1787" i="12"/>
  <c r="L1788" i="12"/>
  <c r="T1752" i="12"/>
  <c r="T1753" i="12"/>
  <c r="D2057" i="12"/>
  <c r="D2058" i="12"/>
  <c r="L1738" i="12"/>
  <c r="L1737" i="12"/>
  <c r="D1752" i="12"/>
  <c r="D1753" i="12"/>
  <c r="D1862" i="12"/>
  <c r="D1863" i="12"/>
  <c r="T52" i="12"/>
  <c r="T53" i="12"/>
  <c r="AB298" i="12"/>
  <c r="AB297" i="12"/>
  <c r="L1972" i="12"/>
  <c r="L1973" i="12"/>
  <c r="L1812" i="12"/>
  <c r="L1813" i="12"/>
  <c r="T1878" i="12"/>
  <c r="T1877" i="12"/>
  <c r="T1838" i="12"/>
  <c r="T1837" i="12"/>
  <c r="T1798" i="12"/>
  <c r="T1797" i="12"/>
  <c r="T1758" i="12"/>
  <c r="T1757" i="12"/>
  <c r="AB1933" i="12"/>
  <c r="AB1932" i="12"/>
  <c r="AB2048" i="12"/>
  <c r="AB2047" i="12"/>
  <c r="T1887" i="12"/>
  <c r="T1888" i="12"/>
  <c r="L1873" i="12"/>
  <c r="L1872" i="12"/>
  <c r="L1833" i="12"/>
  <c r="L1832" i="12"/>
  <c r="L1792" i="12"/>
  <c r="L1793" i="12"/>
  <c r="L1753" i="12"/>
  <c r="L1752" i="12"/>
  <c r="T1992" i="12"/>
  <c r="T1993" i="12"/>
  <c r="D1873" i="12"/>
  <c r="D1872" i="12"/>
  <c r="AB1848" i="12"/>
  <c r="AB1847" i="12"/>
  <c r="D1832" i="12"/>
  <c r="D1833" i="12"/>
  <c r="AB1808" i="12"/>
  <c r="AB1807" i="12"/>
  <c r="D1792" i="12"/>
  <c r="D1793" i="12"/>
  <c r="AB1768" i="12"/>
  <c r="AB1767" i="12"/>
  <c r="D1887" i="12"/>
  <c r="D1888" i="12"/>
  <c r="AB1862" i="12"/>
  <c r="AB1863" i="12"/>
  <c r="D1847" i="12"/>
  <c r="D1848" i="12"/>
  <c r="AB1822" i="12"/>
  <c r="AB1823" i="12"/>
  <c r="D1807" i="12"/>
  <c r="D1808" i="12"/>
  <c r="AB1782" i="12"/>
  <c r="AB1783" i="12"/>
  <c r="D1768" i="12"/>
  <c r="D1767" i="12"/>
  <c r="T2173" i="12"/>
  <c r="T2172" i="12"/>
  <c r="D2082" i="12"/>
  <c r="D2083" i="12"/>
  <c r="L2083" i="12"/>
  <c r="L2082" i="12"/>
  <c r="T2217" i="12"/>
  <c r="T2218" i="12"/>
  <c r="T1918" i="12"/>
  <c r="T1917" i="12"/>
  <c r="T1958" i="12"/>
  <c r="T1957" i="12"/>
  <c r="T1998" i="12"/>
  <c r="T1997" i="12"/>
  <c r="T1903" i="12"/>
  <c r="T1902" i="12"/>
  <c r="T1943" i="12"/>
  <c r="T1942" i="12"/>
  <c r="T1983" i="12"/>
  <c r="T1982" i="12"/>
  <c r="AB2032" i="12"/>
  <c r="AB2033" i="12"/>
  <c r="T2157" i="12"/>
  <c r="T2158" i="12"/>
  <c r="L2208" i="12"/>
  <c r="L2207" i="12"/>
  <c r="D2262" i="12"/>
  <c r="D2263" i="12"/>
  <c r="D2222" i="12"/>
  <c r="D2223" i="12"/>
  <c r="L2317" i="12"/>
  <c r="L2318" i="12"/>
  <c r="L2223" i="12"/>
  <c r="L2222" i="12"/>
  <c r="T2253" i="12"/>
  <c r="T2252" i="12"/>
  <c r="D2188" i="12"/>
  <c r="D2187" i="12"/>
  <c r="AB2202" i="12"/>
  <c r="AB2203" i="12"/>
  <c r="D2228" i="12"/>
  <c r="D2227" i="12"/>
  <c r="AB2243" i="12"/>
  <c r="AB2242" i="12"/>
  <c r="L2178" i="12"/>
  <c r="L2177" i="12"/>
  <c r="L2218" i="12"/>
  <c r="L2217" i="12"/>
  <c r="T2342" i="12"/>
  <c r="T2343" i="12"/>
  <c r="D2443" i="12"/>
  <c r="D2442" i="12"/>
  <c r="D2468" i="12"/>
  <c r="D2467" i="12"/>
  <c r="T2353" i="12"/>
  <c r="T2352" i="12"/>
  <c r="AB2402" i="12"/>
  <c r="AB2403" i="12"/>
  <c r="AB2487" i="12"/>
  <c r="AB2488" i="12"/>
  <c r="D2388" i="12"/>
  <c r="D2387" i="12"/>
  <c r="L2378" i="12"/>
  <c r="L2377" i="12"/>
  <c r="D2398" i="12"/>
  <c r="D2397" i="12"/>
  <c r="AB2412" i="12"/>
  <c r="AB2413" i="12"/>
  <c r="D2418" i="12"/>
  <c r="D2417" i="12"/>
  <c r="AB2432" i="12"/>
  <c r="AB2433" i="12"/>
  <c r="D2457" i="12"/>
  <c r="D2458" i="12"/>
  <c r="AB2472" i="12"/>
  <c r="AB2473" i="12"/>
  <c r="D2497" i="12"/>
  <c r="D2498" i="12"/>
  <c r="AB2512" i="12"/>
  <c r="AB2513" i="12"/>
  <c r="T177" i="12"/>
  <c r="T178" i="12"/>
  <c r="D43" i="12"/>
  <c r="D42" i="12"/>
  <c r="D282" i="12"/>
  <c r="D283" i="12"/>
  <c r="D248" i="12"/>
  <c r="D247" i="12"/>
  <c r="AB183" i="12"/>
  <c r="AB182" i="12"/>
  <c r="L32" i="12"/>
  <c r="L33" i="12"/>
  <c r="L72" i="12"/>
  <c r="L73" i="12"/>
  <c r="L112" i="12"/>
  <c r="L113" i="12"/>
  <c r="L152" i="12"/>
  <c r="L153" i="12"/>
  <c r="L192" i="12"/>
  <c r="L193" i="12"/>
  <c r="L232" i="12"/>
  <c r="L233" i="12"/>
  <c r="L272" i="12"/>
  <c r="L273" i="12"/>
  <c r="L312" i="12"/>
  <c r="L313" i="12"/>
  <c r="T357" i="12"/>
  <c r="T358" i="12"/>
  <c r="T597" i="12"/>
  <c r="T598" i="12"/>
  <c r="AB837" i="12"/>
  <c r="AB838" i="12"/>
  <c r="AB363" i="12"/>
  <c r="AB362" i="12"/>
  <c r="AB408" i="12"/>
  <c r="AB407" i="12"/>
  <c r="AB488" i="12"/>
  <c r="AB487" i="12"/>
  <c r="AB568" i="12"/>
  <c r="AB567" i="12"/>
  <c r="AB1068" i="12"/>
  <c r="AB1067" i="12"/>
  <c r="L593" i="12"/>
  <c r="L592" i="12"/>
  <c r="T482" i="12"/>
  <c r="T483" i="12"/>
  <c r="D32" i="12"/>
  <c r="D33" i="12"/>
  <c r="AB47" i="12"/>
  <c r="AB48" i="12"/>
  <c r="D72" i="12"/>
  <c r="D73" i="12"/>
  <c r="AB87" i="12"/>
  <c r="AB88" i="12"/>
  <c r="D112" i="12"/>
  <c r="D113" i="12"/>
  <c r="AB127" i="12"/>
  <c r="AB128" i="12"/>
  <c r="D152" i="12"/>
  <c r="D153" i="12"/>
  <c r="AB167" i="12"/>
  <c r="AB168" i="12"/>
  <c r="D192" i="12"/>
  <c r="D193" i="12"/>
  <c r="AB207" i="12"/>
  <c r="AB208" i="12"/>
  <c r="D232" i="12"/>
  <c r="D233" i="12"/>
  <c r="AB247" i="12"/>
  <c r="AB248" i="12"/>
  <c r="D272" i="12"/>
  <c r="D273" i="12"/>
  <c r="AB288" i="12"/>
  <c r="AB287" i="12"/>
  <c r="D312" i="12"/>
  <c r="D313" i="12"/>
  <c r="AB483" i="12"/>
  <c r="AB482" i="12"/>
  <c r="L642" i="12"/>
  <c r="L643" i="12"/>
  <c r="L22" i="12"/>
  <c r="L23" i="12"/>
  <c r="L62" i="12"/>
  <c r="L63" i="12"/>
  <c r="L102" i="12"/>
  <c r="L103" i="12"/>
  <c r="L142" i="12"/>
  <c r="L143" i="12"/>
  <c r="L182" i="12"/>
  <c r="L183" i="12"/>
  <c r="L222" i="12"/>
  <c r="L223" i="12"/>
  <c r="L262" i="12"/>
  <c r="L263" i="12"/>
  <c r="L302" i="12"/>
  <c r="L303" i="12"/>
  <c r="T872" i="12"/>
  <c r="T873" i="12"/>
  <c r="T338" i="12"/>
  <c r="T337" i="12"/>
  <c r="T378" i="12"/>
  <c r="T377" i="12"/>
  <c r="T418" i="12"/>
  <c r="T417" i="12"/>
  <c r="T458" i="12"/>
  <c r="T457" i="12"/>
  <c r="T498" i="12"/>
  <c r="T497" i="12"/>
  <c r="T538" i="12"/>
  <c r="T537" i="12"/>
  <c r="T578" i="12"/>
  <c r="T577" i="12"/>
  <c r="T388" i="12"/>
  <c r="T387" i="12"/>
  <c r="T428" i="12"/>
  <c r="T427" i="12"/>
  <c r="T468" i="12"/>
  <c r="T467" i="12"/>
  <c r="T508" i="12"/>
  <c r="T507" i="12"/>
  <c r="T548" i="12"/>
  <c r="T547" i="12"/>
  <c r="T588" i="12"/>
  <c r="T587" i="12"/>
  <c r="AB813" i="12"/>
  <c r="AB812" i="12"/>
  <c r="AB973" i="12"/>
  <c r="AB972" i="12"/>
  <c r="AB1188" i="12"/>
  <c r="AB1187" i="12"/>
  <c r="T333" i="12"/>
  <c r="T332" i="12"/>
  <c r="T373" i="12"/>
  <c r="T372" i="12"/>
  <c r="T413" i="12"/>
  <c r="T412" i="12"/>
  <c r="T453" i="12"/>
  <c r="T452" i="12"/>
  <c r="T493" i="12"/>
  <c r="T492" i="12"/>
  <c r="T533" i="12"/>
  <c r="T532" i="12"/>
  <c r="T573" i="12"/>
  <c r="T572" i="12"/>
  <c r="T677" i="12"/>
  <c r="T678" i="12"/>
  <c r="T712" i="12"/>
  <c r="T713" i="12"/>
  <c r="T887" i="12"/>
  <c r="T888" i="12"/>
  <c r="D1002" i="12"/>
  <c r="D1003" i="12"/>
  <c r="T628" i="12"/>
  <c r="T627" i="12"/>
  <c r="T668" i="12"/>
  <c r="T667" i="12"/>
  <c r="T708" i="12"/>
  <c r="T707" i="12"/>
  <c r="T748" i="12"/>
  <c r="T747" i="12"/>
  <c r="T788" i="12"/>
  <c r="T787" i="12"/>
  <c r="T828" i="12"/>
  <c r="T827" i="12"/>
  <c r="T868" i="12"/>
  <c r="T867" i="12"/>
  <c r="T908" i="12"/>
  <c r="T907" i="12"/>
  <c r="T948" i="12"/>
  <c r="T947" i="12"/>
  <c r="T988" i="12"/>
  <c r="T987" i="12"/>
  <c r="L647" i="12"/>
  <c r="L648" i="12"/>
  <c r="L687" i="12"/>
  <c r="L688" i="12"/>
  <c r="L728" i="12"/>
  <c r="L727" i="12"/>
  <c r="L768" i="12"/>
  <c r="L767" i="12"/>
  <c r="L808" i="12"/>
  <c r="L807" i="12"/>
  <c r="L848" i="12"/>
  <c r="L847" i="12"/>
  <c r="L888" i="12"/>
  <c r="L887" i="12"/>
  <c r="L928" i="12"/>
  <c r="L927" i="12"/>
  <c r="L968" i="12"/>
  <c r="L967" i="12"/>
  <c r="T758" i="12"/>
  <c r="T757" i="12"/>
  <c r="T798" i="12"/>
  <c r="T797" i="12"/>
  <c r="T838" i="12"/>
  <c r="T837" i="12"/>
  <c r="T878" i="12"/>
  <c r="T877" i="12"/>
  <c r="T918" i="12"/>
  <c r="T917" i="12"/>
  <c r="T958" i="12"/>
  <c r="T957" i="12"/>
  <c r="T998" i="12"/>
  <c r="T997" i="12"/>
  <c r="L1057" i="12"/>
  <c r="L1058" i="12"/>
  <c r="T623" i="12"/>
  <c r="T622" i="12"/>
  <c r="T663" i="12"/>
  <c r="T662" i="12"/>
  <c r="T703" i="12"/>
  <c r="T702" i="12"/>
  <c r="T743" i="12"/>
  <c r="T742" i="12"/>
  <c r="T783" i="12"/>
  <c r="T782" i="12"/>
  <c r="T823" i="12"/>
  <c r="T822" i="12"/>
  <c r="T863" i="12"/>
  <c r="T862" i="12"/>
  <c r="T903" i="12"/>
  <c r="T902" i="12"/>
  <c r="T943" i="12"/>
  <c r="T942" i="12"/>
  <c r="T983" i="12"/>
  <c r="T982" i="12"/>
  <c r="AB1203" i="12"/>
  <c r="AB1202" i="12"/>
  <c r="L1272" i="12"/>
  <c r="L1273" i="12"/>
  <c r="T1383" i="12"/>
  <c r="T1382" i="12"/>
  <c r="AB1383" i="12"/>
  <c r="AB1382" i="12"/>
  <c r="T1203" i="12"/>
  <c r="T1202" i="12"/>
  <c r="T1243" i="12"/>
  <c r="T1242" i="12"/>
  <c r="T1283" i="12"/>
  <c r="T1282" i="12"/>
  <c r="T1323" i="12"/>
  <c r="T1322" i="12"/>
  <c r="T1363" i="12"/>
  <c r="T1362" i="12"/>
  <c r="T1707" i="12"/>
  <c r="T1708" i="12"/>
  <c r="L1413" i="12"/>
  <c r="L1412" i="12"/>
  <c r="L1453" i="12"/>
  <c r="L1452" i="12"/>
  <c r="L1493" i="12"/>
  <c r="L1492" i="12"/>
  <c r="L1533" i="12"/>
  <c r="L1532" i="12"/>
  <c r="T1768" i="12"/>
  <c r="T1767" i="12"/>
  <c r="D1762" i="12"/>
  <c r="D1763" i="12"/>
  <c r="T1737" i="12"/>
  <c r="T1738" i="12"/>
  <c r="AB1757" i="12"/>
  <c r="AB1758" i="12"/>
  <c r="T1568" i="12"/>
  <c r="T1567" i="12"/>
  <c r="T1608" i="12"/>
  <c r="T1607" i="12"/>
  <c r="T1648" i="12"/>
  <c r="T1647" i="12"/>
  <c r="T1688" i="12"/>
  <c r="T1687" i="12"/>
  <c r="AB1858" i="12"/>
  <c r="AB1857" i="12"/>
  <c r="T1832" i="12"/>
  <c r="T1833" i="12"/>
  <c r="AB1737" i="12"/>
  <c r="AB1738" i="12"/>
  <c r="D1772" i="12"/>
  <c r="D1773" i="12"/>
  <c r="L2142" i="12"/>
  <c r="L2143" i="12"/>
  <c r="L1808" i="12"/>
  <c r="L1807" i="12"/>
  <c r="L1843" i="12"/>
  <c r="L1842" i="12"/>
  <c r="T1792" i="12"/>
  <c r="T1793" i="12"/>
  <c r="AB1728" i="12"/>
  <c r="AB1727" i="12"/>
  <c r="L1778" i="12"/>
  <c r="L1777" i="12"/>
  <c r="AB1813" i="12"/>
  <c r="AB1812" i="12"/>
  <c r="AB1853" i="12"/>
  <c r="AB1852" i="12"/>
  <c r="AB1898" i="12"/>
  <c r="AB1897" i="12"/>
  <c r="T172" i="12"/>
  <c r="T173" i="12"/>
  <c r="AB23" i="12"/>
  <c r="AB22" i="12"/>
</calcChain>
</file>

<file path=xl/connections.xml><?xml version="1.0" encoding="utf-8"?>
<connections xmlns="http://schemas.openxmlformats.org/spreadsheetml/2006/main">
  <connection id="1" keepAlive="1" name="ThisWorkbookDataModel" description="Модель данных"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Запрос1_3" type="102" refreshedVersion="5" minRefreshableVersion="5">
    <extLst>
      <ext xmlns:x15="http://schemas.microsoft.com/office/spreadsheetml/2010/11/main" uri="{DE250136-89BD-433C-8126-D09CA5730AF9}">
        <x15:connection id="Запрос1_3-b8c65118-f6f6-4fa1-bece-4324280731c5" autoDelete="1" usedByAddin="1">
          <x15:rangePr sourceName="_xlcn.WorksheetConnection_Запрос1_31"/>
        </x15:connection>
      </ext>
    </extLst>
  </connection>
  <connection id="3" name="Запрос — getData" description="Соединение с запросом &quot;getData&quot; в книге." type="5" refreshedVersion="0" background="1">
    <dbPr connection="Provider=Microsoft.Mashup.OleDb.1;Data Source=$Workbook$;Location=getData" command="SELECT * FROM [getData]"/>
  </connection>
  <connection id="4" keepAlive="1" name="Запрос — Запрос1" description="Соединение с запросом &quot;Запрос1&quot; в книге." type="5" refreshedVersion="6" background="1">
    <dbPr connection="Provider=Microsoft.Mashup.OleDb.1;Data Source=$Workbook$;Location=Запрос1;Extended Properties=&quot;&quot;" command="SELECT * FROM [Запрос1]"/>
  </connection>
</connections>
</file>

<file path=xl/sharedStrings.xml><?xml version="1.0" encoding="utf-8"?>
<sst xmlns="http://schemas.openxmlformats.org/spreadsheetml/2006/main" count="113" uniqueCount="44">
  <si>
    <t>Номер задачи</t>
  </si>
  <si>
    <t>Задачи</t>
  </si>
  <si>
    <t>Название доски/Проект</t>
  </si>
  <si>
    <t>Исполнитель</t>
  </si>
  <si>
    <t>Приоритет</t>
  </si>
  <si>
    <t>Старт</t>
  </si>
  <si>
    <t>Конец</t>
  </si>
  <si>
    <t>Сроки</t>
  </si>
  <si>
    <t>Статус</t>
  </si>
  <si>
    <t>Выполнено в срок</t>
  </si>
  <si>
    <t>Обычный</t>
  </si>
  <si>
    <t>Низкий</t>
  </si>
  <si>
    <t>Высокий</t>
  </si>
  <si>
    <t>Priority</t>
  </si>
  <si>
    <t xml:space="preserve"> </t>
  </si>
  <si>
    <t>Description</t>
  </si>
  <si>
    <t>Осталось дней</t>
  </si>
  <si>
    <t>Сумма по полю Осталось дней</t>
  </si>
  <si>
    <t>На проверке</t>
  </si>
  <si>
    <t>В работе</t>
  </si>
  <si>
    <t>В ожидании</t>
  </si>
  <si>
    <t>#Status</t>
  </si>
  <si>
    <t>✔</t>
  </si>
  <si>
    <t>Готово</t>
  </si>
  <si>
    <t>(пусто)</t>
  </si>
  <si>
    <t>Значки</t>
  </si>
  <si>
    <t>🕓</t>
  </si>
  <si>
    <t>Комментарии</t>
  </si>
  <si>
    <t>Актуализировать текст отчета по концепции</t>
  </si>
  <si>
    <t>да</t>
  </si>
  <si>
    <t>Актуализировать текст отчета по экономике</t>
  </si>
  <si>
    <t>Да</t>
  </si>
  <si>
    <t xml:space="preserve">Помощь Алёне </t>
  </si>
  <si>
    <t>Выпить кофе, съесть печеньки</t>
  </si>
  <si>
    <t>Саморазвитие</t>
  </si>
  <si>
    <t>Первый сотрудник</t>
  </si>
  <si>
    <t>Экономика</t>
  </si>
  <si>
    <t>Написание статьи</t>
  </si>
  <si>
    <t>Административная работа</t>
  </si>
  <si>
    <t>Редактирование отчета</t>
  </si>
  <si>
    <t xml:space="preserve">Отчетность </t>
  </si>
  <si>
    <t>Второй сотрудник</t>
  </si>
  <si>
    <t>Исправить замечания эксперта, 3 таблицы</t>
  </si>
  <si>
    <t>Другое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</si>
</sst>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
    <numFmt numFmtId="165" formatCode=";;;"/>
  </numFmts>
  <fonts count="25" x14ac:knownFonts="1">
    <font>
      <sz val="11"/>
      <color theme="1"/>
      <name val="Calibri"/>
      <family val="2"/>
      <scheme val="minor"/>
    </font>
    <font>
      <sz val="14"/>
      <color theme="1"/>
      <name val="Calibri"/>
      <family val="2"/>
      <scheme val="minor"/>
    </font>
    <font>
      <sz val="11"/>
      <color theme="1"/>
      <name val="Calibri"/>
      <family val="2"/>
      <scheme val="minor"/>
    </font>
    <font>
      <b/>
      <sz val="11"/>
      <color theme="1" tint="0.24994659260841701"/>
      <name val="Calibri"/>
      <family val="2"/>
      <scheme val="minor"/>
    </font>
    <font>
      <sz val="11"/>
      <color theme="1" tint="0.24994659260841701"/>
      <name val="Calibri"/>
      <family val="2"/>
      <scheme val="minor"/>
    </font>
    <font>
      <sz val="12"/>
      <color theme="0"/>
      <name val="Calibri"/>
      <family val="2"/>
      <scheme val="minor"/>
    </font>
    <font>
      <sz val="11"/>
      <color theme="0"/>
      <name val="Calibri"/>
      <family val="2"/>
      <scheme val="minor"/>
    </font>
    <font>
      <sz val="11"/>
      <color rgb="FFFF0000"/>
      <name val="Calibri"/>
      <family val="2"/>
      <scheme val="minor"/>
    </font>
    <font>
      <sz val="16"/>
      <color theme="1" tint="0.249977111117893"/>
      <name val="Calibri"/>
      <family val="2"/>
      <scheme val="minor"/>
    </font>
    <font>
      <sz val="14"/>
      <color theme="1" tint="0.249977111117893"/>
      <name val="Calibri"/>
      <family val="2"/>
      <scheme val="minor"/>
    </font>
    <font>
      <sz val="11"/>
      <color theme="1" tint="0.249977111117893"/>
      <name val="Calibri"/>
      <family val="2"/>
      <scheme val="minor"/>
    </font>
    <font>
      <sz val="8"/>
      <color rgb="FFFF0000"/>
      <name val="Calibri"/>
      <family val="2"/>
      <scheme val="minor"/>
    </font>
    <font>
      <sz val="14"/>
      <color rgb="FFFF0000"/>
      <name val="Calibri"/>
      <family val="2"/>
      <scheme val="minor"/>
    </font>
    <font>
      <b/>
      <sz val="12"/>
      <color rgb="FFFD7E7B"/>
      <name val="Segoe UI Emoji"/>
      <family val="2"/>
    </font>
    <font>
      <sz val="11"/>
      <color rgb="FFFD7E7B"/>
      <name val="Calibri"/>
      <family val="2"/>
      <scheme val="minor"/>
    </font>
    <font>
      <b/>
      <sz val="9"/>
      <color theme="1" tint="0.249977111117893"/>
      <name val="Calibri"/>
      <family val="2"/>
      <scheme val="minor"/>
    </font>
    <font>
      <b/>
      <sz val="14"/>
      <color rgb="FFFD7E7B"/>
      <name val="Arial"/>
      <family val="2"/>
    </font>
    <font>
      <sz val="9"/>
      <color theme="1" tint="0.249977111117893"/>
      <name val="Calibri"/>
      <family val="2"/>
      <scheme val="minor"/>
    </font>
    <font>
      <sz val="8"/>
      <color theme="0"/>
      <name val="Calibri"/>
      <family val="2"/>
      <scheme val="minor"/>
    </font>
    <font>
      <sz val="14"/>
      <color theme="0"/>
      <name val="Calibri"/>
      <family val="2"/>
      <scheme val="minor"/>
    </font>
    <font>
      <sz val="12"/>
      <color theme="1" tint="0.249977111117893"/>
      <name val="Calibri"/>
      <family val="2"/>
      <scheme val="minor"/>
    </font>
    <font>
      <sz val="11"/>
      <color theme="1" tint="0.249977111117893"/>
      <name val="Wingdings"/>
      <charset val="2"/>
    </font>
    <font>
      <b/>
      <sz val="16"/>
      <color rgb="FF00B050"/>
      <name val="Calibri"/>
      <family val="2"/>
      <scheme val="minor"/>
    </font>
    <font>
      <b/>
      <i/>
      <u/>
      <sz val="14"/>
      <color rgb="FFFD7E7B"/>
      <name val="Arial"/>
      <family val="2"/>
      <charset val="204"/>
    </font>
    <font>
      <sz val="11"/>
      <color rgb="FF000000"/>
      <name val="Calibri"/>
      <family val="2"/>
      <charset val="204"/>
    </font>
  </fonts>
  <fills count="7">
    <fill>
      <patternFill patternType="none"/>
    </fill>
    <fill>
      <patternFill patternType="gray125"/>
    </fill>
    <fill>
      <patternFill patternType="solid">
        <fgColor theme="0" tint="-4.9989318521683403E-2"/>
        <bgColor theme="0" tint="-4.9989318521683403E-2"/>
      </patternFill>
    </fill>
    <fill>
      <patternFill patternType="solid">
        <fgColor rgb="FFF7F7F7"/>
        <bgColor theme="0" tint="-4.9989318521683403E-2"/>
      </patternFill>
    </fill>
    <fill>
      <patternFill patternType="solid">
        <fgColor rgb="FF006C84"/>
        <bgColor indexed="64"/>
      </patternFill>
    </fill>
    <fill>
      <patternFill patternType="solid">
        <fgColor rgb="FF6EB5C0"/>
        <bgColor indexed="64"/>
      </patternFill>
    </fill>
    <fill>
      <patternFill patternType="solid">
        <fgColor rgb="FFB4D8DE"/>
        <bgColor indexed="64"/>
      </patternFill>
    </fill>
  </fills>
  <borders count="5">
    <border>
      <left/>
      <right/>
      <top/>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top style="medium">
        <color rgb="FF01B8AA"/>
      </top>
      <bottom/>
      <diagonal/>
    </border>
    <border>
      <left/>
      <right/>
      <top/>
      <bottom style="medium">
        <color indexed="64"/>
      </bottom>
      <diagonal/>
    </border>
  </borders>
  <cellStyleXfs count="3">
    <xf numFmtId="0" fontId="0" fillId="0" borderId="0"/>
    <xf numFmtId="9" fontId="2" fillId="0" borderId="0" applyFont="0" applyFill="0" applyBorder="0" applyAlignment="0" applyProtection="0"/>
    <xf numFmtId="165" fontId="2" fillId="0" borderId="0" applyFont="0" applyFill="0" applyBorder="0" applyAlignment="0" applyProtection="0"/>
  </cellStyleXfs>
  <cellXfs count="73">
    <xf numFmtId="0" fontId="0" fillId="0" borderId="0" xfId="0"/>
    <xf numFmtId="0" fontId="0" fillId="0" borderId="0" xfId="0" applyNumberFormat="1"/>
    <xf numFmtId="14" fontId="0" fillId="0" borderId="0" xfId="0" applyNumberFormat="1"/>
    <xf numFmtId="0" fontId="1" fillId="0" borderId="0" xfId="0" applyFont="1"/>
    <xf numFmtId="0" fontId="0" fillId="0" borderId="0" xfId="0" pivotButton="1"/>
    <xf numFmtId="0" fontId="0" fillId="4" borderId="0" xfId="0" applyFill="1"/>
    <xf numFmtId="0" fontId="0" fillId="5" borderId="0" xfId="0" applyFill="1"/>
    <xf numFmtId="0" fontId="6" fillId="0" borderId="0" xfId="0" applyFont="1" applyAlignment="1">
      <alignment vertical="center"/>
    </xf>
    <xf numFmtId="0" fontId="7" fillId="0" borderId="0" xfId="0" applyFont="1" applyAlignment="1">
      <alignment vertical="center"/>
    </xf>
    <xf numFmtId="0" fontId="0" fillId="0" borderId="0" xfId="0" applyAlignment="1">
      <alignment vertical="center"/>
    </xf>
    <xf numFmtId="0" fontId="10" fillId="0" borderId="0" xfId="0" applyFont="1" applyAlignment="1">
      <alignment vertical="center"/>
    </xf>
    <xf numFmtId="0" fontId="9" fillId="0" borderId="0" xfId="0" applyFont="1" applyAlignment="1">
      <alignment vertical="center"/>
    </xf>
    <xf numFmtId="0" fontId="7" fillId="0" borderId="0" xfId="0" applyFont="1" applyBorder="1" applyAlignment="1">
      <alignment vertical="center"/>
    </xf>
    <xf numFmtId="0" fontId="10" fillId="0" borderId="0" xfId="0" applyFont="1" applyBorder="1" applyAlignment="1">
      <alignment vertical="center"/>
    </xf>
    <xf numFmtId="0" fontId="9" fillId="0" borderId="0" xfId="0" applyFont="1" applyBorder="1" applyAlignment="1">
      <alignment vertical="center"/>
    </xf>
    <xf numFmtId="0" fontId="17" fillId="0" borderId="0" xfId="0" applyFont="1" applyFill="1" applyAlignment="1">
      <alignment horizontal="left" vertical="center"/>
    </xf>
    <xf numFmtId="14" fontId="17" fillId="0" borderId="0" xfId="1" applyNumberFormat="1" applyFont="1" applyFill="1" applyAlignment="1">
      <alignment horizontal="left" vertical="center"/>
    </xf>
    <xf numFmtId="0" fontId="18" fillId="0" borderId="0" xfId="0" applyFont="1" applyAlignment="1">
      <alignment vertical="top"/>
    </xf>
    <xf numFmtId="0" fontId="19" fillId="0" borderId="0" xfId="0" applyFont="1" applyAlignment="1">
      <alignment vertical="center"/>
    </xf>
    <xf numFmtId="0" fontId="0" fillId="5" borderId="0" xfId="0" applyFill="1" applyAlignment="1">
      <alignment vertical="center"/>
    </xf>
    <xf numFmtId="0" fontId="3" fillId="2" borderId="2" xfId="0" applyFont="1" applyFill="1" applyBorder="1"/>
    <xf numFmtId="0" fontId="0" fillId="0" borderId="0" xfId="0" applyAlignment="1" applyProtection="1">
      <alignment vertical="center"/>
      <protection locked="0"/>
    </xf>
    <xf numFmtId="0" fontId="4" fillId="3" borderId="3" xfId="0" applyFont="1" applyFill="1" applyBorder="1" applyProtection="1">
      <protection locked="0"/>
    </xf>
    <xf numFmtId="0" fontId="4" fillId="0" borderId="2" xfId="0" applyFont="1" applyBorder="1" applyAlignment="1" applyProtection="1">
      <alignment vertical="center"/>
      <protection locked="0"/>
    </xf>
    <xf numFmtId="0" fontId="4" fillId="3" borderId="2" xfId="0" applyFont="1" applyFill="1" applyBorder="1" applyAlignment="1" applyProtection="1">
      <alignment vertical="center"/>
      <protection locked="0"/>
    </xf>
    <xf numFmtId="0" fontId="0" fillId="0" borderId="0" xfId="0" applyAlignment="1" applyProtection="1">
      <alignment vertical="center"/>
      <protection hidden="1"/>
    </xf>
    <xf numFmtId="0" fontId="4" fillId="0" borderId="1" xfId="0" applyFont="1" applyBorder="1" applyAlignment="1">
      <alignment vertical="center"/>
    </xf>
    <xf numFmtId="0" fontId="4" fillId="3" borderId="1" xfId="0" applyFont="1" applyFill="1" applyBorder="1" applyAlignment="1">
      <alignment vertical="center"/>
    </xf>
    <xf numFmtId="0" fontId="4" fillId="0" borderId="2" xfId="0" applyFont="1" applyBorder="1" applyAlignment="1" applyProtection="1">
      <alignment vertical="center"/>
      <protection hidden="1"/>
    </xf>
    <xf numFmtId="0" fontId="23" fillId="0" borderId="0" xfId="0" applyFont="1" applyFill="1" applyBorder="1" applyAlignment="1">
      <alignment horizontal="center" vertical="center" wrapText="1"/>
    </xf>
    <xf numFmtId="0" fontId="23" fillId="0" borderId="0" xfId="0" applyFont="1" applyFill="1" applyBorder="1" applyAlignment="1">
      <alignment horizontal="center" vertical="center" wrapText="1"/>
    </xf>
    <xf numFmtId="0" fontId="10" fillId="0" borderId="0" xfId="0" applyFont="1" applyFill="1" applyBorder="1" applyAlignment="1">
      <alignment vertical="center"/>
    </xf>
    <xf numFmtId="0" fontId="6" fillId="6" borderId="0" xfId="0" applyFont="1" applyFill="1" applyBorder="1" applyAlignment="1">
      <alignment vertical="center"/>
    </xf>
    <xf numFmtId="0" fontId="0" fillId="6" borderId="0" xfId="0" applyFill="1"/>
    <xf numFmtId="0" fontId="7" fillId="6" borderId="0" xfId="0" applyFont="1" applyFill="1" applyBorder="1" applyAlignment="1">
      <alignment vertical="center"/>
    </xf>
    <xf numFmtId="0" fontId="8" fillId="6" borderId="0" xfId="0" applyFont="1" applyFill="1" applyBorder="1" applyAlignment="1">
      <alignment horizontal="left" vertical="center"/>
    </xf>
    <xf numFmtId="0" fontId="9" fillId="6" borderId="0" xfId="0" applyFont="1" applyFill="1" applyBorder="1" applyAlignment="1">
      <alignment horizontal="left" vertical="center"/>
    </xf>
    <xf numFmtId="0" fontId="0" fillId="6" borderId="0" xfId="0" applyFill="1" applyBorder="1" applyAlignment="1">
      <alignment vertical="center"/>
    </xf>
    <xf numFmtId="0" fontId="10" fillId="6" borderId="0" xfId="0" applyFont="1" applyFill="1" applyBorder="1" applyAlignment="1">
      <alignment vertical="center"/>
    </xf>
    <xf numFmtId="0" fontId="9" fillId="6" borderId="0" xfId="0" applyFont="1" applyFill="1" applyBorder="1" applyAlignment="1">
      <alignment vertical="center"/>
    </xf>
    <xf numFmtId="0" fontId="0" fillId="6" borderId="0" xfId="0" applyFill="1" applyBorder="1"/>
    <xf numFmtId="0" fontId="21" fillId="6" borderId="0" xfId="0" applyFont="1" applyFill="1" applyBorder="1" applyAlignment="1">
      <alignment vertical="center"/>
    </xf>
    <xf numFmtId="0" fontId="11" fillId="6" borderId="0" xfId="0" applyFont="1" applyFill="1" applyBorder="1" applyAlignment="1">
      <alignment horizontal="left" vertical="top"/>
    </xf>
    <xf numFmtId="0" fontId="12" fillId="6" borderId="0" xfId="0" applyFont="1" applyFill="1" applyBorder="1" applyAlignment="1">
      <alignment horizontal="left" vertical="center"/>
    </xf>
    <xf numFmtId="0" fontId="13" fillId="6" borderId="0" xfId="0" applyFont="1" applyFill="1" applyBorder="1" applyAlignment="1">
      <alignment vertical="center"/>
    </xf>
    <xf numFmtId="0" fontId="14" fillId="6" borderId="0" xfId="0" applyFont="1" applyFill="1" applyBorder="1" applyAlignment="1">
      <alignment vertical="center"/>
    </xf>
    <xf numFmtId="0" fontId="10" fillId="6" borderId="0" xfId="0" applyFont="1" applyFill="1" applyAlignment="1">
      <alignment vertical="center"/>
    </xf>
    <xf numFmtId="0" fontId="6" fillId="6" borderId="0" xfId="0" applyFont="1" applyFill="1" applyAlignment="1">
      <alignment vertical="center"/>
    </xf>
    <xf numFmtId="0" fontId="17" fillId="6" borderId="0" xfId="0" applyFont="1" applyFill="1" applyAlignment="1">
      <alignment horizontal="left" vertical="center"/>
    </xf>
    <xf numFmtId="14" fontId="17" fillId="6" borderId="0" xfId="1" applyNumberFormat="1" applyFont="1" applyFill="1" applyAlignment="1">
      <alignment horizontal="left" vertical="center"/>
    </xf>
    <xf numFmtId="0" fontId="18" fillId="6" borderId="0" xfId="0" applyFont="1" applyFill="1" applyAlignment="1">
      <alignment vertical="top"/>
    </xf>
    <xf numFmtId="0" fontId="19" fillId="6" borderId="0" xfId="0" applyFont="1" applyFill="1" applyAlignment="1">
      <alignment vertical="center"/>
    </xf>
    <xf numFmtId="0" fontId="9" fillId="6" borderId="0" xfId="0" applyFont="1" applyFill="1" applyAlignment="1">
      <alignment vertical="center"/>
    </xf>
    <xf numFmtId="165" fontId="7" fillId="0" borderId="0" xfId="2" applyFont="1" applyAlignment="1">
      <alignment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0" fillId="0" borderId="0" xfId="0" applyFont="1" applyFill="1" applyAlignment="1">
      <alignment vertical="center"/>
    </xf>
    <xf numFmtId="0" fontId="0" fillId="0" borderId="0" xfId="0" applyAlignment="1">
      <alignment horizontal="center" vertical="center"/>
    </xf>
    <xf numFmtId="0" fontId="20" fillId="5" borderId="0" xfId="0" applyFont="1" applyFill="1" applyAlignment="1">
      <alignment horizontal="center" vertical="center"/>
    </xf>
    <xf numFmtId="165" fontId="10" fillId="0" borderId="0" xfId="2" applyFont="1" applyAlignment="1">
      <alignment horizontal="center" vertical="center"/>
    </xf>
    <xf numFmtId="0" fontId="15" fillId="0" borderId="0" xfId="0" applyFont="1" applyFill="1" applyBorder="1" applyAlignment="1">
      <alignment horizontal="left" vertical="center" wrapText="1"/>
    </xf>
    <xf numFmtId="0" fontId="23" fillId="0" borderId="0" xfId="0" applyFont="1" applyFill="1" applyBorder="1" applyAlignment="1">
      <alignment horizontal="center" vertical="center" wrapText="1"/>
    </xf>
    <xf numFmtId="0" fontId="15" fillId="0" borderId="0" xfId="0" applyFont="1" applyFill="1" applyAlignment="1">
      <alignment horizontal="left" vertical="center"/>
    </xf>
    <xf numFmtId="0" fontId="22" fillId="0" borderId="0" xfId="0" applyFont="1" applyFill="1" applyAlignment="1">
      <alignment horizontal="center" vertical="center"/>
    </xf>
    <xf numFmtId="14" fontId="15" fillId="0" borderId="0" xfId="1" applyNumberFormat="1" applyFont="1" applyFill="1" applyAlignment="1">
      <alignment horizontal="left" vertical="center"/>
    </xf>
    <xf numFmtId="0" fontId="16" fillId="6" borderId="0" xfId="0" applyFont="1" applyFill="1" applyAlignment="1">
      <alignment horizontal="right" vertical="center" wrapText="1"/>
    </xf>
    <xf numFmtId="14" fontId="15" fillId="6" borderId="0" xfId="1" applyNumberFormat="1" applyFont="1" applyFill="1" applyAlignment="1">
      <alignment horizontal="left" vertical="center"/>
    </xf>
    <xf numFmtId="0" fontId="5" fillId="5" borderId="0" xfId="0" applyFont="1" applyFill="1" applyAlignment="1">
      <alignment horizontal="center" vertical="center"/>
    </xf>
    <xf numFmtId="0" fontId="10" fillId="6" borderId="0" xfId="0" applyFont="1" applyFill="1" applyAlignment="1">
      <alignment horizontal="center" vertical="center"/>
    </xf>
    <xf numFmtId="0" fontId="15" fillId="6" borderId="0" xfId="0" applyFont="1" applyFill="1" applyAlignment="1">
      <alignment horizontal="left" vertical="center" wrapText="1"/>
    </xf>
    <xf numFmtId="0" fontId="15" fillId="6" borderId="0" xfId="0" applyFont="1" applyFill="1" applyAlignment="1">
      <alignment horizontal="left" vertical="center"/>
    </xf>
    <xf numFmtId="0" fontId="10" fillId="0" borderId="0" xfId="0" applyFont="1" applyAlignment="1">
      <alignment horizontal="center" vertical="center"/>
    </xf>
    <xf numFmtId="0" fontId="9" fillId="6" borderId="4" xfId="0" applyFont="1" applyFill="1" applyBorder="1" applyAlignment="1">
      <alignment horizontal="center" vertical="center"/>
    </xf>
  </cellXfs>
  <cellStyles count="3">
    <cellStyle name="Обычный" xfId="0" builtinId="0"/>
    <cellStyle name="Процентный" xfId="1" builtinId="5"/>
    <cellStyle name="Секрет" xfId="2"/>
  </cellStyles>
  <dxfs count="80">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ill>
        <patternFill>
          <bgColor rgb="FFFD7E7B"/>
        </patternFill>
      </fill>
    </dxf>
    <dxf>
      <fill>
        <patternFill>
          <bgColor rgb="FFF5D23D"/>
        </patternFill>
      </fill>
    </dxf>
    <dxf>
      <fill>
        <patternFill>
          <bgColor rgb="FF01B8AA"/>
        </patternFill>
      </fill>
    </dxf>
    <dxf>
      <fill>
        <patternFill>
          <bgColor theme="0"/>
        </patternFill>
      </fill>
    </dxf>
    <dxf>
      <fill>
        <patternFill>
          <bgColor rgb="FFB4D8DE"/>
        </patternFill>
      </fill>
    </dxf>
    <dxf>
      <fill>
        <patternFill>
          <bgColor theme="0"/>
        </patternFill>
      </fill>
    </dxf>
    <dxf>
      <numFmt numFmtId="19" formatCode="dd/mm/yyyy"/>
    </dxf>
    <dxf>
      <alignment horizontal="center" vertical="center" textRotation="0" wrapText="0" indent="0" justifyLastLine="0" shrinkToFit="0" readingOrder="0"/>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b/>
        <color theme="1"/>
      </font>
      <border>
        <bottom style="thin">
          <color rgb="FF01B8AA"/>
        </bottom>
        <vertical/>
        <horizontal/>
      </border>
    </dxf>
    <dxf>
      <font>
        <sz val="9"/>
        <color theme="1"/>
      </font>
      <border>
        <left style="thin">
          <color theme="0" tint="-4.9989318521683403E-2"/>
        </left>
        <right style="thin">
          <color theme="0" tint="-4.9989318521683403E-2"/>
        </right>
        <top style="thin">
          <color theme="0" tint="-4.9989318521683403E-2"/>
        </top>
        <bottom style="thin">
          <color theme="0" tint="-4.9989318521683403E-2"/>
        </bottom>
        <vertical/>
        <horizontal/>
      </border>
    </dxf>
    <dxf>
      <fill>
        <patternFill patternType="solid">
          <fgColor theme="4" tint="0.79992065187536243"/>
          <bgColor rgb="FFFAFAFA"/>
        </patternFill>
      </fill>
    </dxf>
    <dxf>
      <fill>
        <patternFill patternType="solid">
          <fgColor theme="0" tint="-4.9989318521683403E-2"/>
          <bgColor rgb="FFF7F7F7"/>
        </patternFill>
      </fill>
    </dxf>
    <dxf>
      <font>
        <b/>
        <color theme="1"/>
      </font>
    </dxf>
    <dxf>
      <font>
        <b/>
        <color theme="1"/>
      </font>
    </dxf>
    <dxf>
      <font>
        <b/>
        <color theme="1"/>
      </font>
      <border>
        <top style="double">
          <color theme="4"/>
        </top>
      </border>
    </dxf>
    <dxf>
      <font>
        <b/>
        <i val="0"/>
        <u val="none"/>
        <color theme="1" tint="0.24994659260841701"/>
      </font>
      <fill>
        <patternFill patternType="solid">
          <fgColor theme="0" tint="-4.9989318521683403E-2"/>
          <bgColor theme="0" tint="-4.9989318521683403E-2"/>
        </patternFill>
      </fill>
      <border>
        <top style="thin">
          <color theme="0" tint="-0.14996795556505021"/>
        </top>
        <bottom style="medium">
          <color rgb="FF01B8AA"/>
        </bottom>
      </border>
    </dxf>
    <dxf>
      <font>
        <color theme="1" tint="0.24994659260841701"/>
      </font>
      <border>
        <left/>
        <right/>
        <top style="thin">
          <color theme="0" tint="-0.14996795556505021"/>
        </top>
        <bottom style="thin">
          <color theme="0" tint="-0.14996795556505021"/>
        </bottom>
        <horizontal style="thin">
          <color theme="0" tint="-0.14996795556505021"/>
        </horizontal>
      </border>
    </dxf>
    <dxf>
      <fill>
        <patternFill patternType="solid">
          <fgColor theme="4" tint="0.79992065187536243"/>
          <bgColor rgb="FFFAFAFA"/>
        </patternFill>
      </fill>
    </dxf>
    <dxf>
      <fill>
        <patternFill patternType="solid">
          <fgColor theme="0" tint="-4.9989318521683403E-2"/>
          <bgColor rgb="FFF7F7F7"/>
        </patternFill>
      </fill>
    </dxf>
    <dxf>
      <font>
        <b/>
        <color theme="1"/>
      </font>
    </dxf>
    <dxf>
      <font>
        <b/>
        <color theme="1"/>
      </font>
    </dxf>
    <dxf>
      <font>
        <b/>
        <color theme="1"/>
      </font>
      <border>
        <top style="double">
          <color theme="4"/>
        </top>
      </border>
    </dxf>
    <dxf>
      <font>
        <b/>
        <i val="0"/>
        <u val="none"/>
        <color theme="1" tint="0.24994659260841701"/>
      </font>
      <fill>
        <patternFill patternType="solid">
          <fgColor theme="0" tint="-4.9989318521683403E-2"/>
          <bgColor theme="0" tint="-4.9989318521683403E-2"/>
        </patternFill>
      </fill>
      <border>
        <top style="thin">
          <color theme="0" tint="-0.14996795556505021"/>
        </top>
        <bottom style="medium">
          <color rgb="FF01B8AA"/>
        </bottom>
      </border>
    </dxf>
    <dxf>
      <font>
        <color theme="1" tint="0.24994659260841701"/>
      </font>
      <border>
        <left/>
        <right/>
        <top style="thin">
          <color theme="0" tint="-0.14996795556505021"/>
        </top>
        <bottom style="thin">
          <color theme="0" tint="-0.14996795556505021"/>
        </bottom>
        <horizontal style="thin">
          <color theme="0" tint="-0.14996795556505021"/>
        </horizontal>
      </border>
    </dxf>
    <dxf>
      <fill>
        <patternFill patternType="solid">
          <fgColor theme="4" tint="0.79992065187536243"/>
          <bgColor rgb="FFFAFAFA"/>
        </patternFill>
      </fill>
    </dxf>
    <dxf>
      <fill>
        <patternFill patternType="solid">
          <fgColor theme="0" tint="-4.9989318521683403E-2"/>
          <bgColor rgb="FFF7F7F7"/>
        </patternFill>
      </fill>
    </dxf>
    <dxf>
      <font>
        <b/>
        <color theme="1"/>
      </font>
    </dxf>
    <dxf>
      <font>
        <b/>
        <color theme="1"/>
      </font>
    </dxf>
    <dxf>
      <font>
        <b/>
        <color theme="1"/>
      </font>
      <border>
        <top style="double">
          <color theme="4"/>
        </top>
      </border>
    </dxf>
    <dxf>
      <font>
        <b/>
        <i val="0"/>
        <u val="none"/>
        <color theme="1" tint="0.24994659260841701"/>
      </font>
      <fill>
        <patternFill patternType="solid">
          <fgColor theme="0" tint="-4.9989318521683403E-2"/>
          <bgColor theme="0" tint="-4.9989318521683403E-2"/>
        </patternFill>
      </fill>
      <border>
        <top style="thin">
          <color theme="0" tint="-0.14996795556505021"/>
        </top>
        <bottom style="medium">
          <color rgb="FF01B8AA"/>
        </bottom>
      </border>
    </dxf>
    <dxf>
      <font>
        <color theme="1" tint="0.24994659260841701"/>
      </font>
      <border>
        <left/>
        <right/>
        <top style="thin">
          <color theme="0" tint="-0.14996795556505021"/>
        </top>
        <bottom style="thin">
          <color theme="0" tint="-0.14996795556505021"/>
        </bottom>
        <horizontal style="thin">
          <color theme="0" tint="-0.14996795556505021"/>
        </horizontal>
      </border>
    </dxf>
    <dxf>
      <fill>
        <patternFill patternType="solid">
          <fgColor theme="4" tint="0.79992065187536243"/>
          <bgColor rgb="FFFAFAFA"/>
        </patternFill>
      </fill>
    </dxf>
    <dxf>
      <fill>
        <patternFill patternType="solid">
          <fgColor theme="0" tint="-4.9989318521683403E-2"/>
          <bgColor rgb="FFF7F7F7"/>
        </patternFill>
      </fill>
    </dxf>
    <dxf>
      <font>
        <b/>
        <color theme="1"/>
      </font>
    </dxf>
    <dxf>
      <font>
        <b/>
        <color theme="1"/>
      </font>
    </dxf>
    <dxf>
      <font>
        <b/>
        <color theme="1"/>
      </font>
      <border>
        <top style="double">
          <color theme="4"/>
        </top>
      </border>
    </dxf>
    <dxf>
      <font>
        <b/>
        <i val="0"/>
        <u val="none"/>
        <color theme="1" tint="0.24994659260841701"/>
      </font>
      <fill>
        <patternFill patternType="solid">
          <fgColor theme="0" tint="-4.9989318521683403E-2"/>
          <bgColor theme="0" tint="-4.9989318521683403E-2"/>
        </patternFill>
      </fill>
      <border>
        <top style="thin">
          <color theme="0" tint="-0.14996795556505021"/>
        </top>
        <bottom style="medium">
          <color rgb="FF01B8AA"/>
        </bottom>
      </border>
    </dxf>
    <dxf>
      <font>
        <color theme="1" tint="0.24994659260841701"/>
      </font>
      <border>
        <left/>
        <right/>
        <top style="thin">
          <color theme="0" tint="-0.14996795556505021"/>
        </top>
        <bottom style="thin">
          <color theme="0" tint="-0.14996795556505021"/>
        </bottom>
        <horizontal style="thin">
          <color theme="0" tint="-0.14996795556505021"/>
        </horizontal>
      </border>
    </dxf>
  </dxfs>
  <tableStyles count="20" defaultTableStyle="TableStyleMedium2" defaultPivotStyle="PivotStyleLight16">
    <tableStyle name="Adnia" pivot="0" count="7">
      <tableStyleElement type="wholeTable" dxfId="79"/>
      <tableStyleElement type="headerRow" dxfId="78"/>
      <tableStyleElement type="totalRow" dxfId="77"/>
      <tableStyleElement type="firstColumn" dxfId="76"/>
      <tableStyleElement type="lastColumn" dxfId="75"/>
      <tableStyleElement type="firstRowStripe" dxfId="74"/>
      <tableStyleElement type="firstColumnStripe" dxfId="73"/>
    </tableStyle>
    <tableStyle name="Adnia 2" pivot="0" count="7">
      <tableStyleElement type="wholeTable" dxfId="72"/>
      <tableStyleElement type="headerRow" dxfId="71"/>
      <tableStyleElement type="totalRow" dxfId="70"/>
      <tableStyleElement type="firstColumn" dxfId="69"/>
      <tableStyleElement type="lastColumn" dxfId="68"/>
      <tableStyleElement type="firstRowStripe" dxfId="67"/>
      <tableStyleElement type="firstColumnStripe" dxfId="66"/>
    </tableStyle>
    <tableStyle name="Adnia 3" pivot="0" count="7">
      <tableStyleElement type="wholeTable" dxfId="65"/>
      <tableStyleElement type="headerRow" dxfId="64"/>
      <tableStyleElement type="totalRow" dxfId="63"/>
      <tableStyleElement type="firstColumn" dxfId="62"/>
      <tableStyleElement type="lastColumn" dxfId="61"/>
      <tableStyleElement type="firstRowStripe" dxfId="60"/>
      <tableStyleElement type="firstColumnStripe" dxfId="59"/>
    </tableStyle>
    <tableStyle name="Adnia 4" pivot="0" count="7">
      <tableStyleElement type="wholeTable" dxfId="58"/>
      <tableStyleElement type="headerRow" dxfId="57"/>
      <tableStyleElement type="totalRow" dxfId="56"/>
      <tableStyleElement type="firstColumn" dxfId="55"/>
      <tableStyleElement type="lastColumn" dxfId="54"/>
      <tableStyleElement type="firstRowStripe" dxfId="53"/>
      <tableStyleElement type="firstColumnStripe" dxfId="52"/>
    </tableStyle>
    <tableStyle name="AdniaSlicer" pivot="0" table="0" count="10">
      <tableStyleElement type="wholeTable" dxfId="51"/>
      <tableStyleElement type="headerRow" dxfId="50"/>
    </tableStyle>
    <tableStyle name="AdniaSlicer 10" pivot="0" table="0" count="10">
      <tableStyleElement type="wholeTable" dxfId="49"/>
      <tableStyleElement type="headerRow" dxfId="48"/>
    </tableStyle>
    <tableStyle name="AdniaSlicer 11" pivot="0" table="0" count="10">
      <tableStyleElement type="wholeTable" dxfId="47"/>
      <tableStyleElement type="headerRow" dxfId="46"/>
    </tableStyle>
    <tableStyle name="AdniaSlicer 12" pivot="0" table="0" count="10">
      <tableStyleElement type="wholeTable" dxfId="45"/>
      <tableStyleElement type="headerRow" dxfId="44"/>
    </tableStyle>
    <tableStyle name="AdniaSlicer 13" pivot="0" table="0" count="10">
      <tableStyleElement type="wholeTable" dxfId="43"/>
      <tableStyleElement type="headerRow" dxfId="42"/>
    </tableStyle>
    <tableStyle name="AdniaSlicer 14" pivot="0" table="0" count="10">
      <tableStyleElement type="wholeTable" dxfId="41"/>
      <tableStyleElement type="headerRow" dxfId="40"/>
    </tableStyle>
    <tableStyle name="AdniaSlicer 15" pivot="0" table="0" count="10">
      <tableStyleElement type="wholeTable" dxfId="39"/>
      <tableStyleElement type="headerRow" dxfId="38"/>
    </tableStyle>
    <tableStyle name="AdniaSlicer 16" pivot="0" table="0" count="10">
      <tableStyleElement type="wholeTable" dxfId="37"/>
      <tableStyleElement type="headerRow" dxfId="36"/>
    </tableStyle>
    <tableStyle name="AdniaSlicer 2" pivot="0" table="0" count="10">
      <tableStyleElement type="wholeTable" dxfId="35"/>
      <tableStyleElement type="headerRow" dxfId="34"/>
    </tableStyle>
    <tableStyle name="AdniaSlicer 3" pivot="0" table="0" count="10">
      <tableStyleElement type="wholeTable" dxfId="33"/>
      <tableStyleElement type="headerRow" dxfId="32"/>
    </tableStyle>
    <tableStyle name="AdniaSlicer 4" pivot="0" table="0" count="10">
      <tableStyleElement type="wholeTable" dxfId="31"/>
      <tableStyleElement type="headerRow" dxfId="30"/>
    </tableStyle>
    <tableStyle name="AdniaSlicer 5" pivot="0" table="0" count="10">
      <tableStyleElement type="wholeTable" dxfId="29"/>
      <tableStyleElement type="headerRow" dxfId="28"/>
    </tableStyle>
    <tableStyle name="AdniaSlicer 6" pivot="0" table="0" count="10">
      <tableStyleElement type="wholeTable" dxfId="27"/>
      <tableStyleElement type="headerRow" dxfId="26"/>
    </tableStyle>
    <tableStyle name="AdniaSlicer 7" pivot="0" table="0" count="10">
      <tableStyleElement type="wholeTable" dxfId="25"/>
      <tableStyleElement type="headerRow" dxfId="24"/>
    </tableStyle>
    <tableStyle name="AdniaSlicer 8" pivot="0" table="0" count="10">
      <tableStyleElement type="wholeTable" dxfId="23"/>
      <tableStyleElement type="headerRow" dxfId="22"/>
    </tableStyle>
    <tableStyle name="AdniaSlicer 9" pivot="0" table="0" count="10">
      <tableStyleElement type="wholeTable" dxfId="21"/>
      <tableStyleElement type="headerRow" dxfId="20"/>
    </tableStyle>
  </tableStyles>
  <colors>
    <mruColors>
      <color rgb="FFB4D8DE"/>
      <color rgb="FF01B8AA"/>
      <color rgb="FFD8E9F2"/>
      <color rgb="FFFD7E7B"/>
      <color rgb="FF6EB5C0"/>
      <color rgb="FFF5D23D"/>
      <color rgb="FFE2E8E4"/>
      <color rgb="FFC1C8C7"/>
    </mruColors>
  </colors>
  <extLst>
    <ext xmlns:x14="http://schemas.microsoft.com/office/spreadsheetml/2009/9/main" uri="{46F421CA-312F-682f-3DD2-61675219B42D}">
      <x14:dxfs count="12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dniaSlicer">
          <x14:slicerStyleElements>
            <x14:slicerStyleElement type="unselectedItemWithData" dxfId="127"/>
            <x14:slicerStyleElement type="unselectedItemWithNoData" dxfId="126"/>
            <x14:slicerStyleElement type="selectedItemWithData" dxfId="125"/>
            <x14:slicerStyleElement type="selectedItemWithNoData" dxfId="124"/>
            <x14:slicerStyleElement type="hoveredUnselectedItemWithData" dxfId="123"/>
            <x14:slicerStyleElement type="hoveredSelectedItemWithData" dxfId="122"/>
            <x14:slicerStyleElement type="hoveredUnselectedItemWithNoData" dxfId="121"/>
            <x14:slicerStyleElement type="hoveredSelectedItemWithNoData" dxfId="120"/>
          </x14:slicerStyleElements>
        </x14:slicerStyle>
        <x14:slicerStyle name="AdniaSlicer 10">
          <x14:slicerStyleElements>
            <x14:slicerStyleElement type="unselectedItemWithData" dxfId="119"/>
            <x14:slicerStyleElement type="unselectedItemWithNoData" dxfId="118"/>
            <x14:slicerStyleElement type="selectedItemWithData" dxfId="117"/>
            <x14:slicerStyleElement type="selectedItemWithNoData" dxfId="116"/>
            <x14:slicerStyleElement type="hoveredUnselectedItemWithData" dxfId="115"/>
            <x14:slicerStyleElement type="hoveredSelectedItemWithData" dxfId="114"/>
            <x14:slicerStyleElement type="hoveredUnselectedItemWithNoData" dxfId="113"/>
            <x14:slicerStyleElement type="hoveredSelectedItemWithNoData" dxfId="112"/>
          </x14:slicerStyleElements>
        </x14:slicerStyle>
        <x14:slicerStyle name="AdniaSlicer 11">
          <x14:slicerStyleElements>
            <x14:slicerStyleElement type="unselectedItemWithData" dxfId="111"/>
            <x14:slicerStyleElement type="unselectedItemWithNoData" dxfId="110"/>
            <x14:slicerStyleElement type="selectedItemWithData" dxfId="109"/>
            <x14:slicerStyleElement type="selectedItemWithNoData" dxfId="108"/>
            <x14:slicerStyleElement type="hoveredUnselectedItemWithData" dxfId="107"/>
            <x14:slicerStyleElement type="hoveredSelectedItemWithData" dxfId="106"/>
            <x14:slicerStyleElement type="hoveredUnselectedItemWithNoData" dxfId="105"/>
            <x14:slicerStyleElement type="hoveredSelectedItemWithNoData" dxfId="104"/>
          </x14:slicerStyleElements>
        </x14:slicerStyle>
        <x14:slicerStyle name="AdniaSlicer 12">
          <x14:slicerStyleElements>
            <x14:slicerStyleElement type="unselectedItemWithData" dxfId="103"/>
            <x14:slicerStyleElement type="unselectedItemWithNoData" dxfId="102"/>
            <x14:slicerStyleElement type="selectedItemWithData" dxfId="101"/>
            <x14:slicerStyleElement type="selectedItemWithNoData" dxfId="100"/>
            <x14:slicerStyleElement type="hoveredUnselectedItemWithData" dxfId="99"/>
            <x14:slicerStyleElement type="hoveredSelectedItemWithData" dxfId="98"/>
            <x14:slicerStyleElement type="hoveredUnselectedItemWithNoData" dxfId="97"/>
            <x14:slicerStyleElement type="hoveredSelectedItemWithNoData" dxfId="96"/>
          </x14:slicerStyleElements>
        </x14:slicerStyle>
        <x14:slicerStyle name="AdniaSlicer 13">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UnselectedItemWithData" dxfId="91"/>
            <x14:slicerStyleElement type="hoveredSelectedItemWithData" dxfId="90"/>
            <x14:slicerStyleElement type="hoveredUnselectedItemWithNoData" dxfId="89"/>
            <x14:slicerStyleElement type="hoveredSelectedItemWithNoData" dxfId="88"/>
          </x14:slicerStyleElements>
        </x14:slicerStyle>
        <x14:slicerStyle name="AdniaSlicer 14">
          <x14:slicerStyleElements>
            <x14:slicerStyleElement type="unselectedItemWithData" dxfId="87"/>
            <x14:slicerStyleElement type="unselectedItemWithNoData" dxfId="86"/>
            <x14:slicerStyleElement type="selectedItemWithData" dxfId="85"/>
            <x14:slicerStyleElement type="selectedItemWithNoData" dxfId="84"/>
            <x14:slicerStyleElement type="hoveredUnselectedItemWithData" dxfId="83"/>
            <x14:slicerStyleElement type="hoveredSelectedItemWithData" dxfId="82"/>
            <x14:slicerStyleElement type="hoveredUnselectedItemWithNoData" dxfId="81"/>
            <x14:slicerStyleElement type="hoveredSelectedItemWithNoData" dxfId="80"/>
          </x14:slicerStyleElements>
        </x14:slicerStyle>
        <x14:slicerStyle name="AdniaSlicer 15">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AdniaSlicer 16">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AdniaSlicer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AdniaSlicer 3">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AdniaSlicer 4">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AdniaSlicer 5">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AdniaSlicer 6">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AdniaSlicer 7">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AdniaSlicer 8">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AdniaSlicer 9">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openxmlformats.org/officeDocument/2006/relationships/customXml" Target="../customXml/item1.xml"/><Relationship Id="rId26" Type="http://schemas.openxmlformats.org/officeDocument/2006/relationships/customXml" Target="../customXml/item9.xml"/><Relationship Id="rId3" Type="http://schemas.openxmlformats.org/officeDocument/2006/relationships/worksheet" Target="worksheets/sheet3.xml"/><Relationship Id="rId21" Type="http://schemas.openxmlformats.org/officeDocument/2006/relationships/customXml" Target="../customXml/item4.xml"/><Relationship Id="rId34" Type="http://schemas.microsoft.com/office/2006/relationships/vbaProject" Target="vbaProject.bin"/><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24" Type="http://schemas.openxmlformats.org/officeDocument/2006/relationships/customXml" Target="../customXml/item7.xml"/><Relationship Id="rId32"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6.xml"/><Relationship Id="rId28" Type="http://schemas.openxmlformats.org/officeDocument/2006/relationships/customXml" Target="../customXml/item11.xml"/><Relationship Id="rId10" Type="http://schemas.microsoft.com/office/2007/relationships/slicerCache" Target="slicerCaches/slicerCache3.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9501295802591585E-2"/>
          <c:y val="6.5815166474023259E-2"/>
          <c:w val="0.90755907165147665"/>
          <c:h val="0.92652072196740287"/>
        </c:manualLayout>
      </c:layout>
      <c:barChart>
        <c:barDir val="bar"/>
        <c:grouping val="stacked"/>
        <c:varyColors val="0"/>
        <c:ser>
          <c:idx val="0"/>
          <c:order val="0"/>
          <c:tx>
            <c:v>Дата начала</c:v>
          </c:tx>
          <c:spPr>
            <a:noFill/>
            <a:ln>
              <a:noFill/>
            </a:ln>
            <a:effectLst/>
          </c:spPr>
          <c:invertIfNegative val="0"/>
          <c:cat>
            <c:multiLvlStrRef>
              <c:f>Сводовая!$E$7:$F$13</c:f>
              <c:multiLvlStrCache>
                <c:ptCount val="7"/>
                <c:lvl>
                  <c:pt idx="0">
                    <c:v>Актуализировать текст отчета по концепции</c:v>
                  </c:pt>
                  <c:pt idx="1">
                    <c:v>Актуализировать текст отчета по экономике</c:v>
                  </c:pt>
                  <c:pt idx="2">
                    <c:v>Написание статьи</c:v>
                  </c:pt>
                  <c:pt idx="3">
                    <c:v>Редактирование отчета</c:v>
                  </c:pt>
                  <c:pt idx="4">
                    <c:v>Исправить замечания эксперта, 3 таблицы</c:v>
                  </c:pt>
                  <c:pt idx="5">
                    <c:v>Помощь Алёне </c:v>
                  </c:pt>
                  <c:pt idx="6">
                    <c:v>Выпить кофе, съесть печеньки</c:v>
                  </c:pt>
                </c:lvl>
                <c:lvl>
                  <c:pt idx="0">
                    <c:v>Первый сотрудник</c:v>
                  </c:pt>
                  <c:pt idx="1">
                    <c:v>Первый сотрудник</c:v>
                  </c:pt>
                  <c:pt idx="2">
                    <c:v>Первый сотрудник</c:v>
                  </c:pt>
                  <c:pt idx="3">
                    <c:v>Первый сотрудник</c:v>
                  </c:pt>
                  <c:pt idx="4">
                    <c:v>Второй сотрудник</c:v>
                  </c:pt>
                  <c:pt idx="5">
                    <c:v>Второй сотрудник</c:v>
                  </c:pt>
                  <c:pt idx="6">
                    <c:v>Второй сотрудник</c:v>
                  </c:pt>
                </c:lvl>
              </c:multiLvlStrCache>
            </c:multiLvlStrRef>
          </c:cat>
          <c:val>
            <c:numRef>
              <c:f>Сводовая!$H$7:$H$13</c:f>
              <c:numCache>
                <c:formatCode>m/d/yyyy</c:formatCode>
                <c:ptCount val="7"/>
                <c:pt idx="0">
                  <c:v>44430</c:v>
                </c:pt>
                <c:pt idx="1">
                  <c:v>44433</c:v>
                </c:pt>
                <c:pt idx="2">
                  <c:v>44555</c:v>
                </c:pt>
                <c:pt idx="3">
                  <c:v>44555</c:v>
                </c:pt>
                <c:pt idx="4">
                  <c:v>44431</c:v>
                </c:pt>
                <c:pt idx="5">
                  <c:v>44540</c:v>
                </c:pt>
                <c:pt idx="6">
                  <c:v>44540</c:v>
                </c:pt>
              </c:numCache>
            </c:numRef>
          </c:val>
          <c:extLst>
            <c:ext xmlns:c16="http://schemas.microsoft.com/office/drawing/2014/chart" uri="{C3380CC4-5D6E-409C-BE32-E72D297353CC}">
              <c16:uniqueId val="{00000000-AFF4-4682-85FE-109EBC695EE2}"/>
            </c:ext>
          </c:extLst>
        </c:ser>
        <c:ser>
          <c:idx val="1"/>
          <c:order val="1"/>
          <c:tx>
            <c:v>Продолжительность</c:v>
          </c:tx>
          <c:spPr>
            <a:solidFill>
              <a:srgbClr val="C00000"/>
            </a:solidFill>
            <a:ln cap="rnd">
              <a:noFill/>
            </a:ln>
            <a:effectLst>
              <a:glow rad="101600">
                <a:srgbClr val="C00000">
                  <a:alpha val="30000"/>
                </a:srgbClr>
              </a:glow>
            </a:effectLst>
            <a:scene3d>
              <a:camera prst="orthographicFront"/>
              <a:lightRig rig="threePt" dir="t"/>
            </a:scene3d>
            <a:sp3d prstMaterial="flat">
              <a:bevelT/>
              <a:bevelB/>
            </a:sp3d>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solidFill>
                      <a:sysClr val="windowText" lastClr="000000"/>
                    </a:solidFill>
                    <a:latin typeface="Arial Narrow" panose="020B0606020202030204" pitchFamily="34" charset="0"/>
                    <a:ea typeface="+mn-ea"/>
                    <a:cs typeface="+mn-cs"/>
                  </a:defRPr>
                </a:pPr>
                <a:endParaRPr lang="ru-RU"/>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0"/>
              </c:ext>
            </c:extLst>
          </c:dLbls>
          <c:cat>
            <c:multiLvlStrRef>
              <c:f>Сводовая!$E$7:$F$13</c:f>
              <c:multiLvlStrCache>
                <c:ptCount val="7"/>
                <c:lvl>
                  <c:pt idx="0">
                    <c:v>Актуализировать текст отчета по концепции</c:v>
                  </c:pt>
                  <c:pt idx="1">
                    <c:v>Актуализировать текст отчета по экономике</c:v>
                  </c:pt>
                  <c:pt idx="2">
                    <c:v>Написание статьи</c:v>
                  </c:pt>
                  <c:pt idx="3">
                    <c:v>Редактирование отчета</c:v>
                  </c:pt>
                  <c:pt idx="4">
                    <c:v>Исправить замечания эксперта, 3 таблицы</c:v>
                  </c:pt>
                  <c:pt idx="5">
                    <c:v>Помощь Алёне </c:v>
                  </c:pt>
                  <c:pt idx="6">
                    <c:v>Выпить кофе, съесть печеньки</c:v>
                  </c:pt>
                </c:lvl>
                <c:lvl>
                  <c:pt idx="0">
                    <c:v>Первый сотрудник</c:v>
                  </c:pt>
                  <c:pt idx="1">
                    <c:v>Первый сотрудник</c:v>
                  </c:pt>
                  <c:pt idx="2">
                    <c:v>Первый сотрудник</c:v>
                  </c:pt>
                  <c:pt idx="3">
                    <c:v>Первый сотрудник</c:v>
                  </c:pt>
                  <c:pt idx="4">
                    <c:v>Второй сотрудник</c:v>
                  </c:pt>
                  <c:pt idx="5">
                    <c:v>Второй сотрудник</c:v>
                  </c:pt>
                  <c:pt idx="6">
                    <c:v>Второй сотрудник</c:v>
                  </c:pt>
                </c:lvl>
              </c:multiLvlStrCache>
            </c:multiLvlStrRef>
          </c:cat>
          <c:val>
            <c:numRef>
              <c:f>Сводовая!$J$7:$J$13</c:f>
              <c:numCache>
                <c:formatCode>General</c:formatCode>
                <c:ptCount val="7"/>
                <c:pt idx="0">
                  <c:v>2</c:v>
                </c:pt>
                <c:pt idx="1">
                  <c:v>36</c:v>
                </c:pt>
                <c:pt idx="2">
                  <c:v>5</c:v>
                </c:pt>
                <c:pt idx="3">
                  <c:v>5</c:v>
                </c:pt>
                <c:pt idx="4">
                  <c:v>1</c:v>
                </c:pt>
                <c:pt idx="5">
                  <c:v>10</c:v>
                </c:pt>
                <c:pt idx="6">
                  <c:v>10</c:v>
                </c:pt>
              </c:numCache>
            </c:numRef>
          </c:val>
          <c:extLst>
            <c:ext xmlns:c16="http://schemas.microsoft.com/office/drawing/2014/chart" uri="{C3380CC4-5D6E-409C-BE32-E72D297353CC}">
              <c16:uniqueId val="{00000001-AFF4-4682-85FE-109EBC695EE2}"/>
            </c:ext>
          </c:extLst>
        </c:ser>
        <c:dLbls>
          <c:showLegendKey val="0"/>
          <c:showVal val="0"/>
          <c:showCatName val="0"/>
          <c:showSerName val="0"/>
          <c:showPercent val="0"/>
          <c:showBubbleSize val="0"/>
        </c:dLbls>
        <c:gapWidth val="150"/>
        <c:overlap val="100"/>
        <c:axId val="1649018032"/>
        <c:axId val="1649016944"/>
      </c:barChart>
      <c:catAx>
        <c:axId val="164901803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400" b="0" i="0" u="none" strike="noStrike" kern="1200" baseline="0">
                <a:solidFill>
                  <a:sysClr val="windowText" lastClr="000000"/>
                </a:solidFill>
                <a:latin typeface="Arial Narrow" panose="020B0606020202030204" pitchFamily="34" charset="0"/>
                <a:ea typeface="+mn-ea"/>
                <a:cs typeface="+mn-cs"/>
              </a:defRPr>
            </a:pPr>
            <a:endParaRPr lang="ru-RU"/>
          </a:p>
        </c:txPr>
        <c:crossAx val="1649016944"/>
        <c:crosses val="autoZero"/>
        <c:auto val="1"/>
        <c:lblAlgn val="ctr"/>
        <c:lblOffset val="100"/>
        <c:noMultiLvlLbl val="0"/>
      </c:catAx>
      <c:valAx>
        <c:axId val="1649016944"/>
        <c:scaling>
          <c:orientation val="minMax"/>
          <c:max val="44562"/>
          <c:min val="44410"/>
        </c:scaling>
        <c:delete val="0"/>
        <c:axPos val="t"/>
        <c:majorGridlines>
          <c:spPr>
            <a:ln w="9525" cap="flat" cmpd="sng" algn="ctr">
              <a:solidFill>
                <a:schemeClr val="tx1">
                  <a:lumMod val="15000"/>
                  <a:lumOff val="85000"/>
                </a:schemeClr>
              </a:solidFill>
              <a:round/>
            </a:ln>
            <a:effectLst/>
          </c:spPr>
        </c:majorGridlines>
        <c:numFmt formatCode="[$-419]d\ mmm;@" sourceLinked="0"/>
        <c:majorTickMark val="none"/>
        <c:minorTickMark val="none"/>
        <c:tickLblPos val="nextTo"/>
        <c:spPr>
          <a:noFill/>
          <a:ln>
            <a:noFill/>
          </a:ln>
          <a:effectLst/>
        </c:spPr>
        <c:txPr>
          <a:bodyPr rot="-1920000" spcFirstLastPara="1" vertOverflow="ellipsis" wrap="square" anchor="ctr" anchorCtr="1"/>
          <a:lstStyle/>
          <a:p>
            <a:pPr>
              <a:defRPr sz="1400" b="0" i="0" u="none" strike="noStrike" kern="1200" baseline="0">
                <a:solidFill>
                  <a:sysClr val="windowText" lastClr="000000"/>
                </a:solidFill>
                <a:latin typeface="Arial Narrow" panose="020B0606020202030204" pitchFamily="34" charset="0"/>
                <a:ea typeface="+mn-ea"/>
                <a:cs typeface="+mn-cs"/>
              </a:defRPr>
            </a:pPr>
            <a:endParaRPr lang="ru-RU"/>
          </a:p>
        </c:txPr>
        <c:crossAx val="1649018032"/>
        <c:crosses val="autoZero"/>
        <c:crossBetween val="between"/>
        <c:majorUnit val="7"/>
        <c:minorUnit val="1"/>
      </c:valAx>
      <c:spPr>
        <a:noFill/>
        <a:ln>
          <a:noFill/>
        </a:ln>
        <a:effectLst/>
      </c:spPr>
    </c:plotArea>
    <c:legend>
      <c:legendPos val="r"/>
      <c:legendEntry>
        <c:idx val="0"/>
        <c:delete val="1"/>
      </c:legendEntry>
      <c:layout>
        <c:manualLayout>
          <c:xMode val="edge"/>
          <c:yMode val="edge"/>
          <c:x val="9.9391340290828269E-3"/>
          <c:y val="1.608489247415433E-2"/>
          <c:w val="6.2038591524619977E-2"/>
          <c:h val="8.3438299367550969E-2"/>
        </c:manualLayout>
      </c:layou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Narrow" panose="020B0606020202030204" pitchFamily="34" charset="0"/>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400">
          <a:solidFill>
            <a:sysClr val="windowText" lastClr="000000"/>
          </a:solidFill>
          <a:latin typeface="Arial Narrow" panose="020B0606020202030204" pitchFamily="34" charset="0"/>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1057;&#1090;&#1077;&#1085;&#1072; &#1079;&#1072;&#1076;&#1072;&#1095;'!A1"/><Relationship Id="rId2" Type="http://schemas.openxmlformats.org/officeDocument/2006/relationships/hyperlink" Target="#&#1057;&#1074;&#1086;&#1076;&#1086;&#1074;&#1072;&#1103;!A1"/><Relationship Id="rId1" Type="http://schemas.openxmlformats.org/officeDocument/2006/relationships/hyperlink" Target="#'&#1050;&#1072;&#1083;&#1077;&#1085;&#1076;&#1072;&#1088;&#1100; &#1079;&#1072;&#1076;&#1072;&#1095;'!A1"/></Relationships>
</file>

<file path=xl/drawings/_rels/drawing2.xml.rels><?xml version="1.0" encoding="UTF-8" standalone="yes"?>
<Relationships xmlns="http://schemas.openxmlformats.org/package/2006/relationships"><Relationship Id="rId3" Type="http://schemas.openxmlformats.org/officeDocument/2006/relationships/hyperlink" Target="#'&#1057;&#1090;&#1077;&#1085;&#1072; &#1079;&#1072;&#1076;&#1072;&#1095;'!A1"/><Relationship Id="rId2" Type="http://schemas.openxmlformats.org/officeDocument/2006/relationships/hyperlink" Target="#&#1057;&#1074;&#1086;&#1076;&#1086;&#1074;&#1072;&#1103;!A1"/><Relationship Id="rId1" Type="http://schemas.openxmlformats.org/officeDocument/2006/relationships/hyperlink" Target="#'&#1050;&#1072;&#1083;&#1077;&#1085;&#1076;&#1072;&#1088;&#1100; &#1079;&#1072;&#1076;&#1072;&#1095;'!A1"/><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1057;&#1090;&#1077;&#1085;&#1072; &#1079;&#1072;&#1076;&#1072;&#1095;'!A1"/><Relationship Id="rId2" Type="http://schemas.openxmlformats.org/officeDocument/2006/relationships/hyperlink" Target="#&#1057;&#1074;&#1086;&#1076;&#1086;&#1074;&#1072;&#1103;!A1"/><Relationship Id="rId1" Type="http://schemas.openxmlformats.org/officeDocument/2006/relationships/hyperlink" Target="#'&#1050;&#1072;&#1083;&#1077;&#1085;&#1076;&#1072;&#1088;&#1100; &#1079;&#1072;&#1076;&#1072;&#1095;'!A1"/><Relationship Id="rId4"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oneCellAnchor>
    <xdr:from>
      <xdr:col>5</xdr:col>
      <xdr:colOff>243844</xdr:colOff>
      <xdr:row>0</xdr:row>
      <xdr:rowOff>120968</xdr:rowOff>
    </xdr:from>
    <xdr:ext cx="1440000" cy="270000"/>
    <xdr:sp macro="" textlink="">
      <xdr:nvSpPr>
        <xdr:cNvPr id="4" name="TextBox 4">
          <a:hlinkClick xmlns:r="http://schemas.openxmlformats.org/officeDocument/2006/relationships" r:id="rId1"/>
          <a:extLst>
            <a:ext uri="{FF2B5EF4-FFF2-40B4-BE49-F238E27FC236}">
              <a16:creationId xmlns:a16="http://schemas.microsoft.com/office/drawing/2014/main" id="{96780F9C-CF03-45FF-91FC-2321BA039364}"/>
            </a:ext>
          </a:extLst>
        </xdr:cNvPr>
        <xdr:cNvSpPr txBox="1"/>
      </xdr:nvSpPr>
      <xdr:spPr>
        <a:xfrm>
          <a:off x="5911219" y="120968"/>
          <a:ext cx="1440000" cy="2700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a:solidFill>
                <a:schemeClr val="bg1"/>
              </a:solidFill>
            </a:rPr>
            <a:t>3. </a:t>
          </a:r>
          <a:r>
            <a:rPr lang="ru-RU" sz="1100">
              <a:solidFill>
                <a:schemeClr val="bg1"/>
              </a:solidFill>
            </a:rPr>
            <a:t>Календарь задач</a:t>
          </a:r>
        </a:p>
      </xdr:txBody>
    </xdr:sp>
    <xdr:clientData/>
  </xdr:oneCellAnchor>
  <xdr:oneCellAnchor>
    <xdr:from>
      <xdr:col>2</xdr:col>
      <xdr:colOff>1775466</xdr:colOff>
      <xdr:row>0</xdr:row>
      <xdr:rowOff>123688</xdr:rowOff>
    </xdr:from>
    <xdr:ext cx="1440000" cy="264560"/>
    <xdr:sp macro="" textlink="">
      <xdr:nvSpPr>
        <xdr:cNvPr id="6" name="TextBox 2">
          <a:hlinkClick xmlns:r="http://schemas.openxmlformats.org/officeDocument/2006/relationships" r:id="rId2"/>
          <a:extLst>
            <a:ext uri="{FF2B5EF4-FFF2-40B4-BE49-F238E27FC236}">
              <a16:creationId xmlns:a16="http://schemas.microsoft.com/office/drawing/2014/main" id="{66D19736-F10E-4BBD-A6DD-9793D7365534}"/>
            </a:ext>
          </a:extLst>
        </xdr:cNvPr>
        <xdr:cNvSpPr txBox="1"/>
      </xdr:nvSpPr>
      <xdr:spPr>
        <a:xfrm>
          <a:off x="2989904" y="123688"/>
          <a:ext cx="1440000" cy="264560"/>
        </a:xfrm>
        <a:prstGeom prst="rect">
          <a:avLst/>
        </a:prstGeom>
        <a:solidFill>
          <a:srgbClr val="435361"/>
        </a:solidFill>
        <a:ln>
          <a:noFill/>
        </a:ln>
        <a:effectLst/>
        <a:scene3d>
          <a:camera prst="orthographicFront"/>
          <a:lightRig rig="threePt" dir="t"/>
        </a:scene3d>
        <a:sp3d extrusionH="76200" contourW="12700" prstMaterial="dkEdge">
          <a:bevelT/>
          <a:extrusionClr>
            <a:schemeClr val="bg1">
              <a:lumMod val="85000"/>
            </a:schemeClr>
          </a:extrusionClr>
          <a:contourClr>
            <a:schemeClr val="tx1">
              <a:lumMod val="75000"/>
              <a:lumOff val="25000"/>
            </a:schemeClr>
          </a:contourClr>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1. </a:t>
          </a:r>
          <a:r>
            <a:rPr lang="ru-RU" sz="1100">
              <a:solidFill>
                <a:schemeClr val="bg1"/>
              </a:solidFill>
            </a:rPr>
            <a:t>Сводная</a:t>
          </a:r>
          <a:r>
            <a:rPr lang="ru-RU" sz="1100" baseline="0">
              <a:solidFill>
                <a:schemeClr val="bg1"/>
              </a:solidFill>
            </a:rPr>
            <a:t> таблица</a:t>
          </a:r>
          <a:endParaRPr lang="ru-RU" sz="1100">
            <a:solidFill>
              <a:schemeClr val="bg1"/>
            </a:solidFill>
          </a:endParaRPr>
        </a:p>
      </xdr:txBody>
    </xdr:sp>
    <xdr:clientData/>
  </xdr:oneCellAnchor>
  <xdr:oneCellAnchor>
    <xdr:from>
      <xdr:col>4</xdr:col>
      <xdr:colOff>242890</xdr:colOff>
      <xdr:row>0</xdr:row>
      <xdr:rowOff>119062</xdr:rowOff>
    </xdr:from>
    <xdr:ext cx="1440000" cy="279524"/>
    <xdr:sp macro="" textlink="">
      <xdr:nvSpPr>
        <xdr:cNvPr id="7" name="TextBox 3">
          <a:hlinkClick xmlns:r="http://schemas.openxmlformats.org/officeDocument/2006/relationships" r:id="rId3"/>
          <a:extLst>
            <a:ext uri="{FF2B5EF4-FFF2-40B4-BE49-F238E27FC236}">
              <a16:creationId xmlns:a16="http://schemas.microsoft.com/office/drawing/2014/main" id="{2D2EDCFE-FF13-49E5-99AE-2FCFFF8EEC63}"/>
            </a:ext>
          </a:extLst>
        </xdr:cNvPr>
        <xdr:cNvSpPr txBox="1"/>
      </xdr:nvSpPr>
      <xdr:spPr>
        <a:xfrm>
          <a:off x="4457703" y="119062"/>
          <a:ext cx="1440000" cy="27952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a:solidFill>
                <a:schemeClr val="bg1"/>
              </a:solidFill>
            </a:rPr>
            <a:t>2. </a:t>
          </a:r>
          <a:r>
            <a:rPr lang="ru-RU" sz="1100">
              <a:solidFill>
                <a:schemeClr val="bg1"/>
              </a:solidFill>
            </a:rPr>
            <a:t>Стена задач</a:t>
          </a:r>
          <a:endParaRPr lang="en-US" sz="1100">
            <a:solidFill>
              <a:schemeClr val="bg1"/>
            </a:solidFill>
          </a:endParaRPr>
        </a:p>
      </xdr:txBody>
    </xdr:sp>
    <xdr:clientData/>
  </xdr:oneCellAnchor>
  <mc:AlternateContent xmlns:mc="http://schemas.openxmlformats.org/markup-compatibility/2006">
    <mc:Choice xmlns:a14="http://schemas.microsoft.com/office/drawing/2010/main" Requires="a14">
      <xdr:twoCellAnchor editAs="oneCell">
        <xdr:from>
          <xdr:col>14</xdr:col>
          <xdr:colOff>447675</xdr:colOff>
          <xdr:row>4</xdr:row>
          <xdr:rowOff>152400</xdr:rowOff>
        </xdr:from>
        <xdr:to>
          <xdr:col>16</xdr:col>
          <xdr:colOff>533400</xdr:colOff>
          <xdr:row>7</xdr:row>
          <xdr:rowOff>142875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Обновить БД</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15</xdr:col>
      <xdr:colOff>261936</xdr:colOff>
      <xdr:row>3</xdr:row>
      <xdr:rowOff>11905</xdr:rowOff>
    </xdr:from>
    <xdr:to>
      <xdr:col>20</xdr:col>
      <xdr:colOff>59531</xdr:colOff>
      <xdr:row>11</xdr:row>
      <xdr:rowOff>107155</xdr:rowOff>
    </xdr:to>
    <mc:AlternateContent xmlns:mc="http://schemas.openxmlformats.org/markup-compatibility/2006" xmlns:a14="http://schemas.microsoft.com/office/drawing/2010/main">
      <mc:Choice Requires="a14">
        <xdr:graphicFrame macro="">
          <xdr:nvGraphicFramePr>
            <xdr:cNvPr id="20" name="Исполнитель 1"/>
            <xdr:cNvGraphicFramePr/>
          </xdr:nvGraphicFramePr>
          <xdr:xfrm>
            <a:off x="0" y="0"/>
            <a:ext cx="0" cy="0"/>
          </xdr:xfrm>
          <a:graphic>
            <a:graphicData uri="http://schemas.microsoft.com/office/drawing/2010/slicer">
              <sle:slicer xmlns:sle="http://schemas.microsoft.com/office/drawing/2010/slicer" name="Исполнитель 1"/>
            </a:graphicData>
          </a:graphic>
        </xdr:graphicFrame>
      </mc:Choice>
      <mc:Fallback xmlns="">
        <xdr:sp macro="" textlink="">
          <xdr:nvSpPr>
            <xdr:cNvPr id="0" name=""/>
            <xdr:cNvSpPr>
              <a:spLocks noTextEdit="1"/>
            </xdr:cNvSpPr>
          </xdr:nvSpPr>
          <xdr:spPr>
            <a:xfrm>
              <a:off x="8834436" y="797718"/>
              <a:ext cx="2405064" cy="20955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20</xdr:col>
      <xdr:colOff>273845</xdr:colOff>
      <xdr:row>2</xdr:row>
      <xdr:rowOff>250032</xdr:rowOff>
    </xdr:from>
    <xdr:to>
      <xdr:col>25</xdr:col>
      <xdr:colOff>234725</xdr:colOff>
      <xdr:row>11</xdr:row>
      <xdr:rowOff>95250</xdr:rowOff>
    </xdr:to>
    <mc:AlternateContent xmlns:mc="http://schemas.openxmlformats.org/markup-compatibility/2006" xmlns:a14="http://schemas.microsoft.com/office/drawing/2010/main">
      <mc:Choice Requires="a14">
        <xdr:graphicFrame macro="">
          <xdr:nvGraphicFramePr>
            <xdr:cNvPr id="21" name="Название доски/Проект 1"/>
            <xdr:cNvGraphicFramePr/>
          </xdr:nvGraphicFramePr>
          <xdr:xfrm>
            <a:off x="0" y="0"/>
            <a:ext cx="0" cy="0"/>
          </xdr:xfrm>
          <a:graphic>
            <a:graphicData uri="http://schemas.microsoft.com/office/drawing/2010/slicer">
              <sle:slicer xmlns:sle="http://schemas.microsoft.com/office/drawing/2010/slicer" name="Название доски/Проект 1"/>
            </a:graphicData>
          </a:graphic>
        </xdr:graphicFrame>
      </mc:Choice>
      <mc:Fallback xmlns="">
        <xdr:sp macro="" textlink="">
          <xdr:nvSpPr>
            <xdr:cNvPr id="0" name=""/>
            <xdr:cNvSpPr>
              <a:spLocks noTextEdit="1"/>
            </xdr:cNvSpPr>
          </xdr:nvSpPr>
          <xdr:spPr>
            <a:xfrm>
              <a:off x="11453814" y="773907"/>
              <a:ext cx="2770755" cy="2107406"/>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25</xdr:col>
      <xdr:colOff>409574</xdr:colOff>
      <xdr:row>2</xdr:row>
      <xdr:rowOff>259558</xdr:rowOff>
    </xdr:from>
    <xdr:to>
      <xdr:col>30</xdr:col>
      <xdr:colOff>119062</xdr:colOff>
      <xdr:row>11</xdr:row>
      <xdr:rowOff>107155</xdr:rowOff>
    </xdr:to>
    <mc:AlternateContent xmlns:mc="http://schemas.openxmlformats.org/markup-compatibility/2006" xmlns:a14="http://schemas.microsoft.com/office/drawing/2010/main">
      <mc:Choice Requires="a14">
        <xdr:graphicFrame macro="">
          <xdr:nvGraphicFramePr>
            <xdr:cNvPr id="22" name="Приоритет 1"/>
            <xdr:cNvGraphicFramePr/>
          </xdr:nvGraphicFramePr>
          <xdr:xfrm>
            <a:off x="0" y="0"/>
            <a:ext cx="0" cy="0"/>
          </xdr:xfrm>
          <a:graphic>
            <a:graphicData uri="http://schemas.microsoft.com/office/drawing/2010/slicer">
              <sle:slicer xmlns:sle="http://schemas.microsoft.com/office/drawing/2010/slicer" name="Приоритет 1"/>
            </a:graphicData>
          </a:graphic>
        </xdr:graphicFrame>
      </mc:Choice>
      <mc:Fallback xmlns="">
        <xdr:sp macro="" textlink="">
          <xdr:nvSpPr>
            <xdr:cNvPr id="0" name=""/>
            <xdr:cNvSpPr>
              <a:spLocks noTextEdit="1"/>
            </xdr:cNvSpPr>
          </xdr:nvSpPr>
          <xdr:spPr>
            <a:xfrm>
              <a:off x="14399418" y="783433"/>
              <a:ext cx="2721769" cy="210978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oneCellAnchor>
    <xdr:from>
      <xdr:col>11</xdr:col>
      <xdr:colOff>74019</xdr:colOff>
      <xdr:row>0</xdr:row>
      <xdr:rowOff>120969</xdr:rowOff>
    </xdr:from>
    <xdr:ext cx="1440000" cy="270000"/>
    <xdr:sp macro="" textlink="">
      <xdr:nvSpPr>
        <xdr:cNvPr id="29" name="TextBox 4">
          <a:hlinkClick xmlns:r="http://schemas.openxmlformats.org/officeDocument/2006/relationships" r:id="rId1"/>
          <a:extLst>
            <a:ext uri="{FF2B5EF4-FFF2-40B4-BE49-F238E27FC236}">
              <a16:creationId xmlns:a16="http://schemas.microsoft.com/office/drawing/2014/main" id="{96780F9C-CF03-45FF-91FC-2321BA039364}"/>
            </a:ext>
          </a:extLst>
        </xdr:cNvPr>
        <xdr:cNvSpPr txBox="1"/>
      </xdr:nvSpPr>
      <xdr:spPr>
        <a:xfrm>
          <a:off x="5931894" y="120969"/>
          <a:ext cx="1440000" cy="2700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a:solidFill>
                <a:schemeClr val="bg1"/>
              </a:solidFill>
            </a:rPr>
            <a:t>3. </a:t>
          </a:r>
          <a:r>
            <a:rPr lang="ru-RU" sz="1100">
              <a:solidFill>
                <a:schemeClr val="bg1"/>
              </a:solidFill>
            </a:rPr>
            <a:t>Календарь</a:t>
          </a:r>
          <a:r>
            <a:rPr lang="ru-RU" sz="1100" baseline="0">
              <a:solidFill>
                <a:schemeClr val="bg1"/>
              </a:solidFill>
            </a:rPr>
            <a:t> задач</a:t>
          </a:r>
          <a:endParaRPr lang="ru-RU" sz="1100">
            <a:solidFill>
              <a:schemeClr val="bg1"/>
            </a:solidFill>
          </a:endParaRPr>
        </a:p>
      </xdr:txBody>
    </xdr:sp>
    <xdr:clientData/>
  </xdr:oneCellAnchor>
  <xdr:oneCellAnchor>
    <xdr:from>
      <xdr:col>5</xdr:col>
      <xdr:colOff>238124</xdr:colOff>
      <xdr:row>0</xdr:row>
      <xdr:rowOff>120969</xdr:rowOff>
    </xdr:from>
    <xdr:ext cx="1440000" cy="270000"/>
    <xdr:sp macro="" textlink="">
      <xdr:nvSpPr>
        <xdr:cNvPr id="30" name="TextBox 2">
          <a:hlinkClick xmlns:r="http://schemas.openxmlformats.org/officeDocument/2006/relationships" r:id="rId2"/>
          <a:extLst>
            <a:ext uri="{FF2B5EF4-FFF2-40B4-BE49-F238E27FC236}">
              <a16:creationId xmlns:a16="http://schemas.microsoft.com/office/drawing/2014/main" id="{66D19736-F10E-4BBD-A6DD-9793D7365534}"/>
            </a:ext>
          </a:extLst>
        </xdr:cNvPr>
        <xdr:cNvSpPr txBox="1"/>
      </xdr:nvSpPr>
      <xdr:spPr>
        <a:xfrm>
          <a:off x="2988468" y="120969"/>
          <a:ext cx="1440000" cy="270000"/>
        </a:xfrm>
        <a:prstGeom prst="rect">
          <a:avLst/>
        </a:prstGeom>
        <a:noFill/>
        <a:ln>
          <a:noFill/>
        </a:ln>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1. </a:t>
          </a:r>
          <a:r>
            <a:rPr lang="ru-RU" sz="1100">
              <a:solidFill>
                <a:schemeClr val="bg1"/>
              </a:solidFill>
            </a:rPr>
            <a:t>Сводная</a:t>
          </a:r>
          <a:r>
            <a:rPr lang="ru-RU" sz="1100" baseline="0">
              <a:solidFill>
                <a:schemeClr val="bg1"/>
              </a:solidFill>
            </a:rPr>
            <a:t> таблица</a:t>
          </a:r>
          <a:endParaRPr lang="ru-RU" sz="1100">
            <a:solidFill>
              <a:schemeClr val="bg1"/>
            </a:solidFill>
          </a:endParaRPr>
        </a:p>
      </xdr:txBody>
    </xdr:sp>
    <xdr:clientData/>
  </xdr:oneCellAnchor>
  <xdr:oneCellAnchor>
    <xdr:from>
      <xdr:col>7</xdr:col>
      <xdr:colOff>427193</xdr:colOff>
      <xdr:row>0</xdr:row>
      <xdr:rowOff>119063</xdr:rowOff>
    </xdr:from>
    <xdr:ext cx="1440000" cy="279524"/>
    <xdr:sp macro="" textlink="">
      <xdr:nvSpPr>
        <xdr:cNvPr id="31" name="TextBox 3">
          <a:hlinkClick xmlns:r="http://schemas.openxmlformats.org/officeDocument/2006/relationships" r:id="rId3"/>
          <a:extLst>
            <a:ext uri="{FF2B5EF4-FFF2-40B4-BE49-F238E27FC236}">
              <a16:creationId xmlns:a16="http://schemas.microsoft.com/office/drawing/2014/main" id="{2D2EDCFE-FF13-49E5-99AE-2FCFFF8EEC63}"/>
            </a:ext>
          </a:extLst>
        </xdr:cNvPr>
        <xdr:cNvSpPr txBox="1"/>
      </xdr:nvSpPr>
      <xdr:spPr>
        <a:xfrm>
          <a:off x="4463412" y="119063"/>
          <a:ext cx="1440000" cy="279524"/>
        </a:xfrm>
        <a:prstGeom prst="rect">
          <a:avLst/>
        </a:prstGeom>
        <a:solidFill>
          <a:srgbClr val="435361"/>
        </a:solidFill>
        <a:ln>
          <a:noFill/>
        </a:ln>
        <a:scene3d>
          <a:camera prst="orthographicFront"/>
          <a:lightRig rig="brightRoom" dir="t"/>
        </a:scene3d>
        <a:sp3d prstMaterial="dkEdge">
          <a:bevelT/>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a:solidFill>
                <a:schemeClr val="bg1"/>
              </a:solidFill>
            </a:rPr>
            <a:t>2. </a:t>
          </a:r>
          <a:r>
            <a:rPr lang="ru-RU" sz="1100">
              <a:solidFill>
                <a:schemeClr val="bg1"/>
              </a:solidFill>
            </a:rPr>
            <a:t>Стена задач</a:t>
          </a:r>
          <a:endParaRPr lang="en-US" sz="1100">
            <a:solidFill>
              <a:schemeClr val="bg1"/>
            </a:solidFill>
          </a:endParaRPr>
        </a:p>
      </xdr:txBody>
    </xdr:sp>
    <xdr:clientData/>
  </xdr:oneCellAnchor>
  <xdr:twoCellAnchor>
    <xdr:from>
      <xdr:col>3</xdr:col>
      <xdr:colOff>696684</xdr:colOff>
      <xdr:row>1</xdr:row>
      <xdr:rowOff>130968</xdr:rowOff>
    </xdr:from>
    <xdr:to>
      <xdr:col>14</xdr:col>
      <xdr:colOff>345280</xdr:colOff>
      <xdr:row>10</xdr:row>
      <xdr:rowOff>120760</xdr:rowOff>
    </xdr:to>
    <xdr:grpSp>
      <xdr:nvGrpSpPr>
        <xdr:cNvPr id="40" name="Группа 39"/>
        <xdr:cNvGrpSpPr/>
      </xdr:nvGrpSpPr>
      <xdr:grpSpPr>
        <a:xfrm>
          <a:off x="2030184" y="400843"/>
          <a:ext cx="6300221" cy="2307542"/>
          <a:chOff x="2018278" y="392906"/>
          <a:chExt cx="6256565" cy="2263885"/>
        </a:xfrm>
      </xdr:grpSpPr>
      <xdr:grpSp>
        <xdr:nvGrpSpPr>
          <xdr:cNvPr id="37" name="Группа 36"/>
          <xdr:cNvGrpSpPr/>
        </xdr:nvGrpSpPr>
        <xdr:grpSpPr>
          <a:xfrm>
            <a:off x="2018278" y="392906"/>
            <a:ext cx="6256565" cy="2263885"/>
            <a:chOff x="2018278" y="392906"/>
            <a:chExt cx="6256565" cy="2263885"/>
          </a:xfrm>
        </xdr:grpSpPr>
        <xdr:grpSp>
          <xdr:nvGrpSpPr>
            <xdr:cNvPr id="19" name="Группа 18"/>
            <xdr:cNvGrpSpPr/>
          </xdr:nvGrpSpPr>
          <xdr:grpSpPr>
            <a:xfrm>
              <a:off x="2018278" y="392906"/>
              <a:ext cx="6256565" cy="2263885"/>
              <a:chOff x="2018278" y="392906"/>
              <a:chExt cx="6256565" cy="2263885"/>
            </a:xfrm>
          </xdr:grpSpPr>
          <xdr:grpSp>
            <xdr:nvGrpSpPr>
              <xdr:cNvPr id="18" name="Группа 17"/>
              <xdr:cNvGrpSpPr/>
            </xdr:nvGrpSpPr>
            <xdr:grpSpPr>
              <a:xfrm>
                <a:off x="2018278" y="392906"/>
                <a:ext cx="6256565" cy="2263885"/>
                <a:chOff x="2018278" y="392906"/>
                <a:chExt cx="6256565" cy="2263885"/>
              </a:xfrm>
            </xdr:grpSpPr>
            <xdr:sp macro="" textlink="">
              <xdr:nvSpPr>
                <xdr:cNvPr id="2" name="Rectangle 10">
                  <a:extLst>
                    <a:ext uri="{FF2B5EF4-FFF2-40B4-BE49-F238E27FC236}">
                      <a16:creationId xmlns:a16="http://schemas.microsoft.com/office/drawing/2014/main" id="{64888ED8-D233-494A-89C2-60B17163BF23}"/>
                    </a:ext>
                  </a:extLst>
                </xdr:cNvPr>
                <xdr:cNvSpPr/>
              </xdr:nvSpPr>
              <xdr:spPr>
                <a:xfrm rot="10800000">
                  <a:off x="2018278" y="809419"/>
                  <a:ext cx="6256565" cy="1847372"/>
                </a:xfrm>
                <a:prstGeom prst="flowChartTerminator">
                  <a:avLst/>
                </a:prstGeom>
                <a:solidFill>
                  <a:srgbClr val="D8E9F2"/>
                </a:solidFill>
                <a:ln w="9525">
                  <a:no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sp macro="" textlink="">
              <xdr:nvSpPr>
                <xdr:cNvPr id="6" name="Блок-схема: ручное управление 5"/>
                <xdr:cNvSpPr/>
              </xdr:nvSpPr>
              <xdr:spPr>
                <a:xfrm rot="10800000">
                  <a:off x="4023485" y="392906"/>
                  <a:ext cx="2322360" cy="414717"/>
                </a:xfrm>
                <a:prstGeom prst="flowChartManualOperation">
                  <a:avLst/>
                </a:prstGeom>
                <a:solidFill>
                  <a:srgbClr val="D8E9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grpSp>
            <xdr:nvGrpSpPr>
              <xdr:cNvPr id="28" name="Группа 27"/>
              <xdr:cNvGrpSpPr/>
            </xdr:nvGrpSpPr>
            <xdr:grpSpPr>
              <a:xfrm>
                <a:off x="2822330" y="793449"/>
                <a:ext cx="5131692" cy="1512494"/>
                <a:chOff x="2106387" y="884462"/>
                <a:chExt cx="5192029" cy="1404092"/>
              </a:xfrm>
            </xdr:grpSpPr>
            <xdr:grpSp>
              <xdr:nvGrpSpPr>
                <xdr:cNvPr id="7" name="Группа 6"/>
                <xdr:cNvGrpSpPr/>
              </xdr:nvGrpSpPr>
              <xdr:grpSpPr>
                <a:xfrm>
                  <a:off x="2106387" y="884462"/>
                  <a:ext cx="4881440" cy="830037"/>
                  <a:chOff x="5369230" y="2991990"/>
                  <a:chExt cx="3975329" cy="637422"/>
                </a:xfrm>
              </xdr:grpSpPr>
              <xdr:grpSp>
                <xdr:nvGrpSpPr>
                  <xdr:cNvPr id="8" name="Группа 7"/>
                  <xdr:cNvGrpSpPr/>
                </xdr:nvGrpSpPr>
                <xdr:grpSpPr>
                  <a:xfrm>
                    <a:off x="5369230" y="3312500"/>
                    <a:ext cx="3975329" cy="316912"/>
                    <a:chOff x="5491150" y="3260249"/>
                    <a:chExt cx="3975329" cy="316912"/>
                  </a:xfrm>
                </xdr:grpSpPr>
                <xdr:sp macro="" textlink="">
                  <xdr:nvSpPr>
                    <xdr:cNvPr id="10" name="Rectangle 16">
                      <a:extLst>
                        <a:ext uri="{FF2B5EF4-FFF2-40B4-BE49-F238E27FC236}">
                          <a16:creationId xmlns:a16="http://schemas.microsoft.com/office/drawing/2014/main" id="{D10DCF96-4BA8-41FA-A95D-5C900DB53332}"/>
                        </a:ext>
                      </a:extLst>
                    </xdr:cNvPr>
                    <xdr:cNvSpPr/>
                  </xdr:nvSpPr>
                  <xdr:spPr>
                    <a:xfrm>
                      <a:off x="5491150" y="3261883"/>
                      <a:ext cx="472427" cy="315278"/>
                    </a:xfrm>
                    <a:prstGeom prst="rect">
                      <a:avLst/>
                    </a:prstGeom>
                    <a:solidFill>
                      <a:srgbClr val="01B8AA"/>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fr-CA" sz="1100"/>
                    </a:p>
                  </xdr:txBody>
                </xdr:sp>
                <xdr:sp macro="" textlink="">
                  <xdr:nvSpPr>
                    <xdr:cNvPr id="11" name="ZoneTexte 9">
                      <a:extLst>
                        <a:ext uri="{FF2B5EF4-FFF2-40B4-BE49-F238E27FC236}">
                          <a16:creationId xmlns:a16="http://schemas.microsoft.com/office/drawing/2014/main" id="{91B4F6FA-A7DA-45CC-BB03-008885291A37}"/>
                        </a:ext>
                      </a:extLst>
                    </xdr:cNvPr>
                    <xdr:cNvSpPr txBox="1"/>
                  </xdr:nvSpPr>
                  <xdr:spPr>
                    <a:xfrm>
                      <a:off x="6065844" y="3301151"/>
                      <a:ext cx="556563" cy="17548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ru-RU" sz="900" b="1">
                          <a:solidFill>
                            <a:schemeClr val="tx1">
                              <a:lumMod val="85000"/>
                              <a:lumOff val="15000"/>
                            </a:schemeClr>
                          </a:solidFill>
                        </a:rPr>
                        <a:t>Низкий</a:t>
                      </a:r>
                      <a:endParaRPr lang="fr-CA" sz="900" b="1">
                        <a:solidFill>
                          <a:schemeClr val="tx1">
                            <a:lumMod val="85000"/>
                            <a:lumOff val="15000"/>
                          </a:schemeClr>
                        </a:solidFill>
                      </a:endParaRPr>
                    </a:p>
                  </xdr:txBody>
                </xdr:sp>
                <xdr:sp macro="" textlink="">
                  <xdr:nvSpPr>
                    <xdr:cNvPr id="12" name="ZoneTexte 12">
                      <a:extLst>
                        <a:ext uri="{FF2B5EF4-FFF2-40B4-BE49-F238E27FC236}">
                          <a16:creationId xmlns:a16="http://schemas.microsoft.com/office/drawing/2014/main" id="{0DABC509-48A8-472A-8810-B371E1457FDC}"/>
                        </a:ext>
                      </a:extLst>
                    </xdr:cNvPr>
                    <xdr:cNvSpPr txBox="1"/>
                  </xdr:nvSpPr>
                  <xdr:spPr>
                    <a:xfrm>
                      <a:off x="7483174" y="3301149"/>
                      <a:ext cx="670376" cy="166253"/>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ru-RU" sz="900" b="1">
                          <a:solidFill>
                            <a:schemeClr val="tx1">
                              <a:lumMod val="85000"/>
                              <a:lumOff val="15000"/>
                            </a:schemeClr>
                          </a:solidFill>
                        </a:rPr>
                        <a:t>Обычный</a:t>
                      </a:r>
                      <a:endParaRPr lang="fr-CA" sz="900" b="1">
                        <a:solidFill>
                          <a:schemeClr val="tx1">
                            <a:lumMod val="85000"/>
                            <a:lumOff val="15000"/>
                          </a:schemeClr>
                        </a:solidFill>
                      </a:endParaRPr>
                    </a:p>
                  </xdr:txBody>
                </xdr:sp>
                <xdr:sp macro="" textlink="">
                  <xdr:nvSpPr>
                    <xdr:cNvPr id="13" name="ZoneTexte 14">
                      <a:extLst>
                        <a:ext uri="{FF2B5EF4-FFF2-40B4-BE49-F238E27FC236}">
                          <a16:creationId xmlns:a16="http://schemas.microsoft.com/office/drawing/2014/main" id="{A2F54008-40DD-4199-A233-500288DB6806}"/>
                        </a:ext>
                      </a:extLst>
                    </xdr:cNvPr>
                    <xdr:cNvSpPr txBox="1"/>
                  </xdr:nvSpPr>
                  <xdr:spPr>
                    <a:xfrm>
                      <a:off x="8839384" y="3301149"/>
                      <a:ext cx="627095" cy="166253"/>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ru-RU" sz="900" b="1">
                          <a:solidFill>
                            <a:schemeClr val="tx1">
                              <a:lumMod val="85000"/>
                              <a:lumOff val="15000"/>
                            </a:schemeClr>
                          </a:solidFill>
                        </a:rPr>
                        <a:t>Высокий</a:t>
                      </a:r>
                      <a:endParaRPr lang="fr-CA" sz="900" b="1">
                        <a:solidFill>
                          <a:schemeClr val="tx1">
                            <a:lumMod val="85000"/>
                            <a:lumOff val="15000"/>
                          </a:schemeClr>
                        </a:solidFill>
                      </a:endParaRPr>
                    </a:p>
                  </xdr:txBody>
                </xdr:sp>
                <xdr:sp macro="" textlink="">
                  <xdr:nvSpPr>
                    <xdr:cNvPr id="14" name="Rectangle 16">
                      <a:extLst>
                        <a:ext uri="{FF2B5EF4-FFF2-40B4-BE49-F238E27FC236}">
                          <a16:creationId xmlns:a16="http://schemas.microsoft.com/office/drawing/2014/main" id="{D10DCF96-4BA8-41FA-A95D-5C900DB53332}"/>
                        </a:ext>
                      </a:extLst>
                    </xdr:cNvPr>
                    <xdr:cNvSpPr/>
                  </xdr:nvSpPr>
                  <xdr:spPr>
                    <a:xfrm>
                      <a:off x="6918576" y="3261883"/>
                      <a:ext cx="472427" cy="315278"/>
                    </a:xfrm>
                    <a:prstGeom prst="rect">
                      <a:avLst/>
                    </a:prstGeom>
                    <a:solidFill>
                      <a:srgbClr val="F5D23D"/>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fr-CA" sz="1100"/>
                    </a:p>
                  </xdr:txBody>
                </xdr:sp>
                <xdr:sp macro="" textlink="">
                  <xdr:nvSpPr>
                    <xdr:cNvPr id="15" name="Rectangle 16">
                      <a:extLst>
                        <a:ext uri="{FF2B5EF4-FFF2-40B4-BE49-F238E27FC236}">
                          <a16:creationId xmlns:a16="http://schemas.microsoft.com/office/drawing/2014/main" id="{D10DCF96-4BA8-41FA-A95D-5C900DB53332}"/>
                        </a:ext>
                      </a:extLst>
                    </xdr:cNvPr>
                    <xdr:cNvSpPr/>
                  </xdr:nvSpPr>
                  <xdr:spPr>
                    <a:xfrm>
                      <a:off x="8302257" y="3260249"/>
                      <a:ext cx="472427" cy="315278"/>
                    </a:xfrm>
                    <a:prstGeom prst="rect">
                      <a:avLst/>
                    </a:prstGeom>
                    <a:solidFill>
                      <a:srgbClr val="FD7E7B"/>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fr-CA" sz="1100"/>
                    </a:p>
                  </xdr:txBody>
                </xdr:sp>
              </xdr:grpSp>
              <xdr:sp macro="" textlink="">
                <xdr:nvSpPr>
                  <xdr:cNvPr id="9" name="ZoneTexte 9">
                    <a:extLst>
                      <a:ext uri="{FF2B5EF4-FFF2-40B4-BE49-F238E27FC236}">
                        <a16:creationId xmlns:a16="http://schemas.microsoft.com/office/drawing/2014/main" id="{91B4F6FA-A7DA-45CC-BB03-008885291A37}"/>
                      </a:ext>
                    </a:extLst>
                  </xdr:cNvPr>
                  <xdr:cNvSpPr txBox="1"/>
                </xdr:nvSpPr>
                <xdr:spPr>
                  <a:xfrm>
                    <a:off x="6721781" y="2991990"/>
                    <a:ext cx="1095374" cy="21301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ru-RU" sz="1400" b="1">
                        <a:solidFill>
                          <a:schemeClr val="tx1">
                            <a:lumMod val="85000"/>
                            <a:lumOff val="15000"/>
                          </a:schemeClr>
                        </a:solidFill>
                        <a:latin typeface="Arial" panose="020B0604020202020204" pitchFamily="34" charset="0"/>
                        <a:cs typeface="Arial" panose="020B0604020202020204" pitchFamily="34" charset="0"/>
                      </a:rPr>
                      <a:t>Приоритет</a:t>
                    </a:r>
                    <a:endParaRPr lang="fr-CA" sz="1400" b="1">
                      <a:solidFill>
                        <a:schemeClr val="tx1">
                          <a:lumMod val="85000"/>
                          <a:lumOff val="15000"/>
                        </a:schemeClr>
                      </a:solidFill>
                      <a:latin typeface="Arial" panose="020B0604020202020204" pitchFamily="34" charset="0"/>
                      <a:cs typeface="Arial" panose="020B0604020202020204" pitchFamily="34" charset="0"/>
                    </a:endParaRPr>
                  </a:p>
                </xdr:txBody>
              </xdr:sp>
            </xdr:grpSp>
            <xdr:grpSp>
              <xdr:nvGrpSpPr>
                <xdr:cNvPr id="27" name="Группа 26"/>
                <xdr:cNvGrpSpPr/>
              </xdr:nvGrpSpPr>
              <xdr:grpSpPr>
                <a:xfrm>
                  <a:off x="2778579" y="1866731"/>
                  <a:ext cx="4519837" cy="421823"/>
                  <a:chOff x="2778579" y="1866731"/>
                  <a:chExt cx="4519837" cy="421823"/>
                </a:xfrm>
              </xdr:grpSpPr>
              <xdr:sp macro="" textlink="">
                <xdr:nvSpPr>
                  <xdr:cNvPr id="23" name="ZoneTexte 9">
                    <a:extLst>
                      <a:ext uri="{FF2B5EF4-FFF2-40B4-BE49-F238E27FC236}">
                        <a16:creationId xmlns:a16="http://schemas.microsoft.com/office/drawing/2014/main" id="{91B4F6FA-A7DA-45CC-BB03-008885291A37}"/>
                      </a:ext>
                    </a:extLst>
                  </xdr:cNvPr>
                  <xdr:cNvSpPr txBox="1"/>
                </xdr:nvSpPr>
                <xdr:spPr>
                  <a:xfrm>
                    <a:off x="2778579" y="1961981"/>
                    <a:ext cx="827314" cy="326573"/>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ru-RU" sz="900" b="1">
                        <a:solidFill>
                          <a:schemeClr val="tx1">
                            <a:lumMod val="85000"/>
                            <a:lumOff val="15000"/>
                          </a:schemeClr>
                        </a:solidFill>
                      </a:rPr>
                      <a:t>Выполнено</a:t>
                    </a:r>
                    <a:endParaRPr lang="fr-CA" sz="900" b="1">
                      <a:solidFill>
                        <a:schemeClr val="tx1">
                          <a:lumMod val="85000"/>
                          <a:lumOff val="15000"/>
                        </a:schemeClr>
                      </a:solidFill>
                    </a:endParaRPr>
                  </a:p>
                </xdr:txBody>
              </xdr:sp>
              <xdr:grpSp>
                <xdr:nvGrpSpPr>
                  <xdr:cNvPr id="25" name="Группа 24"/>
                  <xdr:cNvGrpSpPr/>
                </xdr:nvGrpSpPr>
                <xdr:grpSpPr>
                  <a:xfrm>
                    <a:off x="5613809" y="1866731"/>
                    <a:ext cx="1684607" cy="414361"/>
                    <a:chOff x="5613809" y="1866731"/>
                    <a:chExt cx="1684607" cy="414361"/>
                  </a:xfrm>
                </xdr:grpSpPr>
                <xdr:pic>
                  <xdr:nvPicPr>
                    <xdr:cNvPr id="5" name="Рисунок 4"/>
                    <xdr:cNvPicPr>
                      <a:picLocks noChangeAspect="1"/>
                    </xdr:cNvPicPr>
                  </xdr:nvPicPr>
                  <xdr:blipFill>
                    <a:blip xmlns:r="http://schemas.openxmlformats.org/officeDocument/2006/relationships" r:embed="rId4"/>
                    <a:stretch>
                      <a:fillRect/>
                    </a:stretch>
                  </xdr:blipFill>
                  <xdr:spPr>
                    <a:xfrm>
                      <a:off x="5613809" y="1866731"/>
                      <a:ext cx="503465" cy="414361"/>
                    </a:xfrm>
                    <a:prstGeom prst="rect">
                      <a:avLst/>
                    </a:prstGeom>
                    <a:ln>
                      <a:solidFill>
                        <a:sysClr val="windowText" lastClr="000000"/>
                      </a:solidFill>
                    </a:ln>
                  </xdr:spPr>
                </xdr:pic>
                <xdr:sp macro="" textlink="">
                  <xdr:nvSpPr>
                    <xdr:cNvPr id="24" name="ZoneTexte 9">
                      <a:extLst>
                        <a:ext uri="{FF2B5EF4-FFF2-40B4-BE49-F238E27FC236}">
                          <a16:creationId xmlns:a16="http://schemas.microsoft.com/office/drawing/2014/main" id="{91B4F6FA-A7DA-45CC-BB03-008885291A37}"/>
                        </a:ext>
                      </a:extLst>
                    </xdr:cNvPr>
                    <xdr:cNvSpPr txBox="1"/>
                  </xdr:nvSpPr>
                  <xdr:spPr>
                    <a:xfrm>
                      <a:off x="6160861" y="1945986"/>
                      <a:ext cx="1137555" cy="326573"/>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ru-RU" sz="900" b="1">
                          <a:solidFill>
                            <a:schemeClr val="tx1">
                              <a:lumMod val="85000"/>
                              <a:lumOff val="15000"/>
                            </a:schemeClr>
                          </a:solidFill>
                        </a:rPr>
                        <a:t>Осталось дней</a:t>
                      </a:r>
                      <a:endParaRPr lang="fr-CA" sz="900" b="1">
                        <a:solidFill>
                          <a:schemeClr val="tx1">
                            <a:lumMod val="85000"/>
                            <a:lumOff val="15000"/>
                          </a:schemeClr>
                        </a:solidFill>
                      </a:endParaRPr>
                    </a:p>
                  </xdr:txBody>
                </xdr:sp>
              </xdr:grpSp>
            </xdr:grpSp>
          </xdr:grpSp>
        </xdr:grpSp>
        <xdr:grpSp>
          <xdr:nvGrpSpPr>
            <xdr:cNvPr id="36" name="Группа 35"/>
            <xdr:cNvGrpSpPr/>
          </xdr:nvGrpSpPr>
          <xdr:grpSpPr>
            <a:xfrm>
              <a:off x="4595814" y="1857374"/>
              <a:ext cx="1725767" cy="440531"/>
              <a:chOff x="4595814" y="1857374"/>
              <a:chExt cx="1725767" cy="440531"/>
            </a:xfrm>
          </xdr:grpSpPr>
          <xdr:pic>
            <xdr:nvPicPr>
              <xdr:cNvPr id="34" name="Рисунок 33"/>
              <xdr:cNvPicPr>
                <a:picLocks noChangeAspect="1"/>
              </xdr:cNvPicPr>
            </xdr:nvPicPr>
            <xdr:blipFill>
              <a:blip xmlns:r="http://schemas.openxmlformats.org/officeDocument/2006/relationships" r:embed="rId5"/>
              <a:stretch>
                <a:fillRect/>
              </a:stretch>
            </xdr:blipFill>
            <xdr:spPr>
              <a:xfrm>
                <a:off x="4595814" y="1857374"/>
                <a:ext cx="523131" cy="440531"/>
              </a:xfrm>
              <a:prstGeom prst="rect">
                <a:avLst/>
              </a:prstGeom>
              <a:ln>
                <a:solidFill>
                  <a:sysClr val="windowText" lastClr="000000"/>
                </a:solidFill>
              </a:ln>
            </xdr:spPr>
          </xdr:pic>
          <xdr:sp macro="" textlink="">
            <xdr:nvSpPr>
              <xdr:cNvPr id="35" name="ZoneTexte 9">
                <a:extLst>
                  <a:ext uri="{FF2B5EF4-FFF2-40B4-BE49-F238E27FC236}">
                    <a16:creationId xmlns:a16="http://schemas.microsoft.com/office/drawing/2014/main" id="{91B4F6FA-A7DA-45CC-BB03-008885291A37}"/>
                  </a:ext>
                </a:extLst>
              </xdr:cNvPr>
              <xdr:cNvSpPr txBox="1"/>
            </xdr:nvSpPr>
            <xdr:spPr>
              <a:xfrm>
                <a:off x="5197246" y="1940719"/>
                <a:ext cx="1124335" cy="3517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defPPr>
                  <a:defRPr lang="ru-RU"/>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ru-RU" sz="900" b="1">
                    <a:solidFill>
                      <a:schemeClr val="tx1">
                        <a:lumMod val="85000"/>
                        <a:lumOff val="15000"/>
                      </a:schemeClr>
                    </a:solidFill>
                  </a:rPr>
                  <a:t>В процессе</a:t>
                </a:r>
              </a:p>
            </xdr:txBody>
          </xdr:sp>
        </xdr:grpSp>
      </xdr:grpSp>
      <xdr:pic>
        <xdr:nvPicPr>
          <xdr:cNvPr id="38" name="Рисунок 37"/>
          <xdr:cNvPicPr>
            <a:picLocks noChangeAspect="1"/>
          </xdr:cNvPicPr>
        </xdr:nvPicPr>
        <xdr:blipFill>
          <a:blip xmlns:r="http://schemas.openxmlformats.org/officeDocument/2006/relationships" r:embed="rId6"/>
          <a:stretch>
            <a:fillRect/>
          </a:stretch>
        </xdr:blipFill>
        <xdr:spPr>
          <a:xfrm>
            <a:off x="2857509" y="1869281"/>
            <a:ext cx="511964" cy="416719"/>
          </a:xfrm>
          <a:prstGeom prst="rect">
            <a:avLst/>
          </a:prstGeom>
          <a:ln>
            <a:solidFill>
              <a:sysClr val="windowText" lastClr="000000"/>
            </a:solidFill>
          </a:ln>
        </xdr:spPr>
      </xdr:pic>
    </xdr:grpSp>
    <xdr:clientData/>
  </xdr:twoCellAnchor>
  <xdr:twoCellAnchor editAs="oneCell">
    <xdr:from>
      <xdr:col>30</xdr:col>
      <xdr:colOff>261938</xdr:colOff>
      <xdr:row>2</xdr:row>
      <xdr:rowOff>250033</xdr:rowOff>
    </xdr:from>
    <xdr:to>
      <xdr:col>33</xdr:col>
      <xdr:colOff>769144</xdr:colOff>
      <xdr:row>11</xdr:row>
      <xdr:rowOff>107157</xdr:rowOff>
    </xdr:to>
    <mc:AlternateContent xmlns:mc="http://schemas.openxmlformats.org/markup-compatibility/2006" xmlns:a14="http://schemas.microsoft.com/office/drawing/2010/main">
      <mc:Choice Requires="a14">
        <xdr:graphicFrame macro="">
          <xdr:nvGraphicFramePr>
            <xdr:cNvPr id="33" name="Выполнено в срок 1"/>
            <xdr:cNvGraphicFramePr/>
          </xdr:nvGraphicFramePr>
          <xdr:xfrm>
            <a:off x="0" y="0"/>
            <a:ext cx="0" cy="0"/>
          </xdr:xfrm>
          <a:graphic>
            <a:graphicData uri="http://schemas.microsoft.com/office/drawing/2010/slicer">
              <sle:slicer xmlns:sle="http://schemas.microsoft.com/office/drawing/2010/slicer" name="Выполнено в срок 1"/>
            </a:graphicData>
          </a:graphic>
        </xdr:graphicFrame>
      </mc:Choice>
      <mc:Fallback xmlns="">
        <xdr:sp macro="" textlink="">
          <xdr:nvSpPr>
            <xdr:cNvPr id="0" name=""/>
            <xdr:cNvSpPr>
              <a:spLocks noTextEdit="1"/>
            </xdr:cNvSpPr>
          </xdr:nvSpPr>
          <xdr:spPr>
            <a:xfrm>
              <a:off x="17264063" y="773908"/>
              <a:ext cx="1828800" cy="2119312"/>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9</xdr:col>
      <xdr:colOff>468622</xdr:colOff>
      <xdr:row>0</xdr:row>
      <xdr:rowOff>120969</xdr:rowOff>
    </xdr:from>
    <xdr:ext cx="1440000" cy="270000"/>
    <xdr:sp macro="" textlink="">
      <xdr:nvSpPr>
        <xdr:cNvPr id="5" name="TextBox 4">
          <a:hlinkClick xmlns:r="http://schemas.openxmlformats.org/officeDocument/2006/relationships" r:id="rId1"/>
          <a:extLst>
            <a:ext uri="{FF2B5EF4-FFF2-40B4-BE49-F238E27FC236}">
              <a16:creationId xmlns:a16="http://schemas.microsoft.com/office/drawing/2014/main" id="{96780F9C-CF03-45FF-91FC-2321BA039364}"/>
            </a:ext>
          </a:extLst>
        </xdr:cNvPr>
        <xdr:cNvSpPr txBox="1"/>
      </xdr:nvSpPr>
      <xdr:spPr>
        <a:xfrm>
          <a:off x="5933591" y="120969"/>
          <a:ext cx="1440000" cy="270000"/>
        </a:xfrm>
        <a:prstGeom prst="rect">
          <a:avLst/>
        </a:prstGeom>
        <a:solidFill>
          <a:srgbClr val="435361"/>
        </a:solidFill>
        <a:ln>
          <a:noFill/>
        </a:ln>
        <a:scene3d>
          <a:camera prst="orthographicFront"/>
          <a:lightRig rig="threePt" dir="t"/>
        </a:scene3d>
        <a:sp3d prstMaterial="dkEdge">
          <a:bevelT/>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a:solidFill>
                <a:schemeClr val="bg1"/>
              </a:solidFill>
            </a:rPr>
            <a:t>3. </a:t>
          </a:r>
          <a:r>
            <a:rPr lang="ru-RU" sz="1100">
              <a:solidFill>
                <a:schemeClr val="bg1"/>
              </a:solidFill>
            </a:rPr>
            <a:t>Календарь задач</a:t>
          </a:r>
        </a:p>
      </xdr:txBody>
    </xdr:sp>
    <xdr:clientData/>
  </xdr:oneCellAnchor>
  <xdr:oneCellAnchor>
    <xdr:from>
      <xdr:col>4</xdr:col>
      <xdr:colOff>559588</xdr:colOff>
      <xdr:row>0</xdr:row>
      <xdr:rowOff>120969</xdr:rowOff>
    </xdr:from>
    <xdr:ext cx="1440000" cy="270000"/>
    <xdr:sp macro="" textlink="">
      <xdr:nvSpPr>
        <xdr:cNvPr id="6" name="TextBox 2">
          <a:hlinkClick xmlns:r="http://schemas.openxmlformats.org/officeDocument/2006/relationships" r:id="rId2"/>
          <a:extLst>
            <a:ext uri="{FF2B5EF4-FFF2-40B4-BE49-F238E27FC236}">
              <a16:creationId xmlns:a16="http://schemas.microsoft.com/office/drawing/2014/main" id="{66D19736-F10E-4BBD-A6DD-9793D7365534}"/>
            </a:ext>
          </a:extLst>
        </xdr:cNvPr>
        <xdr:cNvSpPr txBox="1"/>
      </xdr:nvSpPr>
      <xdr:spPr>
        <a:xfrm>
          <a:off x="2988463" y="120969"/>
          <a:ext cx="1440000" cy="270000"/>
        </a:xfrm>
        <a:prstGeom prst="rect">
          <a:avLst/>
        </a:prstGeom>
        <a:noFill/>
        <a:ln>
          <a:noFill/>
        </a:ln>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1. </a:t>
          </a:r>
          <a:r>
            <a:rPr lang="ru-RU" sz="1100">
              <a:solidFill>
                <a:schemeClr val="bg1"/>
              </a:solidFill>
            </a:rPr>
            <a:t>Сводная</a:t>
          </a:r>
          <a:r>
            <a:rPr lang="ru-RU" sz="1100" baseline="0">
              <a:solidFill>
                <a:schemeClr val="bg1"/>
              </a:solidFill>
            </a:rPr>
            <a:t> таблица</a:t>
          </a:r>
          <a:endParaRPr lang="ru-RU" sz="1100">
            <a:solidFill>
              <a:schemeClr val="bg1"/>
            </a:solidFill>
          </a:endParaRPr>
        </a:p>
      </xdr:txBody>
    </xdr:sp>
    <xdr:clientData/>
  </xdr:oneCellAnchor>
  <xdr:oneCellAnchor>
    <xdr:from>
      <xdr:col>7</xdr:col>
      <xdr:colOff>212876</xdr:colOff>
      <xdr:row>0</xdr:row>
      <xdr:rowOff>119063</xdr:rowOff>
    </xdr:from>
    <xdr:ext cx="1440000" cy="279524"/>
    <xdr:sp macro="" textlink="">
      <xdr:nvSpPr>
        <xdr:cNvPr id="7" name="TextBox 3">
          <a:hlinkClick xmlns:r="http://schemas.openxmlformats.org/officeDocument/2006/relationships" r:id="rId3"/>
          <a:extLst>
            <a:ext uri="{FF2B5EF4-FFF2-40B4-BE49-F238E27FC236}">
              <a16:creationId xmlns:a16="http://schemas.microsoft.com/office/drawing/2014/main" id="{2D2EDCFE-FF13-49E5-99AE-2FCFFF8EEC63}"/>
            </a:ext>
          </a:extLst>
        </xdr:cNvPr>
        <xdr:cNvSpPr txBox="1"/>
      </xdr:nvSpPr>
      <xdr:spPr>
        <a:xfrm>
          <a:off x="4463407" y="119063"/>
          <a:ext cx="1440000" cy="27952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a:solidFill>
                <a:schemeClr val="bg1"/>
              </a:solidFill>
            </a:rPr>
            <a:t>2. </a:t>
          </a:r>
          <a:r>
            <a:rPr lang="ru-RU" sz="1100">
              <a:solidFill>
                <a:schemeClr val="bg1"/>
              </a:solidFill>
            </a:rPr>
            <a:t>Стена задач</a:t>
          </a:r>
          <a:endParaRPr lang="en-US" sz="1100">
            <a:solidFill>
              <a:schemeClr val="bg1"/>
            </a:solidFill>
          </a:endParaRPr>
        </a:p>
      </xdr:txBody>
    </xdr:sp>
    <xdr:clientData/>
  </xdr:oneCellAnchor>
  <xdr:twoCellAnchor>
    <xdr:from>
      <xdr:col>0</xdr:col>
      <xdr:colOff>76199</xdr:colOff>
      <xdr:row>2</xdr:row>
      <xdr:rowOff>57151</xdr:rowOff>
    </xdr:from>
    <xdr:to>
      <xdr:col>26</xdr:col>
      <xdr:colOff>190500</xdr:colOff>
      <xdr:row>43</xdr:row>
      <xdr:rowOff>166687</xdr:rowOff>
    </xdr:to>
    <xdr:graphicFrame macro="">
      <xdr:nvGraphicFramePr>
        <xdr:cNvPr id="9" name="Диаграмма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314325</xdr:colOff>
      <xdr:row>16</xdr:row>
      <xdr:rowOff>76200</xdr:rowOff>
    </xdr:from>
    <xdr:to>
      <xdr:col>9</xdr:col>
      <xdr:colOff>790575</xdr:colOff>
      <xdr:row>29</xdr:row>
      <xdr:rowOff>123825</xdr:rowOff>
    </xdr:to>
    <mc:AlternateContent xmlns:mc="http://schemas.openxmlformats.org/markup-compatibility/2006" xmlns:a14="http://schemas.microsoft.com/office/drawing/2010/main">
      <mc:Choice Requires="a14">
        <xdr:graphicFrame macro="">
          <xdr:nvGraphicFramePr>
            <xdr:cNvPr id="2" name="Выполнено в срок"/>
            <xdr:cNvGraphicFramePr/>
          </xdr:nvGraphicFramePr>
          <xdr:xfrm>
            <a:off x="0" y="0"/>
            <a:ext cx="0" cy="0"/>
          </xdr:xfrm>
          <a:graphic>
            <a:graphicData uri="http://schemas.microsoft.com/office/drawing/2010/slicer">
              <sle:slicer xmlns:sle="http://schemas.microsoft.com/office/drawing/2010/slicer" name="Выполнено в срок"/>
            </a:graphicData>
          </a:graphic>
        </xdr:graphicFrame>
      </mc:Choice>
      <mc:Fallback xmlns="">
        <xdr:sp macro="" textlink="">
          <xdr:nvSpPr>
            <xdr:cNvPr id="0" name=""/>
            <xdr:cNvSpPr>
              <a:spLocks noTextEdit="1"/>
            </xdr:cNvSpPr>
          </xdr:nvSpPr>
          <xdr:spPr>
            <a:xfrm>
              <a:off x="8124825" y="3171825"/>
              <a:ext cx="1828800" cy="252412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3</xdr:col>
      <xdr:colOff>2015490</xdr:colOff>
      <xdr:row>0</xdr:row>
      <xdr:rowOff>0</xdr:rowOff>
    </xdr:from>
    <xdr:ext cx="1440180" cy="270000"/>
    <xdr:sp macro="[0]!Refresh_All" textlink="">
      <xdr:nvSpPr>
        <xdr:cNvPr id="5" name="TextBox 5">
          <a:hlinkClick xmlns:r="http://schemas.openxmlformats.org/officeDocument/2006/relationships" r:id="rId1" tooltip="Dashboard"/>
          <a:extLst>
            <a:ext uri="{FF2B5EF4-FFF2-40B4-BE49-F238E27FC236}">
              <a16:creationId xmlns:a16="http://schemas.microsoft.com/office/drawing/2014/main" id="{13754AA1-9FC1-4A56-85E8-FDF127B8D915}"/>
            </a:ext>
          </a:extLst>
        </xdr:cNvPr>
        <xdr:cNvSpPr txBox="1"/>
      </xdr:nvSpPr>
      <xdr:spPr>
        <a:xfrm>
          <a:off x="7054215" y="144780"/>
          <a:ext cx="1440180" cy="2700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a:solidFill>
                <a:schemeClr val="bg1"/>
              </a:solidFill>
            </a:rPr>
            <a:t>4. Dashboard</a:t>
          </a:r>
        </a:p>
      </xdr:txBody>
    </xdr:sp>
    <xdr:clientData/>
  </xdr:oneCellAnchor>
  <xdr:oneCellAnchor>
    <xdr:from>
      <xdr:col>3</xdr:col>
      <xdr:colOff>2015490</xdr:colOff>
      <xdr:row>0</xdr:row>
      <xdr:rowOff>0</xdr:rowOff>
    </xdr:from>
    <xdr:ext cx="1440180" cy="270000"/>
    <xdr:sp macro="[0]!Refresh_All" textlink="">
      <xdr:nvSpPr>
        <xdr:cNvPr id="9" name="TextBox 5">
          <a:extLst>
            <a:ext uri="{FF2B5EF4-FFF2-40B4-BE49-F238E27FC236}">
              <a16:creationId xmlns:a16="http://schemas.microsoft.com/office/drawing/2014/main" id="{13754AA1-9FC1-4A56-85E8-FDF127B8D915}"/>
            </a:ext>
          </a:extLst>
        </xdr:cNvPr>
        <xdr:cNvSpPr txBox="1"/>
      </xdr:nvSpPr>
      <xdr:spPr>
        <a:xfrm>
          <a:off x="7054215" y="144780"/>
          <a:ext cx="1440180" cy="2700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a:solidFill>
                <a:schemeClr val="bg1"/>
              </a:solidFill>
            </a:rPr>
            <a:t>4. Dashboard</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190500</xdr:colOff>
      <xdr:row>2</xdr:row>
      <xdr:rowOff>76200</xdr:rowOff>
    </xdr:to>
    <xdr:sp macro="" textlink="">
      <xdr:nvSpPr>
        <xdr:cNvPr id="2" name="Retângulo 1">
          <a:extLst>
            <a:ext uri="{FF2B5EF4-FFF2-40B4-BE49-F238E27FC236}">
              <a16:creationId xmlns:a16="http://schemas.microsoft.com/office/drawing/2014/main" id="{79CCCBB9-142C-42B2-A456-1F348C9149F8}"/>
            </a:ext>
          </a:extLst>
        </xdr:cNvPr>
        <xdr:cNvSpPr/>
      </xdr:nvSpPr>
      <xdr:spPr>
        <a:xfrm>
          <a:off x="0" y="0"/>
          <a:ext cx="1733550" cy="457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1052;&#1077;&#1085;&#1077;&#1076;&#1078;&#1077;&#1088;%20&#1087;&#1088;&#1086;&#1077;&#1082;&#1090;&#1086;&#1074;_v2_0.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Автор" refreshedDate="44540.601696527781" createdVersion="5" refreshedVersion="6" minRefreshableVersion="3" recordCount="7">
  <cacheSource type="worksheet">
    <worksheetSource name="Запрос1_3" r:id="rId2"/>
  </cacheSource>
  <cacheFields count="12">
    <cacheField name="Название доски/Проект" numFmtId="0">
      <sharedItems containsBlank="1" count="9">
        <s v="Саморазвитие"/>
        <s v="Экономика"/>
        <s v="Административная работа"/>
        <s v="Отчетность "/>
        <s v="Другое"/>
        <m u="1"/>
        <s v="Бованенковское мест-ние" u="1"/>
        <s v="Северо-Тамбейский ЛУ" u="1"/>
        <s v="Тасийский ЛУ" u="1"/>
      </sharedItems>
    </cacheField>
    <cacheField name="Номер задачи" numFmtId="0">
      <sharedItems containsSemiMixedTypes="0" containsString="0" containsNumber="1" containsInteger="1" minValue="1" maxValue="6"/>
    </cacheField>
    <cacheField name="Исполнитель" numFmtId="0">
      <sharedItems containsBlank="1" count="12">
        <s v="Первый сотрудник"/>
        <s v="Второй сотрудник"/>
        <m u="1"/>
        <s v="Корчажкина Ирина" u="1"/>
        <s v="Феоктистова " u="1"/>
        <s v="Смирнова Лидия" u="1"/>
        <s v="Пикеев Алексей" u="1"/>
        <s v="Хусаинов Роман" u="1"/>
        <s v="Бадалов Эльвин" u="1"/>
        <s v="Трифонов Александр" u="1"/>
        <s v="Баронов Юрий" u="1"/>
        <s v="Мансурова Айгуль" u="1"/>
      </sharedItems>
    </cacheField>
    <cacheField name="Задачи" numFmtId="0">
      <sharedItems containsBlank="1" count="59">
        <s v="Актуализировать текст отчета по концепции"/>
        <s v="Актуализировать текст отчета по экономике"/>
        <s v="Написание статьи"/>
        <s v="Редактирование отчета"/>
        <s v="Исправить замечания эксперта, 3 таблицы"/>
        <s v="Помощь Алёне "/>
        <s v="Выпить кофе, съесть печеньки"/>
        <s v="правка протокола ЦКР" u="1"/>
        <s v="свод МЭР за 2021 год" u="1"/>
        <m u="1"/>
        <s v="Обоснование выделение ЭО Тамбейского месторождения" u="1"/>
        <s v="Корректировка реферата ДТСР" u="1"/>
        <s v="Концепция (дополнить экономику)" u="1"/>
        <s v="Запуск СЗ на выходные" u="1"/>
        <s v="Реферат- ответ эксперту" u="1"/>
        <s v="Построение карт изобар по объектам с нанесенной добычей по кустам" u="1"/>
        <s v="Организация ВКС с Д307" u="1"/>
        <s v="Расчет пиковых показателей и максимальных уровней до 2025 г. к совещанию с ПАО" u="1"/>
        <s v="Анализ результатов гидродинамических исследований эксплуатационных скважин." u="1"/>
        <s v="Добавить сравнение по давлению в ОИ Этап 2, раздел 1.6.3" u="1"/>
        <s v="Расчет показателей до 2045 г. к совещанию с ПАО (проект - актуализированная модель (типа))" u="1"/>
        <s v="Формирование регламентых таблиц" u="1"/>
        <s v="Анализ ГКИ в рамках Авторского надзора" u="1"/>
        <s v="Построить карты для УКПГ. Посчитать длины трудобопроводов. Подготовить данные для Гацалаева О.С." u="1"/>
        <s v="Табельный учет ЦРиЭМ п-ва Ямал" u="1"/>
        <s v="Сравнительный анализ результатов адаптации БНГКМ (верхи) (THP и WBP)" u="1"/>
        <s v="Пересчет моделей, новые графики ввода и бурения" u="1"/>
        <s v="Подготовка моделей для отправки в ЦКР" u="1"/>
        <s v="Обоснование выделение ЭО - Тасий + С.Тамбей" u="1"/>
        <s v="Формирование главы по анализу выработки запасов " u="1"/>
        <s v="Редактирование регламентных таблиц по запасам для ЦКР " u="1"/>
        <s v="Анализ выработки запасов " u="1"/>
        <s v="Корректировка 5 главы: графики, цифры, госпланы по 2 варианту" u="1"/>
        <s v="Актуализировать даты ввода скважин Газпром Проектирование" u="1"/>
        <s v="Отработка замечаний по 2 этапу ОИ (Замечания от 20.08.2021 - Газпром недра, РГД, Замечания от 25.08.2021 - РГД, Чевычалов, Артамонов)" u="1"/>
        <s v="Заявка в график обучения" u="1"/>
        <s v="распределение фонда по добыче" u="1"/>
        <s v="Обновление карт эффективных газонасыщенных толщин по ЭО - для визуализации раскустовки " u="1"/>
        <s v="Сопровождение подписания актов по этапу 2.4" u="1"/>
        <s v="Исправить замечания эксперта -ППЭ, 3 таблицы" u="1"/>
        <s v="Актуализировать текст отчета по этапу 2.5" u="1"/>
        <s v="Формирование 2 концепций освоения с ускоренным вводом объектов" u="1"/>
        <s v="характеристика фонда скважин" u="1"/>
        <s v="Выгрузка добычи по пластам и скважинам для ЦНИПГИС" u="1"/>
        <s v="Приемная Свентского" u="1"/>
        <s v="Построение карт изобар по отдельным пластам" u="1"/>
        <s v="Актуализировать файл для Газпром Проектирование -  даты ввода скважин" u="1"/>
        <s v="Актуализия РД подразделения" u="1"/>
        <s v="Построить карты по Тасию - 3 группы" u="1"/>
        <s v="сравнение показателей проект/факт" u="1"/>
        <s v="Расчет и сопоставление расчетных и фактических входных давлений ГП" u="1"/>
        <s v="Отработка замечаний по 2 этапу ОИ" u="1"/>
        <s v="Расчет и сопоставление пиков 21/22 на старой и актуализированной модели" u="1"/>
        <s v="Подготовка задания и расчет вариантов 2 и 4 по низам, формирование отчетных таблиц" u="1"/>
        <s v="Построение карты и гистограмм по неоком-юрским отложениям" u="1"/>
        <s v="Замечания по этапу 1 ОИ" u="1"/>
        <s v="Расчитать Гос план" u="1"/>
        <s v="оформить рагдел по ГКИ" u="1"/>
        <s v="оформить раздел по ГКИ" u="1"/>
      </sharedItems>
    </cacheField>
    <cacheField name="Приоритет" numFmtId="0">
      <sharedItems containsBlank="1" count="3">
        <s v="Обычный"/>
        <s v="Высокий"/>
        <m u="1"/>
      </sharedItems>
    </cacheField>
    <cacheField name="Старт" numFmtId="14">
      <sharedItems containsSemiMixedTypes="0" containsNonDate="0" containsDate="1" containsString="0" minDate="2021-08-22T00:00:00" maxDate="2021-12-26T00:00:00"/>
    </cacheField>
    <cacheField name="Конец" numFmtId="14">
      <sharedItems containsSemiMixedTypes="0" containsNonDate="0" containsDate="1" containsString="0" minDate="2021-08-23T00:00:00" maxDate="2021-12-31T00:00:00" count="17">
        <d v="2021-08-24T00:00:00"/>
        <d v="2021-09-30T00:00:00"/>
        <d v="2021-12-30T00:00:00"/>
        <d v="2021-12-20T00:00:00"/>
        <d v="2021-09-01T00:00:00" u="1"/>
        <d v="2021-08-27T00:00:00" u="1"/>
        <d v="2021-08-25T00:00:00" u="1"/>
        <d v="2021-08-30T00:00:00" u="1"/>
        <d v="2021-08-23T00:00:00" u="1"/>
        <d v="2021-09-02T00:00:00" u="1"/>
        <d v="2021-08-28T00:00:00" u="1"/>
        <d v="2021-09-07T00:00:00" u="1"/>
        <d v="2021-08-26T00:00:00" u="1"/>
        <d v="2021-08-31T00:00:00" u="1"/>
        <d v="2021-09-10T00:00:00" u="1"/>
        <d v="2021-09-03T00:00:00" u="1"/>
        <d v="2021-09-08T00:00:00" u="1"/>
      </sharedItems>
    </cacheField>
    <cacheField name="Сроки" numFmtId="0">
      <sharedItems containsSemiMixedTypes="0" containsString="0" containsNumber="1" containsInteger="1" minValue="1" maxValue="36"/>
    </cacheField>
    <cacheField name="Статус" numFmtId="0">
      <sharedItems containsBlank="1" count="5">
        <s v="Готово"/>
        <s v="В работе"/>
        <m/>
        <s v="В ожидании" u="1"/>
        <s v="На проверке" u="1"/>
      </sharedItems>
    </cacheField>
    <cacheField name="Осталось дней" numFmtId="0">
      <sharedItems containsString="0" containsBlank="1" containsNumber="1" containsInteger="1" minValue="-71" maxValue="20"/>
    </cacheField>
    <cacheField name="Выполнено в срок" numFmtId="0">
      <sharedItems containsBlank="1" count="2">
        <s v="да"/>
        <m/>
      </sharedItems>
    </cacheField>
    <cacheField name="Комментарии" numFmtId="0">
      <sharedItems containsNonDate="0" containsString="0" containsBlank="1"/>
    </cacheField>
  </cacheFields>
  <extLst>
    <ext xmlns:x14="http://schemas.microsoft.com/office/spreadsheetml/2009/9/main" uri="{725AE2AE-9491-48be-B2B4-4EB974FC3084}">
      <x14:pivotCacheDefinition pivotCacheId="247036802"/>
    </ext>
  </extLst>
</pivotCacheDefinition>
</file>

<file path=xl/pivotCache/pivotCacheRecords1.xml><?xml version="1.0" encoding="utf-8"?>
<pivotCacheRecords xmlns="http://schemas.openxmlformats.org/spreadsheetml/2006/main" xmlns:r="http://schemas.openxmlformats.org/officeDocument/2006/relationships" count="7">
  <r>
    <x v="0"/>
    <n v="1"/>
    <x v="0"/>
    <x v="0"/>
    <x v="0"/>
    <d v="2021-08-22T00:00:00"/>
    <x v="0"/>
    <n v="2"/>
    <x v="0"/>
    <m/>
    <x v="0"/>
    <m/>
  </r>
  <r>
    <x v="1"/>
    <n v="2"/>
    <x v="0"/>
    <x v="1"/>
    <x v="0"/>
    <d v="2021-08-25T00:00:00"/>
    <x v="1"/>
    <n v="36"/>
    <x v="1"/>
    <n v="-71"/>
    <x v="1"/>
    <m/>
  </r>
  <r>
    <x v="0"/>
    <n v="3"/>
    <x v="0"/>
    <x v="2"/>
    <x v="0"/>
    <d v="2021-12-25T00:00:00"/>
    <x v="2"/>
    <n v="5"/>
    <x v="2"/>
    <n v="20"/>
    <x v="1"/>
    <m/>
  </r>
  <r>
    <x v="2"/>
    <n v="4"/>
    <x v="0"/>
    <x v="3"/>
    <x v="1"/>
    <d v="2021-12-25T00:00:00"/>
    <x v="2"/>
    <n v="5"/>
    <x v="2"/>
    <n v="20"/>
    <x v="1"/>
    <m/>
  </r>
  <r>
    <x v="3"/>
    <n v="1"/>
    <x v="1"/>
    <x v="4"/>
    <x v="0"/>
    <d v="2021-08-23T00:00:00"/>
    <x v="0"/>
    <n v="1"/>
    <x v="0"/>
    <m/>
    <x v="0"/>
    <m/>
  </r>
  <r>
    <x v="4"/>
    <n v="6"/>
    <x v="1"/>
    <x v="5"/>
    <x v="1"/>
    <d v="2021-12-10T00:00:00"/>
    <x v="3"/>
    <n v="10"/>
    <x v="1"/>
    <n v="10"/>
    <x v="1"/>
    <m/>
  </r>
  <r>
    <x v="4"/>
    <n v="2"/>
    <x v="1"/>
    <x v="6"/>
    <x v="1"/>
    <d v="2021-12-10T00:00:00"/>
    <x v="3"/>
    <n v="10"/>
    <x v="1"/>
    <n v="10"/>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7" applyNumberFormats="0" applyBorderFormats="0" applyFontFormats="0" applyPatternFormats="0" applyAlignmentFormats="0" applyWidthHeightFormats="1" dataCaption="Valeurs" updatedVersion="6" minRefreshableVersion="3" showDrill="0" useAutoFormatting="1" rowGrandTotals="0" colGrandTotals="0" itemPrintTitles="1" createdVersion="6" indent="0" compact="0" compactData="0" multipleFieldFilters="0" chartFormat="2">
  <location ref="C9:J16" firstHeaderRow="1" firstDataRow="1" firstDataCol="7"/>
  <pivotFields count="12">
    <pivotField axis="axisRow" compact="0" outline="0" showAll="0" defaultSubtotal="0">
      <items count="9">
        <item m="1" x="7"/>
        <item m="1" x="6"/>
        <item m="1" x="8"/>
        <item x="4"/>
        <item m="1" x="5"/>
        <item x="0"/>
        <item x="1"/>
        <item x="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2">
        <item m="1" x="8"/>
        <item m="1" x="10"/>
        <item x="1"/>
        <item m="1" x="3"/>
        <item m="1" x="11"/>
        <item x="0"/>
        <item m="1" x="6"/>
        <item m="1" x="5"/>
        <item m="1" x="9"/>
        <item m="1" x="4"/>
        <item m="1" x="7"/>
        <item m="1" x="2"/>
      </items>
      <extLst>
        <ext xmlns:x14="http://schemas.microsoft.com/office/spreadsheetml/2009/9/main" uri="{2946ED86-A175-432a-8AC1-64E0C546D7DE}">
          <x14:pivotField fillDownLabels="1"/>
        </ext>
      </extLst>
    </pivotField>
    <pivotField axis="axisRow" compact="0" outline="0" showAll="0" defaultSubtotal="0">
      <items count="59">
        <item x="0"/>
        <item m="1" x="57"/>
        <item m="1" x="22"/>
        <item m="1" x="19"/>
        <item m="1" x="46"/>
        <item m="1" x="39"/>
        <item m="1" x="18"/>
        <item m="1" x="51"/>
        <item m="1" x="37"/>
        <item m="1" x="25"/>
        <item m="1" x="50"/>
        <item m="1" x="52"/>
        <item m="1" x="15"/>
        <item m="1" x="45"/>
        <item m="1" x="33"/>
        <item m="1" x="40"/>
        <item m="1" x="14"/>
        <item m="1" x="28"/>
        <item m="1" x="58"/>
        <item m="1" x="8"/>
        <item m="1" x="55"/>
        <item m="1" x="38"/>
        <item m="1" x="16"/>
        <item m="1" x="47"/>
        <item m="1" x="9"/>
        <item m="1" x="54"/>
        <item m="1" x="17"/>
        <item m="1" x="24"/>
        <item m="1" x="35"/>
        <item m="1" x="13"/>
        <item m="1" x="53"/>
        <item m="1" x="20"/>
        <item m="1" x="42"/>
        <item m="1" x="36"/>
        <item m="1" x="32"/>
        <item m="1" x="12"/>
        <item m="1" x="26"/>
        <item m="1" x="56"/>
        <item x="5"/>
        <item m="1" x="44"/>
        <item m="1" x="34"/>
        <item m="1" x="27"/>
        <item m="1" x="43"/>
        <item m="1" x="11"/>
        <item m="1" x="41"/>
        <item m="1" x="23"/>
        <item m="1" x="48"/>
        <item m="1" x="7"/>
        <item m="1" x="49"/>
        <item m="1" x="21"/>
        <item m="1" x="31"/>
        <item m="1" x="29"/>
        <item m="1" x="30"/>
        <item m="1" x="10"/>
        <item x="1"/>
        <item x="6"/>
        <item x="2"/>
        <item x="3"/>
        <item x="4"/>
      </items>
      <extLst>
        <ext xmlns:x14="http://schemas.microsoft.com/office/spreadsheetml/2009/9/main" uri="{2946ED86-A175-432a-8AC1-64E0C546D7DE}">
          <x14:pivotField fillDownLabels="1"/>
        </ext>
      </extLst>
    </pivotField>
    <pivotField axis="axisRow" compact="0" outline="0" showAll="0" defaultSubtotal="0">
      <items count="3">
        <item x="0"/>
        <item x="1"/>
        <item m="1" x="2"/>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axis="axisRow" compact="0" numFmtId="164" outline="0" showAll="0" defaultSubtotal="0">
      <items count="17">
        <item x="0"/>
        <item m="1" x="12"/>
        <item m="1" x="6"/>
        <item m="1" x="8"/>
        <item m="1" x="7"/>
        <item m="1" x="4"/>
        <item m="1" x="13"/>
        <item m="1" x="5"/>
        <item m="1" x="10"/>
        <item m="1" x="15"/>
        <item m="1" x="9"/>
        <item x="1"/>
        <item m="1" x="16"/>
        <item m="1" x="14"/>
        <item m="1" x="11"/>
        <item x="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1"/>
        <item x="0"/>
        <item m="1" x="4"/>
        <item x="2"/>
        <item m="1" x="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7">
    <field x="8"/>
    <field x="3"/>
    <field x="2"/>
    <field x="4"/>
    <field x="6"/>
    <field x="0"/>
    <field x="10"/>
  </rowFields>
  <rowItems count="7">
    <i>
      <x/>
      <x v="38"/>
      <x v="2"/>
      <x v="1"/>
      <x v="16"/>
      <x v="3"/>
      <x/>
    </i>
    <i r="1">
      <x v="54"/>
      <x v="5"/>
      <x/>
      <x v="11"/>
      <x v="6"/>
      <x/>
    </i>
    <i r="1">
      <x v="55"/>
      <x v="2"/>
      <x v="1"/>
      <x v="16"/>
      <x v="3"/>
      <x/>
    </i>
    <i>
      <x v="1"/>
      <x/>
      <x v="5"/>
      <x/>
      <x/>
      <x v="5"/>
      <x v="1"/>
    </i>
    <i r="1">
      <x v="58"/>
      <x v="2"/>
      <x/>
      <x/>
      <x v="8"/>
      <x v="1"/>
    </i>
    <i>
      <x v="3"/>
      <x v="56"/>
      <x v="5"/>
      <x/>
      <x v="15"/>
      <x v="5"/>
      <x/>
    </i>
    <i r="1">
      <x v="57"/>
      <x v="5"/>
      <x v="1"/>
      <x v="15"/>
      <x v="7"/>
      <x/>
    </i>
  </rowItems>
  <colItems count="1">
    <i/>
  </colItems>
  <dataFields count="1">
    <dataField name="Сумма по полю Осталось дней" fld="9" baseField="0" baseItem="0"/>
  </dataFields>
  <formats count="1">
    <format dxfId="18">
      <pivotArea dataOnly="0" labelOnly="1" outline="0" fieldPosition="0">
        <references count="1">
          <reference field="6"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Lst>
</pivotTableDefinition>
</file>

<file path=xl/queryTables/queryTable1.xml><?xml version="1.0" encoding="utf-8"?>
<queryTable xmlns="http://schemas.openxmlformats.org/spreadsheetml/2006/main" name="ExternalData_1" removeDataOnSave="1" connectionId="4" autoFormatId="0" applyNumberFormats="0" applyBorderFormats="0" applyFontFormats="1" applyPatternFormats="1" applyAlignmentFormats="0" applyWidthHeightFormats="0">
  <queryTableRefresh preserveSortFilterLayout="0" nextId="13">
    <queryTableFields count="12">
      <queryTableField id="1" name="Название доски/Проект" tableColumnId="37"/>
      <queryTableField id="2" name="Номер задачи" tableColumnId="38"/>
      <queryTableField id="3" name="Исполнитель" tableColumnId="39"/>
      <queryTableField id="4" name="Задачи" tableColumnId="40"/>
      <queryTableField id="5" name="Приоритет" tableColumnId="41"/>
      <queryTableField id="6" name="Старт" tableColumnId="42"/>
      <queryTableField id="7" name="Конец" tableColumnId="43"/>
      <queryTableField id="8" name="Сроки" tableColumnId="44"/>
      <queryTableField id="9" name="Статус" tableColumnId="45"/>
      <queryTableField id="10" name="Осталось дней" tableColumnId="46"/>
      <queryTableField id="11" name="Выполнено в срок" tableColumnId="47"/>
      <queryTableField id="12" name="Комментарии" tableColumnId="4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Срез_Исполнитель" sourceName="Исполнитель">
  <pivotTables>
    <pivotTable tabId="4" name="Сводная таблица1"/>
  </pivotTables>
  <data>
    <tabular pivotCacheId="247036802">
      <items count="12">
        <i x="1" s="1"/>
        <i x="0" s="1"/>
        <i x="8" s="1" nd="1"/>
        <i x="10" s="1" nd="1"/>
        <i x="3" s="1" nd="1"/>
        <i x="11" s="1" nd="1"/>
        <i x="6" s="1" nd="1"/>
        <i x="5" s="1" nd="1"/>
        <i x="9" s="1" nd="1"/>
        <i x="4" s="1" nd="1"/>
        <i x="7"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Срез_Название_доски_Проект" sourceName="Название доски/Проект">
  <pivotTables>
    <pivotTable tabId="4" name="Сводная таблица1"/>
  </pivotTables>
  <data>
    <tabular pivotCacheId="247036802">
      <items count="9">
        <i x="2" s="1"/>
        <i x="4" s="1"/>
        <i x="0" s="1"/>
        <i x="1" s="1"/>
        <i x="6" s="1" nd="1"/>
        <i x="3" s="1" nd="1"/>
        <i x="7" s="1" nd="1"/>
        <i x="8"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Срез_Приоритет" sourceName="Приоритет">
  <pivotTables>
    <pivotTable tabId="4" name="Сводная таблица1"/>
  </pivotTables>
  <data>
    <tabular pivotCacheId="247036802">
      <items count="3">
        <i x="1" s="1"/>
        <i x="0" s="1"/>
        <i x="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Срез_Выполнено_в_срок" sourceName="Выполнено в срок">
  <pivotTables>
    <pivotTable tabId="4" name="Сводная таблица1"/>
  </pivotTables>
  <data>
    <tabular pivotCacheId="247036802">
      <items count="2">
        <i x="1" s="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Исполнитель 1" cache="Срез_Исполнитель" caption="Исполнитель" style="SlicerStyleLight5" rowHeight="241300"/>
  <slicer name="Название доски/Проект 1" cache="Срез_Название_доски_Проект" caption="Проект" style="SlicerStyleLight5" rowHeight="241300"/>
  <slicer name="Приоритет 1" cache="Срез_Приоритет" caption="Приоритет" style="SlicerStyleLight5" rowHeight="241300"/>
  <slicer name="Выполнено в срок 1" cache="Срез_Выполнено_в_срок" caption="Выполнено в срок" style="SlicerStyleLight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Выполнено в срок" cache="Срез_Выполнено_в_срок" caption="Выполнено в срок"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6" name="Запрос1_3" displayName="Запрос1_3" ref="C6:N13" tableType="queryTable" totalsRowShown="0" dataDxfId="19">
  <autoFilter ref="C6:N13"/>
  <sortState ref="C7:M14">
    <sortCondition ref="H6:H14"/>
  </sortState>
  <tableColumns count="12">
    <tableColumn id="37" uniqueName="37" name="Название доски/Проект" queryTableFieldId="1" dataDxfId="11"/>
    <tableColumn id="38" uniqueName="38" name="Номер задачи" queryTableFieldId="2" dataDxfId="10"/>
    <tableColumn id="39" uniqueName="39" name="Исполнитель" queryTableFieldId="3" dataDxfId="9"/>
    <tableColumn id="40" uniqueName="40" name="Задачи" queryTableFieldId="4" dataDxfId="8"/>
    <tableColumn id="41" uniqueName="41" name="Приоритет" queryTableFieldId="5" dataDxfId="7"/>
    <tableColumn id="42" uniqueName="42" name="Старт" queryTableFieldId="6" dataDxfId="6"/>
    <tableColumn id="43" uniqueName="43" name="Конец" queryTableFieldId="7" dataDxfId="5"/>
    <tableColumn id="44" uniqueName="44" name="Сроки" queryTableFieldId="8" dataDxfId="4"/>
    <tableColumn id="45" uniqueName="45" name="Статус" queryTableFieldId="9" dataDxfId="3"/>
    <tableColumn id="46" uniqueName="46" name="Осталось дней" queryTableFieldId="10" dataDxfId="2"/>
    <tableColumn id="47" uniqueName="47" name="Выполнено в срок" queryTableFieldId="11" dataDxfId="1"/>
    <tableColumn id="48" uniqueName="48" name="Комментарии" queryTableFieldId="12" dataDxfId="0"/>
  </tableColumns>
  <tableStyleInfo name="TableStyleLight13" showFirstColumn="0" showLastColumn="0" showRowStripes="1" showColumnStripes="0"/>
</table>
</file>

<file path=xl/tables/table2.xml><?xml version="1.0" encoding="utf-8"?>
<table xmlns="http://schemas.openxmlformats.org/spreadsheetml/2006/main" id="2" name="Priority" displayName="Priority" ref="B4:B7" totalsRowShown="0">
  <autoFilter ref="B4:B7"/>
  <tableColumns count="1">
    <tableColumn id="1" name="Priority"/>
  </tableColumns>
  <tableStyleInfo name="Adnia"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dimension ref="C1:R13"/>
  <sheetViews>
    <sheetView showGridLines="0" showRowColHeaders="0" topLeftCell="B73" zoomScale="80" zoomScaleNormal="80" workbookViewId="0">
      <selection activeCell="C6" sqref="C6:N13"/>
    </sheetView>
  </sheetViews>
  <sheetFormatPr defaultRowHeight="15" x14ac:dyDescent="0.25"/>
  <cols>
    <col min="1" max="2" width="9.140625" style="33"/>
    <col min="3" max="3" width="27.28515625" style="33" customWidth="1"/>
    <col min="4" max="4" width="17.7109375" style="33" customWidth="1"/>
    <col min="5" max="5" width="19.140625" style="33" customWidth="1"/>
    <col min="6" max="6" width="45.140625" style="33" customWidth="1"/>
    <col min="7" max="7" width="14.140625" style="33" customWidth="1"/>
    <col min="8" max="9" width="10.85546875" style="33" customWidth="1"/>
    <col min="10" max="10" width="9.5703125" style="33" customWidth="1"/>
    <col min="11" max="11" width="10" style="33" customWidth="1"/>
    <col min="12" max="12" width="18" style="33" customWidth="1"/>
    <col min="13" max="13" width="21.28515625" style="33" customWidth="1"/>
    <col min="14" max="14" width="17.7109375" style="33" customWidth="1"/>
    <col min="15" max="16384" width="9.140625" style="33"/>
  </cols>
  <sheetData>
    <row r="1" spans="3:18" s="5" customFormat="1" ht="21" customHeight="1" x14ac:dyDescent="0.25"/>
    <row r="2" spans="3:18" s="5" customFormat="1" ht="21" customHeight="1" x14ac:dyDescent="0.25"/>
    <row r="3" spans="3:18" s="19" customFormat="1" ht="19.899999999999999" customHeight="1" x14ac:dyDescent="0.25">
      <c r="C3" s="58"/>
      <c r="D3" s="58"/>
      <c r="E3" s="58"/>
      <c r="F3" s="58"/>
      <c r="G3" s="58"/>
      <c r="H3" s="58"/>
      <c r="I3" s="58"/>
      <c r="J3" s="58"/>
      <c r="K3" s="58"/>
      <c r="L3" s="58"/>
      <c r="M3" s="58"/>
      <c r="N3" s="58"/>
      <c r="O3" s="58"/>
      <c r="P3" s="58"/>
      <c r="Q3" s="58"/>
      <c r="R3" s="58"/>
    </row>
    <row r="6" spans="3:18" x14ac:dyDescent="0.25">
      <c r="C6" s="1" t="s">
        <v>2</v>
      </c>
      <c r="D6" s="1" t="s">
        <v>0</v>
      </c>
      <c r="E6" s="1" t="s">
        <v>3</v>
      </c>
      <c r="F6" s="1" t="s">
        <v>1</v>
      </c>
      <c r="G6" s="1" t="s">
        <v>4</v>
      </c>
      <c r="H6" s="2" t="s">
        <v>5</v>
      </c>
      <c r="I6" s="2" t="s">
        <v>6</v>
      </c>
      <c r="J6" s="1" t="s">
        <v>7</v>
      </c>
      <c r="K6" s="1" t="s">
        <v>8</v>
      </c>
      <c r="L6" s="1" t="s">
        <v>16</v>
      </c>
      <c r="M6" s="1" t="s">
        <v>9</v>
      </c>
      <c r="N6" s="1" t="s">
        <v>27</v>
      </c>
    </row>
    <row r="7" spans="3:18" x14ac:dyDescent="0.25">
      <c r="C7" s="54" t="s">
        <v>34</v>
      </c>
      <c r="D7" s="54">
        <v>1</v>
      </c>
      <c r="E7" s="54" t="s">
        <v>35</v>
      </c>
      <c r="F7" s="54" t="s">
        <v>28</v>
      </c>
      <c r="G7" s="54" t="s">
        <v>10</v>
      </c>
      <c r="H7" s="55">
        <v>44430</v>
      </c>
      <c r="I7" s="55">
        <v>44432</v>
      </c>
      <c r="J7" s="54">
        <v>2</v>
      </c>
      <c r="K7" s="54" t="s">
        <v>23</v>
      </c>
      <c r="L7" s="54"/>
      <c r="M7" s="54" t="s">
        <v>29</v>
      </c>
      <c r="N7" s="54"/>
    </row>
    <row r="8" spans="3:18" x14ac:dyDescent="0.25">
      <c r="C8" s="54" t="s">
        <v>36</v>
      </c>
      <c r="D8" s="54">
        <v>2</v>
      </c>
      <c r="E8" s="54" t="s">
        <v>35</v>
      </c>
      <c r="F8" s="54" t="s">
        <v>30</v>
      </c>
      <c r="G8" s="54" t="s">
        <v>10</v>
      </c>
      <c r="H8" s="55">
        <v>44433</v>
      </c>
      <c r="I8" s="55">
        <v>44469</v>
      </c>
      <c r="J8" s="54">
        <v>36</v>
      </c>
      <c r="K8" s="54" t="s">
        <v>19</v>
      </c>
      <c r="L8" s="54">
        <v>-71</v>
      </c>
      <c r="M8" s="54"/>
      <c r="N8" s="54"/>
    </row>
    <row r="9" spans="3:18" x14ac:dyDescent="0.25">
      <c r="C9" s="54" t="s">
        <v>34</v>
      </c>
      <c r="D9" s="54">
        <v>3</v>
      </c>
      <c r="E9" s="54" t="s">
        <v>35</v>
      </c>
      <c r="F9" s="54" t="s">
        <v>37</v>
      </c>
      <c r="G9" s="54" t="s">
        <v>10</v>
      </c>
      <c r="H9" s="55">
        <v>44555</v>
      </c>
      <c r="I9" s="55">
        <v>44560</v>
      </c>
      <c r="J9" s="54">
        <v>5</v>
      </c>
      <c r="K9" s="54"/>
      <c r="L9" s="54">
        <v>20</v>
      </c>
      <c r="M9" s="54"/>
      <c r="N9" s="54"/>
    </row>
    <row r="10" spans="3:18" x14ac:dyDescent="0.25">
      <c r="C10" s="54" t="s">
        <v>38</v>
      </c>
      <c r="D10" s="54">
        <v>4</v>
      </c>
      <c r="E10" s="54" t="s">
        <v>35</v>
      </c>
      <c r="F10" s="54" t="s">
        <v>39</v>
      </c>
      <c r="G10" s="54" t="s">
        <v>12</v>
      </c>
      <c r="H10" s="55">
        <v>44555</v>
      </c>
      <c r="I10" s="55">
        <v>44560</v>
      </c>
      <c r="J10" s="54">
        <v>5</v>
      </c>
      <c r="K10" s="54"/>
      <c r="L10" s="54">
        <v>20</v>
      </c>
      <c r="M10" s="54"/>
      <c r="N10" s="54"/>
    </row>
    <row r="11" spans="3:18" x14ac:dyDescent="0.25">
      <c r="C11" s="54" t="s">
        <v>40</v>
      </c>
      <c r="D11" s="54">
        <v>1</v>
      </c>
      <c r="E11" s="54" t="s">
        <v>41</v>
      </c>
      <c r="F11" s="54" t="s">
        <v>42</v>
      </c>
      <c r="G11" s="54" t="s">
        <v>10</v>
      </c>
      <c r="H11" s="55">
        <v>44431</v>
      </c>
      <c r="I11" s="55">
        <v>44432</v>
      </c>
      <c r="J11" s="54">
        <v>1</v>
      </c>
      <c r="K11" s="54" t="s">
        <v>23</v>
      </c>
      <c r="L11" s="54"/>
      <c r="M11" s="54" t="s">
        <v>31</v>
      </c>
      <c r="N11" s="54"/>
    </row>
    <row r="12" spans="3:18" x14ac:dyDescent="0.25">
      <c r="C12" s="54" t="s">
        <v>43</v>
      </c>
      <c r="D12" s="54">
        <v>6</v>
      </c>
      <c r="E12" s="54" t="s">
        <v>41</v>
      </c>
      <c r="F12" s="54" t="s">
        <v>32</v>
      </c>
      <c r="G12" s="54" t="s">
        <v>12</v>
      </c>
      <c r="H12" s="55">
        <v>44540</v>
      </c>
      <c r="I12" s="55">
        <v>44550</v>
      </c>
      <c r="J12" s="54">
        <v>10</v>
      </c>
      <c r="K12" s="54" t="s">
        <v>19</v>
      </c>
      <c r="L12" s="54">
        <v>10</v>
      </c>
      <c r="M12" s="54"/>
      <c r="N12" s="54"/>
    </row>
    <row r="13" spans="3:18" x14ac:dyDescent="0.25">
      <c r="C13" s="54" t="s">
        <v>43</v>
      </c>
      <c r="D13" s="54">
        <v>2</v>
      </c>
      <c r="E13" s="54" t="s">
        <v>41</v>
      </c>
      <c r="F13" s="54" t="s">
        <v>33</v>
      </c>
      <c r="G13" s="54" t="s">
        <v>12</v>
      </c>
      <c r="H13" s="55">
        <v>44540</v>
      </c>
      <c r="I13" s="55">
        <v>44550</v>
      </c>
      <c r="J13" s="54">
        <v>10</v>
      </c>
      <c r="K13" s="54" t="s">
        <v>19</v>
      </c>
      <c r="L13" s="54">
        <v>10</v>
      </c>
      <c r="M13" s="54"/>
      <c r="N13" s="54"/>
    </row>
  </sheetData>
  <mergeCells count="1">
    <mergeCell ref="C3:R3"/>
  </mergeCells>
  <pageMargins left="0.7" right="0.7" top="0.75" bottom="0.75" header="0.3" footer="0.3"/>
  <pageSetup paperSize="121" orientation="portrait" horizontalDpi="4294967294"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Обновление">
                <anchor moveWithCells="1">
                  <from>
                    <xdr:col>14</xdr:col>
                    <xdr:colOff>447675</xdr:colOff>
                    <xdr:row>4</xdr:row>
                    <xdr:rowOff>152400</xdr:rowOff>
                  </from>
                  <to>
                    <xdr:col>16</xdr:col>
                    <xdr:colOff>533400</xdr:colOff>
                    <xdr:row>7</xdr:row>
                    <xdr:rowOff>142875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AS2519"/>
  <sheetViews>
    <sheetView showGridLines="0" showRowColHeaders="0" zoomScale="60" zoomScaleNormal="60" workbookViewId="0">
      <pane ySplit="13" topLeftCell="A15" activePane="bottomLeft" state="frozen"/>
      <selection pane="bottomLeft"/>
    </sheetView>
  </sheetViews>
  <sheetFormatPr defaultColWidth="11.5703125" defaultRowHeight="18.75" x14ac:dyDescent="0.25"/>
  <cols>
    <col min="1" max="1" width="5.7109375" style="47" customWidth="1"/>
    <col min="2" max="2" width="9.42578125" style="8" customWidth="1"/>
    <col min="3" max="3" width="4.7109375" style="10" customWidth="1"/>
    <col min="4" max="4" width="11.7109375" style="10" bestFit="1" customWidth="1"/>
    <col min="5" max="5" width="9.7109375" style="10" customWidth="1"/>
    <col min="6" max="7" width="9.7109375" style="11" customWidth="1"/>
    <col min="8" max="8" width="9.42578125" style="10" customWidth="1"/>
    <col min="9" max="9" width="3.7109375" style="46" customWidth="1"/>
    <col min="10" max="10" width="9.42578125" style="10" customWidth="1"/>
    <col min="11" max="11" width="4.7109375" style="10" customWidth="1"/>
    <col min="12" max="12" width="11.7109375" style="10" bestFit="1" customWidth="1"/>
    <col min="13" max="13" width="9.7109375" style="10" customWidth="1"/>
    <col min="14" max="15" width="9.7109375" style="11" customWidth="1"/>
    <col min="16" max="16" width="9.42578125" style="10" customWidth="1"/>
    <col min="17" max="17" width="3.7109375" style="46" customWidth="1"/>
    <col min="18" max="18" width="9.42578125" style="10" customWidth="1"/>
    <col min="19" max="19" width="4.7109375" style="10" customWidth="1"/>
    <col min="20" max="20" width="11.7109375" style="10" bestFit="1" customWidth="1"/>
    <col min="21" max="21" width="9.7109375" style="10" customWidth="1"/>
    <col min="22" max="23" width="9.7109375" style="11" customWidth="1"/>
    <col min="24" max="24" width="9.42578125" style="10" customWidth="1"/>
    <col min="25" max="25" width="3.7109375" style="46" customWidth="1"/>
    <col min="26" max="26" width="9.42578125" style="10" customWidth="1"/>
    <col min="27" max="27" width="4.7109375" style="10" customWidth="1"/>
    <col min="28" max="28" width="11.7109375" style="10" bestFit="1" customWidth="1"/>
    <col min="29" max="29" width="9.7109375" style="10" customWidth="1"/>
    <col min="30" max="31" width="9.7109375" style="11" customWidth="1"/>
    <col min="32" max="32" width="9.42578125" style="10" customWidth="1"/>
    <col min="33" max="33" width="0.7109375" style="10" customWidth="1"/>
    <col min="34" max="34" width="15.7109375" style="46" customWidth="1"/>
    <col min="35" max="35" width="10.7109375" style="46" customWidth="1"/>
    <col min="36" max="36" width="4.7109375" style="52" customWidth="1"/>
    <col min="37" max="37" width="1.28515625" style="46" customWidth="1"/>
    <col min="38" max="38" width="0.7109375" style="46" customWidth="1"/>
    <col min="39" max="39" width="1.28515625" style="46" customWidth="1"/>
    <col min="40" max="40" width="0.7109375" style="46" customWidth="1"/>
    <col min="41" max="41" width="15.7109375" style="46" customWidth="1"/>
    <col min="42" max="42" width="10.7109375" style="46" customWidth="1"/>
    <col min="43" max="43" width="4.7109375" style="52" customWidth="1"/>
    <col min="44" max="16384" width="11.5703125" style="46"/>
  </cols>
  <sheetData>
    <row r="1" spans="1:45" s="5" customFormat="1" ht="21" customHeight="1" x14ac:dyDescent="0.25">
      <c r="A1" s="5" t="s">
        <v>14</v>
      </c>
    </row>
    <row r="2" spans="1:45" s="5" customFormat="1" ht="21" customHeight="1" x14ac:dyDescent="0.25"/>
    <row r="3" spans="1:45" s="6" customFormat="1" ht="21" customHeight="1" x14ac:dyDescent="0.25">
      <c r="A3" s="67" t="s">
        <v>14</v>
      </c>
      <c r="B3" s="67"/>
      <c r="C3" s="67"/>
      <c r="D3" s="67"/>
      <c r="E3" s="67"/>
      <c r="F3" s="67"/>
      <c r="G3" s="67"/>
      <c r="H3" s="67"/>
      <c r="I3" s="67"/>
      <c r="J3" s="67"/>
      <c r="K3" s="67"/>
      <c r="L3" s="67"/>
      <c r="M3" s="67"/>
      <c r="N3" s="67"/>
      <c r="O3" s="67"/>
      <c r="P3" s="67"/>
      <c r="Q3" s="67"/>
      <c r="R3" s="67"/>
      <c r="S3" s="67"/>
      <c r="T3" s="67"/>
      <c r="U3" s="67"/>
      <c r="V3" s="67"/>
      <c r="W3" s="67"/>
      <c r="X3" s="67"/>
      <c r="Y3" s="67"/>
      <c r="Z3" s="67"/>
      <c r="AA3" s="67"/>
      <c r="AB3" s="67"/>
    </row>
    <row r="4" spans="1:45" s="38" customFormat="1" ht="19.899999999999999" customHeight="1" x14ac:dyDescent="0.25">
      <c r="A4" s="32"/>
      <c r="B4" s="34"/>
      <c r="C4" s="35"/>
      <c r="D4" s="35"/>
      <c r="E4" s="35"/>
      <c r="F4" s="36"/>
      <c r="G4" s="36"/>
      <c r="H4" s="37"/>
      <c r="N4" s="39"/>
      <c r="O4" s="39"/>
      <c r="V4" s="39"/>
      <c r="W4" s="39"/>
      <c r="AD4" s="39"/>
      <c r="AE4" s="39"/>
      <c r="AJ4" s="39"/>
      <c r="AQ4" s="39"/>
      <c r="AS4" s="40"/>
    </row>
    <row r="5" spans="1:45" s="38" customFormat="1" ht="19.899999999999999" customHeight="1" x14ac:dyDescent="0.25">
      <c r="A5" s="32"/>
      <c r="B5" s="34"/>
      <c r="C5" s="35"/>
      <c r="D5" s="35"/>
      <c r="E5" s="35"/>
      <c r="F5" s="36"/>
      <c r="G5" s="36"/>
      <c r="H5" s="37"/>
      <c r="N5" s="39"/>
      <c r="V5" s="39"/>
      <c r="W5" s="39"/>
      <c r="X5" s="41"/>
      <c r="AD5" s="39"/>
      <c r="AE5" s="35"/>
      <c r="AJ5" s="39"/>
      <c r="AQ5" s="39"/>
      <c r="AS5" s="40"/>
    </row>
    <row r="6" spans="1:45" s="38" customFormat="1" ht="19.899999999999999" customHeight="1" x14ac:dyDescent="0.25">
      <c r="A6" s="32"/>
      <c r="B6" s="34"/>
      <c r="D6" s="35"/>
      <c r="E6" s="35"/>
      <c r="F6" s="36"/>
      <c r="G6" s="36"/>
      <c r="H6" s="37"/>
      <c r="N6" s="39"/>
      <c r="V6" s="39"/>
      <c r="W6" s="39"/>
      <c r="AD6" s="39"/>
      <c r="AE6" s="42"/>
      <c r="AJ6" s="39"/>
      <c r="AQ6" s="39"/>
      <c r="AS6" s="40"/>
    </row>
    <row r="7" spans="1:45" s="38" customFormat="1" ht="19.899999999999999" customHeight="1" x14ac:dyDescent="0.25">
      <c r="A7" s="32"/>
      <c r="B7" s="34"/>
      <c r="D7" s="42"/>
      <c r="E7" s="42"/>
      <c r="F7" s="43"/>
      <c r="G7" s="43"/>
      <c r="L7" s="44"/>
      <c r="N7" s="39"/>
      <c r="V7" s="39"/>
      <c r="W7" s="39"/>
      <c r="X7" s="41"/>
      <c r="AD7" s="39"/>
      <c r="AJ7" s="39"/>
      <c r="AQ7" s="39"/>
    </row>
    <row r="8" spans="1:45" s="38" customFormat="1" ht="19.899999999999999" customHeight="1" x14ac:dyDescent="0.25">
      <c r="A8" s="32"/>
      <c r="B8" s="34"/>
      <c r="F8" s="39"/>
      <c r="G8" s="39"/>
      <c r="L8" s="45"/>
      <c r="N8" s="39"/>
      <c r="O8" s="39"/>
      <c r="V8" s="39"/>
      <c r="W8" s="39"/>
      <c r="AD8" s="39"/>
      <c r="AE8" s="39"/>
      <c r="AJ8" s="39"/>
      <c r="AQ8" s="39"/>
    </row>
    <row r="9" spans="1:45" s="38" customFormat="1" ht="19.899999999999999" customHeight="1" x14ac:dyDescent="0.25">
      <c r="A9" s="32"/>
      <c r="B9" s="34"/>
      <c r="F9" s="39"/>
      <c r="G9" s="39"/>
      <c r="L9" s="45"/>
      <c r="N9" s="39"/>
      <c r="O9" s="39"/>
      <c r="V9" s="39"/>
      <c r="W9" s="39"/>
      <c r="AD9" s="39"/>
      <c r="AE9" s="39"/>
      <c r="AJ9" s="39"/>
      <c r="AQ9" s="39"/>
    </row>
    <row r="10" spans="1:45" s="38" customFormat="1" ht="19.899999999999999" customHeight="1" x14ac:dyDescent="0.25">
      <c r="A10" s="32"/>
      <c r="B10" s="34"/>
      <c r="F10" s="39"/>
      <c r="G10" s="39"/>
      <c r="L10" s="45"/>
      <c r="N10" s="39"/>
      <c r="O10" s="39"/>
      <c r="V10" s="39"/>
      <c r="W10" s="39"/>
      <c r="AD10" s="39"/>
      <c r="AE10" s="39"/>
      <c r="AJ10" s="39"/>
      <c r="AQ10" s="39"/>
    </row>
    <row r="11" spans="1:45" s="38" customFormat="1" ht="19.899999999999999" customHeight="1" x14ac:dyDescent="0.25">
      <c r="A11" s="32"/>
      <c r="B11" s="34"/>
      <c r="F11" s="39"/>
      <c r="G11" s="39"/>
      <c r="L11" s="45"/>
      <c r="N11" s="39"/>
      <c r="O11" s="39"/>
      <c r="V11" s="39"/>
      <c r="W11" s="39"/>
      <c r="AD11" s="39"/>
      <c r="AE11" s="39"/>
      <c r="AJ11" s="39"/>
      <c r="AQ11" s="39"/>
    </row>
    <row r="12" spans="1:45" s="38" customFormat="1" ht="19.899999999999999" customHeight="1" x14ac:dyDescent="0.25">
      <c r="A12" s="32"/>
      <c r="B12" s="34"/>
      <c r="F12" s="39"/>
      <c r="G12" s="39"/>
      <c r="N12" s="39"/>
      <c r="O12" s="39"/>
      <c r="V12" s="39"/>
      <c r="W12" s="39"/>
      <c r="AD12" s="39"/>
      <c r="AE12" s="39"/>
      <c r="AJ12" s="39"/>
      <c r="AQ12" s="39"/>
    </row>
    <row r="13" spans="1:45" s="38" customFormat="1" ht="19.899999999999999" customHeight="1" thickBot="1" x14ac:dyDescent="0.3">
      <c r="A13" s="32"/>
      <c r="B13" s="34"/>
      <c r="C13" s="72" t="str">
        <f>IF('Aux2'!D5="","",'Aux2'!D5)</f>
        <v>В ожидании</v>
      </c>
      <c r="D13" s="72"/>
      <c r="E13" s="72"/>
      <c r="F13" s="72"/>
      <c r="G13" s="72"/>
      <c r="K13" s="72" t="str">
        <f>IF('Aux2'!D6="","",'Aux2'!D6)</f>
        <v>В работе</v>
      </c>
      <c r="L13" s="72"/>
      <c r="M13" s="72"/>
      <c r="N13" s="72"/>
      <c r="O13" s="72"/>
      <c r="S13" s="72" t="str">
        <f>IF('Aux2'!D7="","",'Aux2'!D7)</f>
        <v>На проверке</v>
      </c>
      <c r="T13" s="72"/>
      <c r="U13" s="72"/>
      <c r="V13" s="72"/>
      <c r="W13" s="72"/>
      <c r="AA13" s="72" t="str">
        <f>IF('Aux2'!D8="","",'Aux2'!D8)</f>
        <v>Готово</v>
      </c>
      <c r="AB13" s="72"/>
      <c r="AC13" s="72"/>
      <c r="AD13" s="72"/>
      <c r="AE13" s="72"/>
      <c r="AF13" s="72"/>
      <c r="AJ13" s="39"/>
      <c r="AQ13" s="39"/>
    </row>
    <row r="14" spans="1:45" s="38" customFormat="1" ht="17.25" customHeight="1" x14ac:dyDescent="0.25">
      <c r="A14" s="32"/>
      <c r="B14" s="12"/>
      <c r="C14" s="13"/>
      <c r="D14" s="13"/>
      <c r="E14" s="13"/>
      <c r="F14" s="14"/>
      <c r="G14" s="14"/>
      <c r="H14" s="13"/>
      <c r="J14" s="13"/>
      <c r="K14" s="13"/>
      <c r="L14" s="13"/>
      <c r="M14" s="13"/>
      <c r="N14" s="14"/>
      <c r="O14" s="14"/>
      <c r="P14" s="13"/>
      <c r="R14" s="13"/>
      <c r="S14" s="13"/>
      <c r="T14" s="13"/>
      <c r="U14" s="13"/>
      <c r="V14" s="14"/>
      <c r="W14" s="14"/>
      <c r="X14" s="13"/>
      <c r="Z14" s="13"/>
      <c r="AA14" s="13"/>
      <c r="AB14" s="13"/>
      <c r="AC14" s="13"/>
      <c r="AD14" s="14"/>
      <c r="AE14" s="14"/>
      <c r="AF14" s="31"/>
      <c r="AG14" s="71"/>
      <c r="AH14" s="69" t="str">
        <f>IFERROR(VLOOKUP(#REF!&amp;$B15,Aux!$B:$M,3,0),"")</f>
        <v/>
      </c>
      <c r="AI14" s="69"/>
      <c r="AJ14" s="65" t="str">
        <f>IFERROR(IF(VLOOKUP(#REF!&amp;$B15,Aux!$B:$M,7,0)="Yes","🏴",""),"")</f>
        <v/>
      </c>
      <c r="AK14" s="46"/>
      <c r="AL14" s="46"/>
      <c r="AM14" s="46"/>
      <c r="AN14" s="68"/>
      <c r="AO14" s="69" t="str">
        <f>IFERROR(VLOOKUP(#REF!&amp;$B15,Aux!$B:$M,3,0),"")</f>
        <v/>
      </c>
      <c r="AP14" s="69"/>
      <c r="AQ14" s="65" t="str">
        <f>IFERROR(IF(VLOOKUP(#REF!&amp;$B15,Aux!$B:$M,7,0)="Yes","🏴",""),"")</f>
        <v/>
      </c>
    </row>
    <row r="15" spans="1:45" ht="19.899999999999999" customHeight="1" x14ac:dyDescent="0.25">
      <c r="B15" s="53">
        <f>B8+1</f>
        <v>1</v>
      </c>
      <c r="C15" s="59" t="str">
        <f>IFERROR(VLOOKUP(C$13&amp;$B19,Aux!$B:$M,5,0),"")</f>
        <v/>
      </c>
      <c r="D15" s="60" t="str">
        <f>IFERROR(VLOOKUP(C$13&amp;$B15,Aux!$B:$M,3,0),"")</f>
        <v/>
      </c>
      <c r="E15" s="60"/>
      <c r="F15" s="60"/>
      <c r="G15" s="61" t="str">
        <f>IFERROR(VLOOKUP(C$13&amp;$B15,Aux!$B:$M,9,0),"")</f>
        <v/>
      </c>
      <c r="K15" s="59" t="str">
        <f>IFERROR(VLOOKUP(K$13&amp;$B19,Aux!$B:$M,5,0),"")</f>
        <v>Высокий</v>
      </c>
      <c r="L15" s="60" t="str">
        <f>IFERROR(VLOOKUP(K$13&amp;$B15,Aux!$B:$M,3,0),"")</f>
        <v xml:space="preserve">Помощь Алёне </v>
      </c>
      <c r="M15" s="60"/>
      <c r="N15" s="60"/>
      <c r="O15" s="61">
        <f>IFERROR(VLOOKUP(K$13&amp;$B15,Aux!$B:$M,9,0),"")</f>
        <v>10</v>
      </c>
      <c r="S15" s="59" t="str">
        <f>IFERROR(VLOOKUP(S$13&amp;$B19,Aux!$B:$M,5,0),"")</f>
        <v/>
      </c>
      <c r="T15" s="60" t="str">
        <f>IFERROR(VLOOKUP(S$13&amp;$B15,Aux!$B:$M,3,0),"")</f>
        <v/>
      </c>
      <c r="U15" s="60"/>
      <c r="V15" s="60"/>
      <c r="W15" s="61" t="str">
        <f>IFERROR(VLOOKUP(S$13&amp;$B15,Aux!$B:$M,9,0),"")</f>
        <v/>
      </c>
      <c r="AA15" s="59" t="str">
        <f>IFERROR(VLOOKUP(AA$13&amp;$B19,Aux!$B:$M,5,0),"")</f>
        <v>Обычный</v>
      </c>
      <c r="AB15" s="60" t="str">
        <f>IFERROR(VLOOKUP(AA$13&amp;$B15,Aux!$B:$M,3,0),"")</f>
        <v>Актуализировать текст отчета по концепции</v>
      </c>
      <c r="AC15" s="60"/>
      <c r="AD15" s="60"/>
      <c r="AE15" s="61">
        <f>IFERROR(VLOOKUP(AA$13&amp;$B15,Aux!$B:$M,9,0),"")</f>
        <v>0</v>
      </c>
      <c r="AF15" s="56"/>
      <c r="AG15" s="71"/>
      <c r="AH15" s="69"/>
      <c r="AI15" s="69"/>
      <c r="AJ15" s="65"/>
      <c r="AN15" s="68"/>
      <c r="AO15" s="69"/>
      <c r="AP15" s="69"/>
      <c r="AQ15" s="65"/>
    </row>
    <row r="16" spans="1:45" ht="19.899999999999999" customHeight="1" x14ac:dyDescent="0.25">
      <c r="B16" s="53">
        <f>B12+1</f>
        <v>1</v>
      </c>
      <c r="C16" s="59"/>
      <c r="D16" s="60"/>
      <c r="E16" s="60"/>
      <c r="F16" s="60"/>
      <c r="G16" s="61"/>
      <c r="K16" s="59"/>
      <c r="L16" s="60"/>
      <c r="M16" s="60"/>
      <c r="N16" s="60"/>
      <c r="O16" s="61"/>
      <c r="S16" s="59"/>
      <c r="T16" s="60"/>
      <c r="U16" s="60"/>
      <c r="V16" s="60"/>
      <c r="W16" s="61"/>
      <c r="AA16" s="59"/>
      <c r="AB16" s="60"/>
      <c r="AC16" s="60"/>
      <c r="AD16" s="60"/>
      <c r="AE16" s="61"/>
      <c r="AF16" s="56"/>
      <c r="AG16" s="71"/>
      <c r="AH16" s="48" t="str">
        <f>IF(AH14="",""," "&amp;"Assigned To"&amp;": ")</f>
        <v/>
      </c>
      <c r="AI16" s="70" t="str">
        <f>IFERROR(VLOOKUP(#REF!&amp;$B17,Aux!$B:$M,4,0),"")</f>
        <v/>
      </c>
      <c r="AJ16" s="70"/>
      <c r="AN16" s="68"/>
      <c r="AO16" s="48" t="str">
        <f>IF(AO14="",""," "&amp;"Assigned To"&amp;": ")</f>
        <v/>
      </c>
      <c r="AP16" s="70" t="str">
        <f>IFERROR(VLOOKUP(#REF!&amp;$B17,Aux!$B:$M,4,0),"")</f>
        <v/>
      </c>
      <c r="AQ16" s="70"/>
    </row>
    <row r="17" spans="2:43" ht="19.899999999999999" customHeight="1" x14ac:dyDescent="0.25">
      <c r="B17" s="53">
        <f>B13+1</f>
        <v>1</v>
      </c>
      <c r="C17" s="59"/>
      <c r="D17" s="15" t="str">
        <f>IF(D15="","","Исполнитель"&amp;": ")</f>
        <v/>
      </c>
      <c r="E17" s="62" t="str">
        <f>IFERROR(VLOOKUP(C$13&amp;$B17,Aux!$B:$M,4,0),"")</f>
        <v/>
      </c>
      <c r="F17" s="62"/>
      <c r="G17" s="63" t="str">
        <f>IFERROR(IF(VLOOKUP(C$13&amp;$B15,Aux!$B:$M,8,0)="Да","✔","🕓"),"")</f>
        <v/>
      </c>
      <c r="K17" s="59"/>
      <c r="L17" s="15" t="str">
        <f>IF(L15="","","Исполнитель"&amp;": ")</f>
        <v xml:space="preserve">Исполнитель: </v>
      </c>
      <c r="M17" s="62" t="str">
        <f>IFERROR(VLOOKUP(K$13&amp;$B17,Aux!$B:$M,4,0),"")</f>
        <v>Второй сотрудник</v>
      </c>
      <c r="N17" s="62"/>
      <c r="O17" s="63" t="str">
        <f>IFERROR(IF(VLOOKUP(K$13&amp;$B15,Aux!$B:$M,8,0)="Да","✔","🕓"),"")</f>
        <v>🕓</v>
      </c>
      <c r="S17" s="59"/>
      <c r="T17" s="15" t="str">
        <f>IF(T15="","","Исполнитель"&amp;": ")</f>
        <v/>
      </c>
      <c r="U17" s="62" t="str">
        <f>IFERROR(VLOOKUP(S$13&amp;$B17,Aux!$B:$M,4,0),"")</f>
        <v/>
      </c>
      <c r="V17" s="62"/>
      <c r="W17" s="63" t="str">
        <f>IFERROR(IF(VLOOKUP(S$13&amp;$B15,Aux!$B:$M,8,0)="Да","✔","🕓"),"")</f>
        <v/>
      </c>
      <c r="AA17" s="59"/>
      <c r="AB17" s="15" t="str">
        <f>IF(AB15="","","Исполнитель"&amp;": ")</f>
        <v xml:space="preserve">Исполнитель: </v>
      </c>
      <c r="AC17" s="62" t="str">
        <f>IFERROR(VLOOKUP(AA$13&amp;$B17,Aux!$B:$M,4,0),"")</f>
        <v>Первый сотрудник</v>
      </c>
      <c r="AD17" s="62"/>
      <c r="AE17" s="63" t="str">
        <f>IFERROR(IF(VLOOKUP(AA$13&amp;$B15,Aux!$B:$M,8,0)="Да","✔","🕓"),"")</f>
        <v>✔</v>
      </c>
      <c r="AF17" s="56"/>
      <c r="AG17" s="71"/>
      <c r="AH17" s="49" t="str">
        <f>IF(AH14="",""," "&amp;"Date Due"&amp;": ")</f>
        <v/>
      </c>
      <c r="AI17" s="66" t="str">
        <f>IFERROR(VLOOKUP(#REF!&amp;$B18,Aux!$B:$M,6,0),"")</f>
        <v/>
      </c>
      <c r="AJ17" s="66"/>
      <c r="AN17" s="68"/>
      <c r="AO17" s="49" t="str">
        <f>IF(AO14="",""," "&amp;"Date Due"&amp;": ")</f>
        <v/>
      </c>
      <c r="AP17" s="66" t="str">
        <f>IFERROR(VLOOKUP(#REF!&amp;$B18,Aux!$B:$M,6,0),"")</f>
        <v/>
      </c>
      <c r="AQ17" s="66"/>
    </row>
    <row r="18" spans="2:43" ht="19.899999999999999" customHeight="1" x14ac:dyDescent="0.25">
      <c r="B18" s="53">
        <f>B13+1</f>
        <v>1</v>
      </c>
      <c r="C18" s="59"/>
      <c r="D18" s="16" t="str">
        <f>IF(D15="","","Срок сдачи"&amp;": ")</f>
        <v/>
      </c>
      <c r="E18" s="64" t="str">
        <f>IFERROR(VLOOKUP(C$13&amp;$B18,Aux!$B:$M,6,0),"")</f>
        <v/>
      </c>
      <c r="F18" s="64"/>
      <c r="G18" s="63"/>
      <c r="K18" s="59"/>
      <c r="L18" s="16" t="str">
        <f>IF(L15="","","Срок сдачи"&amp;": ")</f>
        <v xml:space="preserve">Срок сдачи: </v>
      </c>
      <c r="M18" s="64">
        <f>IFERROR(VLOOKUP(K$13&amp;$B18,Aux!$B:$M,6,0),"")</f>
        <v>44550</v>
      </c>
      <c r="N18" s="64"/>
      <c r="O18" s="63"/>
      <c r="S18" s="59"/>
      <c r="T18" s="16" t="str">
        <f>IF(T15="","","Срок сдачи"&amp;": ")</f>
        <v/>
      </c>
      <c r="U18" s="64" t="str">
        <f>IFERROR(VLOOKUP(S$13&amp;$B18,Aux!$B:$M,6,0),"")</f>
        <v/>
      </c>
      <c r="V18" s="64"/>
      <c r="W18" s="63"/>
      <c r="AA18" s="59"/>
      <c r="AB18" s="16" t="str">
        <f>IF(AB15="","","Срок сдачи"&amp;": ")</f>
        <v xml:space="preserve">Срок сдачи: </v>
      </c>
      <c r="AC18" s="64">
        <f>IFERROR(VLOOKUP(AA$13&amp;$B18,Aux!$B:$M,6,0),"")</f>
        <v>44432</v>
      </c>
      <c r="AD18" s="64"/>
      <c r="AE18" s="63"/>
      <c r="AF18" s="56"/>
      <c r="AG18" s="7"/>
      <c r="AH18" s="50" t="str">
        <f>IFERROR(VLOOKUP(#REF!&amp;$B19,Aux!$B:$M,5,0),"")</f>
        <v/>
      </c>
      <c r="AI18" s="47"/>
      <c r="AJ18" s="51"/>
      <c r="AK18" s="47"/>
      <c r="AM18" s="47"/>
      <c r="AN18" s="47"/>
      <c r="AO18" s="50" t="str">
        <f>IFERROR(VLOOKUP(#REF!&amp;$B19,Aux!$B:$M,5,0),"")</f>
        <v/>
      </c>
      <c r="AP18" s="47"/>
      <c r="AQ18" s="51"/>
    </row>
    <row r="19" spans="2:43" s="47" customFormat="1" ht="18.75" customHeight="1" x14ac:dyDescent="0.25">
      <c r="B19" s="53">
        <f>B14+1</f>
        <v>1</v>
      </c>
      <c r="C19" s="7"/>
      <c r="D19" s="17"/>
      <c r="E19" s="7"/>
      <c r="F19" s="18"/>
      <c r="G19" s="18"/>
      <c r="H19" s="7"/>
      <c r="I19" s="46"/>
      <c r="J19" s="7"/>
      <c r="K19" s="13"/>
      <c r="L19" s="17"/>
      <c r="M19" s="13"/>
      <c r="N19" s="14"/>
      <c r="O19" s="14"/>
      <c r="P19" s="7"/>
      <c r="Q19" s="46"/>
      <c r="R19" s="7"/>
      <c r="S19" s="13"/>
      <c r="T19" s="17"/>
      <c r="U19" s="13"/>
      <c r="V19" s="14"/>
      <c r="W19" s="14"/>
      <c r="X19" s="7"/>
      <c r="Y19" s="46"/>
      <c r="Z19" s="7"/>
      <c r="AA19" s="13"/>
      <c r="AB19" s="17"/>
      <c r="AC19" s="13"/>
      <c r="AD19" s="14"/>
      <c r="AE19" s="29"/>
      <c r="AF19" s="56"/>
      <c r="AG19" s="10"/>
      <c r="AH19" s="46"/>
      <c r="AI19" s="46"/>
      <c r="AJ19" s="52"/>
      <c r="AK19" s="46"/>
      <c r="AL19" s="46"/>
      <c r="AM19" s="46"/>
      <c r="AN19" s="46"/>
      <c r="AO19" s="46"/>
      <c r="AP19" s="46"/>
      <c r="AQ19" s="52"/>
    </row>
    <row r="20" spans="2:43" x14ac:dyDescent="0.25">
      <c r="B20" s="53">
        <f>B15+1</f>
        <v>2</v>
      </c>
      <c r="C20" s="59" t="str">
        <f>IFERROR(VLOOKUP(C$13&amp;$B24,Aux!$B:$M,5,0),"")</f>
        <v/>
      </c>
      <c r="D20" s="60" t="str">
        <f>IFERROR(VLOOKUP(C$13&amp;$B20,Aux!$B:$M,3,0),"")</f>
        <v/>
      </c>
      <c r="E20" s="60"/>
      <c r="F20" s="60"/>
      <c r="G20" s="61" t="str">
        <f>IFERROR(VLOOKUP(C$13&amp;$B20,Aux!$B:$M,9,0),"")</f>
        <v/>
      </c>
      <c r="K20" s="59" t="str">
        <f>IFERROR(VLOOKUP(K$13&amp;$B24,Aux!$B:$M,5,0),"")</f>
        <v>Обычный</v>
      </c>
      <c r="L20" s="60" t="str">
        <f>IFERROR(VLOOKUP(K$13&amp;$B20,Aux!$B:$M,3,0),"")</f>
        <v>Актуализировать текст отчета по экономике</v>
      </c>
      <c r="M20" s="60"/>
      <c r="N20" s="60"/>
      <c r="O20" s="61">
        <f>IFERROR(VLOOKUP(K$13&amp;$B20,Aux!$B:$M,9,0),"")</f>
        <v>-71</v>
      </c>
      <c r="S20" s="59" t="str">
        <f>IFERROR(VLOOKUP(S$13&amp;$B24,Aux!$B:$M,5,0),"")</f>
        <v/>
      </c>
      <c r="T20" s="60" t="str">
        <f>IFERROR(VLOOKUP(S$13&amp;$B20,Aux!$B:$M,3,0),"")</f>
        <v/>
      </c>
      <c r="U20" s="60"/>
      <c r="V20" s="60"/>
      <c r="W20" s="61" t="str">
        <f>IFERROR(VLOOKUP(S$13&amp;$B20,Aux!$B:$M,9,0),"")</f>
        <v/>
      </c>
      <c r="AA20" s="59" t="str">
        <f>IFERROR(VLOOKUP(AA$13&amp;$B24,Aux!$B:$M,5,0),"")</f>
        <v>Обычный</v>
      </c>
      <c r="AB20" s="60" t="str">
        <f>IFERROR(VLOOKUP(AA$13&amp;$B20,Aux!$B:$M,3,0),"")</f>
        <v>Исправить замечания эксперта, 3 таблицы</v>
      </c>
      <c r="AC20" s="60"/>
      <c r="AD20" s="60"/>
      <c r="AE20" s="61">
        <f>IFERROR(VLOOKUP(AA$13&amp;$B20,Aux!$B:$M,9,0),"")</f>
        <v>0</v>
      </c>
    </row>
    <row r="21" spans="2:43" x14ac:dyDescent="0.25">
      <c r="B21" s="53">
        <f t="shared" ref="B21:B84" si="0">B16+1</f>
        <v>2</v>
      </c>
      <c r="C21" s="59"/>
      <c r="D21" s="60"/>
      <c r="E21" s="60"/>
      <c r="F21" s="60"/>
      <c r="G21" s="61"/>
      <c r="K21" s="59"/>
      <c r="L21" s="60"/>
      <c r="M21" s="60"/>
      <c r="N21" s="60"/>
      <c r="O21" s="61"/>
      <c r="S21" s="59"/>
      <c r="T21" s="60"/>
      <c r="U21" s="60"/>
      <c r="V21" s="60"/>
      <c r="W21" s="61"/>
      <c r="AA21" s="59"/>
      <c r="AB21" s="60"/>
      <c r="AC21" s="60"/>
      <c r="AD21" s="60"/>
      <c r="AE21" s="61"/>
    </row>
    <row r="22" spans="2:43" x14ac:dyDescent="0.25">
      <c r="B22" s="53">
        <f t="shared" si="0"/>
        <v>2</v>
      </c>
      <c r="C22" s="59"/>
      <c r="D22" s="15" t="str">
        <f>IF(D20="","","Исполнитель"&amp;": ")</f>
        <v/>
      </c>
      <c r="E22" s="62" t="str">
        <f>IFERROR(VLOOKUP(C$13&amp;$B22,Aux!$B:$M,4,0),"")</f>
        <v/>
      </c>
      <c r="F22" s="62"/>
      <c r="G22" s="63" t="str">
        <f>IFERROR(IF(VLOOKUP(C$13&amp;$B20,Aux!$B:$M,8,0)="Да","✔","🕓"),"")</f>
        <v/>
      </c>
      <c r="K22" s="59"/>
      <c r="L22" s="15" t="str">
        <f>IF(L20="","","Исполнитель"&amp;": ")</f>
        <v xml:space="preserve">Исполнитель: </v>
      </c>
      <c r="M22" s="62" t="str">
        <f>IFERROR(VLOOKUP(K$13&amp;$B22,Aux!$B:$M,4,0),"")</f>
        <v>Первый сотрудник</v>
      </c>
      <c r="N22" s="62"/>
      <c r="O22" s="63" t="str">
        <f>IFERROR(IF(VLOOKUP(K$13&amp;$B20,Aux!$B:$M,8,0)="Да","✔","🕓"),"")</f>
        <v>🕓</v>
      </c>
      <c r="S22" s="59"/>
      <c r="T22" s="15" t="str">
        <f>IF(T20="","","Исполнитель"&amp;": ")</f>
        <v/>
      </c>
      <c r="U22" s="62" t="str">
        <f>IFERROR(VLOOKUP(S$13&amp;$B22,Aux!$B:$M,4,0),"")</f>
        <v/>
      </c>
      <c r="V22" s="62"/>
      <c r="W22" s="63" t="str">
        <f>IFERROR(IF(VLOOKUP(S$13&amp;$B20,Aux!$B:$M,8,0)="Да","✔","🕓"),"")</f>
        <v/>
      </c>
      <c r="AA22" s="59"/>
      <c r="AB22" s="15" t="str">
        <f>IF(AB20="","","Исполнитель"&amp;": ")</f>
        <v xml:space="preserve">Исполнитель: </v>
      </c>
      <c r="AC22" s="62" t="str">
        <f>IFERROR(VLOOKUP(AA$13&amp;$B22,Aux!$B:$M,4,0),"")</f>
        <v>Второй сотрудник</v>
      </c>
      <c r="AD22" s="62"/>
      <c r="AE22" s="63" t="str">
        <f>IFERROR(IF(VLOOKUP(AA$13&amp;$B20,Aux!$B:$M,8,0)="Да","✔","🕓"),"")</f>
        <v>✔</v>
      </c>
    </row>
    <row r="23" spans="2:43" x14ac:dyDescent="0.25">
      <c r="B23" s="53">
        <f t="shared" si="0"/>
        <v>2</v>
      </c>
      <c r="C23" s="59"/>
      <c r="D23" s="16" t="str">
        <f>IF(D20="","","Срок сдачи"&amp;": ")</f>
        <v/>
      </c>
      <c r="E23" s="64" t="str">
        <f>IFERROR(VLOOKUP(C$13&amp;$B23,Aux!$B:$M,6,0),"")</f>
        <v/>
      </c>
      <c r="F23" s="64"/>
      <c r="G23" s="63"/>
      <c r="K23" s="59"/>
      <c r="L23" s="16" t="str">
        <f>IF(L20="","","Срок сдачи"&amp;": ")</f>
        <v xml:space="preserve">Срок сдачи: </v>
      </c>
      <c r="M23" s="64">
        <f>IFERROR(VLOOKUP(K$13&amp;$B23,Aux!$B:$M,6,0),"")</f>
        <v>44469</v>
      </c>
      <c r="N23" s="64"/>
      <c r="O23" s="63"/>
      <c r="S23" s="59"/>
      <c r="T23" s="16" t="str">
        <f>IF(T20="","","Срок сдачи"&amp;": ")</f>
        <v/>
      </c>
      <c r="U23" s="64" t="str">
        <f>IFERROR(VLOOKUP(S$13&amp;$B23,Aux!$B:$M,6,0),"")</f>
        <v/>
      </c>
      <c r="V23" s="64"/>
      <c r="W23" s="63"/>
      <c r="AA23" s="59"/>
      <c r="AB23" s="16" t="str">
        <f>IF(AB20="","","Срок сдачи"&amp;": ")</f>
        <v xml:space="preserve">Срок сдачи: </v>
      </c>
      <c r="AC23" s="64">
        <f>IFERROR(VLOOKUP(AA$13&amp;$B23,Aux!$B:$M,6,0),"")</f>
        <v>44432</v>
      </c>
      <c r="AD23" s="64"/>
      <c r="AE23" s="63"/>
    </row>
    <row r="24" spans="2:43" x14ac:dyDescent="0.25">
      <c r="B24" s="53">
        <f t="shared" si="0"/>
        <v>2</v>
      </c>
      <c r="C24" s="7"/>
      <c r="D24" s="17"/>
      <c r="E24" s="7"/>
      <c r="F24" s="18"/>
      <c r="G24" s="18"/>
      <c r="K24" s="13"/>
      <c r="L24" s="17"/>
      <c r="M24" s="13"/>
      <c r="N24" s="14"/>
      <c r="O24" s="14"/>
      <c r="S24" s="13"/>
      <c r="T24" s="17"/>
      <c r="U24" s="13"/>
      <c r="V24" s="14"/>
      <c r="W24" s="14"/>
      <c r="AA24" s="13"/>
      <c r="AB24" s="17"/>
      <c r="AC24" s="13"/>
      <c r="AD24" s="14"/>
      <c r="AE24" s="30"/>
    </row>
    <row r="25" spans="2:43" x14ac:dyDescent="0.25">
      <c r="B25" s="53">
        <f t="shared" si="0"/>
        <v>3</v>
      </c>
      <c r="C25" s="59" t="str">
        <f>IFERROR(VLOOKUP(C$13&amp;$B29,Aux!$B:$M,5,0),"")</f>
        <v/>
      </c>
      <c r="D25" s="60" t="str">
        <f>IFERROR(VLOOKUP(C$13&amp;$B25,Aux!$B:$M,3,0),"")</f>
        <v/>
      </c>
      <c r="E25" s="60"/>
      <c r="F25" s="60"/>
      <c r="G25" s="61" t="str">
        <f>IFERROR(VLOOKUP(C$13&amp;$B25,Aux!$B:$M,9,0),"")</f>
        <v/>
      </c>
      <c r="K25" s="59" t="str">
        <f>IFERROR(VLOOKUP(K$13&amp;$B29,Aux!$B:$M,5,0),"")</f>
        <v>Высокий</v>
      </c>
      <c r="L25" s="60" t="str">
        <f>IFERROR(VLOOKUP(K$13&amp;$B25,Aux!$B:$M,3,0),"")</f>
        <v>Выпить кофе, съесть печеньки</v>
      </c>
      <c r="M25" s="60"/>
      <c r="N25" s="60"/>
      <c r="O25" s="61">
        <f>IFERROR(VLOOKUP(K$13&amp;$B25,Aux!$B:$M,9,0),"")</f>
        <v>10</v>
      </c>
      <c r="S25" s="59" t="str">
        <f>IFERROR(VLOOKUP(S$13&amp;$B29,Aux!$B:$M,5,0),"")</f>
        <v/>
      </c>
      <c r="T25" s="60" t="str">
        <f>IFERROR(VLOOKUP(S$13&amp;$B25,Aux!$B:$M,3,0),"")</f>
        <v/>
      </c>
      <c r="U25" s="60"/>
      <c r="V25" s="60"/>
      <c r="W25" s="61" t="str">
        <f>IFERROR(VLOOKUP(S$13&amp;$B25,Aux!$B:$M,9,0),"")</f>
        <v/>
      </c>
      <c r="AA25" s="59" t="str">
        <f>IFERROR(VLOOKUP(AA$13&amp;$B29,Aux!$B:$M,5,0),"")</f>
        <v/>
      </c>
      <c r="AB25" s="60" t="str">
        <f>IFERROR(VLOOKUP(AA$13&amp;$B25,Aux!$B:$M,3,0),"")</f>
        <v/>
      </c>
      <c r="AC25" s="60"/>
      <c r="AD25" s="60"/>
      <c r="AE25" s="61" t="str">
        <f>IFERROR(VLOOKUP(AA$13&amp;$B25,Aux!$B:$M,9,0),"")</f>
        <v/>
      </c>
    </row>
    <row r="26" spans="2:43" x14ac:dyDescent="0.25">
      <c r="B26" s="53">
        <f t="shared" si="0"/>
        <v>3</v>
      </c>
      <c r="C26" s="59"/>
      <c r="D26" s="60"/>
      <c r="E26" s="60"/>
      <c r="F26" s="60"/>
      <c r="G26" s="61"/>
      <c r="K26" s="59"/>
      <c r="L26" s="60"/>
      <c r="M26" s="60"/>
      <c r="N26" s="60"/>
      <c r="O26" s="61"/>
      <c r="S26" s="59"/>
      <c r="T26" s="60"/>
      <c r="U26" s="60"/>
      <c r="V26" s="60"/>
      <c r="W26" s="61"/>
      <c r="AA26" s="59"/>
      <c r="AB26" s="60"/>
      <c r="AC26" s="60"/>
      <c r="AD26" s="60"/>
      <c r="AE26" s="61"/>
    </row>
    <row r="27" spans="2:43" x14ac:dyDescent="0.25">
      <c r="B27" s="53">
        <f t="shared" si="0"/>
        <v>3</v>
      </c>
      <c r="C27" s="59"/>
      <c r="D27" s="15" t="str">
        <f>IF(D25="","","Исполнитель"&amp;": ")</f>
        <v/>
      </c>
      <c r="E27" s="62" t="str">
        <f>IFERROR(VLOOKUP(C$13&amp;$B27,Aux!$B:$M,4,0),"")</f>
        <v/>
      </c>
      <c r="F27" s="62"/>
      <c r="G27" s="63" t="str">
        <f>IFERROR(IF(VLOOKUP(C$13&amp;$B25,Aux!$B:$M,8,0)="Да","✔","🕓"),"")</f>
        <v/>
      </c>
      <c r="K27" s="59"/>
      <c r="L27" s="15" t="str">
        <f>IF(L25="","","Исполнитель"&amp;": ")</f>
        <v xml:space="preserve">Исполнитель: </v>
      </c>
      <c r="M27" s="62" t="str">
        <f>IFERROR(VLOOKUP(K$13&amp;$B27,Aux!$B:$M,4,0),"")</f>
        <v>Второй сотрудник</v>
      </c>
      <c r="N27" s="62"/>
      <c r="O27" s="63" t="str">
        <f>IFERROR(IF(VLOOKUP(K$13&amp;$B25,Aux!$B:$M,8,0)="Да","✔","🕓"),"")</f>
        <v>🕓</v>
      </c>
      <c r="S27" s="59"/>
      <c r="T27" s="15" t="str">
        <f>IF(T25="","","Исполнитель"&amp;": ")</f>
        <v/>
      </c>
      <c r="U27" s="62" t="str">
        <f>IFERROR(VLOOKUP(S$13&amp;$B27,Aux!$B:$M,4,0),"")</f>
        <v/>
      </c>
      <c r="V27" s="62"/>
      <c r="W27" s="63" t="str">
        <f>IFERROR(IF(VLOOKUP(S$13&amp;$B25,Aux!$B:$M,8,0)="Да","✔","🕓"),"")</f>
        <v/>
      </c>
      <c r="AA27" s="59"/>
      <c r="AB27" s="15" t="str">
        <f>IF(AB25="","","Исполнитель"&amp;": ")</f>
        <v/>
      </c>
      <c r="AC27" s="62" t="str">
        <f>IFERROR(VLOOKUP(AA$13&amp;$B27,Aux!$B:$M,4,0),"")</f>
        <v/>
      </c>
      <c r="AD27" s="62"/>
      <c r="AE27" s="63" t="str">
        <f>IFERROR(IF(VLOOKUP(AA$13&amp;$B25,Aux!$B:$M,8,0)="Да","✔","🕓"),"")</f>
        <v/>
      </c>
    </row>
    <row r="28" spans="2:43" x14ac:dyDescent="0.25">
      <c r="B28" s="53">
        <f t="shared" si="0"/>
        <v>3</v>
      </c>
      <c r="C28" s="59"/>
      <c r="D28" s="16" t="str">
        <f>IF(D25="","","Срок сдачи"&amp;": ")</f>
        <v/>
      </c>
      <c r="E28" s="64" t="str">
        <f>IFERROR(VLOOKUP(C$13&amp;$B28,Aux!$B:$M,6,0),"")</f>
        <v/>
      </c>
      <c r="F28" s="64"/>
      <c r="G28" s="63"/>
      <c r="K28" s="59"/>
      <c r="L28" s="16" t="str">
        <f>IF(L25="","","Срок сдачи"&amp;": ")</f>
        <v xml:space="preserve">Срок сдачи: </v>
      </c>
      <c r="M28" s="64">
        <f>IFERROR(VLOOKUP(K$13&amp;$B28,Aux!$B:$M,6,0),"")</f>
        <v>44550</v>
      </c>
      <c r="N28" s="64"/>
      <c r="O28" s="63"/>
      <c r="S28" s="59"/>
      <c r="T28" s="16" t="str">
        <f>IF(T25="","","Срок сдачи"&amp;": ")</f>
        <v/>
      </c>
      <c r="U28" s="64" t="str">
        <f>IFERROR(VLOOKUP(S$13&amp;$B28,Aux!$B:$M,6,0),"")</f>
        <v/>
      </c>
      <c r="V28" s="64"/>
      <c r="W28" s="63"/>
      <c r="AA28" s="59"/>
      <c r="AB28" s="16" t="str">
        <f>IF(AB25="","","Срок сдачи"&amp;": ")</f>
        <v/>
      </c>
      <c r="AC28" s="64" t="str">
        <f>IFERROR(VLOOKUP(AA$13&amp;$B28,Aux!$B:$M,6,0),"")</f>
        <v/>
      </c>
      <c r="AD28" s="64"/>
      <c r="AE28" s="63"/>
    </row>
    <row r="29" spans="2:43" x14ac:dyDescent="0.25">
      <c r="B29" s="53">
        <f t="shared" si="0"/>
        <v>3</v>
      </c>
      <c r="C29" s="7"/>
      <c r="D29" s="17"/>
      <c r="E29" s="7"/>
      <c r="F29" s="18"/>
      <c r="G29" s="18"/>
      <c r="K29" s="13"/>
      <c r="L29" s="17"/>
      <c r="M29" s="13"/>
      <c r="N29" s="14"/>
      <c r="O29" s="14"/>
      <c r="S29" s="13"/>
      <c r="T29" s="17"/>
      <c r="U29" s="13"/>
      <c r="V29" s="14"/>
      <c r="W29" s="14"/>
      <c r="AA29" s="13"/>
      <c r="AB29" s="17"/>
      <c r="AC29" s="13"/>
      <c r="AD29" s="14"/>
      <c r="AE29" s="30"/>
    </row>
    <row r="30" spans="2:43" x14ac:dyDescent="0.25">
      <c r="B30" s="53">
        <f t="shared" si="0"/>
        <v>4</v>
      </c>
      <c r="C30" s="59" t="str">
        <f>IFERROR(VLOOKUP(C$13&amp;$B34,Aux!$B:$M,5,0),"")</f>
        <v/>
      </c>
      <c r="D30" s="60" t="str">
        <f>IFERROR(VLOOKUP(C$13&amp;$B30,Aux!$B:$M,3,0),"")</f>
        <v/>
      </c>
      <c r="E30" s="60"/>
      <c r="F30" s="60"/>
      <c r="G30" s="61" t="str">
        <f>IFERROR(VLOOKUP(C$13&amp;$B30,Aux!$B:$M,9,0),"")</f>
        <v/>
      </c>
      <c r="K30" s="59" t="str">
        <f>IFERROR(VLOOKUP(K$13&amp;$B34,Aux!$B:$M,5,0),"")</f>
        <v/>
      </c>
      <c r="L30" s="60" t="str">
        <f>IFERROR(VLOOKUP(K$13&amp;$B30,Aux!$B:$M,3,0),"")</f>
        <v/>
      </c>
      <c r="M30" s="60"/>
      <c r="N30" s="60"/>
      <c r="O30" s="61" t="str">
        <f>IFERROR(VLOOKUP(K$13&amp;$B30,Aux!$B:$M,9,0),"")</f>
        <v/>
      </c>
      <c r="S30" s="59" t="str">
        <f>IFERROR(VLOOKUP(S$13&amp;$B34,Aux!$B:$M,5,0),"")</f>
        <v/>
      </c>
      <c r="T30" s="60" t="str">
        <f>IFERROR(VLOOKUP(S$13&amp;$B30,Aux!$B:$M,3,0),"")</f>
        <v/>
      </c>
      <c r="U30" s="60"/>
      <c r="V30" s="60"/>
      <c r="W30" s="61" t="str">
        <f>IFERROR(VLOOKUP(S$13&amp;$B30,Aux!$B:$M,9,0),"")</f>
        <v/>
      </c>
      <c r="AA30" s="59" t="str">
        <f>IFERROR(VLOOKUP(AA$13&amp;$B34,Aux!$B:$M,5,0),"")</f>
        <v/>
      </c>
      <c r="AB30" s="60" t="str">
        <f>IFERROR(VLOOKUP(AA$13&amp;$B30,Aux!$B:$M,3,0),"")</f>
        <v/>
      </c>
      <c r="AC30" s="60"/>
      <c r="AD30" s="60"/>
      <c r="AE30" s="61" t="str">
        <f>IFERROR(VLOOKUP(AA$13&amp;$B30,Aux!$B:$M,9,0),"")</f>
        <v/>
      </c>
    </row>
    <row r="31" spans="2:43" x14ac:dyDescent="0.25">
      <c r="B31" s="53">
        <f t="shared" si="0"/>
        <v>4</v>
      </c>
      <c r="C31" s="59"/>
      <c r="D31" s="60"/>
      <c r="E31" s="60"/>
      <c r="F31" s="60"/>
      <c r="G31" s="61"/>
      <c r="K31" s="59"/>
      <c r="L31" s="60"/>
      <c r="M31" s="60"/>
      <c r="N31" s="60"/>
      <c r="O31" s="61"/>
      <c r="S31" s="59"/>
      <c r="T31" s="60"/>
      <c r="U31" s="60"/>
      <c r="V31" s="60"/>
      <c r="W31" s="61"/>
      <c r="AA31" s="59"/>
      <c r="AB31" s="60"/>
      <c r="AC31" s="60"/>
      <c r="AD31" s="60"/>
      <c r="AE31" s="61"/>
    </row>
    <row r="32" spans="2:43" x14ac:dyDescent="0.25">
      <c r="B32" s="53">
        <f t="shared" si="0"/>
        <v>4</v>
      </c>
      <c r="C32" s="59"/>
      <c r="D32" s="15" t="str">
        <f>IF(D30="","","Исполнитель"&amp;": ")</f>
        <v/>
      </c>
      <c r="E32" s="62" t="str">
        <f>IFERROR(VLOOKUP(C$13&amp;$B32,Aux!$B:$M,4,0),"")</f>
        <v/>
      </c>
      <c r="F32" s="62"/>
      <c r="G32" s="63" t="str">
        <f>IFERROR(IF(VLOOKUP(C$13&amp;$B30,Aux!$B:$M,8,0)="Да","✔","🕓"),"")</f>
        <v/>
      </c>
      <c r="K32" s="59"/>
      <c r="L32" s="15" t="str">
        <f>IF(L30="","","Исполнитель"&amp;": ")</f>
        <v/>
      </c>
      <c r="M32" s="62" t="str">
        <f>IFERROR(VLOOKUP(K$13&amp;$B32,Aux!$B:$M,4,0),"")</f>
        <v/>
      </c>
      <c r="N32" s="62"/>
      <c r="O32" s="63" t="str">
        <f>IFERROR(IF(VLOOKUP(K$13&amp;$B30,Aux!$B:$M,8,0)="Да","✔","🕓"),"")</f>
        <v/>
      </c>
      <c r="S32" s="59"/>
      <c r="T32" s="15" t="str">
        <f>IF(T30="","","Исполнитель"&amp;": ")</f>
        <v/>
      </c>
      <c r="U32" s="62" t="str">
        <f>IFERROR(VLOOKUP(S$13&amp;$B32,Aux!$B:$M,4,0),"")</f>
        <v/>
      </c>
      <c r="V32" s="62"/>
      <c r="W32" s="63" t="str">
        <f>IFERROR(IF(VLOOKUP(S$13&amp;$B30,Aux!$B:$M,8,0)="Да","✔","🕓"),"")</f>
        <v/>
      </c>
      <c r="AA32" s="59"/>
      <c r="AB32" s="15" t="str">
        <f>IF(AB30="","","Исполнитель"&amp;": ")</f>
        <v/>
      </c>
      <c r="AC32" s="62" t="str">
        <f>IFERROR(VLOOKUP(AA$13&amp;$B32,Aux!$B:$M,4,0),"")</f>
        <v/>
      </c>
      <c r="AD32" s="62"/>
      <c r="AE32" s="63" t="str">
        <f>IFERROR(IF(VLOOKUP(AA$13&amp;$B30,Aux!$B:$M,8,0)="Да","✔","🕓"),"")</f>
        <v/>
      </c>
    </row>
    <row r="33" spans="2:31" x14ac:dyDescent="0.25">
      <c r="B33" s="53">
        <f t="shared" si="0"/>
        <v>4</v>
      </c>
      <c r="C33" s="59"/>
      <c r="D33" s="16" t="str">
        <f>IF(D30="","","Срок сдачи"&amp;": ")</f>
        <v/>
      </c>
      <c r="E33" s="64" t="str">
        <f>IFERROR(VLOOKUP(C$13&amp;$B33,Aux!$B:$M,6,0),"")</f>
        <v/>
      </c>
      <c r="F33" s="64"/>
      <c r="G33" s="63"/>
      <c r="K33" s="59"/>
      <c r="L33" s="16" t="str">
        <f>IF(L30="","","Срок сдачи"&amp;": ")</f>
        <v/>
      </c>
      <c r="M33" s="64" t="str">
        <f>IFERROR(VLOOKUP(K$13&amp;$B33,Aux!$B:$M,6,0),"")</f>
        <v/>
      </c>
      <c r="N33" s="64"/>
      <c r="O33" s="63"/>
      <c r="S33" s="59"/>
      <c r="T33" s="16" t="str">
        <f>IF(T30="","","Срок сдачи"&amp;": ")</f>
        <v/>
      </c>
      <c r="U33" s="64" t="str">
        <f>IFERROR(VLOOKUP(S$13&amp;$B33,Aux!$B:$M,6,0),"")</f>
        <v/>
      </c>
      <c r="V33" s="64"/>
      <c r="W33" s="63"/>
      <c r="AA33" s="59"/>
      <c r="AB33" s="16" t="str">
        <f>IF(AB30="","","Срок сдачи"&amp;": ")</f>
        <v/>
      </c>
      <c r="AC33" s="64" t="str">
        <f>IFERROR(VLOOKUP(AA$13&amp;$B33,Aux!$B:$M,6,0),"")</f>
        <v/>
      </c>
      <c r="AD33" s="64"/>
      <c r="AE33" s="63"/>
    </row>
    <row r="34" spans="2:31" x14ac:dyDescent="0.25">
      <c r="B34" s="53">
        <f t="shared" si="0"/>
        <v>4</v>
      </c>
      <c r="C34" s="7"/>
      <c r="D34" s="17"/>
      <c r="E34" s="7"/>
      <c r="F34" s="18"/>
      <c r="G34" s="18"/>
      <c r="K34" s="13"/>
      <c r="L34" s="17"/>
      <c r="M34" s="13"/>
      <c r="N34" s="14"/>
      <c r="O34" s="14"/>
      <c r="S34" s="13"/>
      <c r="T34" s="17"/>
      <c r="U34" s="13"/>
      <c r="V34" s="14"/>
      <c r="W34" s="14"/>
      <c r="AA34" s="13"/>
      <c r="AB34" s="17"/>
      <c r="AC34" s="13"/>
      <c r="AD34" s="14"/>
      <c r="AE34" s="30"/>
    </row>
    <row r="35" spans="2:31" x14ac:dyDescent="0.25">
      <c r="B35" s="53">
        <f t="shared" si="0"/>
        <v>5</v>
      </c>
      <c r="C35" s="59" t="str">
        <f>IFERROR(VLOOKUP(C$13&amp;$B39,Aux!$B:$M,5,0),"")</f>
        <v/>
      </c>
      <c r="D35" s="60" t="str">
        <f>IFERROR(VLOOKUP(C$13&amp;$B35,Aux!$B:$M,3,0),"")</f>
        <v/>
      </c>
      <c r="E35" s="60"/>
      <c r="F35" s="60"/>
      <c r="G35" s="61" t="str">
        <f>IFERROR(VLOOKUP(C$13&amp;$B35,Aux!$B:$M,9,0),"")</f>
        <v/>
      </c>
      <c r="K35" s="59" t="str">
        <f>IFERROR(VLOOKUP(K$13&amp;$B39,Aux!$B:$M,5,0),"")</f>
        <v/>
      </c>
      <c r="L35" s="60" t="str">
        <f>IFERROR(VLOOKUP(K$13&amp;$B35,Aux!$B:$M,3,0),"")</f>
        <v/>
      </c>
      <c r="M35" s="60"/>
      <c r="N35" s="60"/>
      <c r="O35" s="61" t="str">
        <f>IFERROR(VLOOKUP(K$13&amp;$B35,Aux!$B:$M,9,0),"")</f>
        <v/>
      </c>
      <c r="S35" s="59" t="str">
        <f>IFERROR(VLOOKUP(S$13&amp;$B39,Aux!$B:$M,5,0),"")</f>
        <v/>
      </c>
      <c r="T35" s="60" t="str">
        <f>IFERROR(VLOOKUP(S$13&amp;$B35,Aux!$B:$M,3,0),"")</f>
        <v/>
      </c>
      <c r="U35" s="60"/>
      <c r="V35" s="60"/>
      <c r="W35" s="61" t="str">
        <f>IFERROR(VLOOKUP(S$13&amp;$B35,Aux!$B:$M,9,0),"")</f>
        <v/>
      </c>
      <c r="AA35" s="59" t="str">
        <f>IFERROR(VLOOKUP(AA$13&amp;$B39,Aux!$B:$M,5,0),"")</f>
        <v/>
      </c>
      <c r="AB35" s="60" t="str">
        <f>IFERROR(VLOOKUP(AA$13&amp;$B35,Aux!$B:$M,3,0),"")</f>
        <v/>
      </c>
      <c r="AC35" s="60"/>
      <c r="AD35" s="60"/>
      <c r="AE35" s="61" t="str">
        <f>IFERROR(VLOOKUP(AA$13&amp;$B35,Aux!$B:$M,9,0),"")</f>
        <v/>
      </c>
    </row>
    <row r="36" spans="2:31" x14ac:dyDescent="0.25">
      <c r="B36" s="53">
        <f t="shared" si="0"/>
        <v>5</v>
      </c>
      <c r="C36" s="59"/>
      <c r="D36" s="60"/>
      <c r="E36" s="60"/>
      <c r="F36" s="60"/>
      <c r="G36" s="61"/>
      <c r="K36" s="59"/>
      <c r="L36" s="60"/>
      <c r="M36" s="60"/>
      <c r="N36" s="60"/>
      <c r="O36" s="61"/>
      <c r="S36" s="59"/>
      <c r="T36" s="60"/>
      <c r="U36" s="60"/>
      <c r="V36" s="60"/>
      <c r="W36" s="61"/>
      <c r="AA36" s="59"/>
      <c r="AB36" s="60"/>
      <c r="AC36" s="60"/>
      <c r="AD36" s="60"/>
      <c r="AE36" s="61"/>
    </row>
    <row r="37" spans="2:31" x14ac:dyDescent="0.25">
      <c r="B37" s="53">
        <f t="shared" si="0"/>
        <v>5</v>
      </c>
      <c r="C37" s="59"/>
      <c r="D37" s="15" t="str">
        <f>IF(D35="","","Исполнитель"&amp;": ")</f>
        <v/>
      </c>
      <c r="E37" s="62" t="str">
        <f>IFERROR(VLOOKUP(C$13&amp;$B37,Aux!$B:$M,4,0),"")</f>
        <v/>
      </c>
      <c r="F37" s="62"/>
      <c r="G37" s="63" t="str">
        <f>IFERROR(IF(VLOOKUP(C$13&amp;$B35,Aux!$B:$M,8,0)="Да","✔","🕓"),"")</f>
        <v/>
      </c>
      <c r="K37" s="59"/>
      <c r="L37" s="15" t="str">
        <f>IF(L35="","","Исполнитель"&amp;": ")</f>
        <v/>
      </c>
      <c r="M37" s="62" t="str">
        <f>IFERROR(VLOOKUP(K$13&amp;$B37,Aux!$B:$M,4,0),"")</f>
        <v/>
      </c>
      <c r="N37" s="62"/>
      <c r="O37" s="63" t="str">
        <f>IFERROR(IF(VLOOKUP(K$13&amp;$B35,Aux!$B:$M,8,0)="Да","✔","🕓"),"")</f>
        <v/>
      </c>
      <c r="S37" s="59"/>
      <c r="T37" s="15" t="str">
        <f>IF(T35="","","Исполнитель"&amp;": ")</f>
        <v/>
      </c>
      <c r="U37" s="62" t="str">
        <f>IFERROR(VLOOKUP(S$13&amp;$B37,Aux!$B:$M,4,0),"")</f>
        <v/>
      </c>
      <c r="V37" s="62"/>
      <c r="W37" s="63" t="str">
        <f>IFERROR(IF(VLOOKUP(S$13&amp;$B35,Aux!$B:$M,8,0)="Да","✔","🕓"),"")</f>
        <v/>
      </c>
      <c r="AA37" s="59"/>
      <c r="AB37" s="15" t="str">
        <f>IF(AB35="","","Исполнитель"&amp;": ")</f>
        <v/>
      </c>
      <c r="AC37" s="62" t="str">
        <f>IFERROR(VLOOKUP(AA$13&amp;$B37,Aux!$B:$M,4,0),"")</f>
        <v/>
      </c>
      <c r="AD37" s="62"/>
      <c r="AE37" s="63" t="str">
        <f>IFERROR(IF(VLOOKUP(AA$13&amp;$B35,Aux!$B:$M,8,0)="Да","✔","🕓"),"")</f>
        <v/>
      </c>
    </row>
    <row r="38" spans="2:31" x14ac:dyDescent="0.25">
      <c r="B38" s="53">
        <f t="shared" si="0"/>
        <v>5</v>
      </c>
      <c r="C38" s="59"/>
      <c r="D38" s="16" t="str">
        <f>IF(D35="","","Срок сдачи"&amp;": ")</f>
        <v/>
      </c>
      <c r="E38" s="64" t="str">
        <f>IFERROR(VLOOKUP(C$13&amp;$B38,Aux!$B:$M,6,0),"")</f>
        <v/>
      </c>
      <c r="F38" s="64"/>
      <c r="G38" s="63"/>
      <c r="K38" s="59"/>
      <c r="L38" s="16" t="str">
        <f>IF(L35="","","Срок сдачи"&amp;": ")</f>
        <v/>
      </c>
      <c r="M38" s="64" t="str">
        <f>IFERROR(VLOOKUP(K$13&amp;$B38,Aux!$B:$M,6,0),"")</f>
        <v/>
      </c>
      <c r="N38" s="64"/>
      <c r="O38" s="63"/>
      <c r="S38" s="59"/>
      <c r="T38" s="16" t="str">
        <f>IF(T35="","","Срок сдачи"&amp;": ")</f>
        <v/>
      </c>
      <c r="U38" s="64" t="str">
        <f>IFERROR(VLOOKUP(S$13&amp;$B38,Aux!$B:$M,6,0),"")</f>
        <v/>
      </c>
      <c r="V38" s="64"/>
      <c r="W38" s="63"/>
      <c r="AA38" s="59"/>
      <c r="AB38" s="16" t="str">
        <f>IF(AB35="","","Срок сдачи"&amp;": ")</f>
        <v/>
      </c>
      <c r="AC38" s="64" t="str">
        <f>IFERROR(VLOOKUP(AA$13&amp;$B38,Aux!$B:$M,6,0),"")</f>
        <v/>
      </c>
      <c r="AD38" s="64"/>
      <c r="AE38" s="63"/>
    </row>
    <row r="39" spans="2:31" x14ac:dyDescent="0.25">
      <c r="B39" s="53">
        <f t="shared" si="0"/>
        <v>5</v>
      </c>
      <c r="C39" s="7"/>
      <c r="D39" s="17"/>
      <c r="E39" s="7"/>
      <c r="F39" s="18"/>
      <c r="G39" s="18"/>
      <c r="K39" s="13"/>
      <c r="L39" s="17"/>
      <c r="M39" s="13"/>
      <c r="N39" s="14"/>
      <c r="O39" s="14"/>
      <c r="S39" s="13"/>
      <c r="T39" s="17"/>
      <c r="U39" s="13"/>
      <c r="V39" s="14"/>
      <c r="W39" s="14"/>
      <c r="AA39" s="13"/>
      <c r="AB39" s="17"/>
      <c r="AC39" s="13"/>
      <c r="AD39" s="14"/>
      <c r="AE39" s="30"/>
    </row>
    <row r="40" spans="2:31" x14ac:dyDescent="0.25">
      <c r="B40" s="53">
        <f t="shared" si="0"/>
        <v>6</v>
      </c>
      <c r="C40" s="59" t="str">
        <f>IFERROR(VLOOKUP(C$13&amp;$B44,Aux!$B:$M,5,0),"")</f>
        <v/>
      </c>
      <c r="D40" s="60" t="str">
        <f>IFERROR(VLOOKUP(C$13&amp;$B40,Aux!$B:$M,3,0),"")</f>
        <v/>
      </c>
      <c r="E40" s="60"/>
      <c r="F40" s="60"/>
      <c r="G40" s="61" t="str">
        <f>IFERROR(VLOOKUP(C$13&amp;$B40,Aux!$B:$M,9,0),"")</f>
        <v/>
      </c>
      <c r="K40" s="59" t="str">
        <f>IFERROR(VLOOKUP(K$13&amp;$B44,Aux!$B:$M,5,0),"")</f>
        <v/>
      </c>
      <c r="L40" s="60" t="str">
        <f>IFERROR(VLOOKUP(K$13&amp;$B40,Aux!$B:$M,3,0),"")</f>
        <v/>
      </c>
      <c r="M40" s="60"/>
      <c r="N40" s="60"/>
      <c r="O40" s="61" t="str">
        <f>IFERROR(VLOOKUP(K$13&amp;$B40,Aux!$B:$M,9,0),"")</f>
        <v/>
      </c>
      <c r="S40" s="59" t="str">
        <f>IFERROR(VLOOKUP(S$13&amp;$B44,Aux!$B:$M,5,0),"")</f>
        <v/>
      </c>
      <c r="T40" s="60" t="str">
        <f>IFERROR(VLOOKUP(S$13&amp;$B40,Aux!$B:$M,3,0),"")</f>
        <v/>
      </c>
      <c r="U40" s="60"/>
      <c r="V40" s="60"/>
      <c r="W40" s="61" t="str">
        <f>IFERROR(VLOOKUP(S$13&amp;$B40,Aux!$B:$M,9,0),"")</f>
        <v/>
      </c>
      <c r="AA40" s="59" t="str">
        <f>IFERROR(VLOOKUP(AA$13&amp;$B44,Aux!$B:$M,5,0),"")</f>
        <v/>
      </c>
      <c r="AB40" s="60" t="str">
        <f>IFERROR(VLOOKUP(AA$13&amp;$B40,Aux!$B:$M,3,0),"")</f>
        <v/>
      </c>
      <c r="AC40" s="60"/>
      <c r="AD40" s="60"/>
      <c r="AE40" s="61" t="str">
        <f>IFERROR(VLOOKUP(AA$13&amp;$B40,Aux!$B:$M,9,0),"")</f>
        <v/>
      </c>
    </row>
    <row r="41" spans="2:31" x14ac:dyDescent="0.25">
      <c r="B41" s="53">
        <f t="shared" si="0"/>
        <v>6</v>
      </c>
      <c r="C41" s="59"/>
      <c r="D41" s="60"/>
      <c r="E41" s="60"/>
      <c r="F41" s="60"/>
      <c r="G41" s="61"/>
      <c r="K41" s="59"/>
      <c r="L41" s="60"/>
      <c r="M41" s="60"/>
      <c r="N41" s="60"/>
      <c r="O41" s="61"/>
      <c r="S41" s="59"/>
      <c r="T41" s="60"/>
      <c r="U41" s="60"/>
      <c r="V41" s="60"/>
      <c r="W41" s="61"/>
      <c r="AA41" s="59"/>
      <c r="AB41" s="60"/>
      <c r="AC41" s="60"/>
      <c r="AD41" s="60"/>
      <c r="AE41" s="61"/>
    </row>
    <row r="42" spans="2:31" x14ac:dyDescent="0.25">
      <c r="B42" s="53">
        <f t="shared" si="0"/>
        <v>6</v>
      </c>
      <c r="C42" s="59"/>
      <c r="D42" s="15" t="str">
        <f>IF(D40="","","Исполнитель"&amp;": ")</f>
        <v/>
      </c>
      <c r="E42" s="62" t="str">
        <f>IFERROR(VLOOKUP(C$13&amp;$B42,Aux!$B:$M,4,0),"")</f>
        <v/>
      </c>
      <c r="F42" s="62"/>
      <c r="G42" s="63" t="str">
        <f>IFERROR(IF(VLOOKUP(C$13&amp;$B40,Aux!$B:$M,8,0)="Да","✔","🕓"),"")</f>
        <v/>
      </c>
      <c r="K42" s="59"/>
      <c r="L42" s="15" t="str">
        <f>IF(L40="","","Исполнитель"&amp;": ")</f>
        <v/>
      </c>
      <c r="M42" s="62" t="str">
        <f>IFERROR(VLOOKUP(K$13&amp;$B42,Aux!$B:$M,4,0),"")</f>
        <v/>
      </c>
      <c r="N42" s="62"/>
      <c r="O42" s="63" t="str">
        <f>IFERROR(IF(VLOOKUP(K$13&amp;$B40,Aux!$B:$M,8,0)="Да","✔","🕓"),"")</f>
        <v/>
      </c>
      <c r="S42" s="59"/>
      <c r="T42" s="15" t="str">
        <f>IF(T40="","","Исполнитель"&amp;": ")</f>
        <v/>
      </c>
      <c r="U42" s="62" t="str">
        <f>IFERROR(VLOOKUP(S$13&amp;$B42,Aux!$B:$M,4,0),"")</f>
        <v/>
      </c>
      <c r="V42" s="62"/>
      <c r="W42" s="63" t="str">
        <f>IFERROR(IF(VLOOKUP(S$13&amp;$B40,Aux!$B:$M,8,0)="Да","✔","🕓"),"")</f>
        <v/>
      </c>
      <c r="AA42" s="59"/>
      <c r="AB42" s="15" t="str">
        <f>IF(AB40="","","Исполнитель"&amp;": ")</f>
        <v/>
      </c>
      <c r="AC42" s="62" t="str">
        <f>IFERROR(VLOOKUP(AA$13&amp;$B42,Aux!$B:$M,4,0),"")</f>
        <v/>
      </c>
      <c r="AD42" s="62"/>
      <c r="AE42" s="63" t="str">
        <f>IFERROR(IF(VLOOKUP(AA$13&amp;$B40,Aux!$B:$M,8,0)="Да","✔","🕓"),"")</f>
        <v/>
      </c>
    </row>
    <row r="43" spans="2:31" x14ac:dyDescent="0.25">
      <c r="B43" s="53">
        <f t="shared" si="0"/>
        <v>6</v>
      </c>
      <c r="C43" s="59"/>
      <c r="D43" s="16" t="str">
        <f>IF(D40="","","Срок сдачи"&amp;": ")</f>
        <v/>
      </c>
      <c r="E43" s="64" t="str">
        <f>IFERROR(VLOOKUP(C$13&amp;$B43,Aux!$B:$M,6,0),"")</f>
        <v/>
      </c>
      <c r="F43" s="64"/>
      <c r="G43" s="63"/>
      <c r="K43" s="59"/>
      <c r="L43" s="16" t="str">
        <f>IF(L40="","","Срок сдачи"&amp;": ")</f>
        <v/>
      </c>
      <c r="M43" s="64" t="str">
        <f>IFERROR(VLOOKUP(K$13&amp;$B43,Aux!$B:$M,6,0),"")</f>
        <v/>
      </c>
      <c r="N43" s="64"/>
      <c r="O43" s="63"/>
      <c r="S43" s="59"/>
      <c r="T43" s="16" t="str">
        <f>IF(T40="","","Срок сдачи"&amp;": ")</f>
        <v/>
      </c>
      <c r="U43" s="64" t="str">
        <f>IFERROR(VLOOKUP(S$13&amp;$B43,Aux!$B:$M,6,0),"")</f>
        <v/>
      </c>
      <c r="V43" s="64"/>
      <c r="W43" s="63"/>
      <c r="AA43" s="59"/>
      <c r="AB43" s="16" t="str">
        <f>IF(AB40="","","Срок сдачи"&amp;": ")</f>
        <v/>
      </c>
      <c r="AC43" s="64" t="str">
        <f>IFERROR(VLOOKUP(AA$13&amp;$B43,Aux!$B:$M,6,0),"")</f>
        <v/>
      </c>
      <c r="AD43" s="64"/>
      <c r="AE43" s="63"/>
    </row>
    <row r="44" spans="2:31" x14ac:dyDescent="0.25">
      <c r="B44" s="53">
        <f t="shared" si="0"/>
        <v>6</v>
      </c>
      <c r="C44" s="7"/>
      <c r="D44" s="17"/>
      <c r="E44" s="7"/>
      <c r="F44" s="18"/>
      <c r="G44" s="18"/>
      <c r="K44" s="13"/>
      <c r="L44" s="17"/>
      <c r="M44" s="13"/>
      <c r="N44" s="14"/>
      <c r="O44" s="14"/>
      <c r="S44" s="13"/>
      <c r="T44" s="17"/>
      <c r="U44" s="13"/>
      <c r="V44" s="14"/>
      <c r="W44" s="14"/>
      <c r="AA44" s="13"/>
      <c r="AB44" s="17"/>
      <c r="AC44" s="13"/>
      <c r="AD44" s="14"/>
      <c r="AE44" s="30"/>
    </row>
    <row r="45" spans="2:31" x14ac:dyDescent="0.25">
      <c r="B45" s="53">
        <f t="shared" si="0"/>
        <v>7</v>
      </c>
      <c r="C45" s="59" t="str">
        <f>IFERROR(VLOOKUP(C$13&amp;$B49,Aux!$B:$M,5,0),"")</f>
        <v/>
      </c>
      <c r="D45" s="60" t="str">
        <f>IFERROR(VLOOKUP(C$13&amp;$B45,Aux!$B:$M,3,0),"")</f>
        <v/>
      </c>
      <c r="E45" s="60"/>
      <c r="F45" s="60"/>
      <c r="G45" s="61" t="str">
        <f>IFERROR(VLOOKUP(C$13&amp;$B45,Aux!$B:$M,9,0),"")</f>
        <v/>
      </c>
      <c r="K45" s="59" t="str">
        <f>IFERROR(VLOOKUP(K$13&amp;$B49,Aux!$B:$M,5,0),"")</f>
        <v/>
      </c>
      <c r="L45" s="60" t="str">
        <f>IFERROR(VLOOKUP(K$13&amp;$B45,Aux!$B:$M,3,0),"")</f>
        <v/>
      </c>
      <c r="M45" s="60"/>
      <c r="N45" s="60"/>
      <c r="O45" s="61" t="str">
        <f>IFERROR(VLOOKUP(K$13&amp;$B45,Aux!$B:$M,9,0),"")</f>
        <v/>
      </c>
      <c r="S45" s="59" t="str">
        <f>IFERROR(VLOOKUP(S$13&amp;$B49,Aux!$B:$M,5,0),"")</f>
        <v/>
      </c>
      <c r="T45" s="60" t="str">
        <f>IFERROR(VLOOKUP(S$13&amp;$B45,Aux!$B:$M,3,0),"")</f>
        <v/>
      </c>
      <c r="U45" s="60"/>
      <c r="V45" s="60"/>
      <c r="W45" s="61" t="str">
        <f>IFERROR(VLOOKUP(S$13&amp;$B45,Aux!$B:$M,9,0),"")</f>
        <v/>
      </c>
      <c r="AA45" s="59" t="str">
        <f>IFERROR(VLOOKUP(AA$13&amp;$B49,Aux!$B:$M,5,0),"")</f>
        <v/>
      </c>
      <c r="AB45" s="60" t="str">
        <f>IFERROR(VLOOKUP(AA$13&amp;$B45,Aux!$B:$M,3,0),"")</f>
        <v/>
      </c>
      <c r="AC45" s="60"/>
      <c r="AD45" s="60"/>
      <c r="AE45" s="61" t="str">
        <f>IFERROR(VLOOKUP(AA$13&amp;$B45,Aux!$B:$M,9,0),"")</f>
        <v/>
      </c>
    </row>
    <row r="46" spans="2:31" x14ac:dyDescent="0.25">
      <c r="B46" s="53">
        <f t="shared" si="0"/>
        <v>7</v>
      </c>
      <c r="C46" s="59"/>
      <c r="D46" s="60"/>
      <c r="E46" s="60"/>
      <c r="F46" s="60"/>
      <c r="G46" s="61"/>
      <c r="K46" s="59"/>
      <c r="L46" s="60"/>
      <c r="M46" s="60"/>
      <c r="N46" s="60"/>
      <c r="O46" s="61"/>
      <c r="S46" s="59"/>
      <c r="T46" s="60"/>
      <c r="U46" s="60"/>
      <c r="V46" s="60"/>
      <c r="W46" s="61"/>
      <c r="AA46" s="59"/>
      <c r="AB46" s="60"/>
      <c r="AC46" s="60"/>
      <c r="AD46" s="60"/>
      <c r="AE46" s="61"/>
    </row>
    <row r="47" spans="2:31" x14ac:dyDescent="0.25">
      <c r="B47" s="53">
        <f t="shared" si="0"/>
        <v>7</v>
      </c>
      <c r="C47" s="59"/>
      <c r="D47" s="15" t="str">
        <f>IF(D45="","","Исполнитель"&amp;": ")</f>
        <v/>
      </c>
      <c r="E47" s="62" t="str">
        <f>IFERROR(VLOOKUP(C$13&amp;$B47,Aux!$B:$M,4,0),"")</f>
        <v/>
      </c>
      <c r="F47" s="62"/>
      <c r="G47" s="63" t="str">
        <f>IFERROR(IF(VLOOKUP(C$13&amp;$B45,Aux!$B:$M,8,0)="Да","✔","🕓"),"")</f>
        <v/>
      </c>
      <c r="K47" s="59"/>
      <c r="L47" s="15" t="str">
        <f>IF(L45="","","Исполнитель"&amp;": ")</f>
        <v/>
      </c>
      <c r="M47" s="62" t="str">
        <f>IFERROR(VLOOKUP(K$13&amp;$B47,Aux!$B:$M,4,0),"")</f>
        <v/>
      </c>
      <c r="N47" s="62"/>
      <c r="O47" s="63" t="str">
        <f>IFERROR(IF(VLOOKUP(K$13&amp;$B45,Aux!$B:$M,8,0)="Да","✔","🕓"),"")</f>
        <v/>
      </c>
      <c r="S47" s="59"/>
      <c r="T47" s="15" t="str">
        <f>IF(T45="","","Исполнитель"&amp;": ")</f>
        <v/>
      </c>
      <c r="U47" s="62" t="str">
        <f>IFERROR(VLOOKUP(S$13&amp;$B47,Aux!$B:$M,4,0),"")</f>
        <v/>
      </c>
      <c r="V47" s="62"/>
      <c r="W47" s="63" t="str">
        <f>IFERROR(IF(VLOOKUP(S$13&amp;$B45,Aux!$B:$M,8,0)="Да","✔","🕓"),"")</f>
        <v/>
      </c>
      <c r="AA47" s="59"/>
      <c r="AB47" s="15" t="str">
        <f>IF(AB45="","","Исполнитель"&amp;": ")</f>
        <v/>
      </c>
      <c r="AC47" s="62" t="str">
        <f>IFERROR(VLOOKUP(AA$13&amp;$B47,Aux!$B:$M,4,0),"")</f>
        <v/>
      </c>
      <c r="AD47" s="62"/>
      <c r="AE47" s="63" t="str">
        <f>IFERROR(IF(VLOOKUP(AA$13&amp;$B45,Aux!$B:$M,8,0)="Да","✔","🕓"),"")</f>
        <v/>
      </c>
    </row>
    <row r="48" spans="2:31" x14ac:dyDescent="0.25">
      <c r="B48" s="53">
        <f t="shared" si="0"/>
        <v>7</v>
      </c>
      <c r="C48" s="59"/>
      <c r="D48" s="16" t="str">
        <f>IF(D45="","","Срок сдачи"&amp;": ")</f>
        <v/>
      </c>
      <c r="E48" s="64" t="str">
        <f>IFERROR(VLOOKUP(C$13&amp;$B48,Aux!$B:$M,6,0),"")</f>
        <v/>
      </c>
      <c r="F48" s="64"/>
      <c r="G48" s="63"/>
      <c r="K48" s="59"/>
      <c r="L48" s="16" t="str">
        <f>IF(L45="","","Срок сдачи"&amp;": ")</f>
        <v/>
      </c>
      <c r="M48" s="64" t="str">
        <f>IFERROR(VLOOKUP(K$13&amp;$B48,Aux!$B:$M,6,0),"")</f>
        <v/>
      </c>
      <c r="N48" s="64"/>
      <c r="O48" s="63"/>
      <c r="S48" s="59"/>
      <c r="T48" s="16" t="str">
        <f>IF(T45="","","Срок сдачи"&amp;": ")</f>
        <v/>
      </c>
      <c r="U48" s="64" t="str">
        <f>IFERROR(VLOOKUP(S$13&amp;$B48,Aux!$B:$M,6,0),"")</f>
        <v/>
      </c>
      <c r="V48" s="64"/>
      <c r="W48" s="63"/>
      <c r="AA48" s="59"/>
      <c r="AB48" s="16" t="str">
        <f>IF(AB45="","","Срок сдачи"&amp;": ")</f>
        <v/>
      </c>
      <c r="AC48" s="64" t="str">
        <f>IFERROR(VLOOKUP(AA$13&amp;$B48,Aux!$B:$M,6,0),"")</f>
        <v/>
      </c>
      <c r="AD48" s="64"/>
      <c r="AE48" s="63"/>
    </row>
    <row r="49" spans="2:31" x14ac:dyDescent="0.25">
      <c r="B49" s="53">
        <f t="shared" si="0"/>
        <v>7</v>
      </c>
      <c r="C49" s="7"/>
      <c r="D49" s="17"/>
      <c r="E49" s="7"/>
      <c r="F49" s="18"/>
      <c r="G49" s="18"/>
      <c r="K49" s="13"/>
      <c r="L49" s="17"/>
      <c r="M49" s="13"/>
      <c r="N49" s="14"/>
      <c r="O49" s="14"/>
      <c r="S49" s="13"/>
      <c r="T49" s="17"/>
      <c r="U49" s="13"/>
      <c r="V49" s="14"/>
      <c r="W49" s="14"/>
      <c r="AA49" s="13"/>
      <c r="AB49" s="17"/>
      <c r="AC49" s="13"/>
      <c r="AD49" s="14"/>
      <c r="AE49" s="30"/>
    </row>
    <row r="50" spans="2:31" x14ac:dyDescent="0.25">
      <c r="B50" s="53">
        <f t="shared" si="0"/>
        <v>8</v>
      </c>
      <c r="C50" s="59" t="str">
        <f>IFERROR(VLOOKUP(C$13&amp;$B54,Aux!$B:$M,5,0),"")</f>
        <v/>
      </c>
      <c r="D50" s="60" t="str">
        <f>IFERROR(VLOOKUP(C$13&amp;$B50,Aux!$B:$M,3,0),"")</f>
        <v/>
      </c>
      <c r="E50" s="60"/>
      <c r="F50" s="60"/>
      <c r="G50" s="61" t="str">
        <f>IFERROR(VLOOKUP(C$13&amp;$B50,Aux!$B:$M,9,0),"")</f>
        <v/>
      </c>
      <c r="K50" s="59" t="str">
        <f>IFERROR(VLOOKUP(K$13&amp;$B54,Aux!$B:$M,5,0),"")</f>
        <v/>
      </c>
      <c r="L50" s="60" t="str">
        <f>IFERROR(VLOOKUP(K$13&amp;$B50,Aux!$B:$M,3,0),"")</f>
        <v/>
      </c>
      <c r="M50" s="60"/>
      <c r="N50" s="60"/>
      <c r="O50" s="61" t="str">
        <f>IFERROR(VLOOKUP(K$13&amp;$B50,Aux!$B:$M,9,0),"")</f>
        <v/>
      </c>
      <c r="S50" s="59" t="str">
        <f>IFERROR(VLOOKUP(S$13&amp;$B54,Aux!$B:$M,5,0),"")</f>
        <v/>
      </c>
      <c r="T50" s="60" t="str">
        <f>IFERROR(VLOOKUP(S$13&amp;$B50,Aux!$B:$M,3,0),"")</f>
        <v/>
      </c>
      <c r="U50" s="60"/>
      <c r="V50" s="60"/>
      <c r="W50" s="61" t="str">
        <f>IFERROR(VLOOKUP(S$13&amp;$B50,Aux!$B:$M,9,0),"")</f>
        <v/>
      </c>
      <c r="AA50" s="59" t="str">
        <f>IFERROR(VLOOKUP(AA$13&amp;$B54,Aux!$B:$M,5,0),"")</f>
        <v/>
      </c>
      <c r="AB50" s="60" t="str">
        <f>IFERROR(VLOOKUP(AA$13&amp;$B50,Aux!$B:$M,3,0),"")</f>
        <v/>
      </c>
      <c r="AC50" s="60"/>
      <c r="AD50" s="60"/>
      <c r="AE50" s="61" t="str">
        <f>IFERROR(VLOOKUP(AA$13&amp;$B50,Aux!$B:$M,9,0),"")</f>
        <v/>
      </c>
    </row>
    <row r="51" spans="2:31" x14ac:dyDescent="0.25">
      <c r="B51" s="53">
        <f t="shared" si="0"/>
        <v>8</v>
      </c>
      <c r="C51" s="59"/>
      <c r="D51" s="60"/>
      <c r="E51" s="60"/>
      <c r="F51" s="60"/>
      <c r="G51" s="61"/>
      <c r="K51" s="59"/>
      <c r="L51" s="60"/>
      <c r="M51" s="60"/>
      <c r="N51" s="60"/>
      <c r="O51" s="61"/>
      <c r="S51" s="59"/>
      <c r="T51" s="60"/>
      <c r="U51" s="60"/>
      <c r="V51" s="60"/>
      <c r="W51" s="61"/>
      <c r="AA51" s="59"/>
      <c r="AB51" s="60"/>
      <c r="AC51" s="60"/>
      <c r="AD51" s="60"/>
      <c r="AE51" s="61"/>
    </row>
    <row r="52" spans="2:31" x14ac:dyDescent="0.25">
      <c r="B52" s="53">
        <f t="shared" si="0"/>
        <v>8</v>
      </c>
      <c r="C52" s="59"/>
      <c r="D52" s="15" t="str">
        <f>IF(D50="","","Исполнитель"&amp;": ")</f>
        <v/>
      </c>
      <c r="E52" s="62" t="str">
        <f>IFERROR(VLOOKUP(C$13&amp;$B52,Aux!$B:$M,4,0),"")</f>
        <v/>
      </c>
      <c r="F52" s="62"/>
      <c r="G52" s="63" t="str">
        <f>IFERROR(IF(VLOOKUP(C$13&amp;$B50,Aux!$B:$M,8,0)="Да","✔","🕓"),"")</f>
        <v/>
      </c>
      <c r="K52" s="59"/>
      <c r="L52" s="15" t="str">
        <f>IF(L50="","","Исполнитель"&amp;": ")</f>
        <v/>
      </c>
      <c r="M52" s="62" t="str">
        <f>IFERROR(VLOOKUP(K$13&amp;$B52,Aux!$B:$M,4,0),"")</f>
        <v/>
      </c>
      <c r="N52" s="62"/>
      <c r="O52" s="63" t="str">
        <f>IFERROR(IF(VLOOKUP(K$13&amp;$B50,Aux!$B:$M,8,0)="Да","✔","🕓"),"")</f>
        <v/>
      </c>
      <c r="S52" s="59"/>
      <c r="T52" s="15" t="str">
        <f>IF(T50="","","Исполнитель"&amp;": ")</f>
        <v/>
      </c>
      <c r="U52" s="62" t="str">
        <f>IFERROR(VLOOKUP(S$13&amp;$B52,Aux!$B:$M,4,0),"")</f>
        <v/>
      </c>
      <c r="V52" s="62"/>
      <c r="W52" s="63" t="str">
        <f>IFERROR(IF(VLOOKUP(S$13&amp;$B50,Aux!$B:$M,8,0)="Да","✔","🕓"),"")</f>
        <v/>
      </c>
      <c r="AA52" s="59"/>
      <c r="AB52" s="15" t="str">
        <f>IF(AB50="","","Исполнитель"&amp;": ")</f>
        <v/>
      </c>
      <c r="AC52" s="62" t="str">
        <f>IFERROR(VLOOKUP(AA$13&amp;$B52,Aux!$B:$M,4,0),"")</f>
        <v/>
      </c>
      <c r="AD52" s="62"/>
      <c r="AE52" s="63" t="str">
        <f>IFERROR(IF(VLOOKUP(AA$13&amp;$B50,Aux!$B:$M,8,0)="Да","✔","🕓"),"")</f>
        <v/>
      </c>
    </row>
    <row r="53" spans="2:31" x14ac:dyDescent="0.25">
      <c r="B53" s="53">
        <f t="shared" si="0"/>
        <v>8</v>
      </c>
      <c r="C53" s="59"/>
      <c r="D53" s="16" t="str">
        <f>IF(D50="","","Срок сдачи"&amp;": ")</f>
        <v/>
      </c>
      <c r="E53" s="64" t="str">
        <f>IFERROR(VLOOKUP(C$13&amp;$B53,Aux!$B:$M,6,0),"")</f>
        <v/>
      </c>
      <c r="F53" s="64"/>
      <c r="G53" s="63"/>
      <c r="K53" s="59"/>
      <c r="L53" s="16" t="str">
        <f>IF(L50="","","Срок сдачи"&amp;": ")</f>
        <v/>
      </c>
      <c r="M53" s="64" t="str">
        <f>IFERROR(VLOOKUP(K$13&amp;$B53,Aux!$B:$M,6,0),"")</f>
        <v/>
      </c>
      <c r="N53" s="64"/>
      <c r="O53" s="63"/>
      <c r="S53" s="59"/>
      <c r="T53" s="16" t="str">
        <f>IF(T50="","","Срок сдачи"&amp;": ")</f>
        <v/>
      </c>
      <c r="U53" s="64" t="str">
        <f>IFERROR(VLOOKUP(S$13&amp;$B53,Aux!$B:$M,6,0),"")</f>
        <v/>
      </c>
      <c r="V53" s="64"/>
      <c r="W53" s="63"/>
      <c r="AA53" s="59"/>
      <c r="AB53" s="16" t="str">
        <f>IF(AB50="","","Срок сдачи"&amp;": ")</f>
        <v/>
      </c>
      <c r="AC53" s="64" t="str">
        <f>IFERROR(VLOOKUP(AA$13&amp;$B53,Aux!$B:$M,6,0),"")</f>
        <v/>
      </c>
      <c r="AD53" s="64"/>
      <c r="AE53" s="63"/>
    </row>
    <row r="54" spans="2:31" x14ac:dyDescent="0.25">
      <c r="B54" s="53">
        <f t="shared" si="0"/>
        <v>8</v>
      </c>
      <c r="C54" s="7"/>
      <c r="D54" s="17"/>
      <c r="E54" s="7"/>
      <c r="F54" s="18"/>
      <c r="G54" s="18"/>
      <c r="K54" s="13"/>
      <c r="L54" s="17"/>
      <c r="M54" s="13"/>
      <c r="N54" s="14"/>
      <c r="O54" s="14"/>
      <c r="S54" s="13"/>
      <c r="T54" s="17"/>
      <c r="U54" s="13"/>
      <c r="V54" s="14"/>
      <c r="W54" s="14"/>
      <c r="AA54" s="13"/>
      <c r="AB54" s="17"/>
      <c r="AC54" s="13"/>
      <c r="AD54" s="14"/>
      <c r="AE54" s="30"/>
    </row>
    <row r="55" spans="2:31" x14ac:dyDescent="0.25">
      <c r="B55" s="53">
        <f t="shared" si="0"/>
        <v>9</v>
      </c>
      <c r="C55" s="59" t="str">
        <f>IFERROR(VLOOKUP(C$13&amp;$B59,Aux!$B:$M,5,0),"")</f>
        <v/>
      </c>
      <c r="D55" s="60" t="str">
        <f>IFERROR(VLOOKUP(C$13&amp;$B55,Aux!$B:$M,3,0),"")</f>
        <v/>
      </c>
      <c r="E55" s="60"/>
      <c r="F55" s="60"/>
      <c r="G55" s="61" t="str">
        <f>IFERROR(VLOOKUP(C$13&amp;$B55,Aux!$B:$M,9,0),"")</f>
        <v/>
      </c>
      <c r="K55" s="59" t="str">
        <f>IFERROR(VLOOKUP(K$13&amp;$B59,Aux!$B:$M,5,0),"")</f>
        <v/>
      </c>
      <c r="L55" s="60" t="str">
        <f>IFERROR(VLOOKUP(K$13&amp;$B55,Aux!$B:$M,3,0),"")</f>
        <v/>
      </c>
      <c r="M55" s="60"/>
      <c r="N55" s="60"/>
      <c r="O55" s="61" t="str">
        <f>IFERROR(VLOOKUP(K$13&amp;$B55,Aux!$B:$M,9,0),"")</f>
        <v/>
      </c>
      <c r="S55" s="59" t="str">
        <f>IFERROR(VLOOKUP(S$13&amp;$B59,Aux!$B:$M,5,0),"")</f>
        <v/>
      </c>
      <c r="T55" s="60" t="str">
        <f>IFERROR(VLOOKUP(S$13&amp;$B55,Aux!$B:$M,3,0),"")</f>
        <v/>
      </c>
      <c r="U55" s="60"/>
      <c r="V55" s="60"/>
      <c r="W55" s="61" t="str">
        <f>IFERROR(VLOOKUP(S$13&amp;$B55,Aux!$B:$M,9,0),"")</f>
        <v/>
      </c>
      <c r="AA55" s="59" t="str">
        <f>IFERROR(VLOOKUP(AA$13&amp;$B59,Aux!$B:$M,5,0),"")</f>
        <v/>
      </c>
      <c r="AB55" s="60" t="str">
        <f>IFERROR(VLOOKUP(AA$13&amp;$B55,Aux!$B:$M,3,0),"")</f>
        <v/>
      </c>
      <c r="AC55" s="60"/>
      <c r="AD55" s="60"/>
      <c r="AE55" s="61" t="str">
        <f>IFERROR(VLOOKUP(AA$13&amp;$B55,Aux!$B:$M,9,0),"")</f>
        <v/>
      </c>
    </row>
    <row r="56" spans="2:31" x14ac:dyDescent="0.25">
      <c r="B56" s="53">
        <f t="shared" si="0"/>
        <v>9</v>
      </c>
      <c r="C56" s="59"/>
      <c r="D56" s="60"/>
      <c r="E56" s="60"/>
      <c r="F56" s="60"/>
      <c r="G56" s="61"/>
      <c r="K56" s="59"/>
      <c r="L56" s="60"/>
      <c r="M56" s="60"/>
      <c r="N56" s="60"/>
      <c r="O56" s="61"/>
      <c r="S56" s="59"/>
      <c r="T56" s="60"/>
      <c r="U56" s="60"/>
      <c r="V56" s="60"/>
      <c r="W56" s="61"/>
      <c r="AA56" s="59"/>
      <c r="AB56" s="60"/>
      <c r="AC56" s="60"/>
      <c r="AD56" s="60"/>
      <c r="AE56" s="61"/>
    </row>
    <row r="57" spans="2:31" x14ac:dyDescent="0.25">
      <c r="B57" s="53">
        <f t="shared" si="0"/>
        <v>9</v>
      </c>
      <c r="C57" s="59"/>
      <c r="D57" s="15" t="str">
        <f>IF(D55="","","Исполнитель"&amp;": ")</f>
        <v/>
      </c>
      <c r="E57" s="62" t="str">
        <f>IFERROR(VLOOKUP(C$13&amp;$B57,Aux!$B:$M,4,0),"")</f>
        <v/>
      </c>
      <c r="F57" s="62"/>
      <c r="G57" s="63" t="str">
        <f>IFERROR(IF(VLOOKUP(C$13&amp;$B55,Aux!$B:$M,8,0)="Да","✔","🕓"),"")</f>
        <v/>
      </c>
      <c r="K57" s="59"/>
      <c r="L57" s="15" t="str">
        <f>IF(L55="","","Исполнитель"&amp;": ")</f>
        <v/>
      </c>
      <c r="M57" s="62" t="str">
        <f>IFERROR(VLOOKUP(K$13&amp;$B57,Aux!$B:$M,4,0),"")</f>
        <v/>
      </c>
      <c r="N57" s="62"/>
      <c r="O57" s="63" t="str">
        <f>IFERROR(IF(VLOOKUP(K$13&amp;$B55,Aux!$B:$M,8,0)="Да","✔","🕓"),"")</f>
        <v/>
      </c>
      <c r="S57" s="59"/>
      <c r="T57" s="15" t="str">
        <f>IF(T55="","","Исполнитель"&amp;": ")</f>
        <v/>
      </c>
      <c r="U57" s="62" t="str">
        <f>IFERROR(VLOOKUP(S$13&amp;$B57,Aux!$B:$M,4,0),"")</f>
        <v/>
      </c>
      <c r="V57" s="62"/>
      <c r="W57" s="63" t="str">
        <f>IFERROR(IF(VLOOKUP(S$13&amp;$B55,Aux!$B:$M,8,0)="Да","✔","🕓"),"")</f>
        <v/>
      </c>
      <c r="AA57" s="59"/>
      <c r="AB57" s="15" t="str">
        <f>IF(AB55="","","Исполнитель"&amp;": ")</f>
        <v/>
      </c>
      <c r="AC57" s="62" t="str">
        <f>IFERROR(VLOOKUP(AA$13&amp;$B57,Aux!$B:$M,4,0),"")</f>
        <v/>
      </c>
      <c r="AD57" s="62"/>
      <c r="AE57" s="63" t="str">
        <f>IFERROR(IF(VLOOKUP(AA$13&amp;$B55,Aux!$B:$M,8,0)="Да","✔","🕓"),"")</f>
        <v/>
      </c>
    </row>
    <row r="58" spans="2:31" x14ac:dyDescent="0.25">
      <c r="B58" s="53">
        <f t="shared" si="0"/>
        <v>9</v>
      </c>
      <c r="C58" s="59"/>
      <c r="D58" s="16" t="str">
        <f>IF(D55="","","Срок сдачи"&amp;": ")</f>
        <v/>
      </c>
      <c r="E58" s="64" t="str">
        <f>IFERROR(VLOOKUP(C$13&amp;$B58,Aux!$B:$M,6,0),"")</f>
        <v/>
      </c>
      <c r="F58" s="64"/>
      <c r="G58" s="63"/>
      <c r="K58" s="59"/>
      <c r="L58" s="16" t="str">
        <f>IF(L55="","","Срок сдачи"&amp;": ")</f>
        <v/>
      </c>
      <c r="M58" s="64" t="str">
        <f>IFERROR(VLOOKUP(K$13&amp;$B58,Aux!$B:$M,6,0),"")</f>
        <v/>
      </c>
      <c r="N58" s="64"/>
      <c r="O58" s="63"/>
      <c r="S58" s="59"/>
      <c r="T58" s="16" t="str">
        <f>IF(T55="","","Срок сдачи"&amp;": ")</f>
        <v/>
      </c>
      <c r="U58" s="64" t="str">
        <f>IFERROR(VLOOKUP(S$13&amp;$B58,Aux!$B:$M,6,0),"")</f>
        <v/>
      </c>
      <c r="V58" s="64"/>
      <c r="W58" s="63"/>
      <c r="AA58" s="59"/>
      <c r="AB58" s="16" t="str">
        <f>IF(AB55="","","Срок сдачи"&amp;": ")</f>
        <v/>
      </c>
      <c r="AC58" s="64" t="str">
        <f>IFERROR(VLOOKUP(AA$13&amp;$B58,Aux!$B:$M,6,0),"")</f>
        <v/>
      </c>
      <c r="AD58" s="64"/>
      <c r="AE58" s="63"/>
    </row>
    <row r="59" spans="2:31" x14ac:dyDescent="0.25">
      <c r="B59" s="53">
        <f t="shared" si="0"/>
        <v>9</v>
      </c>
      <c r="C59" s="7"/>
      <c r="D59" s="17"/>
      <c r="E59" s="7"/>
      <c r="F59" s="18"/>
      <c r="G59" s="18"/>
      <c r="K59" s="13"/>
      <c r="L59" s="17"/>
      <c r="M59" s="13"/>
      <c r="N59" s="14"/>
      <c r="O59" s="14"/>
      <c r="S59" s="13"/>
      <c r="T59" s="17"/>
      <c r="U59" s="13"/>
      <c r="V59" s="14"/>
      <c r="W59" s="14"/>
      <c r="AA59" s="13"/>
      <c r="AB59" s="17"/>
      <c r="AC59" s="13"/>
      <c r="AD59" s="14"/>
      <c r="AE59" s="30"/>
    </row>
    <row r="60" spans="2:31" x14ac:dyDescent="0.25">
      <c r="B60" s="53">
        <f t="shared" si="0"/>
        <v>10</v>
      </c>
      <c r="C60" s="59" t="str">
        <f>IFERROR(VLOOKUP(C$13&amp;$B64,Aux!$B:$M,5,0),"")</f>
        <v/>
      </c>
      <c r="D60" s="60" t="str">
        <f>IFERROR(VLOOKUP(C$13&amp;$B60,Aux!$B:$M,3,0),"")</f>
        <v/>
      </c>
      <c r="E60" s="60"/>
      <c r="F60" s="60"/>
      <c r="G60" s="61" t="str">
        <f>IFERROR(VLOOKUP(C$13&amp;$B60,Aux!$B:$M,9,0),"")</f>
        <v/>
      </c>
      <c r="K60" s="59" t="str">
        <f>IFERROR(VLOOKUP(K$13&amp;$B64,Aux!$B:$M,5,0),"")</f>
        <v/>
      </c>
      <c r="L60" s="60" t="str">
        <f>IFERROR(VLOOKUP(K$13&amp;$B60,Aux!$B:$M,3,0),"")</f>
        <v/>
      </c>
      <c r="M60" s="60"/>
      <c r="N60" s="60"/>
      <c r="O60" s="61" t="str">
        <f>IFERROR(VLOOKUP(K$13&amp;$B60,Aux!$B:$M,9,0),"")</f>
        <v/>
      </c>
      <c r="S60" s="59" t="str">
        <f>IFERROR(VLOOKUP(S$13&amp;$B64,Aux!$B:$M,5,0),"")</f>
        <v/>
      </c>
      <c r="T60" s="60" t="str">
        <f>IFERROR(VLOOKUP(S$13&amp;$B60,Aux!$B:$M,3,0),"")</f>
        <v/>
      </c>
      <c r="U60" s="60"/>
      <c r="V60" s="60"/>
      <c r="W60" s="61" t="str">
        <f>IFERROR(VLOOKUP(S$13&amp;$B60,Aux!$B:$M,9,0),"")</f>
        <v/>
      </c>
      <c r="AA60" s="59" t="str">
        <f>IFERROR(VLOOKUP(AA$13&amp;$B64,Aux!$B:$M,5,0),"")</f>
        <v/>
      </c>
      <c r="AB60" s="60" t="str">
        <f>IFERROR(VLOOKUP(AA$13&amp;$B60,Aux!$B:$M,3,0),"")</f>
        <v/>
      </c>
      <c r="AC60" s="60"/>
      <c r="AD60" s="60"/>
      <c r="AE60" s="61" t="str">
        <f>IFERROR(VLOOKUP(AA$13&amp;$B60,Aux!$B:$M,9,0),"")</f>
        <v/>
      </c>
    </row>
    <row r="61" spans="2:31" x14ac:dyDescent="0.25">
      <c r="B61" s="53">
        <f t="shared" si="0"/>
        <v>10</v>
      </c>
      <c r="C61" s="59"/>
      <c r="D61" s="60"/>
      <c r="E61" s="60"/>
      <c r="F61" s="60"/>
      <c r="G61" s="61"/>
      <c r="K61" s="59"/>
      <c r="L61" s="60"/>
      <c r="M61" s="60"/>
      <c r="N61" s="60"/>
      <c r="O61" s="61"/>
      <c r="S61" s="59"/>
      <c r="T61" s="60"/>
      <c r="U61" s="60"/>
      <c r="V61" s="60"/>
      <c r="W61" s="61"/>
      <c r="AA61" s="59"/>
      <c r="AB61" s="60"/>
      <c r="AC61" s="60"/>
      <c r="AD61" s="60"/>
      <c r="AE61" s="61"/>
    </row>
    <row r="62" spans="2:31" x14ac:dyDescent="0.25">
      <c r="B62" s="53">
        <f t="shared" si="0"/>
        <v>10</v>
      </c>
      <c r="C62" s="59"/>
      <c r="D62" s="15" t="str">
        <f>IF(D60="","","Исполнитель"&amp;": ")</f>
        <v/>
      </c>
      <c r="E62" s="62" t="str">
        <f>IFERROR(VLOOKUP(C$13&amp;$B62,Aux!$B:$M,4,0),"")</f>
        <v/>
      </c>
      <c r="F62" s="62"/>
      <c r="G62" s="63" t="str">
        <f>IFERROR(IF(VLOOKUP(C$13&amp;$B60,Aux!$B:$M,8,0)="Да","✔","🕓"),"")</f>
        <v/>
      </c>
      <c r="K62" s="59"/>
      <c r="L62" s="15" t="str">
        <f>IF(L60="","","Исполнитель"&amp;": ")</f>
        <v/>
      </c>
      <c r="M62" s="62" t="str">
        <f>IFERROR(VLOOKUP(K$13&amp;$B62,Aux!$B:$M,4,0),"")</f>
        <v/>
      </c>
      <c r="N62" s="62"/>
      <c r="O62" s="63" t="str">
        <f>IFERROR(IF(VLOOKUP(K$13&amp;$B60,Aux!$B:$M,8,0)="Да","✔","🕓"),"")</f>
        <v/>
      </c>
      <c r="S62" s="59"/>
      <c r="T62" s="15" t="str">
        <f>IF(T60="","","Исполнитель"&amp;": ")</f>
        <v/>
      </c>
      <c r="U62" s="62" t="str">
        <f>IFERROR(VLOOKUP(S$13&amp;$B62,Aux!$B:$M,4,0),"")</f>
        <v/>
      </c>
      <c r="V62" s="62"/>
      <c r="W62" s="63" t="str">
        <f>IFERROR(IF(VLOOKUP(S$13&amp;$B60,Aux!$B:$M,8,0)="Да","✔","🕓"),"")</f>
        <v/>
      </c>
      <c r="AA62" s="59"/>
      <c r="AB62" s="15" t="str">
        <f>IF(AB60="","","Исполнитель"&amp;": ")</f>
        <v/>
      </c>
      <c r="AC62" s="62" t="str">
        <f>IFERROR(VLOOKUP(AA$13&amp;$B62,Aux!$B:$M,4,0),"")</f>
        <v/>
      </c>
      <c r="AD62" s="62"/>
      <c r="AE62" s="63" t="str">
        <f>IFERROR(IF(VLOOKUP(AA$13&amp;$B60,Aux!$B:$M,8,0)="Да","✔","🕓"),"")</f>
        <v/>
      </c>
    </row>
    <row r="63" spans="2:31" x14ac:dyDescent="0.25">
      <c r="B63" s="53">
        <f t="shared" si="0"/>
        <v>10</v>
      </c>
      <c r="C63" s="59"/>
      <c r="D63" s="16" t="str">
        <f>IF(D60="","","Срок сдачи"&amp;": ")</f>
        <v/>
      </c>
      <c r="E63" s="64" t="str">
        <f>IFERROR(VLOOKUP(C$13&amp;$B63,Aux!$B:$M,6,0),"")</f>
        <v/>
      </c>
      <c r="F63" s="64"/>
      <c r="G63" s="63"/>
      <c r="K63" s="59"/>
      <c r="L63" s="16" t="str">
        <f>IF(L60="","","Срок сдачи"&amp;": ")</f>
        <v/>
      </c>
      <c r="M63" s="64" t="str">
        <f>IFERROR(VLOOKUP(K$13&amp;$B63,Aux!$B:$M,6,0),"")</f>
        <v/>
      </c>
      <c r="N63" s="64"/>
      <c r="O63" s="63"/>
      <c r="S63" s="59"/>
      <c r="T63" s="16" t="str">
        <f>IF(T60="","","Срок сдачи"&amp;": ")</f>
        <v/>
      </c>
      <c r="U63" s="64" t="str">
        <f>IFERROR(VLOOKUP(S$13&amp;$B63,Aux!$B:$M,6,0),"")</f>
        <v/>
      </c>
      <c r="V63" s="64"/>
      <c r="W63" s="63"/>
      <c r="AA63" s="59"/>
      <c r="AB63" s="16" t="str">
        <f>IF(AB60="","","Срок сдачи"&amp;": ")</f>
        <v/>
      </c>
      <c r="AC63" s="64" t="str">
        <f>IFERROR(VLOOKUP(AA$13&amp;$B63,Aux!$B:$M,6,0),"")</f>
        <v/>
      </c>
      <c r="AD63" s="64"/>
      <c r="AE63" s="63"/>
    </row>
    <row r="64" spans="2:31" x14ac:dyDescent="0.25">
      <c r="B64" s="53">
        <f t="shared" si="0"/>
        <v>10</v>
      </c>
      <c r="C64" s="7"/>
      <c r="D64" s="17"/>
      <c r="E64" s="7"/>
      <c r="F64" s="18"/>
      <c r="G64" s="18"/>
      <c r="K64" s="13"/>
      <c r="L64" s="17"/>
      <c r="M64" s="13"/>
      <c r="N64" s="14"/>
      <c r="O64" s="14"/>
      <c r="S64" s="13"/>
      <c r="T64" s="17"/>
      <c r="U64" s="13"/>
      <c r="V64" s="14"/>
      <c r="W64" s="14"/>
      <c r="AA64" s="13"/>
      <c r="AB64" s="17"/>
      <c r="AC64" s="13"/>
      <c r="AD64" s="14"/>
      <c r="AE64" s="30"/>
    </row>
    <row r="65" spans="2:31" x14ac:dyDescent="0.25">
      <c r="B65" s="53">
        <f t="shared" si="0"/>
        <v>11</v>
      </c>
      <c r="C65" s="59" t="str">
        <f>IFERROR(VLOOKUP(C$13&amp;$B69,Aux!$B:$M,5,0),"")</f>
        <v/>
      </c>
      <c r="D65" s="60" t="str">
        <f>IFERROR(VLOOKUP(C$13&amp;$B65,Aux!$B:$M,3,0),"")</f>
        <v/>
      </c>
      <c r="E65" s="60"/>
      <c r="F65" s="60"/>
      <c r="G65" s="61" t="str">
        <f>IFERROR(VLOOKUP(C$13&amp;$B65,Aux!$B:$M,9,0),"")</f>
        <v/>
      </c>
      <c r="K65" s="59" t="str">
        <f>IFERROR(VLOOKUP(K$13&amp;$B69,Aux!$B:$M,5,0),"")</f>
        <v/>
      </c>
      <c r="L65" s="60" t="str">
        <f>IFERROR(VLOOKUP(K$13&amp;$B65,Aux!$B:$M,3,0),"")</f>
        <v/>
      </c>
      <c r="M65" s="60"/>
      <c r="N65" s="60"/>
      <c r="O65" s="61" t="str">
        <f>IFERROR(VLOOKUP(K$13&amp;$B65,Aux!$B:$M,9,0),"")</f>
        <v/>
      </c>
      <c r="S65" s="59" t="str">
        <f>IFERROR(VLOOKUP(S$13&amp;$B69,Aux!$B:$M,5,0),"")</f>
        <v/>
      </c>
      <c r="T65" s="60" t="str">
        <f>IFERROR(VLOOKUP(S$13&amp;$B65,Aux!$B:$M,3,0),"")</f>
        <v/>
      </c>
      <c r="U65" s="60"/>
      <c r="V65" s="60"/>
      <c r="W65" s="61" t="str">
        <f>IFERROR(VLOOKUP(S$13&amp;$B65,Aux!$B:$M,9,0),"")</f>
        <v/>
      </c>
      <c r="AA65" s="59" t="str">
        <f>IFERROR(VLOOKUP(AA$13&amp;$B69,Aux!$B:$M,5,0),"")</f>
        <v/>
      </c>
      <c r="AB65" s="60" t="str">
        <f>IFERROR(VLOOKUP(AA$13&amp;$B65,Aux!$B:$M,3,0),"")</f>
        <v/>
      </c>
      <c r="AC65" s="60"/>
      <c r="AD65" s="60"/>
      <c r="AE65" s="61" t="str">
        <f>IFERROR(VLOOKUP(AA$13&amp;$B65,Aux!$B:$M,9,0),"")</f>
        <v/>
      </c>
    </row>
    <row r="66" spans="2:31" x14ac:dyDescent="0.25">
      <c r="B66" s="53">
        <f t="shared" si="0"/>
        <v>11</v>
      </c>
      <c r="C66" s="59"/>
      <c r="D66" s="60"/>
      <c r="E66" s="60"/>
      <c r="F66" s="60"/>
      <c r="G66" s="61"/>
      <c r="K66" s="59"/>
      <c r="L66" s="60"/>
      <c r="M66" s="60"/>
      <c r="N66" s="60"/>
      <c r="O66" s="61"/>
      <c r="S66" s="59"/>
      <c r="T66" s="60"/>
      <c r="U66" s="60"/>
      <c r="V66" s="60"/>
      <c r="W66" s="61"/>
      <c r="AA66" s="59"/>
      <c r="AB66" s="60"/>
      <c r="AC66" s="60"/>
      <c r="AD66" s="60"/>
      <c r="AE66" s="61"/>
    </row>
    <row r="67" spans="2:31" x14ac:dyDescent="0.25">
      <c r="B67" s="53">
        <f t="shared" si="0"/>
        <v>11</v>
      </c>
      <c r="C67" s="59"/>
      <c r="D67" s="15" t="str">
        <f>IF(D65="","","Исполнитель"&amp;": ")</f>
        <v/>
      </c>
      <c r="E67" s="62" t="str">
        <f>IFERROR(VLOOKUP(C$13&amp;$B67,Aux!$B:$M,4,0),"")</f>
        <v/>
      </c>
      <c r="F67" s="62"/>
      <c r="G67" s="63" t="str">
        <f>IFERROR(IF(VLOOKUP(C$13&amp;$B65,Aux!$B:$M,8,0)="Да","✔","🕓"),"")</f>
        <v/>
      </c>
      <c r="K67" s="59"/>
      <c r="L67" s="15" t="str">
        <f>IF(L65="","","Исполнитель"&amp;": ")</f>
        <v/>
      </c>
      <c r="M67" s="62" t="str">
        <f>IFERROR(VLOOKUP(K$13&amp;$B67,Aux!$B:$M,4,0),"")</f>
        <v/>
      </c>
      <c r="N67" s="62"/>
      <c r="O67" s="63" t="str">
        <f>IFERROR(IF(VLOOKUP(K$13&amp;$B65,Aux!$B:$M,8,0)="Да","✔","🕓"),"")</f>
        <v/>
      </c>
      <c r="S67" s="59"/>
      <c r="T67" s="15" t="str">
        <f>IF(T65="","","Исполнитель"&amp;": ")</f>
        <v/>
      </c>
      <c r="U67" s="62" t="str">
        <f>IFERROR(VLOOKUP(S$13&amp;$B67,Aux!$B:$M,4,0),"")</f>
        <v/>
      </c>
      <c r="V67" s="62"/>
      <c r="W67" s="63" t="str">
        <f>IFERROR(IF(VLOOKUP(S$13&amp;$B65,Aux!$B:$M,8,0)="Да","✔","🕓"),"")</f>
        <v/>
      </c>
      <c r="AA67" s="59"/>
      <c r="AB67" s="15" t="str">
        <f>IF(AB65="","","Исполнитель"&amp;": ")</f>
        <v/>
      </c>
      <c r="AC67" s="62" t="str">
        <f>IFERROR(VLOOKUP(AA$13&amp;$B67,Aux!$B:$M,4,0),"")</f>
        <v/>
      </c>
      <c r="AD67" s="62"/>
      <c r="AE67" s="63" t="str">
        <f>IFERROR(IF(VLOOKUP(AA$13&amp;$B65,Aux!$B:$M,8,0)="Да","✔","🕓"),"")</f>
        <v/>
      </c>
    </row>
    <row r="68" spans="2:31" x14ac:dyDescent="0.25">
      <c r="B68" s="53">
        <f t="shared" si="0"/>
        <v>11</v>
      </c>
      <c r="C68" s="59"/>
      <c r="D68" s="16" t="str">
        <f>IF(D65="","","Срок сдачи"&amp;": ")</f>
        <v/>
      </c>
      <c r="E68" s="64" t="str">
        <f>IFERROR(VLOOKUP(C$13&amp;$B68,Aux!$B:$M,6,0),"")</f>
        <v/>
      </c>
      <c r="F68" s="64"/>
      <c r="G68" s="63"/>
      <c r="K68" s="59"/>
      <c r="L68" s="16" t="str">
        <f>IF(L65="","","Срок сдачи"&amp;": ")</f>
        <v/>
      </c>
      <c r="M68" s="64" t="str">
        <f>IFERROR(VLOOKUP(K$13&amp;$B68,Aux!$B:$M,6,0),"")</f>
        <v/>
      </c>
      <c r="N68" s="64"/>
      <c r="O68" s="63"/>
      <c r="S68" s="59"/>
      <c r="T68" s="16" t="str">
        <f>IF(T65="","","Срок сдачи"&amp;": ")</f>
        <v/>
      </c>
      <c r="U68" s="64" t="str">
        <f>IFERROR(VLOOKUP(S$13&amp;$B68,Aux!$B:$M,6,0),"")</f>
        <v/>
      </c>
      <c r="V68" s="64"/>
      <c r="W68" s="63"/>
      <c r="AA68" s="59"/>
      <c r="AB68" s="16" t="str">
        <f>IF(AB65="","","Срок сдачи"&amp;": ")</f>
        <v/>
      </c>
      <c r="AC68" s="64" t="str">
        <f>IFERROR(VLOOKUP(AA$13&amp;$B68,Aux!$B:$M,6,0),"")</f>
        <v/>
      </c>
      <c r="AD68" s="64"/>
      <c r="AE68" s="63"/>
    </row>
    <row r="69" spans="2:31" x14ac:dyDescent="0.25">
      <c r="B69" s="53">
        <f t="shared" si="0"/>
        <v>11</v>
      </c>
      <c r="C69" s="7"/>
      <c r="D69" s="17"/>
      <c r="E69" s="7"/>
      <c r="F69" s="18"/>
      <c r="G69" s="18"/>
      <c r="K69" s="13"/>
      <c r="L69" s="17"/>
      <c r="M69" s="13"/>
      <c r="N69" s="14"/>
      <c r="O69" s="14"/>
      <c r="S69" s="13"/>
      <c r="T69" s="17"/>
      <c r="U69" s="13"/>
      <c r="V69" s="14"/>
      <c r="W69" s="14"/>
      <c r="AA69" s="13"/>
      <c r="AB69" s="17"/>
      <c r="AC69" s="13"/>
      <c r="AD69" s="14"/>
      <c r="AE69" s="30"/>
    </row>
    <row r="70" spans="2:31" x14ac:dyDescent="0.25">
      <c r="B70" s="53">
        <f t="shared" si="0"/>
        <v>12</v>
      </c>
      <c r="C70" s="59" t="str">
        <f>IFERROR(VLOOKUP(C$13&amp;$B74,Aux!$B:$M,5,0),"")</f>
        <v/>
      </c>
      <c r="D70" s="60" t="str">
        <f>IFERROR(VLOOKUP(C$13&amp;$B70,Aux!$B:$M,3,0),"")</f>
        <v/>
      </c>
      <c r="E70" s="60"/>
      <c r="F70" s="60"/>
      <c r="G70" s="61" t="str">
        <f>IFERROR(VLOOKUP(C$13&amp;$B70,Aux!$B:$M,9,0),"")</f>
        <v/>
      </c>
      <c r="K70" s="59" t="str">
        <f>IFERROR(VLOOKUP(K$13&amp;$B74,Aux!$B:$M,5,0),"")</f>
        <v/>
      </c>
      <c r="L70" s="60" t="str">
        <f>IFERROR(VLOOKUP(K$13&amp;$B70,Aux!$B:$M,3,0),"")</f>
        <v/>
      </c>
      <c r="M70" s="60"/>
      <c r="N70" s="60"/>
      <c r="O70" s="61" t="str">
        <f>IFERROR(VLOOKUP(K$13&amp;$B70,Aux!$B:$M,9,0),"")</f>
        <v/>
      </c>
      <c r="S70" s="59" t="str">
        <f>IFERROR(VLOOKUP(S$13&amp;$B74,Aux!$B:$M,5,0),"")</f>
        <v/>
      </c>
      <c r="T70" s="60" t="str">
        <f>IFERROR(VLOOKUP(S$13&amp;$B70,Aux!$B:$M,3,0),"")</f>
        <v/>
      </c>
      <c r="U70" s="60"/>
      <c r="V70" s="60"/>
      <c r="W70" s="61" t="str">
        <f>IFERROR(VLOOKUP(S$13&amp;$B70,Aux!$B:$M,9,0),"")</f>
        <v/>
      </c>
      <c r="AA70" s="59" t="str">
        <f>IFERROR(VLOOKUP(AA$13&amp;$B74,Aux!$B:$M,5,0),"")</f>
        <v/>
      </c>
      <c r="AB70" s="60" t="str">
        <f>IFERROR(VLOOKUP(AA$13&amp;$B70,Aux!$B:$M,3,0),"")</f>
        <v/>
      </c>
      <c r="AC70" s="60"/>
      <c r="AD70" s="60"/>
      <c r="AE70" s="61" t="str">
        <f>IFERROR(VLOOKUP(AA$13&amp;$B70,Aux!$B:$M,9,0),"")</f>
        <v/>
      </c>
    </row>
    <row r="71" spans="2:31" x14ac:dyDescent="0.25">
      <c r="B71" s="53">
        <f t="shared" si="0"/>
        <v>12</v>
      </c>
      <c r="C71" s="59"/>
      <c r="D71" s="60"/>
      <c r="E71" s="60"/>
      <c r="F71" s="60"/>
      <c r="G71" s="61"/>
      <c r="K71" s="59"/>
      <c r="L71" s="60"/>
      <c r="M71" s="60"/>
      <c r="N71" s="60"/>
      <c r="O71" s="61"/>
      <c r="S71" s="59"/>
      <c r="T71" s="60"/>
      <c r="U71" s="60"/>
      <c r="V71" s="60"/>
      <c r="W71" s="61"/>
      <c r="AA71" s="59"/>
      <c r="AB71" s="60"/>
      <c r="AC71" s="60"/>
      <c r="AD71" s="60"/>
      <c r="AE71" s="61"/>
    </row>
    <row r="72" spans="2:31" x14ac:dyDescent="0.25">
      <c r="B72" s="53">
        <f t="shared" si="0"/>
        <v>12</v>
      </c>
      <c r="C72" s="59"/>
      <c r="D72" s="15" t="str">
        <f>IF(D70="","","Исполнитель"&amp;": ")</f>
        <v/>
      </c>
      <c r="E72" s="62" t="str">
        <f>IFERROR(VLOOKUP(C$13&amp;$B72,Aux!$B:$M,4,0),"")</f>
        <v/>
      </c>
      <c r="F72" s="62"/>
      <c r="G72" s="63" t="str">
        <f>IFERROR(IF(VLOOKUP(C$13&amp;$B70,Aux!$B:$M,8,0)="Да","✔","🕓"),"")</f>
        <v/>
      </c>
      <c r="K72" s="59"/>
      <c r="L72" s="15" t="str">
        <f>IF(L70="","","Исполнитель"&amp;": ")</f>
        <v/>
      </c>
      <c r="M72" s="62" t="str">
        <f>IFERROR(VLOOKUP(K$13&amp;$B72,Aux!$B:$M,4,0),"")</f>
        <v/>
      </c>
      <c r="N72" s="62"/>
      <c r="O72" s="63" t="str">
        <f>IFERROR(IF(VLOOKUP(K$13&amp;$B70,Aux!$B:$M,8,0)="Да","✔","🕓"),"")</f>
        <v/>
      </c>
      <c r="S72" s="59"/>
      <c r="T72" s="15" t="str">
        <f>IF(T70="","","Исполнитель"&amp;": ")</f>
        <v/>
      </c>
      <c r="U72" s="62" t="str">
        <f>IFERROR(VLOOKUP(S$13&amp;$B72,Aux!$B:$M,4,0),"")</f>
        <v/>
      </c>
      <c r="V72" s="62"/>
      <c r="W72" s="63" t="str">
        <f>IFERROR(IF(VLOOKUP(S$13&amp;$B70,Aux!$B:$M,8,0)="Да","✔","🕓"),"")</f>
        <v/>
      </c>
      <c r="AA72" s="59"/>
      <c r="AB72" s="15" t="str">
        <f>IF(AB70="","","Исполнитель"&amp;": ")</f>
        <v/>
      </c>
      <c r="AC72" s="62" t="str">
        <f>IFERROR(VLOOKUP(AA$13&amp;$B72,Aux!$B:$M,4,0),"")</f>
        <v/>
      </c>
      <c r="AD72" s="62"/>
      <c r="AE72" s="63" t="str">
        <f>IFERROR(IF(VLOOKUP(AA$13&amp;$B70,Aux!$B:$M,8,0)="Да","✔","🕓"),"")</f>
        <v/>
      </c>
    </row>
    <row r="73" spans="2:31" x14ac:dyDescent="0.25">
      <c r="B73" s="53">
        <f t="shared" si="0"/>
        <v>12</v>
      </c>
      <c r="C73" s="59"/>
      <c r="D73" s="16" t="str">
        <f>IF(D70="","","Срок сдачи"&amp;": ")</f>
        <v/>
      </c>
      <c r="E73" s="64" t="str">
        <f>IFERROR(VLOOKUP(C$13&amp;$B73,Aux!$B:$M,6,0),"")</f>
        <v/>
      </c>
      <c r="F73" s="64"/>
      <c r="G73" s="63"/>
      <c r="K73" s="59"/>
      <c r="L73" s="16" t="str">
        <f>IF(L70="","","Срок сдачи"&amp;": ")</f>
        <v/>
      </c>
      <c r="M73" s="64" t="str">
        <f>IFERROR(VLOOKUP(K$13&amp;$B73,Aux!$B:$M,6,0),"")</f>
        <v/>
      </c>
      <c r="N73" s="64"/>
      <c r="O73" s="63"/>
      <c r="S73" s="59"/>
      <c r="T73" s="16" t="str">
        <f>IF(T70="","","Срок сдачи"&amp;": ")</f>
        <v/>
      </c>
      <c r="U73" s="64" t="str">
        <f>IFERROR(VLOOKUP(S$13&amp;$B73,Aux!$B:$M,6,0),"")</f>
        <v/>
      </c>
      <c r="V73" s="64"/>
      <c r="W73" s="63"/>
      <c r="AA73" s="59"/>
      <c r="AB73" s="16" t="str">
        <f>IF(AB70="","","Срок сдачи"&amp;": ")</f>
        <v/>
      </c>
      <c r="AC73" s="64" t="str">
        <f>IFERROR(VLOOKUP(AA$13&amp;$B73,Aux!$B:$M,6,0),"")</f>
        <v/>
      </c>
      <c r="AD73" s="64"/>
      <c r="AE73" s="63"/>
    </row>
    <row r="74" spans="2:31" x14ac:dyDescent="0.25">
      <c r="B74" s="53">
        <f t="shared" si="0"/>
        <v>12</v>
      </c>
      <c r="C74" s="7"/>
      <c r="D74" s="17"/>
      <c r="E74" s="7"/>
      <c r="F74" s="18"/>
      <c r="G74" s="18"/>
      <c r="K74" s="13"/>
      <c r="L74" s="17"/>
      <c r="M74" s="13"/>
      <c r="N74" s="14"/>
      <c r="O74" s="14"/>
      <c r="S74" s="13"/>
      <c r="T74" s="17"/>
      <c r="U74" s="13"/>
      <c r="V74" s="14"/>
      <c r="W74" s="14"/>
      <c r="AA74" s="13"/>
      <c r="AB74" s="17"/>
      <c r="AC74" s="13"/>
      <c r="AD74" s="14"/>
      <c r="AE74" s="30"/>
    </row>
    <row r="75" spans="2:31" x14ac:dyDescent="0.25">
      <c r="B75" s="53">
        <f t="shared" si="0"/>
        <v>13</v>
      </c>
      <c r="C75" s="59" t="str">
        <f>IFERROR(VLOOKUP(C$13&amp;$B79,Aux!$B:$M,5,0),"")</f>
        <v/>
      </c>
      <c r="D75" s="60" t="str">
        <f>IFERROR(VLOOKUP(C$13&amp;$B75,Aux!$B:$M,3,0),"")</f>
        <v/>
      </c>
      <c r="E75" s="60"/>
      <c r="F75" s="60"/>
      <c r="G75" s="61" t="str">
        <f>IFERROR(VLOOKUP(C$13&amp;$B75,Aux!$B:$M,9,0),"")</f>
        <v/>
      </c>
      <c r="K75" s="59" t="str">
        <f>IFERROR(VLOOKUP(K$13&amp;$B79,Aux!$B:$M,5,0),"")</f>
        <v/>
      </c>
      <c r="L75" s="60" t="str">
        <f>IFERROR(VLOOKUP(K$13&amp;$B75,Aux!$B:$M,3,0),"")</f>
        <v/>
      </c>
      <c r="M75" s="60"/>
      <c r="N75" s="60"/>
      <c r="O75" s="61" t="str">
        <f>IFERROR(VLOOKUP(K$13&amp;$B75,Aux!$B:$M,9,0),"")</f>
        <v/>
      </c>
      <c r="S75" s="59" t="str">
        <f>IFERROR(VLOOKUP(S$13&amp;$B79,Aux!$B:$M,5,0),"")</f>
        <v/>
      </c>
      <c r="T75" s="60" t="str">
        <f>IFERROR(VLOOKUP(S$13&amp;$B75,Aux!$B:$M,3,0),"")</f>
        <v/>
      </c>
      <c r="U75" s="60"/>
      <c r="V75" s="60"/>
      <c r="W75" s="61" t="str">
        <f>IFERROR(VLOOKUP(S$13&amp;$B75,Aux!$B:$M,9,0),"")</f>
        <v/>
      </c>
      <c r="AA75" s="59" t="str">
        <f>IFERROR(VLOOKUP(AA$13&amp;$B79,Aux!$B:$M,5,0),"")</f>
        <v/>
      </c>
      <c r="AB75" s="60" t="str">
        <f>IFERROR(VLOOKUP(AA$13&amp;$B75,Aux!$B:$M,3,0),"")</f>
        <v/>
      </c>
      <c r="AC75" s="60"/>
      <c r="AD75" s="60"/>
      <c r="AE75" s="61" t="str">
        <f>IFERROR(VLOOKUP(AA$13&amp;$B75,Aux!$B:$M,9,0),"")</f>
        <v/>
      </c>
    </row>
    <row r="76" spans="2:31" x14ac:dyDescent="0.25">
      <c r="B76" s="53">
        <f t="shared" si="0"/>
        <v>13</v>
      </c>
      <c r="C76" s="59"/>
      <c r="D76" s="60"/>
      <c r="E76" s="60"/>
      <c r="F76" s="60"/>
      <c r="G76" s="61"/>
      <c r="K76" s="59"/>
      <c r="L76" s="60"/>
      <c r="M76" s="60"/>
      <c r="N76" s="60"/>
      <c r="O76" s="61"/>
      <c r="S76" s="59"/>
      <c r="T76" s="60"/>
      <c r="U76" s="60"/>
      <c r="V76" s="60"/>
      <c r="W76" s="61"/>
      <c r="AA76" s="59"/>
      <c r="AB76" s="60"/>
      <c r="AC76" s="60"/>
      <c r="AD76" s="60"/>
      <c r="AE76" s="61"/>
    </row>
    <row r="77" spans="2:31" x14ac:dyDescent="0.25">
      <c r="B77" s="53">
        <f t="shared" si="0"/>
        <v>13</v>
      </c>
      <c r="C77" s="59"/>
      <c r="D77" s="15" t="str">
        <f>IF(D75="","","Исполнитель"&amp;": ")</f>
        <v/>
      </c>
      <c r="E77" s="62" t="str">
        <f>IFERROR(VLOOKUP(C$13&amp;$B77,Aux!$B:$M,4,0),"")</f>
        <v/>
      </c>
      <c r="F77" s="62"/>
      <c r="G77" s="63" t="str">
        <f>IFERROR(IF(VLOOKUP(C$13&amp;$B75,Aux!$B:$M,8,0)="Да","✔","🕓"),"")</f>
        <v/>
      </c>
      <c r="K77" s="59"/>
      <c r="L77" s="15" t="str">
        <f>IF(L75="","","Исполнитель"&amp;": ")</f>
        <v/>
      </c>
      <c r="M77" s="62" t="str">
        <f>IFERROR(VLOOKUP(K$13&amp;$B77,Aux!$B:$M,4,0),"")</f>
        <v/>
      </c>
      <c r="N77" s="62"/>
      <c r="O77" s="63" t="str">
        <f>IFERROR(IF(VLOOKUP(K$13&amp;$B75,Aux!$B:$M,8,0)="Да","✔","🕓"),"")</f>
        <v/>
      </c>
      <c r="S77" s="59"/>
      <c r="T77" s="15" t="str">
        <f>IF(T75="","","Исполнитель"&amp;": ")</f>
        <v/>
      </c>
      <c r="U77" s="62" t="str">
        <f>IFERROR(VLOOKUP(S$13&amp;$B77,Aux!$B:$M,4,0),"")</f>
        <v/>
      </c>
      <c r="V77" s="62"/>
      <c r="W77" s="63" t="str">
        <f>IFERROR(IF(VLOOKUP(S$13&amp;$B75,Aux!$B:$M,8,0)="Да","✔","🕓"),"")</f>
        <v/>
      </c>
      <c r="AA77" s="59"/>
      <c r="AB77" s="15" t="str">
        <f>IF(AB75="","","Исполнитель"&amp;": ")</f>
        <v/>
      </c>
      <c r="AC77" s="62" t="str">
        <f>IFERROR(VLOOKUP(AA$13&amp;$B77,Aux!$B:$M,4,0),"")</f>
        <v/>
      </c>
      <c r="AD77" s="62"/>
      <c r="AE77" s="63" t="str">
        <f>IFERROR(IF(VLOOKUP(AA$13&amp;$B75,Aux!$B:$M,8,0)="Да","✔","🕓"),"")</f>
        <v/>
      </c>
    </row>
    <row r="78" spans="2:31" x14ac:dyDescent="0.25">
      <c r="B78" s="53">
        <f t="shared" si="0"/>
        <v>13</v>
      </c>
      <c r="C78" s="59"/>
      <c r="D78" s="16" t="str">
        <f>IF(D75="","","Срок сдачи"&amp;": ")</f>
        <v/>
      </c>
      <c r="E78" s="64" t="str">
        <f>IFERROR(VLOOKUP(C$13&amp;$B78,Aux!$B:$M,6,0),"")</f>
        <v/>
      </c>
      <c r="F78" s="64"/>
      <c r="G78" s="63"/>
      <c r="K78" s="59"/>
      <c r="L78" s="16" t="str">
        <f>IF(L75="","","Срок сдачи"&amp;": ")</f>
        <v/>
      </c>
      <c r="M78" s="64" t="str">
        <f>IFERROR(VLOOKUP(K$13&amp;$B78,Aux!$B:$M,6,0),"")</f>
        <v/>
      </c>
      <c r="N78" s="64"/>
      <c r="O78" s="63"/>
      <c r="S78" s="59"/>
      <c r="T78" s="16" t="str">
        <f>IF(T75="","","Срок сдачи"&amp;": ")</f>
        <v/>
      </c>
      <c r="U78" s="64" t="str">
        <f>IFERROR(VLOOKUP(S$13&amp;$B78,Aux!$B:$M,6,0),"")</f>
        <v/>
      </c>
      <c r="V78" s="64"/>
      <c r="W78" s="63"/>
      <c r="AA78" s="59"/>
      <c r="AB78" s="16" t="str">
        <f>IF(AB75="","","Срок сдачи"&amp;": ")</f>
        <v/>
      </c>
      <c r="AC78" s="64" t="str">
        <f>IFERROR(VLOOKUP(AA$13&amp;$B78,Aux!$B:$M,6,0),"")</f>
        <v/>
      </c>
      <c r="AD78" s="64"/>
      <c r="AE78" s="63"/>
    </row>
    <row r="79" spans="2:31" x14ac:dyDescent="0.25">
      <c r="B79" s="53">
        <f t="shared" si="0"/>
        <v>13</v>
      </c>
      <c r="C79" s="7"/>
      <c r="D79" s="17"/>
      <c r="E79" s="7"/>
      <c r="F79" s="18"/>
      <c r="G79" s="18"/>
      <c r="K79" s="13"/>
      <c r="L79" s="17"/>
      <c r="M79" s="13"/>
      <c r="N79" s="14"/>
      <c r="O79" s="14"/>
      <c r="S79" s="13"/>
      <c r="T79" s="17"/>
      <c r="U79" s="13"/>
      <c r="V79" s="14"/>
      <c r="W79" s="14"/>
      <c r="AA79" s="13"/>
      <c r="AB79" s="17"/>
      <c r="AC79" s="13"/>
      <c r="AD79" s="14"/>
      <c r="AE79" s="30"/>
    </row>
    <row r="80" spans="2:31" x14ac:dyDescent="0.25">
      <c r="B80" s="53">
        <f t="shared" si="0"/>
        <v>14</v>
      </c>
      <c r="C80" s="59" t="str">
        <f>IFERROR(VLOOKUP(C$13&amp;$B84,Aux!$B:$M,5,0),"")</f>
        <v/>
      </c>
      <c r="D80" s="60" t="str">
        <f>IFERROR(VLOOKUP(C$13&amp;$B80,Aux!$B:$M,3,0),"")</f>
        <v/>
      </c>
      <c r="E80" s="60"/>
      <c r="F80" s="60"/>
      <c r="G80" s="61" t="str">
        <f>IFERROR(VLOOKUP(C$13&amp;$B80,Aux!$B:$M,9,0),"")</f>
        <v/>
      </c>
      <c r="K80" s="59" t="str">
        <f>IFERROR(VLOOKUP(K$13&amp;$B84,Aux!$B:$M,5,0),"")</f>
        <v/>
      </c>
      <c r="L80" s="60" t="str">
        <f>IFERROR(VLOOKUP(K$13&amp;$B80,Aux!$B:$M,3,0),"")</f>
        <v/>
      </c>
      <c r="M80" s="60"/>
      <c r="N80" s="60"/>
      <c r="O80" s="61" t="str">
        <f>IFERROR(VLOOKUP(K$13&amp;$B80,Aux!$B:$M,9,0),"")</f>
        <v/>
      </c>
      <c r="S80" s="59" t="str">
        <f>IFERROR(VLOOKUP(S$13&amp;$B84,Aux!$B:$M,5,0),"")</f>
        <v/>
      </c>
      <c r="T80" s="60" t="str">
        <f>IFERROR(VLOOKUP(S$13&amp;$B80,Aux!$B:$M,3,0),"")</f>
        <v/>
      </c>
      <c r="U80" s="60"/>
      <c r="V80" s="60"/>
      <c r="W80" s="61" t="str">
        <f>IFERROR(VLOOKUP(S$13&amp;$B80,Aux!$B:$M,9,0),"")</f>
        <v/>
      </c>
      <c r="AA80" s="59" t="str">
        <f>IFERROR(VLOOKUP(AA$13&amp;$B84,Aux!$B:$M,5,0),"")</f>
        <v/>
      </c>
      <c r="AB80" s="60" t="str">
        <f>IFERROR(VLOOKUP(AA$13&amp;$B80,Aux!$B:$M,3,0),"")</f>
        <v/>
      </c>
      <c r="AC80" s="60"/>
      <c r="AD80" s="60"/>
      <c r="AE80" s="61" t="str">
        <f>IFERROR(VLOOKUP(AA$13&amp;$B80,Aux!$B:$M,9,0),"")</f>
        <v/>
      </c>
    </row>
    <row r="81" spans="2:31" x14ac:dyDescent="0.25">
      <c r="B81" s="53">
        <f t="shared" si="0"/>
        <v>14</v>
      </c>
      <c r="C81" s="59"/>
      <c r="D81" s="60"/>
      <c r="E81" s="60"/>
      <c r="F81" s="60"/>
      <c r="G81" s="61"/>
      <c r="K81" s="59"/>
      <c r="L81" s="60"/>
      <c r="M81" s="60"/>
      <c r="N81" s="60"/>
      <c r="O81" s="61"/>
      <c r="S81" s="59"/>
      <c r="T81" s="60"/>
      <c r="U81" s="60"/>
      <c r="V81" s="60"/>
      <c r="W81" s="61"/>
      <c r="AA81" s="59"/>
      <c r="AB81" s="60"/>
      <c r="AC81" s="60"/>
      <c r="AD81" s="60"/>
      <c r="AE81" s="61"/>
    </row>
    <row r="82" spans="2:31" x14ac:dyDescent="0.25">
      <c r="B82" s="53">
        <f t="shared" si="0"/>
        <v>14</v>
      </c>
      <c r="C82" s="59"/>
      <c r="D82" s="15" t="str">
        <f>IF(D80="","","Исполнитель"&amp;": ")</f>
        <v/>
      </c>
      <c r="E82" s="62" t="str">
        <f>IFERROR(VLOOKUP(C$13&amp;$B82,Aux!$B:$M,4,0),"")</f>
        <v/>
      </c>
      <c r="F82" s="62"/>
      <c r="G82" s="63" t="str">
        <f>IFERROR(IF(VLOOKUP(C$13&amp;$B80,Aux!$B:$M,8,0)="Да","✔","🕓"),"")</f>
        <v/>
      </c>
      <c r="K82" s="59"/>
      <c r="L82" s="15" t="str">
        <f>IF(L80="","","Исполнитель"&amp;": ")</f>
        <v/>
      </c>
      <c r="M82" s="62" t="str">
        <f>IFERROR(VLOOKUP(K$13&amp;$B82,Aux!$B:$M,4,0),"")</f>
        <v/>
      </c>
      <c r="N82" s="62"/>
      <c r="O82" s="63" t="str">
        <f>IFERROR(IF(VLOOKUP(K$13&amp;$B80,Aux!$B:$M,8,0)="Да","✔","🕓"),"")</f>
        <v/>
      </c>
      <c r="S82" s="59"/>
      <c r="T82" s="15" t="str">
        <f>IF(T80="","","Исполнитель"&amp;": ")</f>
        <v/>
      </c>
      <c r="U82" s="62" t="str">
        <f>IFERROR(VLOOKUP(S$13&amp;$B82,Aux!$B:$M,4,0),"")</f>
        <v/>
      </c>
      <c r="V82" s="62"/>
      <c r="W82" s="63" t="str">
        <f>IFERROR(IF(VLOOKUP(S$13&amp;$B80,Aux!$B:$M,8,0)="Да","✔","🕓"),"")</f>
        <v/>
      </c>
      <c r="AA82" s="59"/>
      <c r="AB82" s="15" t="str">
        <f>IF(AB80="","","Исполнитель"&amp;": ")</f>
        <v/>
      </c>
      <c r="AC82" s="62" t="str">
        <f>IFERROR(VLOOKUP(AA$13&amp;$B82,Aux!$B:$M,4,0),"")</f>
        <v/>
      </c>
      <c r="AD82" s="62"/>
      <c r="AE82" s="63" t="str">
        <f>IFERROR(IF(VLOOKUP(AA$13&amp;$B80,Aux!$B:$M,8,0)="Да","✔","🕓"),"")</f>
        <v/>
      </c>
    </row>
    <row r="83" spans="2:31" x14ac:dyDescent="0.25">
      <c r="B83" s="53">
        <f t="shared" si="0"/>
        <v>14</v>
      </c>
      <c r="C83" s="59"/>
      <c r="D83" s="16" t="str">
        <f>IF(D80="","","Срок сдачи"&amp;": ")</f>
        <v/>
      </c>
      <c r="E83" s="64" t="str">
        <f>IFERROR(VLOOKUP(C$13&amp;$B83,Aux!$B:$M,6,0),"")</f>
        <v/>
      </c>
      <c r="F83" s="64"/>
      <c r="G83" s="63"/>
      <c r="K83" s="59"/>
      <c r="L83" s="16" t="str">
        <f>IF(L80="","","Срок сдачи"&amp;": ")</f>
        <v/>
      </c>
      <c r="M83" s="64" t="str">
        <f>IFERROR(VLOOKUP(K$13&amp;$B83,Aux!$B:$M,6,0),"")</f>
        <v/>
      </c>
      <c r="N83" s="64"/>
      <c r="O83" s="63"/>
      <c r="S83" s="59"/>
      <c r="T83" s="16" t="str">
        <f>IF(T80="","","Срок сдачи"&amp;": ")</f>
        <v/>
      </c>
      <c r="U83" s="64" t="str">
        <f>IFERROR(VLOOKUP(S$13&amp;$B83,Aux!$B:$M,6,0),"")</f>
        <v/>
      </c>
      <c r="V83" s="64"/>
      <c r="W83" s="63"/>
      <c r="AA83" s="59"/>
      <c r="AB83" s="16" t="str">
        <f>IF(AB80="","","Срок сдачи"&amp;": ")</f>
        <v/>
      </c>
      <c r="AC83" s="64" t="str">
        <f>IFERROR(VLOOKUP(AA$13&amp;$B83,Aux!$B:$M,6,0),"")</f>
        <v/>
      </c>
      <c r="AD83" s="64"/>
      <c r="AE83" s="63"/>
    </row>
    <row r="84" spans="2:31" x14ac:dyDescent="0.25">
      <c r="B84" s="53">
        <f t="shared" si="0"/>
        <v>14</v>
      </c>
      <c r="C84" s="7"/>
      <c r="D84" s="17"/>
      <c r="E84" s="7"/>
      <c r="F84" s="18"/>
      <c r="G84" s="18"/>
      <c r="K84" s="13"/>
      <c r="L84" s="17"/>
      <c r="M84" s="13"/>
      <c r="N84" s="14"/>
      <c r="O84" s="14"/>
      <c r="S84" s="13"/>
      <c r="T84" s="17"/>
      <c r="U84" s="13"/>
      <c r="V84" s="14"/>
      <c r="W84" s="14"/>
      <c r="AA84" s="13"/>
      <c r="AB84" s="17"/>
      <c r="AC84" s="13"/>
      <c r="AD84" s="14"/>
      <c r="AE84" s="30"/>
    </row>
    <row r="85" spans="2:31" x14ac:dyDescent="0.25">
      <c r="B85" s="53">
        <f t="shared" ref="B85:B148" si="1">B80+1</f>
        <v>15</v>
      </c>
      <c r="C85" s="59" t="str">
        <f>IFERROR(VLOOKUP(C$13&amp;$B89,Aux!$B:$M,5,0),"")</f>
        <v/>
      </c>
      <c r="D85" s="60" t="str">
        <f>IFERROR(VLOOKUP(C$13&amp;$B85,Aux!$B:$M,3,0),"")</f>
        <v/>
      </c>
      <c r="E85" s="60"/>
      <c r="F85" s="60"/>
      <c r="G85" s="61" t="str">
        <f>IFERROR(VLOOKUP(C$13&amp;$B85,Aux!$B:$M,9,0),"")</f>
        <v/>
      </c>
      <c r="K85" s="59" t="str">
        <f>IFERROR(VLOOKUP(K$13&amp;$B89,Aux!$B:$M,5,0),"")</f>
        <v/>
      </c>
      <c r="L85" s="60" t="str">
        <f>IFERROR(VLOOKUP(K$13&amp;$B85,Aux!$B:$M,3,0),"")</f>
        <v/>
      </c>
      <c r="M85" s="60"/>
      <c r="N85" s="60"/>
      <c r="O85" s="61" t="str">
        <f>IFERROR(VLOOKUP(K$13&amp;$B85,Aux!$B:$M,9,0),"")</f>
        <v/>
      </c>
      <c r="S85" s="59" t="str">
        <f>IFERROR(VLOOKUP(S$13&amp;$B89,Aux!$B:$M,5,0),"")</f>
        <v/>
      </c>
      <c r="T85" s="60" t="str">
        <f>IFERROR(VLOOKUP(S$13&amp;$B85,Aux!$B:$M,3,0),"")</f>
        <v/>
      </c>
      <c r="U85" s="60"/>
      <c r="V85" s="60"/>
      <c r="W85" s="61" t="str">
        <f>IFERROR(VLOOKUP(S$13&amp;$B85,Aux!$B:$M,9,0),"")</f>
        <v/>
      </c>
      <c r="AA85" s="59" t="str">
        <f>IFERROR(VLOOKUP(AA$13&amp;$B89,Aux!$B:$M,5,0),"")</f>
        <v/>
      </c>
      <c r="AB85" s="60" t="str">
        <f>IFERROR(VLOOKUP(AA$13&amp;$B85,Aux!$B:$M,3,0),"")</f>
        <v/>
      </c>
      <c r="AC85" s="60"/>
      <c r="AD85" s="60"/>
      <c r="AE85" s="61" t="str">
        <f>IFERROR(VLOOKUP(AA$13&amp;$B85,Aux!$B:$M,9,0),"")</f>
        <v/>
      </c>
    </row>
    <row r="86" spans="2:31" x14ac:dyDescent="0.25">
      <c r="B86" s="53">
        <f t="shared" si="1"/>
        <v>15</v>
      </c>
      <c r="C86" s="59"/>
      <c r="D86" s="60"/>
      <c r="E86" s="60"/>
      <c r="F86" s="60"/>
      <c r="G86" s="61"/>
      <c r="K86" s="59"/>
      <c r="L86" s="60"/>
      <c r="M86" s="60"/>
      <c r="N86" s="60"/>
      <c r="O86" s="61"/>
      <c r="S86" s="59"/>
      <c r="T86" s="60"/>
      <c r="U86" s="60"/>
      <c r="V86" s="60"/>
      <c r="W86" s="61"/>
      <c r="AA86" s="59"/>
      <c r="AB86" s="60"/>
      <c r="AC86" s="60"/>
      <c r="AD86" s="60"/>
      <c r="AE86" s="61"/>
    </row>
    <row r="87" spans="2:31" x14ac:dyDescent="0.25">
      <c r="B87" s="53">
        <f t="shared" si="1"/>
        <v>15</v>
      </c>
      <c r="C87" s="59"/>
      <c r="D87" s="15" t="str">
        <f>IF(D85="","","Исполнитель"&amp;": ")</f>
        <v/>
      </c>
      <c r="E87" s="62" t="str">
        <f>IFERROR(VLOOKUP(C$13&amp;$B87,Aux!$B:$M,4,0),"")</f>
        <v/>
      </c>
      <c r="F87" s="62"/>
      <c r="G87" s="63" t="str">
        <f>IFERROR(IF(VLOOKUP(C$13&amp;$B85,Aux!$B:$M,8,0)="Да","✔","🕓"),"")</f>
        <v/>
      </c>
      <c r="K87" s="59"/>
      <c r="L87" s="15" t="str">
        <f>IF(L85="","","Исполнитель"&amp;": ")</f>
        <v/>
      </c>
      <c r="M87" s="62" t="str">
        <f>IFERROR(VLOOKUP(K$13&amp;$B87,Aux!$B:$M,4,0),"")</f>
        <v/>
      </c>
      <c r="N87" s="62"/>
      <c r="O87" s="63" t="str">
        <f>IFERROR(IF(VLOOKUP(K$13&amp;$B85,Aux!$B:$M,8,0)="Да","✔","🕓"),"")</f>
        <v/>
      </c>
      <c r="S87" s="59"/>
      <c r="T87" s="15" t="str">
        <f>IF(T85="","","Исполнитель"&amp;": ")</f>
        <v/>
      </c>
      <c r="U87" s="62" t="str">
        <f>IFERROR(VLOOKUP(S$13&amp;$B87,Aux!$B:$M,4,0),"")</f>
        <v/>
      </c>
      <c r="V87" s="62"/>
      <c r="W87" s="63" t="str">
        <f>IFERROR(IF(VLOOKUP(S$13&amp;$B85,Aux!$B:$M,8,0)="Да","✔","🕓"),"")</f>
        <v/>
      </c>
      <c r="AA87" s="59"/>
      <c r="AB87" s="15" t="str">
        <f>IF(AB85="","","Исполнитель"&amp;": ")</f>
        <v/>
      </c>
      <c r="AC87" s="62" t="str">
        <f>IFERROR(VLOOKUP(AA$13&amp;$B87,Aux!$B:$M,4,0),"")</f>
        <v/>
      </c>
      <c r="AD87" s="62"/>
      <c r="AE87" s="63" t="str">
        <f>IFERROR(IF(VLOOKUP(AA$13&amp;$B85,Aux!$B:$M,8,0)="Да","✔","🕓"),"")</f>
        <v/>
      </c>
    </row>
    <row r="88" spans="2:31" x14ac:dyDescent="0.25">
      <c r="B88" s="53">
        <f t="shared" si="1"/>
        <v>15</v>
      </c>
      <c r="C88" s="59"/>
      <c r="D88" s="16" t="str">
        <f>IF(D85="","","Срок сдачи"&amp;": ")</f>
        <v/>
      </c>
      <c r="E88" s="64" t="str">
        <f>IFERROR(VLOOKUP(C$13&amp;$B88,Aux!$B:$M,6,0),"")</f>
        <v/>
      </c>
      <c r="F88" s="64"/>
      <c r="G88" s="63"/>
      <c r="K88" s="59"/>
      <c r="L88" s="16" t="str">
        <f>IF(L85="","","Срок сдачи"&amp;": ")</f>
        <v/>
      </c>
      <c r="M88" s="64" t="str">
        <f>IFERROR(VLOOKUP(K$13&amp;$B88,Aux!$B:$M,6,0),"")</f>
        <v/>
      </c>
      <c r="N88" s="64"/>
      <c r="O88" s="63"/>
      <c r="S88" s="59"/>
      <c r="T88" s="16" t="str">
        <f>IF(T85="","","Срок сдачи"&amp;": ")</f>
        <v/>
      </c>
      <c r="U88" s="64" t="str">
        <f>IFERROR(VLOOKUP(S$13&amp;$B88,Aux!$B:$M,6,0),"")</f>
        <v/>
      </c>
      <c r="V88" s="64"/>
      <c r="W88" s="63"/>
      <c r="AA88" s="59"/>
      <c r="AB88" s="16" t="str">
        <f>IF(AB85="","","Срок сдачи"&amp;": ")</f>
        <v/>
      </c>
      <c r="AC88" s="64" t="str">
        <f>IFERROR(VLOOKUP(AA$13&amp;$B88,Aux!$B:$M,6,0),"")</f>
        <v/>
      </c>
      <c r="AD88" s="64"/>
      <c r="AE88" s="63"/>
    </row>
    <row r="89" spans="2:31" x14ac:dyDescent="0.25">
      <c r="B89" s="53">
        <f t="shared" si="1"/>
        <v>15</v>
      </c>
      <c r="C89" s="7"/>
      <c r="D89" s="17"/>
      <c r="E89" s="7"/>
      <c r="F89" s="18"/>
      <c r="G89" s="18"/>
      <c r="K89" s="13"/>
      <c r="L89" s="17"/>
      <c r="M89" s="13"/>
      <c r="N89" s="14"/>
      <c r="O89" s="14"/>
      <c r="S89" s="13"/>
      <c r="T89" s="17"/>
      <c r="U89" s="13"/>
      <c r="V89" s="14"/>
      <c r="W89" s="14"/>
      <c r="AA89" s="13"/>
      <c r="AB89" s="17"/>
      <c r="AC89" s="13"/>
      <c r="AD89" s="14"/>
      <c r="AE89" s="30"/>
    </row>
    <row r="90" spans="2:31" x14ac:dyDescent="0.25">
      <c r="B90" s="53">
        <f t="shared" si="1"/>
        <v>16</v>
      </c>
      <c r="C90" s="59" t="str">
        <f>IFERROR(VLOOKUP(C$13&amp;$B94,Aux!$B:$M,5,0),"")</f>
        <v/>
      </c>
      <c r="D90" s="60" t="str">
        <f>IFERROR(VLOOKUP(C$13&amp;$B90,Aux!$B:$M,3,0),"")</f>
        <v/>
      </c>
      <c r="E90" s="60"/>
      <c r="F90" s="60"/>
      <c r="G90" s="61" t="str">
        <f>IFERROR(VLOOKUP(C$13&amp;$B90,Aux!$B:$M,9,0),"")</f>
        <v/>
      </c>
      <c r="K90" s="59" t="str">
        <f>IFERROR(VLOOKUP(K$13&amp;$B94,Aux!$B:$M,5,0),"")</f>
        <v/>
      </c>
      <c r="L90" s="60" t="str">
        <f>IFERROR(VLOOKUP(K$13&amp;$B90,Aux!$B:$M,3,0),"")</f>
        <v/>
      </c>
      <c r="M90" s="60"/>
      <c r="N90" s="60"/>
      <c r="O90" s="61" t="str">
        <f>IFERROR(VLOOKUP(K$13&amp;$B90,Aux!$B:$M,9,0),"")</f>
        <v/>
      </c>
      <c r="S90" s="59" t="str">
        <f>IFERROR(VLOOKUP(S$13&amp;$B94,Aux!$B:$M,5,0),"")</f>
        <v/>
      </c>
      <c r="T90" s="60" t="str">
        <f>IFERROR(VLOOKUP(S$13&amp;$B90,Aux!$B:$M,3,0),"")</f>
        <v/>
      </c>
      <c r="U90" s="60"/>
      <c r="V90" s="60"/>
      <c r="W90" s="61" t="str">
        <f>IFERROR(VLOOKUP(S$13&amp;$B90,Aux!$B:$M,9,0),"")</f>
        <v/>
      </c>
      <c r="AA90" s="59" t="str">
        <f>IFERROR(VLOOKUP(AA$13&amp;$B94,Aux!$B:$M,5,0),"")</f>
        <v/>
      </c>
      <c r="AB90" s="60" t="str">
        <f>IFERROR(VLOOKUP(AA$13&amp;$B90,Aux!$B:$M,3,0),"")</f>
        <v/>
      </c>
      <c r="AC90" s="60"/>
      <c r="AD90" s="60"/>
      <c r="AE90" s="61" t="str">
        <f>IFERROR(VLOOKUP(AA$13&amp;$B90,Aux!$B:$M,9,0),"")</f>
        <v/>
      </c>
    </row>
    <row r="91" spans="2:31" x14ac:dyDescent="0.25">
      <c r="B91" s="53">
        <f t="shared" si="1"/>
        <v>16</v>
      </c>
      <c r="C91" s="59"/>
      <c r="D91" s="60"/>
      <c r="E91" s="60"/>
      <c r="F91" s="60"/>
      <c r="G91" s="61"/>
      <c r="K91" s="59"/>
      <c r="L91" s="60"/>
      <c r="M91" s="60"/>
      <c r="N91" s="60"/>
      <c r="O91" s="61"/>
      <c r="S91" s="59"/>
      <c r="T91" s="60"/>
      <c r="U91" s="60"/>
      <c r="V91" s="60"/>
      <c r="W91" s="61"/>
      <c r="AA91" s="59"/>
      <c r="AB91" s="60"/>
      <c r="AC91" s="60"/>
      <c r="AD91" s="60"/>
      <c r="AE91" s="61"/>
    </row>
    <row r="92" spans="2:31" x14ac:dyDescent="0.25">
      <c r="B92" s="53">
        <f t="shared" si="1"/>
        <v>16</v>
      </c>
      <c r="C92" s="59"/>
      <c r="D92" s="15" t="str">
        <f>IF(D90="","","Исполнитель"&amp;": ")</f>
        <v/>
      </c>
      <c r="E92" s="62" t="str">
        <f>IFERROR(VLOOKUP(C$13&amp;$B92,Aux!$B:$M,4,0),"")</f>
        <v/>
      </c>
      <c r="F92" s="62"/>
      <c r="G92" s="63" t="str">
        <f>IFERROR(IF(VLOOKUP(C$13&amp;$B90,Aux!$B:$M,8,0)="Да","✔","🕓"),"")</f>
        <v/>
      </c>
      <c r="K92" s="59"/>
      <c r="L92" s="15" t="str">
        <f>IF(L90="","","Исполнитель"&amp;": ")</f>
        <v/>
      </c>
      <c r="M92" s="62" t="str">
        <f>IFERROR(VLOOKUP(K$13&amp;$B92,Aux!$B:$M,4,0),"")</f>
        <v/>
      </c>
      <c r="N92" s="62"/>
      <c r="O92" s="63" t="str">
        <f>IFERROR(IF(VLOOKUP(K$13&amp;$B90,Aux!$B:$M,8,0)="Да","✔","🕓"),"")</f>
        <v/>
      </c>
      <c r="S92" s="59"/>
      <c r="T92" s="15" t="str">
        <f>IF(T90="","","Исполнитель"&amp;": ")</f>
        <v/>
      </c>
      <c r="U92" s="62" t="str">
        <f>IFERROR(VLOOKUP(S$13&amp;$B92,Aux!$B:$M,4,0),"")</f>
        <v/>
      </c>
      <c r="V92" s="62"/>
      <c r="W92" s="63" t="str">
        <f>IFERROR(IF(VLOOKUP(S$13&amp;$B90,Aux!$B:$M,8,0)="Да","✔","🕓"),"")</f>
        <v/>
      </c>
      <c r="AA92" s="59"/>
      <c r="AB92" s="15" t="str">
        <f>IF(AB90="","","Исполнитель"&amp;": ")</f>
        <v/>
      </c>
      <c r="AC92" s="62" t="str">
        <f>IFERROR(VLOOKUP(AA$13&amp;$B92,Aux!$B:$M,4,0),"")</f>
        <v/>
      </c>
      <c r="AD92" s="62"/>
      <c r="AE92" s="63" t="str">
        <f>IFERROR(IF(VLOOKUP(AA$13&amp;$B90,Aux!$B:$M,8,0)="Да","✔","🕓"),"")</f>
        <v/>
      </c>
    </row>
    <row r="93" spans="2:31" x14ac:dyDescent="0.25">
      <c r="B93" s="53">
        <f t="shared" si="1"/>
        <v>16</v>
      </c>
      <c r="C93" s="59"/>
      <c r="D93" s="16" t="str">
        <f>IF(D90="","","Срок сдачи"&amp;": ")</f>
        <v/>
      </c>
      <c r="E93" s="64" t="str">
        <f>IFERROR(VLOOKUP(C$13&amp;$B93,Aux!$B:$M,6,0),"")</f>
        <v/>
      </c>
      <c r="F93" s="64"/>
      <c r="G93" s="63"/>
      <c r="K93" s="59"/>
      <c r="L93" s="16" t="str">
        <f>IF(L90="","","Срок сдачи"&amp;": ")</f>
        <v/>
      </c>
      <c r="M93" s="64" t="str">
        <f>IFERROR(VLOOKUP(K$13&amp;$B93,Aux!$B:$M,6,0),"")</f>
        <v/>
      </c>
      <c r="N93" s="64"/>
      <c r="O93" s="63"/>
      <c r="S93" s="59"/>
      <c r="T93" s="16" t="str">
        <f>IF(T90="","","Срок сдачи"&amp;": ")</f>
        <v/>
      </c>
      <c r="U93" s="64" t="str">
        <f>IFERROR(VLOOKUP(S$13&amp;$B93,Aux!$B:$M,6,0),"")</f>
        <v/>
      </c>
      <c r="V93" s="64"/>
      <c r="W93" s="63"/>
      <c r="AA93" s="59"/>
      <c r="AB93" s="16" t="str">
        <f>IF(AB90="","","Срок сдачи"&amp;": ")</f>
        <v/>
      </c>
      <c r="AC93" s="64" t="str">
        <f>IFERROR(VLOOKUP(AA$13&amp;$B93,Aux!$B:$M,6,0),"")</f>
        <v/>
      </c>
      <c r="AD93" s="64"/>
      <c r="AE93" s="63"/>
    </row>
    <row r="94" spans="2:31" x14ac:dyDescent="0.25">
      <c r="B94" s="53">
        <f t="shared" si="1"/>
        <v>16</v>
      </c>
      <c r="C94" s="7"/>
      <c r="D94" s="17"/>
      <c r="E94" s="7"/>
      <c r="F94" s="18"/>
      <c r="G94" s="18"/>
      <c r="K94" s="13"/>
      <c r="L94" s="17"/>
      <c r="M94" s="13"/>
      <c r="N94" s="14"/>
      <c r="O94" s="14"/>
      <c r="S94" s="13"/>
      <c r="T94" s="17"/>
      <c r="U94" s="13"/>
      <c r="V94" s="14"/>
      <c r="W94" s="14"/>
      <c r="AA94" s="13"/>
      <c r="AB94" s="17"/>
      <c r="AC94" s="13"/>
      <c r="AD94" s="14"/>
      <c r="AE94" s="30"/>
    </row>
    <row r="95" spans="2:31" x14ac:dyDescent="0.25">
      <c r="B95" s="53">
        <f t="shared" si="1"/>
        <v>17</v>
      </c>
      <c r="C95" s="59" t="str">
        <f>IFERROR(VLOOKUP(C$13&amp;$B99,Aux!$B:$M,5,0),"")</f>
        <v/>
      </c>
      <c r="D95" s="60" t="str">
        <f>IFERROR(VLOOKUP(C$13&amp;$B95,Aux!$B:$M,3,0),"")</f>
        <v/>
      </c>
      <c r="E95" s="60"/>
      <c r="F95" s="60"/>
      <c r="G95" s="61" t="str">
        <f>IFERROR(VLOOKUP(C$13&amp;$B95,Aux!$B:$M,9,0),"")</f>
        <v/>
      </c>
      <c r="K95" s="59" t="str">
        <f>IFERROR(VLOOKUP(K$13&amp;$B99,Aux!$B:$M,5,0),"")</f>
        <v/>
      </c>
      <c r="L95" s="60" t="str">
        <f>IFERROR(VLOOKUP(K$13&amp;$B95,Aux!$B:$M,3,0),"")</f>
        <v/>
      </c>
      <c r="M95" s="60"/>
      <c r="N95" s="60"/>
      <c r="O95" s="61" t="str">
        <f>IFERROR(VLOOKUP(K$13&amp;$B95,Aux!$B:$M,9,0),"")</f>
        <v/>
      </c>
      <c r="S95" s="59" t="str">
        <f>IFERROR(VLOOKUP(S$13&amp;$B99,Aux!$B:$M,5,0),"")</f>
        <v/>
      </c>
      <c r="T95" s="60" t="str">
        <f>IFERROR(VLOOKUP(S$13&amp;$B95,Aux!$B:$M,3,0),"")</f>
        <v/>
      </c>
      <c r="U95" s="60"/>
      <c r="V95" s="60"/>
      <c r="W95" s="61" t="str">
        <f>IFERROR(VLOOKUP(S$13&amp;$B95,Aux!$B:$M,9,0),"")</f>
        <v/>
      </c>
      <c r="AA95" s="59" t="str">
        <f>IFERROR(VLOOKUP(AA$13&amp;$B99,Aux!$B:$M,5,0),"")</f>
        <v/>
      </c>
      <c r="AB95" s="60" t="str">
        <f>IFERROR(VLOOKUP(AA$13&amp;$B95,Aux!$B:$M,3,0),"")</f>
        <v/>
      </c>
      <c r="AC95" s="60"/>
      <c r="AD95" s="60"/>
      <c r="AE95" s="61" t="str">
        <f>IFERROR(VLOOKUP(AA$13&amp;$B95,Aux!$B:$M,9,0),"")</f>
        <v/>
      </c>
    </row>
    <row r="96" spans="2:31" x14ac:dyDescent="0.25">
      <c r="B96" s="53">
        <f t="shared" si="1"/>
        <v>17</v>
      </c>
      <c r="C96" s="59"/>
      <c r="D96" s="60"/>
      <c r="E96" s="60"/>
      <c r="F96" s="60"/>
      <c r="G96" s="61"/>
      <c r="K96" s="59"/>
      <c r="L96" s="60"/>
      <c r="M96" s="60"/>
      <c r="N96" s="60"/>
      <c r="O96" s="61"/>
      <c r="S96" s="59"/>
      <c r="T96" s="60"/>
      <c r="U96" s="60"/>
      <c r="V96" s="60"/>
      <c r="W96" s="61"/>
      <c r="AA96" s="59"/>
      <c r="AB96" s="60"/>
      <c r="AC96" s="60"/>
      <c r="AD96" s="60"/>
      <c r="AE96" s="61"/>
    </row>
    <row r="97" spans="2:31" x14ac:dyDescent="0.25">
      <c r="B97" s="53">
        <f t="shared" si="1"/>
        <v>17</v>
      </c>
      <c r="C97" s="59"/>
      <c r="D97" s="15" t="str">
        <f>IF(D95="","","Исполнитель"&amp;": ")</f>
        <v/>
      </c>
      <c r="E97" s="62" t="str">
        <f>IFERROR(VLOOKUP(C$13&amp;$B97,Aux!$B:$M,4,0),"")</f>
        <v/>
      </c>
      <c r="F97" s="62"/>
      <c r="G97" s="63" t="str">
        <f>IFERROR(IF(VLOOKUP(C$13&amp;$B95,Aux!$B:$M,8,0)="Да","✔","🕓"),"")</f>
        <v/>
      </c>
      <c r="K97" s="59"/>
      <c r="L97" s="15" t="str">
        <f>IF(L95="","","Исполнитель"&amp;": ")</f>
        <v/>
      </c>
      <c r="M97" s="62" t="str">
        <f>IFERROR(VLOOKUP(K$13&amp;$B97,Aux!$B:$M,4,0),"")</f>
        <v/>
      </c>
      <c r="N97" s="62"/>
      <c r="O97" s="63" t="str">
        <f>IFERROR(IF(VLOOKUP(K$13&amp;$B95,Aux!$B:$M,8,0)="Да","✔","🕓"),"")</f>
        <v/>
      </c>
      <c r="S97" s="59"/>
      <c r="T97" s="15" t="str">
        <f>IF(T95="","","Исполнитель"&amp;": ")</f>
        <v/>
      </c>
      <c r="U97" s="62" t="str">
        <f>IFERROR(VLOOKUP(S$13&amp;$B97,Aux!$B:$M,4,0),"")</f>
        <v/>
      </c>
      <c r="V97" s="62"/>
      <c r="W97" s="63" t="str">
        <f>IFERROR(IF(VLOOKUP(S$13&amp;$B95,Aux!$B:$M,8,0)="Да","✔","🕓"),"")</f>
        <v/>
      </c>
      <c r="AA97" s="59"/>
      <c r="AB97" s="15" t="str">
        <f>IF(AB95="","","Исполнитель"&amp;": ")</f>
        <v/>
      </c>
      <c r="AC97" s="62" t="str">
        <f>IFERROR(VLOOKUP(AA$13&amp;$B97,Aux!$B:$M,4,0),"")</f>
        <v/>
      </c>
      <c r="AD97" s="62"/>
      <c r="AE97" s="63" t="str">
        <f>IFERROR(IF(VLOOKUP(AA$13&amp;$B95,Aux!$B:$M,8,0)="Да","✔","🕓"),"")</f>
        <v/>
      </c>
    </row>
    <row r="98" spans="2:31" x14ac:dyDescent="0.25">
      <c r="B98" s="53">
        <f t="shared" si="1"/>
        <v>17</v>
      </c>
      <c r="C98" s="59"/>
      <c r="D98" s="16" t="str">
        <f>IF(D95="","","Срок сдачи"&amp;": ")</f>
        <v/>
      </c>
      <c r="E98" s="64" t="str">
        <f>IFERROR(VLOOKUP(C$13&amp;$B98,Aux!$B:$M,6,0),"")</f>
        <v/>
      </c>
      <c r="F98" s="64"/>
      <c r="G98" s="63"/>
      <c r="K98" s="59"/>
      <c r="L98" s="16" t="str">
        <f>IF(L95="","","Срок сдачи"&amp;": ")</f>
        <v/>
      </c>
      <c r="M98" s="64" t="str">
        <f>IFERROR(VLOOKUP(K$13&amp;$B98,Aux!$B:$M,6,0),"")</f>
        <v/>
      </c>
      <c r="N98" s="64"/>
      <c r="O98" s="63"/>
      <c r="S98" s="59"/>
      <c r="T98" s="16" t="str">
        <f>IF(T95="","","Срок сдачи"&amp;": ")</f>
        <v/>
      </c>
      <c r="U98" s="64" t="str">
        <f>IFERROR(VLOOKUP(S$13&amp;$B98,Aux!$B:$M,6,0),"")</f>
        <v/>
      </c>
      <c r="V98" s="64"/>
      <c r="W98" s="63"/>
      <c r="AA98" s="59"/>
      <c r="AB98" s="16" t="str">
        <f>IF(AB95="","","Срок сдачи"&amp;": ")</f>
        <v/>
      </c>
      <c r="AC98" s="64" t="str">
        <f>IFERROR(VLOOKUP(AA$13&amp;$B98,Aux!$B:$M,6,0),"")</f>
        <v/>
      </c>
      <c r="AD98" s="64"/>
      <c r="AE98" s="63"/>
    </row>
    <row r="99" spans="2:31" x14ac:dyDescent="0.25">
      <c r="B99" s="53">
        <f t="shared" si="1"/>
        <v>17</v>
      </c>
      <c r="C99" s="7"/>
      <c r="D99" s="17"/>
      <c r="E99" s="7"/>
      <c r="F99" s="18"/>
      <c r="G99" s="18"/>
      <c r="K99" s="13"/>
      <c r="L99" s="17"/>
      <c r="M99" s="13"/>
      <c r="N99" s="14"/>
      <c r="O99" s="14"/>
      <c r="S99" s="13"/>
      <c r="T99" s="17"/>
      <c r="U99" s="13"/>
      <c r="V99" s="14"/>
      <c r="W99" s="14"/>
      <c r="AA99" s="13"/>
      <c r="AB99" s="17"/>
      <c r="AC99" s="13"/>
      <c r="AD99" s="14"/>
      <c r="AE99" s="30"/>
    </row>
    <row r="100" spans="2:31" x14ac:dyDescent="0.25">
      <c r="B100" s="53">
        <f t="shared" si="1"/>
        <v>18</v>
      </c>
      <c r="C100" s="59" t="str">
        <f>IFERROR(VLOOKUP(C$13&amp;$B104,Aux!$B:$M,5,0),"")</f>
        <v/>
      </c>
      <c r="D100" s="60" t="str">
        <f>IFERROR(VLOOKUP(C$13&amp;$B100,Aux!$B:$M,3,0),"")</f>
        <v/>
      </c>
      <c r="E100" s="60"/>
      <c r="F100" s="60"/>
      <c r="G100" s="61" t="str">
        <f>IFERROR(VLOOKUP(C$13&amp;$B100,Aux!$B:$M,9,0),"")</f>
        <v/>
      </c>
      <c r="K100" s="59" t="str">
        <f>IFERROR(VLOOKUP(K$13&amp;$B104,Aux!$B:$M,5,0),"")</f>
        <v/>
      </c>
      <c r="L100" s="60" t="str">
        <f>IFERROR(VLOOKUP(K$13&amp;$B100,Aux!$B:$M,3,0),"")</f>
        <v/>
      </c>
      <c r="M100" s="60"/>
      <c r="N100" s="60"/>
      <c r="O100" s="61" t="str">
        <f>IFERROR(VLOOKUP(K$13&amp;$B100,Aux!$B:$M,9,0),"")</f>
        <v/>
      </c>
      <c r="S100" s="59" t="str">
        <f>IFERROR(VLOOKUP(S$13&amp;$B104,Aux!$B:$M,5,0),"")</f>
        <v/>
      </c>
      <c r="T100" s="60" t="str">
        <f>IFERROR(VLOOKUP(S$13&amp;$B100,Aux!$B:$M,3,0),"")</f>
        <v/>
      </c>
      <c r="U100" s="60"/>
      <c r="V100" s="60"/>
      <c r="W100" s="61" t="str">
        <f>IFERROR(VLOOKUP(S$13&amp;$B100,Aux!$B:$M,9,0),"")</f>
        <v/>
      </c>
      <c r="AA100" s="59" t="str">
        <f>IFERROR(VLOOKUP(AA$13&amp;$B104,Aux!$B:$M,5,0),"")</f>
        <v/>
      </c>
      <c r="AB100" s="60" t="str">
        <f>IFERROR(VLOOKUP(AA$13&amp;$B100,Aux!$B:$M,3,0),"")</f>
        <v/>
      </c>
      <c r="AC100" s="60"/>
      <c r="AD100" s="60"/>
      <c r="AE100" s="61" t="str">
        <f>IFERROR(VLOOKUP(AA$13&amp;$B100,Aux!$B:$M,9,0),"")</f>
        <v/>
      </c>
    </row>
    <row r="101" spans="2:31" x14ac:dyDescent="0.25">
      <c r="B101" s="53">
        <f t="shared" si="1"/>
        <v>18</v>
      </c>
      <c r="C101" s="59"/>
      <c r="D101" s="60"/>
      <c r="E101" s="60"/>
      <c r="F101" s="60"/>
      <c r="G101" s="61"/>
      <c r="K101" s="59"/>
      <c r="L101" s="60"/>
      <c r="M101" s="60"/>
      <c r="N101" s="60"/>
      <c r="O101" s="61"/>
      <c r="S101" s="59"/>
      <c r="T101" s="60"/>
      <c r="U101" s="60"/>
      <c r="V101" s="60"/>
      <c r="W101" s="61"/>
      <c r="AA101" s="59"/>
      <c r="AB101" s="60"/>
      <c r="AC101" s="60"/>
      <c r="AD101" s="60"/>
      <c r="AE101" s="61"/>
    </row>
    <row r="102" spans="2:31" x14ac:dyDescent="0.25">
      <c r="B102" s="53">
        <f t="shared" si="1"/>
        <v>18</v>
      </c>
      <c r="C102" s="59"/>
      <c r="D102" s="15" t="str">
        <f>IF(D100="","","Исполнитель"&amp;": ")</f>
        <v/>
      </c>
      <c r="E102" s="62" t="str">
        <f>IFERROR(VLOOKUP(C$13&amp;$B102,Aux!$B:$M,4,0),"")</f>
        <v/>
      </c>
      <c r="F102" s="62"/>
      <c r="G102" s="63" t="str">
        <f>IFERROR(IF(VLOOKUP(C$13&amp;$B100,Aux!$B:$M,8,0)="Да","✔","🕓"),"")</f>
        <v/>
      </c>
      <c r="K102" s="59"/>
      <c r="L102" s="15" t="str">
        <f>IF(L100="","","Исполнитель"&amp;": ")</f>
        <v/>
      </c>
      <c r="M102" s="62" t="str">
        <f>IFERROR(VLOOKUP(K$13&amp;$B102,Aux!$B:$M,4,0),"")</f>
        <v/>
      </c>
      <c r="N102" s="62"/>
      <c r="O102" s="63" t="str">
        <f>IFERROR(IF(VLOOKUP(K$13&amp;$B100,Aux!$B:$M,8,0)="Да","✔","🕓"),"")</f>
        <v/>
      </c>
      <c r="S102" s="59"/>
      <c r="T102" s="15" t="str">
        <f>IF(T100="","","Исполнитель"&amp;": ")</f>
        <v/>
      </c>
      <c r="U102" s="62" t="str">
        <f>IFERROR(VLOOKUP(S$13&amp;$B102,Aux!$B:$M,4,0),"")</f>
        <v/>
      </c>
      <c r="V102" s="62"/>
      <c r="W102" s="63" t="str">
        <f>IFERROR(IF(VLOOKUP(S$13&amp;$B100,Aux!$B:$M,8,0)="Да","✔","🕓"),"")</f>
        <v/>
      </c>
      <c r="AA102" s="59"/>
      <c r="AB102" s="15" t="str">
        <f>IF(AB100="","","Исполнитель"&amp;": ")</f>
        <v/>
      </c>
      <c r="AC102" s="62" t="str">
        <f>IFERROR(VLOOKUP(AA$13&amp;$B102,Aux!$B:$M,4,0),"")</f>
        <v/>
      </c>
      <c r="AD102" s="62"/>
      <c r="AE102" s="63" t="str">
        <f>IFERROR(IF(VLOOKUP(AA$13&amp;$B100,Aux!$B:$M,8,0)="Да","✔","🕓"),"")</f>
        <v/>
      </c>
    </row>
    <row r="103" spans="2:31" x14ac:dyDescent="0.25">
      <c r="B103" s="53">
        <f t="shared" si="1"/>
        <v>18</v>
      </c>
      <c r="C103" s="59"/>
      <c r="D103" s="16" t="str">
        <f>IF(D100="","","Срок сдачи"&amp;": ")</f>
        <v/>
      </c>
      <c r="E103" s="64" t="str">
        <f>IFERROR(VLOOKUP(C$13&amp;$B103,Aux!$B:$M,6,0),"")</f>
        <v/>
      </c>
      <c r="F103" s="64"/>
      <c r="G103" s="63"/>
      <c r="K103" s="59"/>
      <c r="L103" s="16" t="str">
        <f>IF(L100="","","Срок сдачи"&amp;": ")</f>
        <v/>
      </c>
      <c r="M103" s="64" t="str">
        <f>IFERROR(VLOOKUP(K$13&amp;$B103,Aux!$B:$M,6,0),"")</f>
        <v/>
      </c>
      <c r="N103" s="64"/>
      <c r="O103" s="63"/>
      <c r="S103" s="59"/>
      <c r="T103" s="16" t="str">
        <f>IF(T100="","","Срок сдачи"&amp;": ")</f>
        <v/>
      </c>
      <c r="U103" s="64" t="str">
        <f>IFERROR(VLOOKUP(S$13&amp;$B103,Aux!$B:$M,6,0),"")</f>
        <v/>
      </c>
      <c r="V103" s="64"/>
      <c r="W103" s="63"/>
      <c r="AA103" s="59"/>
      <c r="AB103" s="16" t="str">
        <f>IF(AB100="","","Срок сдачи"&amp;": ")</f>
        <v/>
      </c>
      <c r="AC103" s="64" t="str">
        <f>IFERROR(VLOOKUP(AA$13&amp;$B103,Aux!$B:$M,6,0),"")</f>
        <v/>
      </c>
      <c r="AD103" s="64"/>
      <c r="AE103" s="63"/>
    </row>
    <row r="104" spans="2:31" x14ac:dyDescent="0.25">
      <c r="B104" s="53">
        <f t="shared" si="1"/>
        <v>18</v>
      </c>
      <c r="C104" s="7"/>
      <c r="D104" s="17"/>
      <c r="E104" s="7"/>
      <c r="F104" s="18"/>
      <c r="G104" s="18"/>
      <c r="K104" s="13"/>
      <c r="L104" s="17"/>
      <c r="M104" s="13"/>
      <c r="N104" s="14"/>
      <c r="O104" s="14"/>
      <c r="S104" s="13"/>
      <c r="T104" s="17"/>
      <c r="U104" s="13"/>
      <c r="V104" s="14"/>
      <c r="W104" s="14"/>
      <c r="AA104" s="13"/>
      <c r="AB104" s="17"/>
      <c r="AC104" s="13"/>
      <c r="AD104" s="14"/>
      <c r="AE104" s="30"/>
    </row>
    <row r="105" spans="2:31" x14ac:dyDescent="0.25">
      <c r="B105" s="53">
        <f t="shared" si="1"/>
        <v>19</v>
      </c>
      <c r="C105" s="59" t="str">
        <f>IFERROR(VLOOKUP(C$13&amp;$B109,Aux!$B:$M,5,0),"")</f>
        <v/>
      </c>
      <c r="D105" s="60" t="str">
        <f>IFERROR(VLOOKUP(C$13&amp;$B105,Aux!$B:$M,3,0),"")</f>
        <v/>
      </c>
      <c r="E105" s="60"/>
      <c r="F105" s="60"/>
      <c r="G105" s="61" t="str">
        <f>IFERROR(VLOOKUP(C$13&amp;$B105,Aux!$B:$M,9,0),"")</f>
        <v/>
      </c>
      <c r="K105" s="59" t="str">
        <f>IFERROR(VLOOKUP(K$13&amp;$B109,Aux!$B:$M,5,0),"")</f>
        <v/>
      </c>
      <c r="L105" s="60" t="str">
        <f>IFERROR(VLOOKUP(K$13&amp;$B105,Aux!$B:$M,3,0),"")</f>
        <v/>
      </c>
      <c r="M105" s="60"/>
      <c r="N105" s="60"/>
      <c r="O105" s="61" t="str">
        <f>IFERROR(VLOOKUP(K$13&amp;$B105,Aux!$B:$M,9,0),"")</f>
        <v/>
      </c>
      <c r="S105" s="59" t="str">
        <f>IFERROR(VLOOKUP(S$13&amp;$B109,Aux!$B:$M,5,0),"")</f>
        <v/>
      </c>
      <c r="T105" s="60" t="str">
        <f>IFERROR(VLOOKUP(S$13&amp;$B105,Aux!$B:$M,3,0),"")</f>
        <v/>
      </c>
      <c r="U105" s="60"/>
      <c r="V105" s="60"/>
      <c r="W105" s="61" t="str">
        <f>IFERROR(VLOOKUP(S$13&amp;$B105,Aux!$B:$M,9,0),"")</f>
        <v/>
      </c>
      <c r="AA105" s="59" t="str">
        <f>IFERROR(VLOOKUP(AA$13&amp;$B109,Aux!$B:$M,5,0),"")</f>
        <v/>
      </c>
      <c r="AB105" s="60" t="str">
        <f>IFERROR(VLOOKUP(AA$13&amp;$B105,Aux!$B:$M,3,0),"")</f>
        <v/>
      </c>
      <c r="AC105" s="60"/>
      <c r="AD105" s="60"/>
      <c r="AE105" s="61" t="str">
        <f>IFERROR(VLOOKUP(AA$13&amp;$B105,Aux!$B:$M,9,0),"")</f>
        <v/>
      </c>
    </row>
    <row r="106" spans="2:31" x14ac:dyDescent="0.25">
      <c r="B106" s="53">
        <f t="shared" si="1"/>
        <v>19</v>
      </c>
      <c r="C106" s="59"/>
      <c r="D106" s="60"/>
      <c r="E106" s="60"/>
      <c r="F106" s="60"/>
      <c r="G106" s="61"/>
      <c r="K106" s="59"/>
      <c r="L106" s="60"/>
      <c r="M106" s="60"/>
      <c r="N106" s="60"/>
      <c r="O106" s="61"/>
      <c r="S106" s="59"/>
      <c r="T106" s="60"/>
      <c r="U106" s="60"/>
      <c r="V106" s="60"/>
      <c r="W106" s="61"/>
      <c r="AA106" s="59"/>
      <c r="AB106" s="60"/>
      <c r="AC106" s="60"/>
      <c r="AD106" s="60"/>
      <c r="AE106" s="61"/>
    </row>
    <row r="107" spans="2:31" x14ac:dyDescent="0.25">
      <c r="B107" s="53">
        <f t="shared" si="1"/>
        <v>19</v>
      </c>
      <c r="C107" s="59"/>
      <c r="D107" s="15" t="str">
        <f>IF(D105="","","Исполнитель"&amp;": ")</f>
        <v/>
      </c>
      <c r="E107" s="62" t="str">
        <f>IFERROR(VLOOKUP(C$13&amp;$B107,Aux!$B:$M,4,0),"")</f>
        <v/>
      </c>
      <c r="F107" s="62"/>
      <c r="G107" s="63" t="str">
        <f>IFERROR(IF(VLOOKUP(C$13&amp;$B105,Aux!$B:$M,8,0)="Да","✔","🕓"),"")</f>
        <v/>
      </c>
      <c r="K107" s="59"/>
      <c r="L107" s="15" t="str">
        <f>IF(L105="","","Исполнитель"&amp;": ")</f>
        <v/>
      </c>
      <c r="M107" s="62" t="str">
        <f>IFERROR(VLOOKUP(K$13&amp;$B107,Aux!$B:$M,4,0),"")</f>
        <v/>
      </c>
      <c r="N107" s="62"/>
      <c r="O107" s="63" t="str">
        <f>IFERROR(IF(VLOOKUP(K$13&amp;$B105,Aux!$B:$M,8,0)="Да","✔","🕓"),"")</f>
        <v/>
      </c>
      <c r="S107" s="59"/>
      <c r="T107" s="15" t="str">
        <f>IF(T105="","","Исполнитель"&amp;": ")</f>
        <v/>
      </c>
      <c r="U107" s="62" t="str">
        <f>IFERROR(VLOOKUP(S$13&amp;$B107,Aux!$B:$M,4,0),"")</f>
        <v/>
      </c>
      <c r="V107" s="62"/>
      <c r="W107" s="63" t="str">
        <f>IFERROR(IF(VLOOKUP(S$13&amp;$B105,Aux!$B:$M,8,0)="Да","✔","🕓"),"")</f>
        <v/>
      </c>
      <c r="AA107" s="59"/>
      <c r="AB107" s="15" t="str">
        <f>IF(AB105="","","Исполнитель"&amp;": ")</f>
        <v/>
      </c>
      <c r="AC107" s="62" t="str">
        <f>IFERROR(VLOOKUP(AA$13&amp;$B107,Aux!$B:$M,4,0),"")</f>
        <v/>
      </c>
      <c r="AD107" s="62"/>
      <c r="AE107" s="63" t="str">
        <f>IFERROR(IF(VLOOKUP(AA$13&amp;$B105,Aux!$B:$M,8,0)="Да","✔","🕓"),"")</f>
        <v/>
      </c>
    </row>
    <row r="108" spans="2:31" x14ac:dyDescent="0.25">
      <c r="B108" s="53">
        <f t="shared" si="1"/>
        <v>19</v>
      </c>
      <c r="C108" s="59"/>
      <c r="D108" s="16" t="str">
        <f>IF(D105="","","Срок сдачи"&amp;": ")</f>
        <v/>
      </c>
      <c r="E108" s="64" t="str">
        <f>IFERROR(VLOOKUP(C$13&amp;$B108,Aux!$B:$M,6,0),"")</f>
        <v/>
      </c>
      <c r="F108" s="64"/>
      <c r="G108" s="63"/>
      <c r="K108" s="59"/>
      <c r="L108" s="16" t="str">
        <f>IF(L105="","","Срок сдачи"&amp;": ")</f>
        <v/>
      </c>
      <c r="M108" s="64" t="str">
        <f>IFERROR(VLOOKUP(K$13&amp;$B108,Aux!$B:$M,6,0),"")</f>
        <v/>
      </c>
      <c r="N108" s="64"/>
      <c r="O108" s="63"/>
      <c r="S108" s="59"/>
      <c r="T108" s="16" t="str">
        <f>IF(T105="","","Срок сдачи"&amp;": ")</f>
        <v/>
      </c>
      <c r="U108" s="64" t="str">
        <f>IFERROR(VLOOKUP(S$13&amp;$B108,Aux!$B:$M,6,0),"")</f>
        <v/>
      </c>
      <c r="V108" s="64"/>
      <c r="W108" s="63"/>
      <c r="AA108" s="59"/>
      <c r="AB108" s="16" t="str">
        <f>IF(AB105="","","Срок сдачи"&amp;": ")</f>
        <v/>
      </c>
      <c r="AC108" s="64" t="str">
        <f>IFERROR(VLOOKUP(AA$13&amp;$B108,Aux!$B:$M,6,0),"")</f>
        <v/>
      </c>
      <c r="AD108" s="64"/>
      <c r="AE108" s="63"/>
    </row>
    <row r="109" spans="2:31" x14ac:dyDescent="0.25">
      <c r="B109" s="53">
        <f t="shared" si="1"/>
        <v>19</v>
      </c>
      <c r="C109" s="7"/>
      <c r="D109" s="17"/>
      <c r="E109" s="7"/>
      <c r="F109" s="18"/>
      <c r="G109" s="18"/>
      <c r="K109" s="13"/>
      <c r="L109" s="17"/>
      <c r="M109" s="13"/>
      <c r="N109" s="14"/>
      <c r="O109" s="14"/>
      <c r="S109" s="13"/>
      <c r="T109" s="17"/>
      <c r="U109" s="13"/>
      <c r="V109" s="14"/>
      <c r="W109" s="14"/>
      <c r="AA109" s="13"/>
      <c r="AB109" s="17"/>
      <c r="AC109" s="13"/>
      <c r="AD109" s="14"/>
      <c r="AE109" s="30"/>
    </row>
    <row r="110" spans="2:31" x14ac:dyDescent="0.25">
      <c r="B110" s="53">
        <f t="shared" si="1"/>
        <v>20</v>
      </c>
      <c r="C110" s="59" t="str">
        <f>IFERROR(VLOOKUP(C$13&amp;$B114,Aux!$B:$M,5,0),"")</f>
        <v/>
      </c>
      <c r="D110" s="60" t="str">
        <f>IFERROR(VLOOKUP(C$13&amp;$B110,Aux!$B:$M,3,0),"")</f>
        <v/>
      </c>
      <c r="E110" s="60"/>
      <c r="F110" s="60"/>
      <c r="G110" s="61" t="str">
        <f>IFERROR(VLOOKUP(C$13&amp;$B110,Aux!$B:$M,9,0),"")</f>
        <v/>
      </c>
      <c r="K110" s="59" t="str">
        <f>IFERROR(VLOOKUP(K$13&amp;$B114,Aux!$B:$M,5,0),"")</f>
        <v/>
      </c>
      <c r="L110" s="60" t="str">
        <f>IFERROR(VLOOKUP(K$13&amp;$B110,Aux!$B:$M,3,0),"")</f>
        <v/>
      </c>
      <c r="M110" s="60"/>
      <c r="N110" s="60"/>
      <c r="O110" s="61" t="str">
        <f>IFERROR(VLOOKUP(K$13&amp;$B110,Aux!$B:$M,9,0),"")</f>
        <v/>
      </c>
      <c r="S110" s="59" t="str">
        <f>IFERROR(VLOOKUP(S$13&amp;$B114,Aux!$B:$M,5,0),"")</f>
        <v/>
      </c>
      <c r="T110" s="60" t="str">
        <f>IFERROR(VLOOKUP(S$13&amp;$B110,Aux!$B:$M,3,0),"")</f>
        <v/>
      </c>
      <c r="U110" s="60"/>
      <c r="V110" s="60"/>
      <c r="W110" s="61" t="str">
        <f>IFERROR(VLOOKUP(S$13&amp;$B110,Aux!$B:$M,9,0),"")</f>
        <v/>
      </c>
      <c r="AA110" s="59" t="str">
        <f>IFERROR(VLOOKUP(AA$13&amp;$B114,Aux!$B:$M,5,0),"")</f>
        <v/>
      </c>
      <c r="AB110" s="60" t="str">
        <f>IFERROR(VLOOKUP(AA$13&amp;$B110,Aux!$B:$M,3,0),"")</f>
        <v/>
      </c>
      <c r="AC110" s="60"/>
      <c r="AD110" s="60"/>
      <c r="AE110" s="61" t="str">
        <f>IFERROR(VLOOKUP(AA$13&amp;$B110,Aux!$B:$M,9,0),"")</f>
        <v/>
      </c>
    </row>
    <row r="111" spans="2:31" x14ac:dyDescent="0.25">
      <c r="B111" s="53">
        <f t="shared" si="1"/>
        <v>20</v>
      </c>
      <c r="C111" s="59"/>
      <c r="D111" s="60"/>
      <c r="E111" s="60"/>
      <c r="F111" s="60"/>
      <c r="G111" s="61"/>
      <c r="K111" s="59"/>
      <c r="L111" s="60"/>
      <c r="M111" s="60"/>
      <c r="N111" s="60"/>
      <c r="O111" s="61"/>
      <c r="S111" s="59"/>
      <c r="T111" s="60"/>
      <c r="U111" s="60"/>
      <c r="V111" s="60"/>
      <c r="W111" s="61"/>
      <c r="AA111" s="59"/>
      <c r="AB111" s="60"/>
      <c r="AC111" s="60"/>
      <c r="AD111" s="60"/>
      <c r="AE111" s="61"/>
    </row>
    <row r="112" spans="2:31" x14ac:dyDescent="0.25">
      <c r="B112" s="53">
        <f t="shared" si="1"/>
        <v>20</v>
      </c>
      <c r="C112" s="59"/>
      <c r="D112" s="15" t="str">
        <f>IF(D110="","","Исполнитель"&amp;": ")</f>
        <v/>
      </c>
      <c r="E112" s="62" t="str">
        <f>IFERROR(VLOOKUP(C$13&amp;$B112,Aux!$B:$M,4,0),"")</f>
        <v/>
      </c>
      <c r="F112" s="62"/>
      <c r="G112" s="63" t="str">
        <f>IFERROR(IF(VLOOKUP(C$13&amp;$B110,Aux!$B:$M,8,0)="Да","✔","🕓"),"")</f>
        <v/>
      </c>
      <c r="K112" s="59"/>
      <c r="L112" s="15" t="str">
        <f>IF(L110="","","Исполнитель"&amp;": ")</f>
        <v/>
      </c>
      <c r="M112" s="62" t="str">
        <f>IFERROR(VLOOKUP(K$13&amp;$B112,Aux!$B:$M,4,0),"")</f>
        <v/>
      </c>
      <c r="N112" s="62"/>
      <c r="O112" s="63" t="str">
        <f>IFERROR(IF(VLOOKUP(K$13&amp;$B110,Aux!$B:$M,8,0)="Да","✔","🕓"),"")</f>
        <v/>
      </c>
      <c r="S112" s="59"/>
      <c r="T112" s="15" t="str">
        <f>IF(T110="","","Исполнитель"&amp;": ")</f>
        <v/>
      </c>
      <c r="U112" s="62" t="str">
        <f>IFERROR(VLOOKUP(S$13&amp;$B112,Aux!$B:$M,4,0),"")</f>
        <v/>
      </c>
      <c r="V112" s="62"/>
      <c r="W112" s="63" t="str">
        <f>IFERROR(IF(VLOOKUP(S$13&amp;$B110,Aux!$B:$M,8,0)="Да","✔","🕓"),"")</f>
        <v/>
      </c>
      <c r="AA112" s="59"/>
      <c r="AB112" s="15" t="str">
        <f>IF(AB110="","","Исполнитель"&amp;": ")</f>
        <v/>
      </c>
      <c r="AC112" s="62" t="str">
        <f>IFERROR(VLOOKUP(AA$13&amp;$B112,Aux!$B:$M,4,0),"")</f>
        <v/>
      </c>
      <c r="AD112" s="62"/>
      <c r="AE112" s="63" t="str">
        <f>IFERROR(IF(VLOOKUP(AA$13&amp;$B110,Aux!$B:$M,8,0)="Да","✔","🕓"),"")</f>
        <v/>
      </c>
    </row>
    <row r="113" spans="2:31" x14ac:dyDescent="0.25">
      <c r="B113" s="53">
        <f t="shared" si="1"/>
        <v>20</v>
      </c>
      <c r="C113" s="59"/>
      <c r="D113" s="16" t="str">
        <f>IF(D110="","","Срок сдачи"&amp;": ")</f>
        <v/>
      </c>
      <c r="E113" s="64" t="str">
        <f>IFERROR(VLOOKUP(C$13&amp;$B113,Aux!$B:$M,6,0),"")</f>
        <v/>
      </c>
      <c r="F113" s="64"/>
      <c r="G113" s="63"/>
      <c r="K113" s="59"/>
      <c r="L113" s="16" t="str">
        <f>IF(L110="","","Срок сдачи"&amp;": ")</f>
        <v/>
      </c>
      <c r="M113" s="64" t="str">
        <f>IFERROR(VLOOKUP(K$13&amp;$B113,Aux!$B:$M,6,0),"")</f>
        <v/>
      </c>
      <c r="N113" s="64"/>
      <c r="O113" s="63"/>
      <c r="S113" s="59"/>
      <c r="T113" s="16" t="str">
        <f>IF(T110="","","Срок сдачи"&amp;": ")</f>
        <v/>
      </c>
      <c r="U113" s="64" t="str">
        <f>IFERROR(VLOOKUP(S$13&amp;$B113,Aux!$B:$M,6,0),"")</f>
        <v/>
      </c>
      <c r="V113" s="64"/>
      <c r="W113" s="63"/>
      <c r="AA113" s="59"/>
      <c r="AB113" s="16" t="str">
        <f>IF(AB110="","","Срок сдачи"&amp;": ")</f>
        <v/>
      </c>
      <c r="AC113" s="64" t="str">
        <f>IFERROR(VLOOKUP(AA$13&amp;$B113,Aux!$B:$M,6,0),"")</f>
        <v/>
      </c>
      <c r="AD113" s="64"/>
      <c r="AE113" s="63"/>
    </row>
    <row r="114" spans="2:31" x14ac:dyDescent="0.25">
      <c r="B114" s="53">
        <f t="shared" si="1"/>
        <v>20</v>
      </c>
      <c r="C114" s="7"/>
      <c r="D114" s="17"/>
      <c r="E114" s="7"/>
      <c r="F114" s="18"/>
      <c r="G114" s="18"/>
      <c r="K114" s="13"/>
      <c r="L114" s="17"/>
      <c r="M114" s="13"/>
      <c r="N114" s="14"/>
      <c r="O114" s="14"/>
      <c r="S114" s="13"/>
      <c r="T114" s="17"/>
      <c r="U114" s="13"/>
      <c r="V114" s="14"/>
      <c r="W114" s="14"/>
      <c r="AA114" s="13"/>
      <c r="AB114" s="17"/>
      <c r="AC114" s="13"/>
      <c r="AD114" s="14"/>
      <c r="AE114" s="30"/>
    </row>
    <row r="115" spans="2:31" x14ac:dyDescent="0.25">
      <c r="B115" s="53">
        <f t="shared" si="1"/>
        <v>21</v>
      </c>
      <c r="C115" s="59" t="str">
        <f>IFERROR(VLOOKUP(C$13&amp;$B119,Aux!$B:$M,5,0),"")</f>
        <v/>
      </c>
      <c r="D115" s="60" t="str">
        <f>IFERROR(VLOOKUP(C$13&amp;$B115,Aux!$B:$M,3,0),"")</f>
        <v/>
      </c>
      <c r="E115" s="60"/>
      <c r="F115" s="60"/>
      <c r="G115" s="61" t="str">
        <f>IFERROR(VLOOKUP(C$13&amp;$B115,Aux!$B:$M,9,0),"")</f>
        <v/>
      </c>
      <c r="K115" s="59" t="str">
        <f>IFERROR(VLOOKUP(K$13&amp;$B119,Aux!$B:$M,5,0),"")</f>
        <v/>
      </c>
      <c r="L115" s="60" t="str">
        <f>IFERROR(VLOOKUP(K$13&amp;$B115,Aux!$B:$M,3,0),"")</f>
        <v/>
      </c>
      <c r="M115" s="60"/>
      <c r="N115" s="60"/>
      <c r="O115" s="61" t="str">
        <f>IFERROR(VLOOKUP(K$13&amp;$B115,Aux!$B:$M,9,0),"")</f>
        <v/>
      </c>
      <c r="S115" s="59" t="str">
        <f>IFERROR(VLOOKUP(S$13&amp;$B119,Aux!$B:$M,5,0),"")</f>
        <v/>
      </c>
      <c r="T115" s="60" t="str">
        <f>IFERROR(VLOOKUP(S$13&amp;$B115,Aux!$B:$M,3,0),"")</f>
        <v/>
      </c>
      <c r="U115" s="60"/>
      <c r="V115" s="60"/>
      <c r="W115" s="61" t="str">
        <f>IFERROR(VLOOKUP(S$13&amp;$B115,Aux!$B:$M,9,0),"")</f>
        <v/>
      </c>
      <c r="AA115" s="59" t="str">
        <f>IFERROR(VLOOKUP(AA$13&amp;$B119,Aux!$B:$M,5,0),"")</f>
        <v/>
      </c>
      <c r="AB115" s="60" t="str">
        <f>IFERROR(VLOOKUP(AA$13&amp;$B115,Aux!$B:$M,3,0),"")</f>
        <v/>
      </c>
      <c r="AC115" s="60"/>
      <c r="AD115" s="60"/>
      <c r="AE115" s="61" t="str">
        <f>IFERROR(VLOOKUP(AA$13&amp;$B115,Aux!$B:$M,9,0),"")</f>
        <v/>
      </c>
    </row>
    <row r="116" spans="2:31" x14ac:dyDescent="0.25">
      <c r="B116" s="53">
        <f t="shared" si="1"/>
        <v>21</v>
      </c>
      <c r="C116" s="59"/>
      <c r="D116" s="60"/>
      <c r="E116" s="60"/>
      <c r="F116" s="60"/>
      <c r="G116" s="61"/>
      <c r="K116" s="59"/>
      <c r="L116" s="60"/>
      <c r="M116" s="60"/>
      <c r="N116" s="60"/>
      <c r="O116" s="61"/>
      <c r="S116" s="59"/>
      <c r="T116" s="60"/>
      <c r="U116" s="60"/>
      <c r="V116" s="60"/>
      <c r="W116" s="61"/>
      <c r="AA116" s="59"/>
      <c r="AB116" s="60"/>
      <c r="AC116" s="60"/>
      <c r="AD116" s="60"/>
      <c r="AE116" s="61"/>
    </row>
    <row r="117" spans="2:31" x14ac:dyDescent="0.25">
      <c r="B117" s="53">
        <f t="shared" si="1"/>
        <v>21</v>
      </c>
      <c r="C117" s="59"/>
      <c r="D117" s="15" t="str">
        <f>IF(D115="","","Исполнитель"&amp;": ")</f>
        <v/>
      </c>
      <c r="E117" s="62" t="str">
        <f>IFERROR(VLOOKUP(C$13&amp;$B117,Aux!$B:$M,4,0),"")</f>
        <v/>
      </c>
      <c r="F117" s="62"/>
      <c r="G117" s="63" t="str">
        <f>IFERROR(IF(VLOOKUP(C$13&amp;$B115,Aux!$B:$M,8,0)="Да","✔","🕓"),"")</f>
        <v/>
      </c>
      <c r="K117" s="59"/>
      <c r="L117" s="15" t="str">
        <f>IF(L115="","","Исполнитель"&amp;": ")</f>
        <v/>
      </c>
      <c r="M117" s="62" t="str">
        <f>IFERROR(VLOOKUP(K$13&amp;$B117,Aux!$B:$M,4,0),"")</f>
        <v/>
      </c>
      <c r="N117" s="62"/>
      <c r="O117" s="63" t="str">
        <f>IFERROR(IF(VLOOKUP(K$13&amp;$B115,Aux!$B:$M,8,0)="Да","✔","🕓"),"")</f>
        <v/>
      </c>
      <c r="S117" s="59"/>
      <c r="T117" s="15" t="str">
        <f>IF(T115="","","Исполнитель"&amp;": ")</f>
        <v/>
      </c>
      <c r="U117" s="62" t="str">
        <f>IFERROR(VLOOKUP(S$13&amp;$B117,Aux!$B:$M,4,0),"")</f>
        <v/>
      </c>
      <c r="V117" s="62"/>
      <c r="W117" s="63" t="str">
        <f>IFERROR(IF(VLOOKUP(S$13&amp;$B115,Aux!$B:$M,8,0)="Да","✔","🕓"),"")</f>
        <v/>
      </c>
      <c r="AA117" s="59"/>
      <c r="AB117" s="15" t="str">
        <f>IF(AB115="","","Исполнитель"&amp;": ")</f>
        <v/>
      </c>
      <c r="AC117" s="62" t="str">
        <f>IFERROR(VLOOKUP(AA$13&amp;$B117,Aux!$B:$M,4,0),"")</f>
        <v/>
      </c>
      <c r="AD117" s="62"/>
      <c r="AE117" s="63" t="str">
        <f>IFERROR(IF(VLOOKUP(AA$13&amp;$B115,Aux!$B:$M,8,0)="Да","✔","🕓"),"")</f>
        <v/>
      </c>
    </row>
    <row r="118" spans="2:31" x14ac:dyDescent="0.25">
      <c r="B118" s="53">
        <f t="shared" si="1"/>
        <v>21</v>
      </c>
      <c r="C118" s="59"/>
      <c r="D118" s="16" t="str">
        <f>IF(D115="","","Срок сдачи"&amp;": ")</f>
        <v/>
      </c>
      <c r="E118" s="64" t="str">
        <f>IFERROR(VLOOKUP(C$13&amp;$B118,Aux!$B:$M,6,0),"")</f>
        <v/>
      </c>
      <c r="F118" s="64"/>
      <c r="G118" s="63"/>
      <c r="K118" s="59"/>
      <c r="L118" s="16" t="str">
        <f>IF(L115="","","Срок сдачи"&amp;": ")</f>
        <v/>
      </c>
      <c r="M118" s="64" t="str">
        <f>IFERROR(VLOOKUP(K$13&amp;$B118,Aux!$B:$M,6,0),"")</f>
        <v/>
      </c>
      <c r="N118" s="64"/>
      <c r="O118" s="63"/>
      <c r="S118" s="59"/>
      <c r="T118" s="16" t="str">
        <f>IF(T115="","","Срок сдачи"&amp;": ")</f>
        <v/>
      </c>
      <c r="U118" s="64" t="str">
        <f>IFERROR(VLOOKUP(S$13&amp;$B118,Aux!$B:$M,6,0),"")</f>
        <v/>
      </c>
      <c r="V118" s="64"/>
      <c r="W118" s="63"/>
      <c r="AA118" s="59"/>
      <c r="AB118" s="16" t="str">
        <f>IF(AB115="","","Срок сдачи"&amp;": ")</f>
        <v/>
      </c>
      <c r="AC118" s="64" t="str">
        <f>IFERROR(VLOOKUP(AA$13&amp;$B118,Aux!$B:$M,6,0),"")</f>
        <v/>
      </c>
      <c r="AD118" s="64"/>
      <c r="AE118" s="63"/>
    </row>
    <row r="119" spans="2:31" x14ac:dyDescent="0.25">
      <c r="B119" s="53">
        <f t="shared" si="1"/>
        <v>21</v>
      </c>
      <c r="C119" s="7"/>
      <c r="D119" s="17"/>
      <c r="E119" s="7"/>
      <c r="F119" s="18"/>
      <c r="G119" s="18"/>
      <c r="K119" s="13"/>
      <c r="L119" s="17"/>
      <c r="M119" s="13"/>
      <c r="N119" s="14"/>
      <c r="O119" s="14"/>
      <c r="S119" s="13"/>
      <c r="T119" s="17"/>
      <c r="U119" s="13"/>
      <c r="V119" s="14"/>
      <c r="W119" s="14"/>
      <c r="AA119" s="13"/>
      <c r="AB119" s="17"/>
      <c r="AC119" s="13"/>
      <c r="AD119" s="14"/>
      <c r="AE119" s="30"/>
    </row>
    <row r="120" spans="2:31" x14ac:dyDescent="0.25">
      <c r="B120" s="53">
        <f t="shared" si="1"/>
        <v>22</v>
      </c>
      <c r="C120" s="59" t="str">
        <f>IFERROR(VLOOKUP(C$13&amp;$B124,Aux!$B:$M,5,0),"")</f>
        <v/>
      </c>
      <c r="D120" s="60" t="str">
        <f>IFERROR(VLOOKUP(C$13&amp;$B120,Aux!$B:$M,3,0),"")</f>
        <v/>
      </c>
      <c r="E120" s="60"/>
      <c r="F120" s="60"/>
      <c r="G120" s="61" t="str">
        <f>IFERROR(VLOOKUP(C$13&amp;$B120,Aux!$B:$M,9,0),"")</f>
        <v/>
      </c>
      <c r="K120" s="59" t="str">
        <f>IFERROR(VLOOKUP(K$13&amp;$B124,Aux!$B:$M,5,0),"")</f>
        <v/>
      </c>
      <c r="L120" s="60" t="str">
        <f>IFERROR(VLOOKUP(K$13&amp;$B120,Aux!$B:$M,3,0),"")</f>
        <v/>
      </c>
      <c r="M120" s="60"/>
      <c r="N120" s="60"/>
      <c r="O120" s="61" t="str">
        <f>IFERROR(VLOOKUP(K$13&amp;$B120,Aux!$B:$M,9,0),"")</f>
        <v/>
      </c>
      <c r="S120" s="59" t="str">
        <f>IFERROR(VLOOKUP(S$13&amp;$B124,Aux!$B:$M,5,0),"")</f>
        <v/>
      </c>
      <c r="T120" s="60" t="str">
        <f>IFERROR(VLOOKUP(S$13&amp;$B120,Aux!$B:$M,3,0),"")</f>
        <v/>
      </c>
      <c r="U120" s="60"/>
      <c r="V120" s="60"/>
      <c r="W120" s="61" t="str">
        <f>IFERROR(VLOOKUP(S$13&amp;$B120,Aux!$B:$M,9,0),"")</f>
        <v/>
      </c>
      <c r="AA120" s="59" t="str">
        <f>IFERROR(VLOOKUP(AA$13&amp;$B124,Aux!$B:$M,5,0),"")</f>
        <v/>
      </c>
      <c r="AB120" s="60" t="str">
        <f>IFERROR(VLOOKUP(AA$13&amp;$B120,Aux!$B:$M,3,0),"")</f>
        <v/>
      </c>
      <c r="AC120" s="60"/>
      <c r="AD120" s="60"/>
      <c r="AE120" s="61" t="str">
        <f>IFERROR(VLOOKUP(AA$13&amp;$B120,Aux!$B:$M,9,0),"")</f>
        <v/>
      </c>
    </row>
    <row r="121" spans="2:31" x14ac:dyDescent="0.25">
      <c r="B121" s="53">
        <f t="shared" si="1"/>
        <v>22</v>
      </c>
      <c r="C121" s="59"/>
      <c r="D121" s="60"/>
      <c r="E121" s="60"/>
      <c r="F121" s="60"/>
      <c r="G121" s="61"/>
      <c r="K121" s="59"/>
      <c r="L121" s="60"/>
      <c r="M121" s="60"/>
      <c r="N121" s="60"/>
      <c r="O121" s="61"/>
      <c r="S121" s="59"/>
      <c r="T121" s="60"/>
      <c r="U121" s="60"/>
      <c r="V121" s="60"/>
      <c r="W121" s="61"/>
      <c r="AA121" s="59"/>
      <c r="AB121" s="60"/>
      <c r="AC121" s="60"/>
      <c r="AD121" s="60"/>
      <c r="AE121" s="61"/>
    </row>
    <row r="122" spans="2:31" x14ac:dyDescent="0.25">
      <c r="B122" s="53">
        <f t="shared" si="1"/>
        <v>22</v>
      </c>
      <c r="C122" s="59"/>
      <c r="D122" s="15" t="str">
        <f>IF(D120="","","Исполнитель"&amp;": ")</f>
        <v/>
      </c>
      <c r="E122" s="62" t="str">
        <f>IFERROR(VLOOKUP(C$13&amp;$B122,Aux!$B:$M,4,0),"")</f>
        <v/>
      </c>
      <c r="F122" s="62"/>
      <c r="G122" s="63" t="str">
        <f>IFERROR(IF(VLOOKUP(C$13&amp;$B120,Aux!$B:$M,8,0)="Да","✔","🕓"),"")</f>
        <v/>
      </c>
      <c r="K122" s="59"/>
      <c r="L122" s="15" t="str">
        <f>IF(L120="","","Исполнитель"&amp;": ")</f>
        <v/>
      </c>
      <c r="M122" s="62" t="str">
        <f>IFERROR(VLOOKUP(K$13&amp;$B122,Aux!$B:$M,4,0),"")</f>
        <v/>
      </c>
      <c r="N122" s="62"/>
      <c r="O122" s="63" t="str">
        <f>IFERROR(IF(VLOOKUP(K$13&amp;$B120,Aux!$B:$M,8,0)="Да","✔","🕓"),"")</f>
        <v/>
      </c>
      <c r="S122" s="59"/>
      <c r="T122" s="15" t="str">
        <f>IF(T120="","","Исполнитель"&amp;": ")</f>
        <v/>
      </c>
      <c r="U122" s="62" t="str">
        <f>IFERROR(VLOOKUP(S$13&amp;$B122,Aux!$B:$M,4,0),"")</f>
        <v/>
      </c>
      <c r="V122" s="62"/>
      <c r="W122" s="63" t="str">
        <f>IFERROR(IF(VLOOKUP(S$13&amp;$B120,Aux!$B:$M,8,0)="Да","✔","🕓"),"")</f>
        <v/>
      </c>
      <c r="AA122" s="59"/>
      <c r="AB122" s="15" t="str">
        <f>IF(AB120="","","Исполнитель"&amp;": ")</f>
        <v/>
      </c>
      <c r="AC122" s="62" t="str">
        <f>IFERROR(VLOOKUP(AA$13&amp;$B122,Aux!$B:$M,4,0),"")</f>
        <v/>
      </c>
      <c r="AD122" s="62"/>
      <c r="AE122" s="63" t="str">
        <f>IFERROR(IF(VLOOKUP(AA$13&amp;$B120,Aux!$B:$M,8,0)="Да","✔","🕓"),"")</f>
        <v/>
      </c>
    </row>
    <row r="123" spans="2:31" x14ac:dyDescent="0.25">
      <c r="B123" s="53">
        <f t="shared" si="1"/>
        <v>22</v>
      </c>
      <c r="C123" s="59"/>
      <c r="D123" s="16" t="str">
        <f>IF(D120="","","Срок сдачи"&amp;": ")</f>
        <v/>
      </c>
      <c r="E123" s="64" t="str">
        <f>IFERROR(VLOOKUP(C$13&amp;$B123,Aux!$B:$M,6,0),"")</f>
        <v/>
      </c>
      <c r="F123" s="64"/>
      <c r="G123" s="63"/>
      <c r="K123" s="59"/>
      <c r="L123" s="16" t="str">
        <f>IF(L120="","","Срок сдачи"&amp;": ")</f>
        <v/>
      </c>
      <c r="M123" s="64" t="str">
        <f>IFERROR(VLOOKUP(K$13&amp;$B123,Aux!$B:$M,6,0),"")</f>
        <v/>
      </c>
      <c r="N123" s="64"/>
      <c r="O123" s="63"/>
      <c r="S123" s="59"/>
      <c r="T123" s="16" t="str">
        <f>IF(T120="","","Срок сдачи"&amp;": ")</f>
        <v/>
      </c>
      <c r="U123" s="64" t="str">
        <f>IFERROR(VLOOKUP(S$13&amp;$B123,Aux!$B:$M,6,0),"")</f>
        <v/>
      </c>
      <c r="V123" s="64"/>
      <c r="W123" s="63"/>
      <c r="AA123" s="59"/>
      <c r="AB123" s="16" t="str">
        <f>IF(AB120="","","Срок сдачи"&amp;": ")</f>
        <v/>
      </c>
      <c r="AC123" s="64" t="str">
        <f>IFERROR(VLOOKUP(AA$13&amp;$B123,Aux!$B:$M,6,0),"")</f>
        <v/>
      </c>
      <c r="AD123" s="64"/>
      <c r="AE123" s="63"/>
    </row>
    <row r="124" spans="2:31" x14ac:dyDescent="0.25">
      <c r="B124" s="53">
        <f t="shared" si="1"/>
        <v>22</v>
      </c>
      <c r="C124" s="7"/>
      <c r="D124" s="17"/>
      <c r="E124" s="7"/>
      <c r="F124" s="18"/>
      <c r="G124" s="18"/>
      <c r="K124" s="13"/>
      <c r="L124" s="17"/>
      <c r="M124" s="13"/>
      <c r="N124" s="14"/>
      <c r="O124" s="14"/>
      <c r="S124" s="13"/>
      <c r="T124" s="17"/>
      <c r="U124" s="13"/>
      <c r="V124" s="14"/>
      <c r="W124" s="14"/>
      <c r="AA124" s="13"/>
      <c r="AB124" s="17"/>
      <c r="AC124" s="13"/>
      <c r="AD124" s="14"/>
      <c r="AE124" s="30"/>
    </row>
    <row r="125" spans="2:31" x14ac:dyDescent="0.25">
      <c r="B125" s="53">
        <f t="shared" si="1"/>
        <v>23</v>
      </c>
      <c r="C125" s="59" t="str">
        <f>IFERROR(VLOOKUP(C$13&amp;$B129,Aux!$B:$M,5,0),"")</f>
        <v/>
      </c>
      <c r="D125" s="60" t="str">
        <f>IFERROR(VLOOKUP(C$13&amp;$B125,Aux!$B:$M,3,0),"")</f>
        <v/>
      </c>
      <c r="E125" s="60"/>
      <c r="F125" s="60"/>
      <c r="G125" s="61" t="str">
        <f>IFERROR(VLOOKUP(C$13&amp;$B125,Aux!$B:$M,9,0),"")</f>
        <v/>
      </c>
      <c r="K125" s="59" t="str">
        <f>IFERROR(VLOOKUP(K$13&amp;$B129,Aux!$B:$M,5,0),"")</f>
        <v/>
      </c>
      <c r="L125" s="60" t="str">
        <f>IFERROR(VLOOKUP(K$13&amp;$B125,Aux!$B:$M,3,0),"")</f>
        <v/>
      </c>
      <c r="M125" s="60"/>
      <c r="N125" s="60"/>
      <c r="O125" s="61" t="str">
        <f>IFERROR(VLOOKUP(K$13&amp;$B125,Aux!$B:$M,9,0),"")</f>
        <v/>
      </c>
      <c r="S125" s="59" t="str">
        <f>IFERROR(VLOOKUP(S$13&amp;$B129,Aux!$B:$M,5,0),"")</f>
        <v/>
      </c>
      <c r="T125" s="60" t="str">
        <f>IFERROR(VLOOKUP(S$13&amp;$B125,Aux!$B:$M,3,0),"")</f>
        <v/>
      </c>
      <c r="U125" s="60"/>
      <c r="V125" s="60"/>
      <c r="W125" s="61" t="str">
        <f>IFERROR(VLOOKUP(S$13&amp;$B125,Aux!$B:$M,9,0),"")</f>
        <v/>
      </c>
      <c r="AA125" s="59" t="str">
        <f>IFERROR(VLOOKUP(AA$13&amp;$B129,Aux!$B:$M,5,0),"")</f>
        <v/>
      </c>
      <c r="AB125" s="60" t="str">
        <f>IFERROR(VLOOKUP(AA$13&amp;$B125,Aux!$B:$M,3,0),"")</f>
        <v/>
      </c>
      <c r="AC125" s="60"/>
      <c r="AD125" s="60"/>
      <c r="AE125" s="61" t="str">
        <f>IFERROR(VLOOKUP(AA$13&amp;$B125,Aux!$B:$M,9,0),"")</f>
        <v/>
      </c>
    </row>
    <row r="126" spans="2:31" x14ac:dyDescent="0.25">
      <c r="B126" s="53">
        <f t="shared" si="1"/>
        <v>23</v>
      </c>
      <c r="C126" s="59"/>
      <c r="D126" s="60"/>
      <c r="E126" s="60"/>
      <c r="F126" s="60"/>
      <c r="G126" s="61"/>
      <c r="K126" s="59"/>
      <c r="L126" s="60"/>
      <c r="M126" s="60"/>
      <c r="N126" s="60"/>
      <c r="O126" s="61"/>
      <c r="S126" s="59"/>
      <c r="T126" s="60"/>
      <c r="U126" s="60"/>
      <c r="V126" s="60"/>
      <c r="W126" s="61"/>
      <c r="AA126" s="59"/>
      <c r="AB126" s="60"/>
      <c r="AC126" s="60"/>
      <c r="AD126" s="60"/>
      <c r="AE126" s="61"/>
    </row>
    <row r="127" spans="2:31" x14ac:dyDescent="0.25">
      <c r="B127" s="53">
        <f t="shared" si="1"/>
        <v>23</v>
      </c>
      <c r="C127" s="59"/>
      <c r="D127" s="15" t="str">
        <f>IF(D125="","","Исполнитель"&amp;": ")</f>
        <v/>
      </c>
      <c r="E127" s="62" t="str">
        <f>IFERROR(VLOOKUP(C$13&amp;$B127,Aux!$B:$M,4,0),"")</f>
        <v/>
      </c>
      <c r="F127" s="62"/>
      <c r="G127" s="63" t="str">
        <f>IFERROR(IF(VLOOKUP(C$13&amp;$B125,Aux!$B:$M,8,0)="Да","✔","🕓"),"")</f>
        <v/>
      </c>
      <c r="K127" s="59"/>
      <c r="L127" s="15" t="str">
        <f>IF(L125="","","Исполнитель"&amp;": ")</f>
        <v/>
      </c>
      <c r="M127" s="62" t="str">
        <f>IFERROR(VLOOKUP(K$13&amp;$B127,Aux!$B:$M,4,0),"")</f>
        <v/>
      </c>
      <c r="N127" s="62"/>
      <c r="O127" s="63" t="str">
        <f>IFERROR(IF(VLOOKUP(K$13&amp;$B125,Aux!$B:$M,8,0)="Да","✔","🕓"),"")</f>
        <v/>
      </c>
      <c r="S127" s="59"/>
      <c r="T127" s="15" t="str">
        <f>IF(T125="","","Исполнитель"&amp;": ")</f>
        <v/>
      </c>
      <c r="U127" s="62" t="str">
        <f>IFERROR(VLOOKUP(S$13&amp;$B127,Aux!$B:$M,4,0),"")</f>
        <v/>
      </c>
      <c r="V127" s="62"/>
      <c r="W127" s="63" t="str">
        <f>IFERROR(IF(VLOOKUP(S$13&amp;$B125,Aux!$B:$M,8,0)="Да","✔","🕓"),"")</f>
        <v/>
      </c>
      <c r="AA127" s="59"/>
      <c r="AB127" s="15" t="str">
        <f>IF(AB125="","","Исполнитель"&amp;": ")</f>
        <v/>
      </c>
      <c r="AC127" s="62" t="str">
        <f>IFERROR(VLOOKUP(AA$13&amp;$B127,Aux!$B:$M,4,0),"")</f>
        <v/>
      </c>
      <c r="AD127" s="62"/>
      <c r="AE127" s="63" t="str">
        <f>IFERROR(IF(VLOOKUP(AA$13&amp;$B125,Aux!$B:$M,8,0)="Да","✔","🕓"),"")</f>
        <v/>
      </c>
    </row>
    <row r="128" spans="2:31" x14ac:dyDescent="0.25">
      <c r="B128" s="53">
        <f t="shared" si="1"/>
        <v>23</v>
      </c>
      <c r="C128" s="59"/>
      <c r="D128" s="16" t="str">
        <f>IF(D125="","","Срок сдачи"&amp;": ")</f>
        <v/>
      </c>
      <c r="E128" s="64" t="str">
        <f>IFERROR(VLOOKUP(C$13&amp;$B128,Aux!$B:$M,6,0),"")</f>
        <v/>
      </c>
      <c r="F128" s="64"/>
      <c r="G128" s="63"/>
      <c r="K128" s="59"/>
      <c r="L128" s="16" t="str">
        <f>IF(L125="","","Срок сдачи"&amp;": ")</f>
        <v/>
      </c>
      <c r="M128" s="64" t="str">
        <f>IFERROR(VLOOKUP(K$13&amp;$B128,Aux!$B:$M,6,0),"")</f>
        <v/>
      </c>
      <c r="N128" s="64"/>
      <c r="O128" s="63"/>
      <c r="S128" s="59"/>
      <c r="T128" s="16" t="str">
        <f>IF(T125="","","Срок сдачи"&amp;": ")</f>
        <v/>
      </c>
      <c r="U128" s="64" t="str">
        <f>IFERROR(VLOOKUP(S$13&amp;$B128,Aux!$B:$M,6,0),"")</f>
        <v/>
      </c>
      <c r="V128" s="64"/>
      <c r="W128" s="63"/>
      <c r="AA128" s="59"/>
      <c r="AB128" s="16" t="str">
        <f>IF(AB125="","","Срок сдачи"&amp;": ")</f>
        <v/>
      </c>
      <c r="AC128" s="64" t="str">
        <f>IFERROR(VLOOKUP(AA$13&amp;$B128,Aux!$B:$M,6,0),"")</f>
        <v/>
      </c>
      <c r="AD128" s="64"/>
      <c r="AE128" s="63"/>
    </row>
    <row r="129" spans="2:31" x14ac:dyDescent="0.25">
      <c r="B129" s="53">
        <f t="shared" si="1"/>
        <v>23</v>
      </c>
      <c r="C129" s="7"/>
      <c r="D129" s="17"/>
      <c r="E129" s="7"/>
      <c r="F129" s="18"/>
      <c r="G129" s="18"/>
      <c r="K129" s="13"/>
      <c r="L129" s="17"/>
      <c r="M129" s="13"/>
      <c r="N129" s="14"/>
      <c r="O129" s="14"/>
      <c r="S129" s="13"/>
      <c r="T129" s="17"/>
      <c r="U129" s="13"/>
      <c r="V129" s="14"/>
      <c r="W129" s="14"/>
      <c r="AA129" s="13"/>
      <c r="AB129" s="17"/>
      <c r="AC129" s="13"/>
      <c r="AD129" s="14"/>
      <c r="AE129" s="30"/>
    </row>
    <row r="130" spans="2:31" x14ac:dyDescent="0.25">
      <c r="B130" s="53">
        <f t="shared" si="1"/>
        <v>24</v>
      </c>
      <c r="C130" s="59" t="str">
        <f>IFERROR(VLOOKUP(C$13&amp;$B134,Aux!$B:$M,5,0),"")</f>
        <v/>
      </c>
      <c r="D130" s="60" t="str">
        <f>IFERROR(VLOOKUP(C$13&amp;$B130,Aux!$B:$M,3,0),"")</f>
        <v/>
      </c>
      <c r="E130" s="60"/>
      <c r="F130" s="60"/>
      <c r="G130" s="61" t="str">
        <f>IFERROR(VLOOKUP(C$13&amp;$B130,Aux!$B:$M,9,0),"")</f>
        <v/>
      </c>
      <c r="K130" s="59" t="str">
        <f>IFERROR(VLOOKUP(K$13&amp;$B134,Aux!$B:$M,5,0),"")</f>
        <v/>
      </c>
      <c r="L130" s="60" t="str">
        <f>IFERROR(VLOOKUP(K$13&amp;$B130,Aux!$B:$M,3,0),"")</f>
        <v/>
      </c>
      <c r="M130" s="60"/>
      <c r="N130" s="60"/>
      <c r="O130" s="61" t="str">
        <f>IFERROR(VLOOKUP(K$13&amp;$B130,Aux!$B:$M,9,0),"")</f>
        <v/>
      </c>
      <c r="S130" s="59" t="str">
        <f>IFERROR(VLOOKUP(S$13&amp;$B134,Aux!$B:$M,5,0),"")</f>
        <v/>
      </c>
      <c r="T130" s="60" t="str">
        <f>IFERROR(VLOOKUP(S$13&amp;$B130,Aux!$B:$M,3,0),"")</f>
        <v/>
      </c>
      <c r="U130" s="60"/>
      <c r="V130" s="60"/>
      <c r="W130" s="61" t="str">
        <f>IFERROR(VLOOKUP(S$13&amp;$B130,Aux!$B:$M,9,0),"")</f>
        <v/>
      </c>
      <c r="AA130" s="59" t="str">
        <f>IFERROR(VLOOKUP(AA$13&amp;$B134,Aux!$B:$M,5,0),"")</f>
        <v/>
      </c>
      <c r="AB130" s="60" t="str">
        <f>IFERROR(VLOOKUP(AA$13&amp;$B130,Aux!$B:$M,3,0),"")</f>
        <v/>
      </c>
      <c r="AC130" s="60"/>
      <c r="AD130" s="60"/>
      <c r="AE130" s="61" t="str">
        <f>IFERROR(VLOOKUP(AA$13&amp;$B130,Aux!$B:$M,9,0),"")</f>
        <v/>
      </c>
    </row>
    <row r="131" spans="2:31" x14ac:dyDescent="0.25">
      <c r="B131" s="53">
        <f t="shared" si="1"/>
        <v>24</v>
      </c>
      <c r="C131" s="59"/>
      <c r="D131" s="60"/>
      <c r="E131" s="60"/>
      <c r="F131" s="60"/>
      <c r="G131" s="61"/>
      <c r="K131" s="59"/>
      <c r="L131" s="60"/>
      <c r="M131" s="60"/>
      <c r="N131" s="60"/>
      <c r="O131" s="61"/>
      <c r="S131" s="59"/>
      <c r="T131" s="60"/>
      <c r="U131" s="60"/>
      <c r="V131" s="60"/>
      <c r="W131" s="61"/>
      <c r="AA131" s="59"/>
      <c r="AB131" s="60"/>
      <c r="AC131" s="60"/>
      <c r="AD131" s="60"/>
      <c r="AE131" s="61"/>
    </row>
    <row r="132" spans="2:31" x14ac:dyDescent="0.25">
      <c r="B132" s="53">
        <f t="shared" si="1"/>
        <v>24</v>
      </c>
      <c r="C132" s="59"/>
      <c r="D132" s="15" t="str">
        <f>IF(D130="","","Исполнитель"&amp;": ")</f>
        <v/>
      </c>
      <c r="E132" s="62" t="str">
        <f>IFERROR(VLOOKUP(C$13&amp;$B132,Aux!$B:$M,4,0),"")</f>
        <v/>
      </c>
      <c r="F132" s="62"/>
      <c r="G132" s="63" t="str">
        <f>IFERROR(IF(VLOOKUP(C$13&amp;$B130,Aux!$B:$M,8,0)="Да","✔","🕓"),"")</f>
        <v/>
      </c>
      <c r="K132" s="59"/>
      <c r="L132" s="15" t="str">
        <f>IF(L130="","","Исполнитель"&amp;": ")</f>
        <v/>
      </c>
      <c r="M132" s="62" t="str">
        <f>IFERROR(VLOOKUP(K$13&amp;$B132,Aux!$B:$M,4,0),"")</f>
        <v/>
      </c>
      <c r="N132" s="62"/>
      <c r="O132" s="63" t="str">
        <f>IFERROR(IF(VLOOKUP(K$13&amp;$B130,Aux!$B:$M,8,0)="Да","✔","🕓"),"")</f>
        <v/>
      </c>
      <c r="S132" s="59"/>
      <c r="T132" s="15" t="str">
        <f>IF(T130="","","Исполнитель"&amp;": ")</f>
        <v/>
      </c>
      <c r="U132" s="62" t="str">
        <f>IFERROR(VLOOKUP(S$13&amp;$B132,Aux!$B:$M,4,0),"")</f>
        <v/>
      </c>
      <c r="V132" s="62"/>
      <c r="W132" s="63" t="str">
        <f>IFERROR(IF(VLOOKUP(S$13&amp;$B130,Aux!$B:$M,8,0)="Да","✔","🕓"),"")</f>
        <v/>
      </c>
      <c r="AA132" s="59"/>
      <c r="AB132" s="15" t="str">
        <f>IF(AB130="","","Исполнитель"&amp;": ")</f>
        <v/>
      </c>
      <c r="AC132" s="62" t="str">
        <f>IFERROR(VLOOKUP(AA$13&amp;$B132,Aux!$B:$M,4,0),"")</f>
        <v/>
      </c>
      <c r="AD132" s="62"/>
      <c r="AE132" s="63" t="str">
        <f>IFERROR(IF(VLOOKUP(AA$13&amp;$B130,Aux!$B:$M,8,0)="Да","✔","🕓"),"")</f>
        <v/>
      </c>
    </row>
    <row r="133" spans="2:31" x14ac:dyDescent="0.25">
      <c r="B133" s="53">
        <f t="shared" si="1"/>
        <v>24</v>
      </c>
      <c r="C133" s="59"/>
      <c r="D133" s="16" t="str">
        <f>IF(D130="","","Срок сдачи"&amp;": ")</f>
        <v/>
      </c>
      <c r="E133" s="64" t="str">
        <f>IFERROR(VLOOKUP(C$13&amp;$B133,Aux!$B:$M,6,0),"")</f>
        <v/>
      </c>
      <c r="F133" s="64"/>
      <c r="G133" s="63"/>
      <c r="K133" s="59"/>
      <c r="L133" s="16" t="str">
        <f>IF(L130="","","Срок сдачи"&amp;": ")</f>
        <v/>
      </c>
      <c r="M133" s="64" t="str">
        <f>IFERROR(VLOOKUP(K$13&amp;$B133,Aux!$B:$M,6,0),"")</f>
        <v/>
      </c>
      <c r="N133" s="64"/>
      <c r="O133" s="63"/>
      <c r="S133" s="59"/>
      <c r="T133" s="16" t="str">
        <f>IF(T130="","","Срок сдачи"&amp;": ")</f>
        <v/>
      </c>
      <c r="U133" s="64" t="str">
        <f>IFERROR(VLOOKUP(S$13&amp;$B133,Aux!$B:$M,6,0),"")</f>
        <v/>
      </c>
      <c r="V133" s="64"/>
      <c r="W133" s="63"/>
      <c r="AA133" s="59"/>
      <c r="AB133" s="16" t="str">
        <f>IF(AB130="","","Срок сдачи"&amp;": ")</f>
        <v/>
      </c>
      <c r="AC133" s="64" t="str">
        <f>IFERROR(VLOOKUP(AA$13&amp;$B133,Aux!$B:$M,6,0),"")</f>
        <v/>
      </c>
      <c r="AD133" s="64"/>
      <c r="AE133" s="63"/>
    </row>
    <row r="134" spans="2:31" x14ac:dyDescent="0.25">
      <c r="B134" s="53">
        <f t="shared" si="1"/>
        <v>24</v>
      </c>
      <c r="C134" s="7"/>
      <c r="D134" s="17"/>
      <c r="E134" s="7"/>
      <c r="F134" s="18"/>
      <c r="G134" s="18"/>
      <c r="K134" s="13"/>
      <c r="L134" s="17"/>
      <c r="M134" s="13"/>
      <c r="N134" s="14"/>
      <c r="O134" s="14"/>
      <c r="S134" s="13"/>
      <c r="T134" s="17"/>
      <c r="U134" s="13"/>
      <c r="V134" s="14"/>
      <c r="W134" s="14"/>
      <c r="AA134" s="13"/>
      <c r="AB134" s="17"/>
      <c r="AC134" s="13"/>
      <c r="AD134" s="14"/>
      <c r="AE134" s="30"/>
    </row>
    <row r="135" spans="2:31" x14ac:dyDescent="0.25">
      <c r="B135" s="53">
        <f t="shared" si="1"/>
        <v>25</v>
      </c>
      <c r="C135" s="59" t="str">
        <f>IFERROR(VLOOKUP(C$13&amp;$B139,Aux!$B:$M,5,0),"")</f>
        <v/>
      </c>
      <c r="D135" s="60" t="str">
        <f>IFERROR(VLOOKUP(C$13&amp;$B135,Aux!$B:$M,3,0),"")</f>
        <v/>
      </c>
      <c r="E135" s="60"/>
      <c r="F135" s="60"/>
      <c r="G135" s="61" t="str">
        <f>IFERROR(VLOOKUP(C$13&amp;$B135,Aux!$B:$M,9,0),"")</f>
        <v/>
      </c>
      <c r="K135" s="59" t="str">
        <f>IFERROR(VLOOKUP(K$13&amp;$B139,Aux!$B:$M,5,0),"")</f>
        <v/>
      </c>
      <c r="L135" s="60" t="str">
        <f>IFERROR(VLOOKUP(K$13&amp;$B135,Aux!$B:$M,3,0),"")</f>
        <v/>
      </c>
      <c r="M135" s="60"/>
      <c r="N135" s="60"/>
      <c r="O135" s="61" t="str">
        <f>IFERROR(VLOOKUP(K$13&amp;$B135,Aux!$B:$M,9,0),"")</f>
        <v/>
      </c>
      <c r="S135" s="59" t="str">
        <f>IFERROR(VLOOKUP(S$13&amp;$B139,Aux!$B:$M,5,0),"")</f>
        <v/>
      </c>
      <c r="T135" s="60" t="str">
        <f>IFERROR(VLOOKUP(S$13&amp;$B135,Aux!$B:$M,3,0),"")</f>
        <v/>
      </c>
      <c r="U135" s="60"/>
      <c r="V135" s="60"/>
      <c r="W135" s="61" t="str">
        <f>IFERROR(VLOOKUP(S$13&amp;$B135,Aux!$B:$M,9,0),"")</f>
        <v/>
      </c>
      <c r="AA135" s="59" t="str">
        <f>IFERROR(VLOOKUP(AA$13&amp;$B139,Aux!$B:$M,5,0),"")</f>
        <v/>
      </c>
      <c r="AB135" s="60" t="str">
        <f>IFERROR(VLOOKUP(AA$13&amp;$B135,Aux!$B:$M,3,0),"")</f>
        <v/>
      </c>
      <c r="AC135" s="60"/>
      <c r="AD135" s="60"/>
      <c r="AE135" s="61" t="str">
        <f>IFERROR(VLOOKUP(AA$13&amp;$B135,Aux!$B:$M,9,0),"")</f>
        <v/>
      </c>
    </row>
    <row r="136" spans="2:31" x14ac:dyDescent="0.25">
      <c r="B136" s="53">
        <f t="shared" si="1"/>
        <v>25</v>
      </c>
      <c r="C136" s="59"/>
      <c r="D136" s="60"/>
      <c r="E136" s="60"/>
      <c r="F136" s="60"/>
      <c r="G136" s="61"/>
      <c r="K136" s="59"/>
      <c r="L136" s="60"/>
      <c r="M136" s="60"/>
      <c r="N136" s="60"/>
      <c r="O136" s="61"/>
      <c r="S136" s="59"/>
      <c r="T136" s="60"/>
      <c r="U136" s="60"/>
      <c r="V136" s="60"/>
      <c r="W136" s="61"/>
      <c r="AA136" s="59"/>
      <c r="AB136" s="60"/>
      <c r="AC136" s="60"/>
      <c r="AD136" s="60"/>
      <c r="AE136" s="61"/>
    </row>
    <row r="137" spans="2:31" x14ac:dyDescent="0.25">
      <c r="B137" s="53">
        <f t="shared" si="1"/>
        <v>25</v>
      </c>
      <c r="C137" s="59"/>
      <c r="D137" s="15" t="str">
        <f>IF(D135="","","Исполнитель"&amp;": ")</f>
        <v/>
      </c>
      <c r="E137" s="62" t="str">
        <f>IFERROR(VLOOKUP(C$13&amp;$B137,Aux!$B:$M,4,0),"")</f>
        <v/>
      </c>
      <c r="F137" s="62"/>
      <c r="G137" s="63" t="str">
        <f>IFERROR(IF(VLOOKUP(C$13&amp;$B135,Aux!$B:$M,8,0)="Да","✔","🕓"),"")</f>
        <v/>
      </c>
      <c r="K137" s="59"/>
      <c r="L137" s="15" t="str">
        <f>IF(L135="","","Исполнитель"&amp;": ")</f>
        <v/>
      </c>
      <c r="M137" s="62" t="str">
        <f>IFERROR(VLOOKUP(K$13&amp;$B137,Aux!$B:$M,4,0),"")</f>
        <v/>
      </c>
      <c r="N137" s="62"/>
      <c r="O137" s="63" t="str">
        <f>IFERROR(IF(VLOOKUP(K$13&amp;$B135,Aux!$B:$M,8,0)="Да","✔","🕓"),"")</f>
        <v/>
      </c>
      <c r="S137" s="59"/>
      <c r="T137" s="15" t="str">
        <f>IF(T135="","","Исполнитель"&amp;": ")</f>
        <v/>
      </c>
      <c r="U137" s="62" t="str">
        <f>IFERROR(VLOOKUP(S$13&amp;$B137,Aux!$B:$M,4,0),"")</f>
        <v/>
      </c>
      <c r="V137" s="62"/>
      <c r="W137" s="63" t="str">
        <f>IFERROR(IF(VLOOKUP(S$13&amp;$B135,Aux!$B:$M,8,0)="Да","✔","🕓"),"")</f>
        <v/>
      </c>
      <c r="AA137" s="59"/>
      <c r="AB137" s="15" t="str">
        <f>IF(AB135="","","Исполнитель"&amp;": ")</f>
        <v/>
      </c>
      <c r="AC137" s="62" t="str">
        <f>IFERROR(VLOOKUP(AA$13&amp;$B137,Aux!$B:$M,4,0),"")</f>
        <v/>
      </c>
      <c r="AD137" s="62"/>
      <c r="AE137" s="63" t="str">
        <f>IFERROR(IF(VLOOKUP(AA$13&amp;$B135,Aux!$B:$M,8,0)="Да","✔","🕓"),"")</f>
        <v/>
      </c>
    </row>
    <row r="138" spans="2:31" x14ac:dyDescent="0.25">
      <c r="B138" s="53">
        <f t="shared" si="1"/>
        <v>25</v>
      </c>
      <c r="C138" s="59"/>
      <c r="D138" s="16" t="str">
        <f>IF(D135="","","Срок сдачи"&amp;": ")</f>
        <v/>
      </c>
      <c r="E138" s="64" t="str">
        <f>IFERROR(VLOOKUP(C$13&amp;$B138,Aux!$B:$M,6,0),"")</f>
        <v/>
      </c>
      <c r="F138" s="64"/>
      <c r="G138" s="63"/>
      <c r="K138" s="59"/>
      <c r="L138" s="16" t="str">
        <f>IF(L135="","","Срок сдачи"&amp;": ")</f>
        <v/>
      </c>
      <c r="M138" s="64" t="str">
        <f>IFERROR(VLOOKUP(K$13&amp;$B138,Aux!$B:$M,6,0),"")</f>
        <v/>
      </c>
      <c r="N138" s="64"/>
      <c r="O138" s="63"/>
      <c r="S138" s="59"/>
      <c r="T138" s="16" t="str">
        <f>IF(T135="","","Срок сдачи"&amp;": ")</f>
        <v/>
      </c>
      <c r="U138" s="64" t="str">
        <f>IFERROR(VLOOKUP(S$13&amp;$B138,Aux!$B:$M,6,0),"")</f>
        <v/>
      </c>
      <c r="V138" s="64"/>
      <c r="W138" s="63"/>
      <c r="AA138" s="59"/>
      <c r="AB138" s="16" t="str">
        <f>IF(AB135="","","Срок сдачи"&amp;": ")</f>
        <v/>
      </c>
      <c r="AC138" s="64" t="str">
        <f>IFERROR(VLOOKUP(AA$13&amp;$B138,Aux!$B:$M,6,0),"")</f>
        <v/>
      </c>
      <c r="AD138" s="64"/>
      <c r="AE138" s="63"/>
    </row>
    <row r="139" spans="2:31" x14ac:dyDescent="0.25">
      <c r="B139" s="53">
        <f t="shared" si="1"/>
        <v>25</v>
      </c>
      <c r="C139" s="7"/>
      <c r="D139" s="17"/>
      <c r="E139" s="7"/>
      <c r="F139" s="18"/>
      <c r="G139" s="18"/>
      <c r="K139" s="13"/>
      <c r="L139" s="17"/>
      <c r="M139" s="13"/>
      <c r="N139" s="14"/>
      <c r="O139" s="14"/>
      <c r="S139" s="13"/>
      <c r="T139" s="17"/>
      <c r="U139" s="13"/>
      <c r="V139" s="14"/>
      <c r="W139" s="14"/>
      <c r="AA139" s="13"/>
      <c r="AB139" s="17"/>
      <c r="AC139" s="13"/>
      <c r="AD139" s="14"/>
      <c r="AE139" s="30"/>
    </row>
    <row r="140" spans="2:31" x14ac:dyDescent="0.25">
      <c r="B140" s="53">
        <f t="shared" si="1"/>
        <v>26</v>
      </c>
      <c r="C140" s="59" t="str">
        <f>IFERROR(VLOOKUP(C$13&amp;$B144,Aux!$B:$M,5,0),"")</f>
        <v/>
      </c>
      <c r="D140" s="60" t="str">
        <f>IFERROR(VLOOKUP(C$13&amp;$B140,Aux!$B:$M,3,0),"")</f>
        <v/>
      </c>
      <c r="E140" s="60"/>
      <c r="F140" s="60"/>
      <c r="G140" s="61" t="str">
        <f>IFERROR(VLOOKUP(C$13&amp;$B140,Aux!$B:$M,9,0),"")</f>
        <v/>
      </c>
      <c r="K140" s="59" t="str">
        <f>IFERROR(VLOOKUP(K$13&amp;$B144,Aux!$B:$M,5,0),"")</f>
        <v/>
      </c>
      <c r="L140" s="60" t="str">
        <f>IFERROR(VLOOKUP(K$13&amp;$B140,Aux!$B:$M,3,0),"")</f>
        <v/>
      </c>
      <c r="M140" s="60"/>
      <c r="N140" s="60"/>
      <c r="O140" s="61" t="str">
        <f>IFERROR(VLOOKUP(K$13&amp;$B140,Aux!$B:$M,9,0),"")</f>
        <v/>
      </c>
      <c r="S140" s="59" t="str">
        <f>IFERROR(VLOOKUP(S$13&amp;$B144,Aux!$B:$M,5,0),"")</f>
        <v/>
      </c>
      <c r="T140" s="60" t="str">
        <f>IFERROR(VLOOKUP(S$13&amp;$B140,Aux!$B:$M,3,0),"")</f>
        <v/>
      </c>
      <c r="U140" s="60"/>
      <c r="V140" s="60"/>
      <c r="W140" s="61" t="str">
        <f>IFERROR(VLOOKUP(S$13&amp;$B140,Aux!$B:$M,9,0),"")</f>
        <v/>
      </c>
      <c r="AA140" s="59" t="str">
        <f>IFERROR(VLOOKUP(AA$13&amp;$B144,Aux!$B:$M,5,0),"")</f>
        <v/>
      </c>
      <c r="AB140" s="60" t="str">
        <f>IFERROR(VLOOKUP(AA$13&amp;$B140,Aux!$B:$M,3,0),"")</f>
        <v/>
      </c>
      <c r="AC140" s="60"/>
      <c r="AD140" s="60"/>
      <c r="AE140" s="61" t="str">
        <f>IFERROR(VLOOKUP(AA$13&amp;$B140,Aux!$B:$M,9,0),"")</f>
        <v/>
      </c>
    </row>
    <row r="141" spans="2:31" x14ac:dyDescent="0.25">
      <c r="B141" s="53">
        <f t="shared" si="1"/>
        <v>26</v>
      </c>
      <c r="C141" s="59"/>
      <c r="D141" s="60"/>
      <c r="E141" s="60"/>
      <c r="F141" s="60"/>
      <c r="G141" s="61"/>
      <c r="K141" s="59"/>
      <c r="L141" s="60"/>
      <c r="M141" s="60"/>
      <c r="N141" s="60"/>
      <c r="O141" s="61"/>
      <c r="S141" s="59"/>
      <c r="T141" s="60"/>
      <c r="U141" s="60"/>
      <c r="V141" s="60"/>
      <c r="W141" s="61"/>
      <c r="AA141" s="59"/>
      <c r="AB141" s="60"/>
      <c r="AC141" s="60"/>
      <c r="AD141" s="60"/>
      <c r="AE141" s="61"/>
    </row>
    <row r="142" spans="2:31" x14ac:dyDescent="0.25">
      <c r="B142" s="53">
        <f t="shared" si="1"/>
        <v>26</v>
      </c>
      <c r="C142" s="59"/>
      <c r="D142" s="15" t="str">
        <f>IF(D140="","","Исполнитель"&amp;": ")</f>
        <v/>
      </c>
      <c r="E142" s="62" t="str">
        <f>IFERROR(VLOOKUP(C$13&amp;$B142,Aux!$B:$M,4,0),"")</f>
        <v/>
      </c>
      <c r="F142" s="62"/>
      <c r="G142" s="63" t="str">
        <f>IFERROR(IF(VLOOKUP(C$13&amp;$B140,Aux!$B:$M,8,0)="Да","✔","🕓"),"")</f>
        <v/>
      </c>
      <c r="K142" s="59"/>
      <c r="L142" s="15" t="str">
        <f>IF(L140="","","Исполнитель"&amp;": ")</f>
        <v/>
      </c>
      <c r="M142" s="62" t="str">
        <f>IFERROR(VLOOKUP(K$13&amp;$B142,Aux!$B:$M,4,0),"")</f>
        <v/>
      </c>
      <c r="N142" s="62"/>
      <c r="O142" s="63" t="str">
        <f>IFERROR(IF(VLOOKUP(K$13&amp;$B140,Aux!$B:$M,8,0)="Да","✔","🕓"),"")</f>
        <v/>
      </c>
      <c r="S142" s="59"/>
      <c r="T142" s="15" t="str">
        <f>IF(T140="","","Исполнитель"&amp;": ")</f>
        <v/>
      </c>
      <c r="U142" s="62" t="str">
        <f>IFERROR(VLOOKUP(S$13&amp;$B142,Aux!$B:$M,4,0),"")</f>
        <v/>
      </c>
      <c r="V142" s="62"/>
      <c r="W142" s="63" t="str">
        <f>IFERROR(IF(VLOOKUP(S$13&amp;$B140,Aux!$B:$M,8,0)="Да","✔","🕓"),"")</f>
        <v/>
      </c>
      <c r="AA142" s="59"/>
      <c r="AB142" s="15" t="str">
        <f>IF(AB140="","","Исполнитель"&amp;": ")</f>
        <v/>
      </c>
      <c r="AC142" s="62" t="str">
        <f>IFERROR(VLOOKUP(AA$13&amp;$B142,Aux!$B:$M,4,0),"")</f>
        <v/>
      </c>
      <c r="AD142" s="62"/>
      <c r="AE142" s="63" t="str">
        <f>IFERROR(IF(VLOOKUP(AA$13&amp;$B140,Aux!$B:$M,8,0)="Да","✔","🕓"),"")</f>
        <v/>
      </c>
    </row>
    <row r="143" spans="2:31" x14ac:dyDescent="0.25">
      <c r="B143" s="53">
        <f t="shared" si="1"/>
        <v>26</v>
      </c>
      <c r="C143" s="59"/>
      <c r="D143" s="16" t="str">
        <f>IF(D140="","","Срок сдачи"&amp;": ")</f>
        <v/>
      </c>
      <c r="E143" s="64" t="str">
        <f>IFERROR(VLOOKUP(C$13&amp;$B143,Aux!$B:$M,6,0),"")</f>
        <v/>
      </c>
      <c r="F143" s="64"/>
      <c r="G143" s="63"/>
      <c r="K143" s="59"/>
      <c r="L143" s="16" t="str">
        <f>IF(L140="","","Срок сдачи"&amp;": ")</f>
        <v/>
      </c>
      <c r="M143" s="64" t="str">
        <f>IFERROR(VLOOKUP(K$13&amp;$B143,Aux!$B:$M,6,0),"")</f>
        <v/>
      </c>
      <c r="N143" s="64"/>
      <c r="O143" s="63"/>
      <c r="S143" s="59"/>
      <c r="T143" s="16" t="str">
        <f>IF(T140="","","Срок сдачи"&amp;": ")</f>
        <v/>
      </c>
      <c r="U143" s="64" t="str">
        <f>IFERROR(VLOOKUP(S$13&amp;$B143,Aux!$B:$M,6,0),"")</f>
        <v/>
      </c>
      <c r="V143" s="64"/>
      <c r="W143" s="63"/>
      <c r="AA143" s="59"/>
      <c r="AB143" s="16" t="str">
        <f>IF(AB140="","","Срок сдачи"&amp;": ")</f>
        <v/>
      </c>
      <c r="AC143" s="64" t="str">
        <f>IFERROR(VLOOKUP(AA$13&amp;$B143,Aux!$B:$M,6,0),"")</f>
        <v/>
      </c>
      <c r="AD143" s="64"/>
      <c r="AE143" s="63"/>
    </row>
    <row r="144" spans="2:31" x14ac:dyDescent="0.25">
      <c r="B144" s="53">
        <f t="shared" si="1"/>
        <v>26</v>
      </c>
      <c r="C144" s="7"/>
      <c r="D144" s="17"/>
      <c r="E144" s="7"/>
      <c r="F144" s="18"/>
      <c r="G144" s="18"/>
      <c r="K144" s="13"/>
      <c r="L144" s="17"/>
      <c r="M144" s="13"/>
      <c r="N144" s="14"/>
      <c r="O144" s="14"/>
      <c r="S144" s="13"/>
      <c r="T144" s="17"/>
      <c r="U144" s="13"/>
      <c r="V144" s="14"/>
      <c r="W144" s="14"/>
      <c r="AA144" s="13"/>
      <c r="AB144" s="17"/>
      <c r="AC144" s="13"/>
      <c r="AD144" s="14"/>
      <c r="AE144" s="30"/>
    </row>
    <row r="145" spans="2:31" x14ac:dyDescent="0.25">
      <c r="B145" s="53">
        <f t="shared" si="1"/>
        <v>27</v>
      </c>
      <c r="C145" s="59" t="str">
        <f>IFERROR(VLOOKUP(C$13&amp;$B149,Aux!$B:$M,5,0),"")</f>
        <v/>
      </c>
      <c r="D145" s="60" t="str">
        <f>IFERROR(VLOOKUP(C$13&amp;$B145,Aux!$B:$M,3,0),"")</f>
        <v/>
      </c>
      <c r="E145" s="60"/>
      <c r="F145" s="60"/>
      <c r="G145" s="61" t="str">
        <f>IFERROR(VLOOKUP(C$13&amp;$B145,Aux!$B:$M,9,0),"")</f>
        <v/>
      </c>
      <c r="K145" s="59" t="str">
        <f>IFERROR(VLOOKUP(K$13&amp;$B149,Aux!$B:$M,5,0),"")</f>
        <v/>
      </c>
      <c r="L145" s="60" t="str">
        <f>IFERROR(VLOOKUP(K$13&amp;$B145,Aux!$B:$M,3,0),"")</f>
        <v/>
      </c>
      <c r="M145" s="60"/>
      <c r="N145" s="60"/>
      <c r="O145" s="61" t="str">
        <f>IFERROR(VLOOKUP(K$13&amp;$B145,Aux!$B:$M,9,0),"")</f>
        <v/>
      </c>
      <c r="S145" s="59" t="str">
        <f>IFERROR(VLOOKUP(S$13&amp;$B149,Aux!$B:$M,5,0),"")</f>
        <v/>
      </c>
      <c r="T145" s="60" t="str">
        <f>IFERROR(VLOOKUP(S$13&amp;$B145,Aux!$B:$M,3,0),"")</f>
        <v/>
      </c>
      <c r="U145" s="60"/>
      <c r="V145" s="60"/>
      <c r="W145" s="61" t="str">
        <f>IFERROR(VLOOKUP(S$13&amp;$B145,Aux!$B:$M,9,0),"")</f>
        <v/>
      </c>
      <c r="AA145" s="59" t="str">
        <f>IFERROR(VLOOKUP(AA$13&amp;$B149,Aux!$B:$M,5,0),"")</f>
        <v/>
      </c>
      <c r="AB145" s="60" t="str">
        <f>IFERROR(VLOOKUP(AA$13&amp;$B145,Aux!$B:$M,3,0),"")</f>
        <v/>
      </c>
      <c r="AC145" s="60"/>
      <c r="AD145" s="60"/>
      <c r="AE145" s="61" t="str">
        <f>IFERROR(VLOOKUP(AA$13&amp;$B145,Aux!$B:$M,9,0),"")</f>
        <v/>
      </c>
    </row>
    <row r="146" spans="2:31" x14ac:dyDescent="0.25">
      <c r="B146" s="53">
        <f t="shared" si="1"/>
        <v>27</v>
      </c>
      <c r="C146" s="59"/>
      <c r="D146" s="60"/>
      <c r="E146" s="60"/>
      <c r="F146" s="60"/>
      <c r="G146" s="61"/>
      <c r="K146" s="59"/>
      <c r="L146" s="60"/>
      <c r="M146" s="60"/>
      <c r="N146" s="60"/>
      <c r="O146" s="61"/>
      <c r="S146" s="59"/>
      <c r="T146" s="60"/>
      <c r="U146" s="60"/>
      <c r="V146" s="60"/>
      <c r="W146" s="61"/>
      <c r="AA146" s="59"/>
      <c r="AB146" s="60"/>
      <c r="AC146" s="60"/>
      <c r="AD146" s="60"/>
      <c r="AE146" s="61"/>
    </row>
    <row r="147" spans="2:31" x14ac:dyDescent="0.25">
      <c r="B147" s="53">
        <f t="shared" si="1"/>
        <v>27</v>
      </c>
      <c r="C147" s="59"/>
      <c r="D147" s="15" t="str">
        <f>IF(D145="","","Исполнитель"&amp;": ")</f>
        <v/>
      </c>
      <c r="E147" s="62" t="str">
        <f>IFERROR(VLOOKUP(C$13&amp;$B147,Aux!$B:$M,4,0),"")</f>
        <v/>
      </c>
      <c r="F147" s="62"/>
      <c r="G147" s="63" t="str">
        <f>IFERROR(IF(VLOOKUP(C$13&amp;$B145,Aux!$B:$M,8,0)="Да","✔","🕓"),"")</f>
        <v/>
      </c>
      <c r="K147" s="59"/>
      <c r="L147" s="15" t="str">
        <f>IF(L145="","","Исполнитель"&amp;": ")</f>
        <v/>
      </c>
      <c r="M147" s="62" t="str">
        <f>IFERROR(VLOOKUP(K$13&amp;$B147,Aux!$B:$M,4,0),"")</f>
        <v/>
      </c>
      <c r="N147" s="62"/>
      <c r="O147" s="63" t="str">
        <f>IFERROR(IF(VLOOKUP(K$13&amp;$B145,Aux!$B:$M,8,0)="Да","✔","🕓"),"")</f>
        <v/>
      </c>
      <c r="S147" s="59"/>
      <c r="T147" s="15" t="str">
        <f>IF(T145="","","Исполнитель"&amp;": ")</f>
        <v/>
      </c>
      <c r="U147" s="62" t="str">
        <f>IFERROR(VLOOKUP(S$13&amp;$B147,Aux!$B:$M,4,0),"")</f>
        <v/>
      </c>
      <c r="V147" s="62"/>
      <c r="W147" s="63" t="str">
        <f>IFERROR(IF(VLOOKUP(S$13&amp;$B145,Aux!$B:$M,8,0)="Да","✔","🕓"),"")</f>
        <v/>
      </c>
      <c r="AA147" s="59"/>
      <c r="AB147" s="15" t="str">
        <f>IF(AB145="","","Исполнитель"&amp;": ")</f>
        <v/>
      </c>
      <c r="AC147" s="62" t="str">
        <f>IFERROR(VLOOKUP(AA$13&amp;$B147,Aux!$B:$M,4,0),"")</f>
        <v/>
      </c>
      <c r="AD147" s="62"/>
      <c r="AE147" s="63" t="str">
        <f>IFERROR(IF(VLOOKUP(AA$13&amp;$B145,Aux!$B:$M,8,0)="Да","✔","🕓"),"")</f>
        <v/>
      </c>
    </row>
    <row r="148" spans="2:31" x14ac:dyDescent="0.25">
      <c r="B148" s="53">
        <f t="shared" si="1"/>
        <v>27</v>
      </c>
      <c r="C148" s="59"/>
      <c r="D148" s="16" t="str">
        <f>IF(D145="","","Срок сдачи"&amp;": ")</f>
        <v/>
      </c>
      <c r="E148" s="64" t="str">
        <f>IFERROR(VLOOKUP(C$13&amp;$B148,Aux!$B:$M,6,0),"")</f>
        <v/>
      </c>
      <c r="F148" s="64"/>
      <c r="G148" s="63"/>
      <c r="K148" s="59"/>
      <c r="L148" s="16" t="str">
        <f>IF(L145="","","Срок сдачи"&amp;": ")</f>
        <v/>
      </c>
      <c r="M148" s="64" t="str">
        <f>IFERROR(VLOOKUP(K$13&amp;$B148,Aux!$B:$M,6,0),"")</f>
        <v/>
      </c>
      <c r="N148" s="64"/>
      <c r="O148" s="63"/>
      <c r="S148" s="59"/>
      <c r="T148" s="16" t="str">
        <f>IF(T145="","","Срок сдачи"&amp;": ")</f>
        <v/>
      </c>
      <c r="U148" s="64" t="str">
        <f>IFERROR(VLOOKUP(S$13&amp;$B148,Aux!$B:$M,6,0),"")</f>
        <v/>
      </c>
      <c r="V148" s="64"/>
      <c r="W148" s="63"/>
      <c r="AA148" s="59"/>
      <c r="AB148" s="16" t="str">
        <f>IF(AB145="","","Срок сдачи"&amp;": ")</f>
        <v/>
      </c>
      <c r="AC148" s="64" t="str">
        <f>IFERROR(VLOOKUP(AA$13&amp;$B148,Aux!$B:$M,6,0),"")</f>
        <v/>
      </c>
      <c r="AD148" s="64"/>
      <c r="AE148" s="63"/>
    </row>
    <row r="149" spans="2:31" x14ac:dyDescent="0.25">
      <c r="B149" s="53">
        <f t="shared" ref="B149:B212" si="2">B144+1</f>
        <v>27</v>
      </c>
      <c r="C149" s="7"/>
      <c r="D149" s="17"/>
      <c r="E149" s="7"/>
      <c r="F149" s="18"/>
      <c r="G149" s="18"/>
      <c r="K149" s="13"/>
      <c r="L149" s="17"/>
      <c r="M149" s="13"/>
      <c r="N149" s="14"/>
      <c r="O149" s="14"/>
      <c r="S149" s="13"/>
      <c r="T149" s="17"/>
      <c r="U149" s="13"/>
      <c r="V149" s="14"/>
      <c r="W149" s="14"/>
      <c r="AA149" s="13"/>
      <c r="AB149" s="17"/>
      <c r="AC149" s="13"/>
      <c r="AD149" s="14"/>
      <c r="AE149" s="30"/>
    </row>
    <row r="150" spans="2:31" x14ac:dyDescent="0.25">
      <c r="B150" s="53">
        <f t="shared" si="2"/>
        <v>28</v>
      </c>
      <c r="C150" s="59" t="str">
        <f>IFERROR(VLOOKUP(C$13&amp;$B154,Aux!$B:$M,5,0),"")</f>
        <v/>
      </c>
      <c r="D150" s="60" t="str">
        <f>IFERROR(VLOOKUP(C$13&amp;$B150,Aux!$B:$M,3,0),"")</f>
        <v/>
      </c>
      <c r="E150" s="60"/>
      <c r="F150" s="60"/>
      <c r="G150" s="61" t="str">
        <f>IFERROR(VLOOKUP(C$13&amp;$B150,Aux!$B:$M,9,0),"")</f>
        <v/>
      </c>
      <c r="K150" s="59" t="str">
        <f>IFERROR(VLOOKUP(K$13&amp;$B154,Aux!$B:$M,5,0),"")</f>
        <v/>
      </c>
      <c r="L150" s="60" t="str">
        <f>IFERROR(VLOOKUP(K$13&amp;$B150,Aux!$B:$M,3,0),"")</f>
        <v/>
      </c>
      <c r="M150" s="60"/>
      <c r="N150" s="60"/>
      <c r="O150" s="61" t="str">
        <f>IFERROR(VLOOKUP(K$13&amp;$B150,Aux!$B:$M,9,0),"")</f>
        <v/>
      </c>
      <c r="S150" s="59" t="str">
        <f>IFERROR(VLOOKUP(S$13&amp;$B154,Aux!$B:$M,5,0),"")</f>
        <v/>
      </c>
      <c r="T150" s="60" t="str">
        <f>IFERROR(VLOOKUP(S$13&amp;$B150,Aux!$B:$M,3,0),"")</f>
        <v/>
      </c>
      <c r="U150" s="60"/>
      <c r="V150" s="60"/>
      <c r="W150" s="61" t="str">
        <f>IFERROR(VLOOKUP(S$13&amp;$B150,Aux!$B:$M,9,0),"")</f>
        <v/>
      </c>
      <c r="AA150" s="59" t="str">
        <f>IFERROR(VLOOKUP(AA$13&amp;$B154,Aux!$B:$M,5,0),"")</f>
        <v/>
      </c>
      <c r="AB150" s="60" t="str">
        <f>IFERROR(VLOOKUP(AA$13&amp;$B150,Aux!$B:$M,3,0),"")</f>
        <v/>
      </c>
      <c r="AC150" s="60"/>
      <c r="AD150" s="60"/>
      <c r="AE150" s="61" t="str">
        <f>IFERROR(VLOOKUP(AA$13&amp;$B150,Aux!$B:$M,9,0),"")</f>
        <v/>
      </c>
    </row>
    <row r="151" spans="2:31" x14ac:dyDescent="0.25">
      <c r="B151" s="53">
        <f t="shared" si="2"/>
        <v>28</v>
      </c>
      <c r="C151" s="59"/>
      <c r="D151" s="60"/>
      <c r="E151" s="60"/>
      <c r="F151" s="60"/>
      <c r="G151" s="61"/>
      <c r="K151" s="59"/>
      <c r="L151" s="60"/>
      <c r="M151" s="60"/>
      <c r="N151" s="60"/>
      <c r="O151" s="61"/>
      <c r="S151" s="59"/>
      <c r="T151" s="60"/>
      <c r="U151" s="60"/>
      <c r="V151" s="60"/>
      <c r="W151" s="61"/>
      <c r="AA151" s="59"/>
      <c r="AB151" s="60"/>
      <c r="AC151" s="60"/>
      <c r="AD151" s="60"/>
      <c r="AE151" s="61"/>
    </row>
    <row r="152" spans="2:31" x14ac:dyDescent="0.25">
      <c r="B152" s="53">
        <f t="shared" si="2"/>
        <v>28</v>
      </c>
      <c r="C152" s="59"/>
      <c r="D152" s="15" t="str">
        <f>IF(D150="","","Исполнитель"&amp;": ")</f>
        <v/>
      </c>
      <c r="E152" s="62" t="str">
        <f>IFERROR(VLOOKUP(C$13&amp;$B152,Aux!$B:$M,4,0),"")</f>
        <v/>
      </c>
      <c r="F152" s="62"/>
      <c r="G152" s="63" t="str">
        <f>IFERROR(IF(VLOOKUP(C$13&amp;$B150,Aux!$B:$M,8,0)="Да","✔","🕓"),"")</f>
        <v/>
      </c>
      <c r="K152" s="59"/>
      <c r="L152" s="15" t="str">
        <f>IF(L150="","","Исполнитель"&amp;": ")</f>
        <v/>
      </c>
      <c r="M152" s="62" t="str">
        <f>IFERROR(VLOOKUP(K$13&amp;$B152,Aux!$B:$M,4,0),"")</f>
        <v/>
      </c>
      <c r="N152" s="62"/>
      <c r="O152" s="63" t="str">
        <f>IFERROR(IF(VLOOKUP(K$13&amp;$B150,Aux!$B:$M,8,0)="Да","✔","🕓"),"")</f>
        <v/>
      </c>
      <c r="S152" s="59"/>
      <c r="T152" s="15" t="str">
        <f>IF(T150="","","Исполнитель"&amp;": ")</f>
        <v/>
      </c>
      <c r="U152" s="62" t="str">
        <f>IFERROR(VLOOKUP(S$13&amp;$B152,Aux!$B:$M,4,0),"")</f>
        <v/>
      </c>
      <c r="V152" s="62"/>
      <c r="W152" s="63" t="str">
        <f>IFERROR(IF(VLOOKUP(S$13&amp;$B150,Aux!$B:$M,8,0)="Да","✔","🕓"),"")</f>
        <v/>
      </c>
      <c r="AA152" s="59"/>
      <c r="AB152" s="15" t="str">
        <f>IF(AB150="","","Исполнитель"&amp;": ")</f>
        <v/>
      </c>
      <c r="AC152" s="62" t="str">
        <f>IFERROR(VLOOKUP(AA$13&amp;$B152,Aux!$B:$M,4,0),"")</f>
        <v/>
      </c>
      <c r="AD152" s="62"/>
      <c r="AE152" s="63" t="str">
        <f>IFERROR(IF(VLOOKUP(AA$13&amp;$B150,Aux!$B:$M,8,0)="Да","✔","🕓"),"")</f>
        <v/>
      </c>
    </row>
    <row r="153" spans="2:31" x14ac:dyDescent="0.25">
      <c r="B153" s="53">
        <f t="shared" si="2"/>
        <v>28</v>
      </c>
      <c r="C153" s="59"/>
      <c r="D153" s="16" t="str">
        <f>IF(D150="","","Срок сдачи"&amp;": ")</f>
        <v/>
      </c>
      <c r="E153" s="64" t="str">
        <f>IFERROR(VLOOKUP(C$13&amp;$B153,Aux!$B:$M,6,0),"")</f>
        <v/>
      </c>
      <c r="F153" s="64"/>
      <c r="G153" s="63"/>
      <c r="K153" s="59"/>
      <c r="L153" s="16" t="str">
        <f>IF(L150="","","Срок сдачи"&amp;": ")</f>
        <v/>
      </c>
      <c r="M153" s="64" t="str">
        <f>IFERROR(VLOOKUP(K$13&amp;$B153,Aux!$B:$M,6,0),"")</f>
        <v/>
      </c>
      <c r="N153" s="64"/>
      <c r="O153" s="63"/>
      <c r="S153" s="59"/>
      <c r="T153" s="16" t="str">
        <f>IF(T150="","","Срок сдачи"&amp;": ")</f>
        <v/>
      </c>
      <c r="U153" s="64" t="str">
        <f>IFERROR(VLOOKUP(S$13&amp;$B153,Aux!$B:$M,6,0),"")</f>
        <v/>
      </c>
      <c r="V153" s="64"/>
      <c r="W153" s="63"/>
      <c r="AA153" s="59"/>
      <c r="AB153" s="16" t="str">
        <f>IF(AB150="","","Срок сдачи"&amp;": ")</f>
        <v/>
      </c>
      <c r="AC153" s="64" t="str">
        <f>IFERROR(VLOOKUP(AA$13&amp;$B153,Aux!$B:$M,6,0),"")</f>
        <v/>
      </c>
      <c r="AD153" s="64"/>
      <c r="AE153" s="63"/>
    </row>
    <row r="154" spans="2:31" x14ac:dyDescent="0.25">
      <c r="B154" s="53">
        <f t="shared" si="2"/>
        <v>28</v>
      </c>
      <c r="C154" s="7"/>
      <c r="D154" s="17"/>
      <c r="E154" s="7"/>
      <c r="F154" s="18"/>
      <c r="G154" s="18"/>
      <c r="K154" s="13"/>
      <c r="L154" s="17"/>
      <c r="M154" s="13"/>
      <c r="N154" s="14"/>
      <c r="O154" s="14"/>
      <c r="S154" s="13"/>
      <c r="T154" s="17"/>
      <c r="U154" s="13"/>
      <c r="V154" s="14"/>
      <c r="W154" s="14"/>
      <c r="AA154" s="13"/>
      <c r="AB154" s="17"/>
      <c r="AC154" s="13"/>
      <c r="AD154" s="14"/>
      <c r="AE154" s="30"/>
    </row>
    <row r="155" spans="2:31" x14ac:dyDescent="0.25">
      <c r="B155" s="53">
        <f t="shared" si="2"/>
        <v>29</v>
      </c>
      <c r="C155" s="59" t="str">
        <f>IFERROR(VLOOKUP(C$13&amp;$B159,Aux!$B:$M,5,0),"")</f>
        <v/>
      </c>
      <c r="D155" s="60" t="str">
        <f>IFERROR(VLOOKUP(C$13&amp;$B155,Aux!$B:$M,3,0),"")</f>
        <v/>
      </c>
      <c r="E155" s="60"/>
      <c r="F155" s="60"/>
      <c r="G155" s="61" t="str">
        <f>IFERROR(VLOOKUP(C$13&amp;$B155,Aux!$B:$M,9,0),"")</f>
        <v/>
      </c>
      <c r="K155" s="59" t="str">
        <f>IFERROR(VLOOKUP(K$13&amp;$B159,Aux!$B:$M,5,0),"")</f>
        <v/>
      </c>
      <c r="L155" s="60" t="str">
        <f>IFERROR(VLOOKUP(K$13&amp;$B155,Aux!$B:$M,3,0),"")</f>
        <v/>
      </c>
      <c r="M155" s="60"/>
      <c r="N155" s="60"/>
      <c r="O155" s="61" t="str">
        <f>IFERROR(VLOOKUP(K$13&amp;$B155,Aux!$B:$M,9,0),"")</f>
        <v/>
      </c>
      <c r="S155" s="59" t="str">
        <f>IFERROR(VLOOKUP(S$13&amp;$B159,Aux!$B:$M,5,0),"")</f>
        <v/>
      </c>
      <c r="T155" s="60" t="str">
        <f>IFERROR(VLOOKUP(S$13&amp;$B155,Aux!$B:$M,3,0),"")</f>
        <v/>
      </c>
      <c r="U155" s="60"/>
      <c r="V155" s="60"/>
      <c r="W155" s="61" t="str">
        <f>IFERROR(VLOOKUP(S$13&amp;$B155,Aux!$B:$M,9,0),"")</f>
        <v/>
      </c>
      <c r="AA155" s="59" t="str">
        <f>IFERROR(VLOOKUP(AA$13&amp;$B159,Aux!$B:$M,5,0),"")</f>
        <v/>
      </c>
      <c r="AB155" s="60" t="str">
        <f>IFERROR(VLOOKUP(AA$13&amp;$B155,Aux!$B:$M,3,0),"")</f>
        <v/>
      </c>
      <c r="AC155" s="60"/>
      <c r="AD155" s="60"/>
      <c r="AE155" s="61" t="str">
        <f>IFERROR(VLOOKUP(AA$13&amp;$B155,Aux!$B:$M,9,0),"")</f>
        <v/>
      </c>
    </row>
    <row r="156" spans="2:31" x14ac:dyDescent="0.25">
      <c r="B156" s="53">
        <f t="shared" si="2"/>
        <v>29</v>
      </c>
      <c r="C156" s="59"/>
      <c r="D156" s="60"/>
      <c r="E156" s="60"/>
      <c r="F156" s="60"/>
      <c r="G156" s="61"/>
      <c r="K156" s="59"/>
      <c r="L156" s="60"/>
      <c r="M156" s="60"/>
      <c r="N156" s="60"/>
      <c r="O156" s="61"/>
      <c r="S156" s="59"/>
      <c r="T156" s="60"/>
      <c r="U156" s="60"/>
      <c r="V156" s="60"/>
      <c r="W156" s="61"/>
      <c r="AA156" s="59"/>
      <c r="AB156" s="60"/>
      <c r="AC156" s="60"/>
      <c r="AD156" s="60"/>
      <c r="AE156" s="61"/>
    </row>
    <row r="157" spans="2:31" x14ac:dyDescent="0.25">
      <c r="B157" s="53">
        <f t="shared" si="2"/>
        <v>29</v>
      </c>
      <c r="C157" s="59"/>
      <c r="D157" s="15" t="str">
        <f>IF(D155="","","Исполнитель"&amp;": ")</f>
        <v/>
      </c>
      <c r="E157" s="62" t="str">
        <f>IFERROR(VLOOKUP(C$13&amp;$B157,Aux!$B:$M,4,0),"")</f>
        <v/>
      </c>
      <c r="F157" s="62"/>
      <c r="G157" s="63" t="str">
        <f>IFERROR(IF(VLOOKUP(C$13&amp;$B155,Aux!$B:$M,8,0)="Да","✔","🕓"),"")</f>
        <v/>
      </c>
      <c r="K157" s="59"/>
      <c r="L157" s="15" t="str">
        <f>IF(L155="","","Исполнитель"&amp;": ")</f>
        <v/>
      </c>
      <c r="M157" s="62" t="str">
        <f>IFERROR(VLOOKUP(K$13&amp;$B157,Aux!$B:$M,4,0),"")</f>
        <v/>
      </c>
      <c r="N157" s="62"/>
      <c r="O157" s="63" t="str">
        <f>IFERROR(IF(VLOOKUP(K$13&amp;$B155,Aux!$B:$M,8,0)="Да","✔","🕓"),"")</f>
        <v/>
      </c>
      <c r="S157" s="59"/>
      <c r="T157" s="15" t="str">
        <f>IF(T155="","","Исполнитель"&amp;": ")</f>
        <v/>
      </c>
      <c r="U157" s="62" t="str">
        <f>IFERROR(VLOOKUP(S$13&amp;$B157,Aux!$B:$M,4,0),"")</f>
        <v/>
      </c>
      <c r="V157" s="62"/>
      <c r="W157" s="63" t="str">
        <f>IFERROR(IF(VLOOKUP(S$13&amp;$B155,Aux!$B:$M,8,0)="Да","✔","🕓"),"")</f>
        <v/>
      </c>
      <c r="AA157" s="59"/>
      <c r="AB157" s="15" t="str">
        <f>IF(AB155="","","Исполнитель"&amp;": ")</f>
        <v/>
      </c>
      <c r="AC157" s="62" t="str">
        <f>IFERROR(VLOOKUP(AA$13&amp;$B157,Aux!$B:$M,4,0),"")</f>
        <v/>
      </c>
      <c r="AD157" s="62"/>
      <c r="AE157" s="63" t="str">
        <f>IFERROR(IF(VLOOKUP(AA$13&amp;$B155,Aux!$B:$M,8,0)="Да","✔","🕓"),"")</f>
        <v/>
      </c>
    </row>
    <row r="158" spans="2:31" x14ac:dyDescent="0.25">
      <c r="B158" s="53">
        <f t="shared" si="2"/>
        <v>29</v>
      </c>
      <c r="C158" s="59"/>
      <c r="D158" s="16" t="str">
        <f>IF(D155="","","Срок сдачи"&amp;": ")</f>
        <v/>
      </c>
      <c r="E158" s="64" t="str">
        <f>IFERROR(VLOOKUP(C$13&amp;$B158,Aux!$B:$M,6,0),"")</f>
        <v/>
      </c>
      <c r="F158" s="64"/>
      <c r="G158" s="63"/>
      <c r="K158" s="59"/>
      <c r="L158" s="16" t="str">
        <f>IF(L155="","","Срок сдачи"&amp;": ")</f>
        <v/>
      </c>
      <c r="M158" s="64" t="str">
        <f>IFERROR(VLOOKUP(K$13&amp;$B158,Aux!$B:$M,6,0),"")</f>
        <v/>
      </c>
      <c r="N158" s="64"/>
      <c r="O158" s="63"/>
      <c r="S158" s="59"/>
      <c r="T158" s="16" t="str">
        <f>IF(T155="","","Срок сдачи"&amp;": ")</f>
        <v/>
      </c>
      <c r="U158" s="64" t="str">
        <f>IFERROR(VLOOKUP(S$13&amp;$B158,Aux!$B:$M,6,0),"")</f>
        <v/>
      </c>
      <c r="V158" s="64"/>
      <c r="W158" s="63"/>
      <c r="AA158" s="59"/>
      <c r="AB158" s="16" t="str">
        <f>IF(AB155="","","Срок сдачи"&amp;": ")</f>
        <v/>
      </c>
      <c r="AC158" s="64" t="str">
        <f>IFERROR(VLOOKUP(AA$13&amp;$B158,Aux!$B:$M,6,0),"")</f>
        <v/>
      </c>
      <c r="AD158" s="64"/>
      <c r="AE158" s="63"/>
    </row>
    <row r="159" spans="2:31" x14ac:dyDescent="0.25">
      <c r="B159" s="53">
        <f t="shared" si="2"/>
        <v>29</v>
      </c>
      <c r="C159" s="7"/>
      <c r="D159" s="17"/>
      <c r="E159" s="7"/>
      <c r="F159" s="18"/>
      <c r="G159" s="18"/>
      <c r="K159" s="13"/>
      <c r="L159" s="17"/>
      <c r="M159" s="13"/>
      <c r="N159" s="14"/>
      <c r="O159" s="14"/>
      <c r="S159" s="13"/>
      <c r="T159" s="17"/>
      <c r="U159" s="13"/>
      <c r="V159" s="14"/>
      <c r="W159" s="14"/>
      <c r="AA159" s="13"/>
      <c r="AB159" s="17"/>
      <c r="AC159" s="13"/>
      <c r="AD159" s="14"/>
      <c r="AE159" s="30"/>
    </row>
    <row r="160" spans="2:31" x14ac:dyDescent="0.25">
      <c r="B160" s="53">
        <f t="shared" si="2"/>
        <v>30</v>
      </c>
      <c r="C160" s="59" t="str">
        <f>IFERROR(VLOOKUP(C$13&amp;$B164,Aux!$B:$M,5,0),"")</f>
        <v/>
      </c>
      <c r="D160" s="60" t="str">
        <f>IFERROR(VLOOKUP(C$13&amp;$B160,Aux!$B:$M,3,0),"")</f>
        <v/>
      </c>
      <c r="E160" s="60"/>
      <c r="F160" s="60"/>
      <c r="G160" s="61" t="str">
        <f>IFERROR(VLOOKUP(C$13&amp;$B160,Aux!$B:$M,9,0),"")</f>
        <v/>
      </c>
      <c r="K160" s="59" t="str">
        <f>IFERROR(VLOOKUP(K$13&amp;$B164,Aux!$B:$M,5,0),"")</f>
        <v/>
      </c>
      <c r="L160" s="60" t="str">
        <f>IFERROR(VLOOKUP(K$13&amp;$B160,Aux!$B:$M,3,0),"")</f>
        <v/>
      </c>
      <c r="M160" s="60"/>
      <c r="N160" s="60"/>
      <c r="O160" s="61" t="str">
        <f>IFERROR(VLOOKUP(K$13&amp;$B160,Aux!$B:$M,9,0),"")</f>
        <v/>
      </c>
      <c r="S160" s="59" t="str">
        <f>IFERROR(VLOOKUP(S$13&amp;$B164,Aux!$B:$M,5,0),"")</f>
        <v/>
      </c>
      <c r="T160" s="60" t="str">
        <f>IFERROR(VLOOKUP(S$13&amp;$B160,Aux!$B:$M,3,0),"")</f>
        <v/>
      </c>
      <c r="U160" s="60"/>
      <c r="V160" s="60"/>
      <c r="W160" s="61" t="str">
        <f>IFERROR(VLOOKUP(S$13&amp;$B160,Aux!$B:$M,9,0),"")</f>
        <v/>
      </c>
      <c r="AA160" s="59" t="str">
        <f>IFERROR(VLOOKUP(AA$13&amp;$B164,Aux!$B:$M,5,0),"")</f>
        <v/>
      </c>
      <c r="AB160" s="60" t="str">
        <f>IFERROR(VLOOKUP(AA$13&amp;$B160,Aux!$B:$M,3,0),"")</f>
        <v/>
      </c>
      <c r="AC160" s="60"/>
      <c r="AD160" s="60"/>
      <c r="AE160" s="61" t="str">
        <f>IFERROR(VLOOKUP(AA$13&amp;$B160,Aux!$B:$M,9,0),"")</f>
        <v/>
      </c>
    </row>
    <row r="161" spans="2:31" x14ac:dyDescent="0.25">
      <c r="B161" s="53">
        <f t="shared" si="2"/>
        <v>30</v>
      </c>
      <c r="C161" s="59"/>
      <c r="D161" s="60"/>
      <c r="E161" s="60"/>
      <c r="F161" s="60"/>
      <c r="G161" s="61"/>
      <c r="K161" s="59"/>
      <c r="L161" s="60"/>
      <c r="M161" s="60"/>
      <c r="N161" s="60"/>
      <c r="O161" s="61"/>
      <c r="S161" s="59"/>
      <c r="T161" s="60"/>
      <c r="U161" s="60"/>
      <c r="V161" s="60"/>
      <c r="W161" s="61"/>
      <c r="AA161" s="59"/>
      <c r="AB161" s="60"/>
      <c r="AC161" s="60"/>
      <c r="AD161" s="60"/>
      <c r="AE161" s="61"/>
    </row>
    <row r="162" spans="2:31" x14ac:dyDescent="0.25">
      <c r="B162" s="53">
        <f t="shared" si="2"/>
        <v>30</v>
      </c>
      <c r="C162" s="59"/>
      <c r="D162" s="15" t="str">
        <f>IF(D160="","","Исполнитель"&amp;": ")</f>
        <v/>
      </c>
      <c r="E162" s="62" t="str">
        <f>IFERROR(VLOOKUP(C$13&amp;$B162,Aux!$B:$M,4,0),"")</f>
        <v/>
      </c>
      <c r="F162" s="62"/>
      <c r="G162" s="63" t="str">
        <f>IFERROR(IF(VLOOKUP(C$13&amp;$B160,Aux!$B:$M,8,0)="Да","✔","🕓"),"")</f>
        <v/>
      </c>
      <c r="K162" s="59"/>
      <c r="L162" s="15" t="str">
        <f>IF(L160="","","Исполнитель"&amp;": ")</f>
        <v/>
      </c>
      <c r="M162" s="62" t="str">
        <f>IFERROR(VLOOKUP(K$13&amp;$B162,Aux!$B:$M,4,0),"")</f>
        <v/>
      </c>
      <c r="N162" s="62"/>
      <c r="O162" s="63" t="str">
        <f>IFERROR(IF(VLOOKUP(K$13&amp;$B160,Aux!$B:$M,8,0)="Да","✔","🕓"),"")</f>
        <v/>
      </c>
      <c r="S162" s="59"/>
      <c r="T162" s="15" t="str">
        <f>IF(T160="","","Исполнитель"&amp;": ")</f>
        <v/>
      </c>
      <c r="U162" s="62" t="str">
        <f>IFERROR(VLOOKUP(S$13&amp;$B162,Aux!$B:$M,4,0),"")</f>
        <v/>
      </c>
      <c r="V162" s="62"/>
      <c r="W162" s="63" t="str">
        <f>IFERROR(IF(VLOOKUP(S$13&amp;$B160,Aux!$B:$M,8,0)="Да","✔","🕓"),"")</f>
        <v/>
      </c>
      <c r="AA162" s="59"/>
      <c r="AB162" s="15" t="str">
        <f>IF(AB160="","","Исполнитель"&amp;": ")</f>
        <v/>
      </c>
      <c r="AC162" s="62" t="str">
        <f>IFERROR(VLOOKUP(AA$13&amp;$B162,Aux!$B:$M,4,0),"")</f>
        <v/>
      </c>
      <c r="AD162" s="62"/>
      <c r="AE162" s="63" t="str">
        <f>IFERROR(IF(VLOOKUP(AA$13&amp;$B160,Aux!$B:$M,8,0)="Да","✔","🕓"),"")</f>
        <v/>
      </c>
    </row>
    <row r="163" spans="2:31" x14ac:dyDescent="0.25">
      <c r="B163" s="53">
        <f t="shared" si="2"/>
        <v>30</v>
      </c>
      <c r="C163" s="59"/>
      <c r="D163" s="16" t="str">
        <f>IF(D160="","","Срок сдачи"&amp;": ")</f>
        <v/>
      </c>
      <c r="E163" s="64" t="str">
        <f>IFERROR(VLOOKUP(C$13&amp;$B163,Aux!$B:$M,6,0),"")</f>
        <v/>
      </c>
      <c r="F163" s="64"/>
      <c r="G163" s="63"/>
      <c r="K163" s="59"/>
      <c r="L163" s="16" t="str">
        <f>IF(L160="","","Срок сдачи"&amp;": ")</f>
        <v/>
      </c>
      <c r="M163" s="64" t="str">
        <f>IFERROR(VLOOKUP(K$13&amp;$B163,Aux!$B:$M,6,0),"")</f>
        <v/>
      </c>
      <c r="N163" s="64"/>
      <c r="O163" s="63"/>
      <c r="S163" s="59"/>
      <c r="T163" s="16" t="str">
        <f>IF(T160="","","Срок сдачи"&amp;": ")</f>
        <v/>
      </c>
      <c r="U163" s="64" t="str">
        <f>IFERROR(VLOOKUP(S$13&amp;$B163,Aux!$B:$M,6,0),"")</f>
        <v/>
      </c>
      <c r="V163" s="64"/>
      <c r="W163" s="63"/>
      <c r="AA163" s="59"/>
      <c r="AB163" s="16" t="str">
        <f>IF(AB160="","","Срок сдачи"&amp;": ")</f>
        <v/>
      </c>
      <c r="AC163" s="64" t="str">
        <f>IFERROR(VLOOKUP(AA$13&amp;$B163,Aux!$B:$M,6,0),"")</f>
        <v/>
      </c>
      <c r="AD163" s="64"/>
      <c r="AE163" s="63"/>
    </row>
    <row r="164" spans="2:31" x14ac:dyDescent="0.25">
      <c r="B164" s="53">
        <f t="shared" si="2"/>
        <v>30</v>
      </c>
      <c r="C164" s="7"/>
      <c r="D164" s="17"/>
      <c r="E164" s="7"/>
      <c r="F164" s="18"/>
      <c r="G164" s="18"/>
      <c r="K164" s="13"/>
      <c r="L164" s="17"/>
      <c r="M164" s="13"/>
      <c r="N164" s="14"/>
      <c r="O164" s="14"/>
      <c r="S164" s="13"/>
      <c r="T164" s="17"/>
      <c r="U164" s="13"/>
      <c r="V164" s="14"/>
      <c r="W164" s="14"/>
      <c r="AA164" s="13"/>
      <c r="AB164" s="17"/>
      <c r="AC164" s="13"/>
      <c r="AD164" s="14"/>
      <c r="AE164" s="30"/>
    </row>
    <row r="165" spans="2:31" x14ac:dyDescent="0.25">
      <c r="B165" s="53">
        <f t="shared" si="2"/>
        <v>31</v>
      </c>
      <c r="C165" s="59" t="str">
        <f>IFERROR(VLOOKUP(C$13&amp;$B169,Aux!$B:$M,5,0),"")</f>
        <v/>
      </c>
      <c r="D165" s="60" t="str">
        <f>IFERROR(VLOOKUP(C$13&amp;$B165,Aux!$B:$M,3,0),"")</f>
        <v/>
      </c>
      <c r="E165" s="60"/>
      <c r="F165" s="60"/>
      <c r="G165" s="61" t="str">
        <f>IFERROR(VLOOKUP(C$13&amp;$B165,Aux!$B:$M,9,0),"")</f>
        <v/>
      </c>
      <c r="K165" s="59" t="str">
        <f>IFERROR(VLOOKUP(K$13&amp;$B169,Aux!$B:$M,5,0),"")</f>
        <v/>
      </c>
      <c r="L165" s="60" t="str">
        <f>IFERROR(VLOOKUP(K$13&amp;$B165,Aux!$B:$M,3,0),"")</f>
        <v/>
      </c>
      <c r="M165" s="60"/>
      <c r="N165" s="60"/>
      <c r="O165" s="61" t="str">
        <f>IFERROR(VLOOKUP(K$13&amp;$B165,Aux!$B:$M,9,0),"")</f>
        <v/>
      </c>
      <c r="S165" s="59" t="str">
        <f>IFERROR(VLOOKUP(S$13&amp;$B169,Aux!$B:$M,5,0),"")</f>
        <v/>
      </c>
      <c r="T165" s="60" t="str">
        <f>IFERROR(VLOOKUP(S$13&amp;$B165,Aux!$B:$M,3,0),"")</f>
        <v/>
      </c>
      <c r="U165" s="60"/>
      <c r="V165" s="60"/>
      <c r="W165" s="61" t="str">
        <f>IFERROR(VLOOKUP(S$13&amp;$B165,Aux!$B:$M,9,0),"")</f>
        <v/>
      </c>
      <c r="AA165" s="59" t="str">
        <f>IFERROR(VLOOKUP(AA$13&amp;$B169,Aux!$B:$M,5,0),"")</f>
        <v/>
      </c>
      <c r="AB165" s="60" t="str">
        <f>IFERROR(VLOOKUP(AA$13&amp;$B165,Aux!$B:$M,3,0),"")</f>
        <v/>
      </c>
      <c r="AC165" s="60"/>
      <c r="AD165" s="60"/>
      <c r="AE165" s="61" t="str">
        <f>IFERROR(VLOOKUP(AA$13&amp;$B165,Aux!$B:$M,9,0),"")</f>
        <v/>
      </c>
    </row>
    <row r="166" spans="2:31" x14ac:dyDescent="0.25">
      <c r="B166" s="53">
        <f t="shared" si="2"/>
        <v>31</v>
      </c>
      <c r="C166" s="59"/>
      <c r="D166" s="60"/>
      <c r="E166" s="60"/>
      <c r="F166" s="60"/>
      <c r="G166" s="61"/>
      <c r="K166" s="59"/>
      <c r="L166" s="60"/>
      <c r="M166" s="60"/>
      <c r="N166" s="60"/>
      <c r="O166" s="61"/>
      <c r="S166" s="59"/>
      <c r="T166" s="60"/>
      <c r="U166" s="60"/>
      <c r="V166" s="60"/>
      <c r="W166" s="61"/>
      <c r="AA166" s="59"/>
      <c r="AB166" s="60"/>
      <c r="AC166" s="60"/>
      <c r="AD166" s="60"/>
      <c r="AE166" s="61"/>
    </row>
    <row r="167" spans="2:31" x14ac:dyDescent="0.25">
      <c r="B167" s="53">
        <f t="shared" si="2"/>
        <v>31</v>
      </c>
      <c r="C167" s="59"/>
      <c r="D167" s="15" t="str">
        <f>IF(D165="","","Исполнитель"&amp;": ")</f>
        <v/>
      </c>
      <c r="E167" s="62" t="str">
        <f>IFERROR(VLOOKUP(C$13&amp;$B167,Aux!$B:$M,4,0),"")</f>
        <v/>
      </c>
      <c r="F167" s="62"/>
      <c r="G167" s="63" t="str">
        <f>IFERROR(IF(VLOOKUP(C$13&amp;$B165,Aux!$B:$M,8,0)="Да","✔","🕓"),"")</f>
        <v/>
      </c>
      <c r="K167" s="59"/>
      <c r="L167" s="15" t="str">
        <f>IF(L165="","","Исполнитель"&amp;": ")</f>
        <v/>
      </c>
      <c r="M167" s="62" t="str">
        <f>IFERROR(VLOOKUP(K$13&amp;$B167,Aux!$B:$M,4,0),"")</f>
        <v/>
      </c>
      <c r="N167" s="62"/>
      <c r="O167" s="63" t="str">
        <f>IFERROR(IF(VLOOKUP(K$13&amp;$B165,Aux!$B:$M,8,0)="Да","✔","🕓"),"")</f>
        <v/>
      </c>
      <c r="S167" s="59"/>
      <c r="T167" s="15" t="str">
        <f>IF(T165="","","Исполнитель"&amp;": ")</f>
        <v/>
      </c>
      <c r="U167" s="62" t="str">
        <f>IFERROR(VLOOKUP(S$13&amp;$B167,Aux!$B:$M,4,0),"")</f>
        <v/>
      </c>
      <c r="V167" s="62"/>
      <c r="W167" s="63" t="str">
        <f>IFERROR(IF(VLOOKUP(S$13&amp;$B165,Aux!$B:$M,8,0)="Да","✔","🕓"),"")</f>
        <v/>
      </c>
      <c r="AA167" s="59"/>
      <c r="AB167" s="15" t="str">
        <f>IF(AB165="","","Исполнитель"&amp;": ")</f>
        <v/>
      </c>
      <c r="AC167" s="62" t="str">
        <f>IFERROR(VLOOKUP(AA$13&amp;$B167,Aux!$B:$M,4,0),"")</f>
        <v/>
      </c>
      <c r="AD167" s="62"/>
      <c r="AE167" s="63" t="str">
        <f>IFERROR(IF(VLOOKUP(AA$13&amp;$B165,Aux!$B:$M,8,0)="Да","✔","🕓"),"")</f>
        <v/>
      </c>
    </row>
    <row r="168" spans="2:31" x14ac:dyDescent="0.25">
      <c r="B168" s="53">
        <f t="shared" si="2"/>
        <v>31</v>
      </c>
      <c r="C168" s="59"/>
      <c r="D168" s="16" t="str">
        <f>IF(D165="","","Срок сдачи"&amp;": ")</f>
        <v/>
      </c>
      <c r="E168" s="64" t="str">
        <f>IFERROR(VLOOKUP(C$13&amp;$B168,Aux!$B:$M,6,0),"")</f>
        <v/>
      </c>
      <c r="F168" s="64"/>
      <c r="G168" s="63"/>
      <c r="K168" s="59"/>
      <c r="L168" s="16" t="str">
        <f>IF(L165="","","Срок сдачи"&amp;": ")</f>
        <v/>
      </c>
      <c r="M168" s="64" t="str">
        <f>IFERROR(VLOOKUP(K$13&amp;$B168,Aux!$B:$M,6,0),"")</f>
        <v/>
      </c>
      <c r="N168" s="64"/>
      <c r="O168" s="63"/>
      <c r="S168" s="59"/>
      <c r="T168" s="16" t="str">
        <f>IF(T165="","","Срок сдачи"&amp;": ")</f>
        <v/>
      </c>
      <c r="U168" s="64" t="str">
        <f>IFERROR(VLOOKUP(S$13&amp;$B168,Aux!$B:$M,6,0),"")</f>
        <v/>
      </c>
      <c r="V168" s="64"/>
      <c r="W168" s="63"/>
      <c r="AA168" s="59"/>
      <c r="AB168" s="16" t="str">
        <f>IF(AB165="","","Срок сдачи"&amp;": ")</f>
        <v/>
      </c>
      <c r="AC168" s="64" t="str">
        <f>IFERROR(VLOOKUP(AA$13&amp;$B168,Aux!$B:$M,6,0),"")</f>
        <v/>
      </c>
      <c r="AD168" s="64"/>
      <c r="AE168" s="63"/>
    </row>
    <row r="169" spans="2:31" x14ac:dyDescent="0.25">
      <c r="B169" s="53">
        <f t="shared" si="2"/>
        <v>31</v>
      </c>
      <c r="C169" s="7"/>
      <c r="D169" s="17"/>
      <c r="E169" s="7"/>
      <c r="F169" s="18"/>
      <c r="G169" s="18"/>
      <c r="K169" s="13"/>
      <c r="L169" s="17"/>
      <c r="M169" s="13"/>
      <c r="N169" s="14"/>
      <c r="O169" s="14"/>
      <c r="S169" s="13"/>
      <c r="T169" s="17"/>
      <c r="U169" s="13"/>
      <c r="V169" s="14"/>
      <c r="W169" s="14"/>
      <c r="AA169" s="13"/>
      <c r="AB169" s="17"/>
      <c r="AC169" s="13"/>
      <c r="AD169" s="14"/>
      <c r="AE169" s="30"/>
    </row>
    <row r="170" spans="2:31" x14ac:dyDescent="0.25">
      <c r="B170" s="53">
        <f t="shared" si="2"/>
        <v>32</v>
      </c>
      <c r="C170" s="59" t="str">
        <f>IFERROR(VLOOKUP(C$13&amp;$B174,Aux!$B:$M,5,0),"")</f>
        <v/>
      </c>
      <c r="D170" s="60" t="str">
        <f>IFERROR(VLOOKUP(C$13&amp;$B170,Aux!$B:$M,3,0),"")</f>
        <v/>
      </c>
      <c r="E170" s="60"/>
      <c r="F170" s="60"/>
      <c r="G170" s="61" t="str">
        <f>IFERROR(VLOOKUP(C$13&amp;$B170,Aux!$B:$M,9,0),"")</f>
        <v/>
      </c>
      <c r="K170" s="59" t="str">
        <f>IFERROR(VLOOKUP(K$13&amp;$B174,Aux!$B:$M,5,0),"")</f>
        <v/>
      </c>
      <c r="L170" s="60" t="str">
        <f>IFERROR(VLOOKUP(K$13&amp;$B170,Aux!$B:$M,3,0),"")</f>
        <v/>
      </c>
      <c r="M170" s="60"/>
      <c r="N170" s="60"/>
      <c r="O170" s="61" t="str">
        <f>IFERROR(VLOOKUP(K$13&amp;$B170,Aux!$B:$M,9,0),"")</f>
        <v/>
      </c>
      <c r="S170" s="59" t="str">
        <f>IFERROR(VLOOKUP(S$13&amp;$B174,Aux!$B:$M,5,0),"")</f>
        <v/>
      </c>
      <c r="T170" s="60" t="str">
        <f>IFERROR(VLOOKUP(S$13&amp;$B170,Aux!$B:$M,3,0),"")</f>
        <v/>
      </c>
      <c r="U170" s="60"/>
      <c r="V170" s="60"/>
      <c r="W170" s="61" t="str">
        <f>IFERROR(VLOOKUP(S$13&amp;$B170,Aux!$B:$M,9,0),"")</f>
        <v/>
      </c>
      <c r="AA170" s="59" t="str">
        <f>IFERROR(VLOOKUP(AA$13&amp;$B174,Aux!$B:$M,5,0),"")</f>
        <v/>
      </c>
      <c r="AB170" s="60" t="str">
        <f>IFERROR(VLOOKUP(AA$13&amp;$B170,Aux!$B:$M,3,0),"")</f>
        <v/>
      </c>
      <c r="AC170" s="60"/>
      <c r="AD170" s="60"/>
      <c r="AE170" s="61" t="str">
        <f>IFERROR(VLOOKUP(AA$13&amp;$B170,Aux!$B:$M,9,0),"")</f>
        <v/>
      </c>
    </row>
    <row r="171" spans="2:31" x14ac:dyDescent="0.25">
      <c r="B171" s="53">
        <f t="shared" si="2"/>
        <v>32</v>
      </c>
      <c r="C171" s="59"/>
      <c r="D171" s="60"/>
      <c r="E171" s="60"/>
      <c r="F171" s="60"/>
      <c r="G171" s="61"/>
      <c r="K171" s="59"/>
      <c r="L171" s="60"/>
      <c r="M171" s="60"/>
      <c r="N171" s="60"/>
      <c r="O171" s="61"/>
      <c r="S171" s="59"/>
      <c r="T171" s="60"/>
      <c r="U171" s="60"/>
      <c r="V171" s="60"/>
      <c r="W171" s="61"/>
      <c r="AA171" s="59"/>
      <c r="AB171" s="60"/>
      <c r="AC171" s="60"/>
      <c r="AD171" s="60"/>
      <c r="AE171" s="61"/>
    </row>
    <row r="172" spans="2:31" x14ac:dyDescent="0.25">
      <c r="B172" s="53">
        <f t="shared" si="2"/>
        <v>32</v>
      </c>
      <c r="C172" s="59"/>
      <c r="D172" s="15" t="str">
        <f>IF(D170="","","Исполнитель"&amp;": ")</f>
        <v/>
      </c>
      <c r="E172" s="62" t="str">
        <f>IFERROR(VLOOKUP(C$13&amp;$B172,Aux!$B:$M,4,0),"")</f>
        <v/>
      </c>
      <c r="F172" s="62"/>
      <c r="G172" s="63" t="str">
        <f>IFERROR(IF(VLOOKUP(C$13&amp;$B170,Aux!$B:$M,8,0)="Да","✔","🕓"),"")</f>
        <v/>
      </c>
      <c r="K172" s="59"/>
      <c r="L172" s="15" t="str">
        <f>IF(L170="","","Исполнитель"&amp;": ")</f>
        <v/>
      </c>
      <c r="M172" s="62" t="str">
        <f>IFERROR(VLOOKUP(K$13&amp;$B172,Aux!$B:$M,4,0),"")</f>
        <v/>
      </c>
      <c r="N172" s="62"/>
      <c r="O172" s="63" t="str">
        <f>IFERROR(IF(VLOOKUP(K$13&amp;$B170,Aux!$B:$M,8,0)="Да","✔","🕓"),"")</f>
        <v/>
      </c>
      <c r="S172" s="59"/>
      <c r="T172" s="15" t="str">
        <f>IF(T170="","","Исполнитель"&amp;": ")</f>
        <v/>
      </c>
      <c r="U172" s="62" t="str">
        <f>IFERROR(VLOOKUP(S$13&amp;$B172,Aux!$B:$M,4,0),"")</f>
        <v/>
      </c>
      <c r="V172" s="62"/>
      <c r="W172" s="63" t="str">
        <f>IFERROR(IF(VLOOKUP(S$13&amp;$B170,Aux!$B:$M,8,0)="Да","✔","🕓"),"")</f>
        <v/>
      </c>
      <c r="AA172" s="59"/>
      <c r="AB172" s="15" t="str">
        <f>IF(AB170="","","Исполнитель"&amp;": ")</f>
        <v/>
      </c>
      <c r="AC172" s="62" t="str">
        <f>IFERROR(VLOOKUP(AA$13&amp;$B172,Aux!$B:$M,4,0),"")</f>
        <v/>
      </c>
      <c r="AD172" s="62"/>
      <c r="AE172" s="63" t="str">
        <f>IFERROR(IF(VLOOKUP(AA$13&amp;$B170,Aux!$B:$M,8,0)="Да","✔","🕓"),"")</f>
        <v/>
      </c>
    </row>
    <row r="173" spans="2:31" x14ac:dyDescent="0.25">
      <c r="B173" s="53">
        <f t="shared" si="2"/>
        <v>32</v>
      </c>
      <c r="C173" s="59"/>
      <c r="D173" s="16" t="str">
        <f>IF(D170="","","Срок сдачи"&amp;": ")</f>
        <v/>
      </c>
      <c r="E173" s="64" t="str">
        <f>IFERROR(VLOOKUP(C$13&amp;$B173,Aux!$B:$M,6,0),"")</f>
        <v/>
      </c>
      <c r="F173" s="64"/>
      <c r="G173" s="63"/>
      <c r="K173" s="59"/>
      <c r="L173" s="16" t="str">
        <f>IF(L170="","","Срок сдачи"&amp;": ")</f>
        <v/>
      </c>
      <c r="M173" s="64" t="str">
        <f>IFERROR(VLOOKUP(K$13&amp;$B173,Aux!$B:$M,6,0),"")</f>
        <v/>
      </c>
      <c r="N173" s="64"/>
      <c r="O173" s="63"/>
      <c r="S173" s="59"/>
      <c r="T173" s="16" t="str">
        <f>IF(T170="","","Срок сдачи"&amp;": ")</f>
        <v/>
      </c>
      <c r="U173" s="64" t="str">
        <f>IFERROR(VLOOKUP(S$13&amp;$B173,Aux!$B:$M,6,0),"")</f>
        <v/>
      </c>
      <c r="V173" s="64"/>
      <c r="W173" s="63"/>
      <c r="AA173" s="59"/>
      <c r="AB173" s="16" t="str">
        <f>IF(AB170="","","Срок сдачи"&amp;": ")</f>
        <v/>
      </c>
      <c r="AC173" s="64" t="str">
        <f>IFERROR(VLOOKUP(AA$13&amp;$B173,Aux!$B:$M,6,0),"")</f>
        <v/>
      </c>
      <c r="AD173" s="64"/>
      <c r="AE173" s="63"/>
    </row>
    <row r="174" spans="2:31" x14ac:dyDescent="0.25">
      <c r="B174" s="53">
        <f t="shared" si="2"/>
        <v>32</v>
      </c>
      <c r="C174" s="7"/>
      <c r="D174" s="17"/>
      <c r="E174" s="7"/>
      <c r="F174" s="18"/>
      <c r="G174" s="18"/>
      <c r="K174" s="13"/>
      <c r="L174" s="17"/>
      <c r="M174" s="13"/>
      <c r="N174" s="14"/>
      <c r="O174" s="14"/>
      <c r="S174" s="13"/>
      <c r="T174" s="17"/>
      <c r="U174" s="13"/>
      <c r="V174" s="14"/>
      <c r="W174" s="14"/>
      <c r="AA174" s="13"/>
      <c r="AB174" s="17"/>
      <c r="AC174" s="13"/>
      <c r="AD174" s="14"/>
      <c r="AE174" s="30"/>
    </row>
    <row r="175" spans="2:31" x14ac:dyDescent="0.25">
      <c r="B175" s="53">
        <f t="shared" si="2"/>
        <v>33</v>
      </c>
      <c r="C175" s="59" t="str">
        <f>IFERROR(VLOOKUP(C$13&amp;$B179,Aux!$B:$M,5,0),"")</f>
        <v/>
      </c>
      <c r="D175" s="60" t="str">
        <f>IFERROR(VLOOKUP(C$13&amp;$B175,Aux!$B:$M,3,0),"")</f>
        <v/>
      </c>
      <c r="E175" s="60"/>
      <c r="F175" s="60"/>
      <c r="G175" s="61" t="str">
        <f>IFERROR(VLOOKUP(C$13&amp;$B175,Aux!$B:$M,9,0),"")</f>
        <v/>
      </c>
      <c r="K175" s="59" t="str">
        <f>IFERROR(VLOOKUP(K$13&amp;$B179,Aux!$B:$M,5,0),"")</f>
        <v/>
      </c>
      <c r="L175" s="60" t="str">
        <f>IFERROR(VLOOKUP(K$13&amp;$B175,Aux!$B:$M,3,0),"")</f>
        <v/>
      </c>
      <c r="M175" s="60"/>
      <c r="N175" s="60"/>
      <c r="O175" s="61" t="str">
        <f>IFERROR(VLOOKUP(K$13&amp;$B175,Aux!$B:$M,9,0),"")</f>
        <v/>
      </c>
      <c r="S175" s="59" t="str">
        <f>IFERROR(VLOOKUP(S$13&amp;$B179,Aux!$B:$M,5,0),"")</f>
        <v/>
      </c>
      <c r="T175" s="60" t="str">
        <f>IFERROR(VLOOKUP(S$13&amp;$B175,Aux!$B:$M,3,0),"")</f>
        <v/>
      </c>
      <c r="U175" s="60"/>
      <c r="V175" s="60"/>
      <c r="W175" s="61" t="str">
        <f>IFERROR(VLOOKUP(S$13&amp;$B175,Aux!$B:$M,9,0),"")</f>
        <v/>
      </c>
      <c r="AA175" s="59" t="str">
        <f>IFERROR(VLOOKUP(AA$13&amp;$B179,Aux!$B:$M,5,0),"")</f>
        <v/>
      </c>
      <c r="AB175" s="60" t="str">
        <f>IFERROR(VLOOKUP(AA$13&amp;$B175,Aux!$B:$M,3,0),"")</f>
        <v/>
      </c>
      <c r="AC175" s="60"/>
      <c r="AD175" s="60"/>
      <c r="AE175" s="61" t="str">
        <f>IFERROR(VLOOKUP(AA$13&amp;$B175,Aux!$B:$M,9,0),"")</f>
        <v/>
      </c>
    </row>
    <row r="176" spans="2:31" x14ac:dyDescent="0.25">
      <c r="B176" s="53">
        <f t="shared" si="2"/>
        <v>33</v>
      </c>
      <c r="C176" s="59"/>
      <c r="D176" s="60"/>
      <c r="E176" s="60"/>
      <c r="F176" s="60"/>
      <c r="G176" s="61"/>
      <c r="K176" s="59"/>
      <c r="L176" s="60"/>
      <c r="M176" s="60"/>
      <c r="N176" s="60"/>
      <c r="O176" s="61"/>
      <c r="S176" s="59"/>
      <c r="T176" s="60"/>
      <c r="U176" s="60"/>
      <c r="V176" s="60"/>
      <c r="W176" s="61"/>
      <c r="AA176" s="59"/>
      <c r="AB176" s="60"/>
      <c r="AC176" s="60"/>
      <c r="AD176" s="60"/>
      <c r="AE176" s="61"/>
    </row>
    <row r="177" spans="2:31" x14ac:dyDescent="0.25">
      <c r="B177" s="53">
        <f t="shared" si="2"/>
        <v>33</v>
      </c>
      <c r="C177" s="59"/>
      <c r="D177" s="15" t="str">
        <f>IF(D175="","","Исполнитель"&amp;": ")</f>
        <v/>
      </c>
      <c r="E177" s="62" t="str">
        <f>IFERROR(VLOOKUP(C$13&amp;$B177,Aux!$B:$M,4,0),"")</f>
        <v/>
      </c>
      <c r="F177" s="62"/>
      <c r="G177" s="63" t="str">
        <f>IFERROR(IF(VLOOKUP(C$13&amp;$B175,Aux!$B:$M,8,0)="Да","✔","🕓"),"")</f>
        <v/>
      </c>
      <c r="K177" s="59"/>
      <c r="L177" s="15" t="str">
        <f>IF(L175="","","Исполнитель"&amp;": ")</f>
        <v/>
      </c>
      <c r="M177" s="62" t="str">
        <f>IFERROR(VLOOKUP(K$13&amp;$B177,Aux!$B:$M,4,0),"")</f>
        <v/>
      </c>
      <c r="N177" s="62"/>
      <c r="O177" s="63" t="str">
        <f>IFERROR(IF(VLOOKUP(K$13&amp;$B175,Aux!$B:$M,8,0)="Да","✔","🕓"),"")</f>
        <v/>
      </c>
      <c r="S177" s="59"/>
      <c r="T177" s="15" t="str">
        <f>IF(T175="","","Исполнитель"&amp;": ")</f>
        <v/>
      </c>
      <c r="U177" s="62" t="str">
        <f>IFERROR(VLOOKUP(S$13&amp;$B177,Aux!$B:$M,4,0),"")</f>
        <v/>
      </c>
      <c r="V177" s="62"/>
      <c r="W177" s="63" t="str">
        <f>IFERROR(IF(VLOOKUP(S$13&amp;$B175,Aux!$B:$M,8,0)="Да","✔","🕓"),"")</f>
        <v/>
      </c>
      <c r="AA177" s="59"/>
      <c r="AB177" s="15" t="str">
        <f>IF(AB175="","","Исполнитель"&amp;": ")</f>
        <v/>
      </c>
      <c r="AC177" s="62" t="str">
        <f>IFERROR(VLOOKUP(AA$13&amp;$B177,Aux!$B:$M,4,0),"")</f>
        <v/>
      </c>
      <c r="AD177" s="62"/>
      <c r="AE177" s="63" t="str">
        <f>IFERROR(IF(VLOOKUP(AA$13&amp;$B175,Aux!$B:$M,8,0)="Да","✔","🕓"),"")</f>
        <v/>
      </c>
    </row>
    <row r="178" spans="2:31" x14ac:dyDescent="0.25">
      <c r="B178" s="53">
        <f t="shared" si="2"/>
        <v>33</v>
      </c>
      <c r="C178" s="59"/>
      <c r="D178" s="16" t="str">
        <f>IF(D175="","","Срок сдачи"&amp;": ")</f>
        <v/>
      </c>
      <c r="E178" s="64" t="str">
        <f>IFERROR(VLOOKUP(C$13&amp;$B178,Aux!$B:$M,6,0),"")</f>
        <v/>
      </c>
      <c r="F178" s="64"/>
      <c r="G178" s="63"/>
      <c r="K178" s="59"/>
      <c r="L178" s="16" t="str">
        <f>IF(L175="","","Срок сдачи"&amp;": ")</f>
        <v/>
      </c>
      <c r="M178" s="64" t="str">
        <f>IFERROR(VLOOKUP(K$13&amp;$B178,Aux!$B:$M,6,0),"")</f>
        <v/>
      </c>
      <c r="N178" s="64"/>
      <c r="O178" s="63"/>
      <c r="S178" s="59"/>
      <c r="T178" s="16" t="str">
        <f>IF(T175="","","Срок сдачи"&amp;": ")</f>
        <v/>
      </c>
      <c r="U178" s="64" t="str">
        <f>IFERROR(VLOOKUP(S$13&amp;$B178,Aux!$B:$M,6,0),"")</f>
        <v/>
      </c>
      <c r="V178" s="64"/>
      <c r="W178" s="63"/>
      <c r="AA178" s="59"/>
      <c r="AB178" s="16" t="str">
        <f>IF(AB175="","","Срок сдачи"&amp;": ")</f>
        <v/>
      </c>
      <c r="AC178" s="64" t="str">
        <f>IFERROR(VLOOKUP(AA$13&amp;$B178,Aux!$B:$M,6,0),"")</f>
        <v/>
      </c>
      <c r="AD178" s="64"/>
      <c r="AE178" s="63"/>
    </row>
    <row r="179" spans="2:31" x14ac:dyDescent="0.25">
      <c r="B179" s="53">
        <f t="shared" si="2"/>
        <v>33</v>
      </c>
      <c r="C179" s="7"/>
      <c r="D179" s="17"/>
      <c r="E179" s="7"/>
      <c r="F179" s="18"/>
      <c r="G179" s="18"/>
      <c r="K179" s="13"/>
      <c r="L179" s="17"/>
      <c r="M179" s="13"/>
      <c r="N179" s="14"/>
      <c r="O179" s="14"/>
      <c r="S179" s="13"/>
      <c r="T179" s="17"/>
      <c r="U179" s="13"/>
      <c r="V179" s="14"/>
      <c r="W179" s="14"/>
      <c r="AA179" s="13"/>
      <c r="AB179" s="17"/>
      <c r="AC179" s="13"/>
      <c r="AD179" s="14"/>
      <c r="AE179" s="30"/>
    </row>
    <row r="180" spans="2:31" x14ac:dyDescent="0.25">
      <c r="B180" s="53">
        <f t="shared" si="2"/>
        <v>34</v>
      </c>
      <c r="C180" s="59" t="str">
        <f>IFERROR(VLOOKUP(C$13&amp;$B184,Aux!$B:$M,5,0),"")</f>
        <v/>
      </c>
      <c r="D180" s="60" t="str">
        <f>IFERROR(VLOOKUP(C$13&amp;$B180,Aux!$B:$M,3,0),"")</f>
        <v/>
      </c>
      <c r="E180" s="60"/>
      <c r="F180" s="60"/>
      <c r="G180" s="61" t="str">
        <f>IFERROR(VLOOKUP(C$13&amp;$B180,Aux!$B:$M,9,0),"")</f>
        <v/>
      </c>
      <c r="K180" s="59" t="str">
        <f>IFERROR(VLOOKUP(K$13&amp;$B184,Aux!$B:$M,5,0),"")</f>
        <v/>
      </c>
      <c r="L180" s="60" t="str">
        <f>IFERROR(VLOOKUP(K$13&amp;$B180,Aux!$B:$M,3,0),"")</f>
        <v/>
      </c>
      <c r="M180" s="60"/>
      <c r="N180" s="60"/>
      <c r="O180" s="61" t="str">
        <f>IFERROR(VLOOKUP(K$13&amp;$B180,Aux!$B:$M,9,0),"")</f>
        <v/>
      </c>
      <c r="S180" s="59" t="str">
        <f>IFERROR(VLOOKUP(S$13&amp;$B184,Aux!$B:$M,5,0),"")</f>
        <v/>
      </c>
      <c r="T180" s="60" t="str">
        <f>IFERROR(VLOOKUP(S$13&amp;$B180,Aux!$B:$M,3,0),"")</f>
        <v/>
      </c>
      <c r="U180" s="60"/>
      <c r="V180" s="60"/>
      <c r="W180" s="61" t="str">
        <f>IFERROR(VLOOKUP(S$13&amp;$B180,Aux!$B:$M,9,0),"")</f>
        <v/>
      </c>
      <c r="AA180" s="59" t="str">
        <f>IFERROR(VLOOKUP(AA$13&amp;$B184,Aux!$B:$M,5,0),"")</f>
        <v/>
      </c>
      <c r="AB180" s="60" t="str">
        <f>IFERROR(VLOOKUP(AA$13&amp;$B180,Aux!$B:$M,3,0),"")</f>
        <v/>
      </c>
      <c r="AC180" s="60"/>
      <c r="AD180" s="60"/>
      <c r="AE180" s="61" t="str">
        <f>IFERROR(VLOOKUP(AA$13&amp;$B180,Aux!$B:$M,9,0),"")</f>
        <v/>
      </c>
    </row>
    <row r="181" spans="2:31" x14ac:dyDescent="0.25">
      <c r="B181" s="53">
        <f t="shared" si="2"/>
        <v>34</v>
      </c>
      <c r="C181" s="59"/>
      <c r="D181" s="60"/>
      <c r="E181" s="60"/>
      <c r="F181" s="60"/>
      <c r="G181" s="61"/>
      <c r="K181" s="59"/>
      <c r="L181" s="60"/>
      <c r="M181" s="60"/>
      <c r="N181" s="60"/>
      <c r="O181" s="61"/>
      <c r="S181" s="59"/>
      <c r="T181" s="60"/>
      <c r="U181" s="60"/>
      <c r="V181" s="60"/>
      <c r="W181" s="61"/>
      <c r="AA181" s="59"/>
      <c r="AB181" s="60"/>
      <c r="AC181" s="60"/>
      <c r="AD181" s="60"/>
      <c r="AE181" s="61"/>
    </row>
    <row r="182" spans="2:31" x14ac:dyDescent="0.25">
      <c r="B182" s="53">
        <f t="shared" si="2"/>
        <v>34</v>
      </c>
      <c r="C182" s="59"/>
      <c r="D182" s="15" t="str">
        <f>IF(D180="","","Исполнитель"&amp;": ")</f>
        <v/>
      </c>
      <c r="E182" s="62" t="str">
        <f>IFERROR(VLOOKUP(C$13&amp;$B182,Aux!$B:$M,4,0),"")</f>
        <v/>
      </c>
      <c r="F182" s="62"/>
      <c r="G182" s="63" t="str">
        <f>IFERROR(IF(VLOOKUP(C$13&amp;$B180,Aux!$B:$M,8,0)="Да","✔","🕓"),"")</f>
        <v/>
      </c>
      <c r="K182" s="59"/>
      <c r="L182" s="15" t="str">
        <f>IF(L180="","","Исполнитель"&amp;": ")</f>
        <v/>
      </c>
      <c r="M182" s="62" t="str">
        <f>IFERROR(VLOOKUP(K$13&amp;$B182,Aux!$B:$M,4,0),"")</f>
        <v/>
      </c>
      <c r="N182" s="62"/>
      <c r="O182" s="63" t="str">
        <f>IFERROR(IF(VLOOKUP(K$13&amp;$B180,Aux!$B:$M,8,0)="Да","✔","🕓"),"")</f>
        <v/>
      </c>
      <c r="S182" s="59"/>
      <c r="T182" s="15" t="str">
        <f>IF(T180="","","Исполнитель"&amp;": ")</f>
        <v/>
      </c>
      <c r="U182" s="62" t="str">
        <f>IFERROR(VLOOKUP(S$13&amp;$B182,Aux!$B:$M,4,0),"")</f>
        <v/>
      </c>
      <c r="V182" s="62"/>
      <c r="W182" s="63" t="str">
        <f>IFERROR(IF(VLOOKUP(S$13&amp;$B180,Aux!$B:$M,8,0)="Да","✔","🕓"),"")</f>
        <v/>
      </c>
      <c r="AA182" s="59"/>
      <c r="AB182" s="15" t="str">
        <f>IF(AB180="","","Исполнитель"&amp;": ")</f>
        <v/>
      </c>
      <c r="AC182" s="62" t="str">
        <f>IFERROR(VLOOKUP(AA$13&amp;$B182,Aux!$B:$M,4,0),"")</f>
        <v/>
      </c>
      <c r="AD182" s="62"/>
      <c r="AE182" s="63" t="str">
        <f>IFERROR(IF(VLOOKUP(AA$13&amp;$B180,Aux!$B:$M,8,0)="Да","✔","🕓"),"")</f>
        <v/>
      </c>
    </row>
    <row r="183" spans="2:31" x14ac:dyDescent="0.25">
      <c r="B183" s="53">
        <f t="shared" si="2"/>
        <v>34</v>
      </c>
      <c r="C183" s="59"/>
      <c r="D183" s="16" t="str">
        <f>IF(D180="","","Срок сдачи"&amp;": ")</f>
        <v/>
      </c>
      <c r="E183" s="64" t="str">
        <f>IFERROR(VLOOKUP(C$13&amp;$B183,Aux!$B:$M,6,0),"")</f>
        <v/>
      </c>
      <c r="F183" s="64"/>
      <c r="G183" s="63"/>
      <c r="K183" s="59"/>
      <c r="L183" s="16" t="str">
        <f>IF(L180="","","Срок сдачи"&amp;": ")</f>
        <v/>
      </c>
      <c r="M183" s="64" t="str">
        <f>IFERROR(VLOOKUP(K$13&amp;$B183,Aux!$B:$M,6,0),"")</f>
        <v/>
      </c>
      <c r="N183" s="64"/>
      <c r="O183" s="63"/>
      <c r="S183" s="59"/>
      <c r="T183" s="16" t="str">
        <f>IF(T180="","","Срок сдачи"&amp;": ")</f>
        <v/>
      </c>
      <c r="U183" s="64" t="str">
        <f>IFERROR(VLOOKUP(S$13&amp;$B183,Aux!$B:$M,6,0),"")</f>
        <v/>
      </c>
      <c r="V183" s="64"/>
      <c r="W183" s="63"/>
      <c r="AA183" s="59"/>
      <c r="AB183" s="16" t="str">
        <f>IF(AB180="","","Срок сдачи"&amp;": ")</f>
        <v/>
      </c>
      <c r="AC183" s="64" t="str">
        <f>IFERROR(VLOOKUP(AA$13&amp;$B183,Aux!$B:$M,6,0),"")</f>
        <v/>
      </c>
      <c r="AD183" s="64"/>
      <c r="AE183" s="63"/>
    </row>
    <row r="184" spans="2:31" x14ac:dyDescent="0.25">
      <c r="B184" s="53">
        <f t="shared" si="2"/>
        <v>34</v>
      </c>
      <c r="C184" s="7"/>
      <c r="D184" s="17"/>
      <c r="E184" s="7"/>
      <c r="F184" s="18"/>
      <c r="G184" s="18"/>
      <c r="K184" s="13"/>
      <c r="L184" s="17"/>
      <c r="M184" s="13"/>
      <c r="N184" s="14"/>
      <c r="O184" s="14"/>
      <c r="S184" s="13"/>
      <c r="T184" s="17"/>
      <c r="U184" s="13"/>
      <c r="V184" s="14"/>
      <c r="W184" s="14"/>
      <c r="AA184" s="13"/>
      <c r="AB184" s="17"/>
      <c r="AC184" s="13"/>
      <c r="AD184" s="14"/>
      <c r="AE184" s="30"/>
    </row>
    <row r="185" spans="2:31" x14ac:dyDescent="0.25">
      <c r="B185" s="53">
        <f t="shared" si="2"/>
        <v>35</v>
      </c>
      <c r="C185" s="59" t="str">
        <f>IFERROR(VLOOKUP(C$13&amp;$B189,Aux!$B:$M,5,0),"")</f>
        <v/>
      </c>
      <c r="D185" s="60" t="str">
        <f>IFERROR(VLOOKUP(C$13&amp;$B185,Aux!$B:$M,3,0),"")</f>
        <v/>
      </c>
      <c r="E185" s="60"/>
      <c r="F185" s="60"/>
      <c r="G185" s="61" t="str">
        <f>IFERROR(VLOOKUP(C$13&amp;$B185,Aux!$B:$M,9,0),"")</f>
        <v/>
      </c>
      <c r="K185" s="59" t="str">
        <f>IFERROR(VLOOKUP(K$13&amp;$B189,Aux!$B:$M,5,0),"")</f>
        <v/>
      </c>
      <c r="L185" s="60" t="str">
        <f>IFERROR(VLOOKUP(K$13&amp;$B185,Aux!$B:$M,3,0),"")</f>
        <v/>
      </c>
      <c r="M185" s="60"/>
      <c r="N185" s="60"/>
      <c r="O185" s="61" t="str">
        <f>IFERROR(VLOOKUP(K$13&amp;$B185,Aux!$B:$M,9,0),"")</f>
        <v/>
      </c>
      <c r="S185" s="59" t="str">
        <f>IFERROR(VLOOKUP(S$13&amp;$B189,Aux!$B:$M,5,0),"")</f>
        <v/>
      </c>
      <c r="T185" s="60" t="str">
        <f>IFERROR(VLOOKUP(S$13&amp;$B185,Aux!$B:$M,3,0),"")</f>
        <v/>
      </c>
      <c r="U185" s="60"/>
      <c r="V185" s="60"/>
      <c r="W185" s="61" t="str">
        <f>IFERROR(VLOOKUP(S$13&amp;$B185,Aux!$B:$M,9,0),"")</f>
        <v/>
      </c>
      <c r="AA185" s="59" t="str">
        <f>IFERROR(VLOOKUP(AA$13&amp;$B189,Aux!$B:$M,5,0),"")</f>
        <v/>
      </c>
      <c r="AB185" s="60" t="str">
        <f>IFERROR(VLOOKUP(AA$13&amp;$B185,Aux!$B:$M,3,0),"")</f>
        <v/>
      </c>
      <c r="AC185" s="60"/>
      <c r="AD185" s="60"/>
      <c r="AE185" s="61" t="str">
        <f>IFERROR(VLOOKUP(AA$13&amp;$B185,Aux!$B:$M,9,0),"")</f>
        <v/>
      </c>
    </row>
    <row r="186" spans="2:31" x14ac:dyDescent="0.25">
      <c r="B186" s="53">
        <f t="shared" si="2"/>
        <v>35</v>
      </c>
      <c r="C186" s="59"/>
      <c r="D186" s="60"/>
      <c r="E186" s="60"/>
      <c r="F186" s="60"/>
      <c r="G186" s="61"/>
      <c r="K186" s="59"/>
      <c r="L186" s="60"/>
      <c r="M186" s="60"/>
      <c r="N186" s="60"/>
      <c r="O186" s="61"/>
      <c r="S186" s="59"/>
      <c r="T186" s="60"/>
      <c r="U186" s="60"/>
      <c r="V186" s="60"/>
      <c r="W186" s="61"/>
      <c r="AA186" s="59"/>
      <c r="AB186" s="60"/>
      <c r="AC186" s="60"/>
      <c r="AD186" s="60"/>
      <c r="AE186" s="61"/>
    </row>
    <row r="187" spans="2:31" x14ac:dyDescent="0.25">
      <c r="B187" s="53">
        <f t="shared" si="2"/>
        <v>35</v>
      </c>
      <c r="C187" s="59"/>
      <c r="D187" s="15" t="str">
        <f>IF(D185="","","Исполнитель"&amp;": ")</f>
        <v/>
      </c>
      <c r="E187" s="62" t="str">
        <f>IFERROR(VLOOKUP(C$13&amp;$B187,Aux!$B:$M,4,0),"")</f>
        <v/>
      </c>
      <c r="F187" s="62"/>
      <c r="G187" s="63" t="str">
        <f>IFERROR(IF(VLOOKUP(C$13&amp;$B185,Aux!$B:$M,8,0)="Да","✔","🕓"),"")</f>
        <v/>
      </c>
      <c r="K187" s="59"/>
      <c r="L187" s="15" t="str">
        <f>IF(L185="","","Исполнитель"&amp;": ")</f>
        <v/>
      </c>
      <c r="M187" s="62" t="str">
        <f>IFERROR(VLOOKUP(K$13&amp;$B187,Aux!$B:$M,4,0),"")</f>
        <v/>
      </c>
      <c r="N187" s="62"/>
      <c r="O187" s="63" t="str">
        <f>IFERROR(IF(VLOOKUP(K$13&amp;$B185,Aux!$B:$M,8,0)="Да","✔","🕓"),"")</f>
        <v/>
      </c>
      <c r="S187" s="59"/>
      <c r="T187" s="15" t="str">
        <f>IF(T185="","","Исполнитель"&amp;": ")</f>
        <v/>
      </c>
      <c r="U187" s="62" t="str">
        <f>IFERROR(VLOOKUP(S$13&amp;$B187,Aux!$B:$M,4,0),"")</f>
        <v/>
      </c>
      <c r="V187" s="62"/>
      <c r="W187" s="63" t="str">
        <f>IFERROR(IF(VLOOKUP(S$13&amp;$B185,Aux!$B:$M,8,0)="Да","✔","🕓"),"")</f>
        <v/>
      </c>
      <c r="AA187" s="59"/>
      <c r="AB187" s="15" t="str">
        <f>IF(AB185="","","Исполнитель"&amp;": ")</f>
        <v/>
      </c>
      <c r="AC187" s="62" t="str">
        <f>IFERROR(VLOOKUP(AA$13&amp;$B187,Aux!$B:$M,4,0),"")</f>
        <v/>
      </c>
      <c r="AD187" s="62"/>
      <c r="AE187" s="63" t="str">
        <f>IFERROR(IF(VLOOKUP(AA$13&amp;$B185,Aux!$B:$M,8,0)="Да","✔","🕓"),"")</f>
        <v/>
      </c>
    </row>
    <row r="188" spans="2:31" x14ac:dyDescent="0.25">
      <c r="B188" s="53">
        <f t="shared" si="2"/>
        <v>35</v>
      </c>
      <c r="C188" s="59"/>
      <c r="D188" s="16" t="str">
        <f>IF(D185="","","Срок сдачи"&amp;": ")</f>
        <v/>
      </c>
      <c r="E188" s="64" t="str">
        <f>IFERROR(VLOOKUP(C$13&amp;$B188,Aux!$B:$M,6,0),"")</f>
        <v/>
      </c>
      <c r="F188" s="64"/>
      <c r="G188" s="63"/>
      <c r="K188" s="59"/>
      <c r="L188" s="16" t="str">
        <f>IF(L185="","","Срок сдачи"&amp;": ")</f>
        <v/>
      </c>
      <c r="M188" s="64" t="str">
        <f>IFERROR(VLOOKUP(K$13&amp;$B188,Aux!$B:$M,6,0),"")</f>
        <v/>
      </c>
      <c r="N188" s="64"/>
      <c r="O188" s="63"/>
      <c r="S188" s="59"/>
      <c r="T188" s="16" t="str">
        <f>IF(T185="","","Срок сдачи"&amp;": ")</f>
        <v/>
      </c>
      <c r="U188" s="64" t="str">
        <f>IFERROR(VLOOKUP(S$13&amp;$B188,Aux!$B:$M,6,0),"")</f>
        <v/>
      </c>
      <c r="V188" s="64"/>
      <c r="W188" s="63"/>
      <c r="AA188" s="59"/>
      <c r="AB188" s="16" t="str">
        <f>IF(AB185="","","Срок сдачи"&amp;": ")</f>
        <v/>
      </c>
      <c r="AC188" s="64" t="str">
        <f>IFERROR(VLOOKUP(AA$13&amp;$B188,Aux!$B:$M,6,0),"")</f>
        <v/>
      </c>
      <c r="AD188" s="64"/>
      <c r="AE188" s="63"/>
    </row>
    <row r="189" spans="2:31" x14ac:dyDescent="0.25">
      <c r="B189" s="53">
        <f t="shared" si="2"/>
        <v>35</v>
      </c>
      <c r="C189" s="7"/>
      <c r="D189" s="17"/>
      <c r="E189" s="7"/>
      <c r="F189" s="18"/>
      <c r="G189" s="18"/>
      <c r="K189" s="13"/>
      <c r="L189" s="17"/>
      <c r="M189" s="13"/>
      <c r="N189" s="14"/>
      <c r="O189" s="14"/>
      <c r="S189" s="13"/>
      <c r="T189" s="17"/>
      <c r="U189" s="13"/>
      <c r="V189" s="14"/>
      <c r="W189" s="14"/>
      <c r="AA189" s="13"/>
      <c r="AB189" s="17"/>
      <c r="AC189" s="13"/>
      <c r="AD189" s="14"/>
      <c r="AE189" s="30"/>
    </row>
    <row r="190" spans="2:31" x14ac:dyDescent="0.25">
      <c r="B190" s="53">
        <f t="shared" si="2"/>
        <v>36</v>
      </c>
      <c r="C190" s="59" t="str">
        <f>IFERROR(VLOOKUP(C$13&amp;$B194,Aux!$B:$M,5,0),"")</f>
        <v/>
      </c>
      <c r="D190" s="60" t="str">
        <f>IFERROR(VLOOKUP(C$13&amp;$B190,Aux!$B:$M,3,0),"")</f>
        <v/>
      </c>
      <c r="E190" s="60"/>
      <c r="F190" s="60"/>
      <c r="G190" s="61" t="str">
        <f>IFERROR(VLOOKUP(C$13&amp;$B190,Aux!$B:$M,9,0),"")</f>
        <v/>
      </c>
      <c r="K190" s="59" t="str">
        <f>IFERROR(VLOOKUP(K$13&amp;$B194,Aux!$B:$M,5,0),"")</f>
        <v/>
      </c>
      <c r="L190" s="60" t="str">
        <f>IFERROR(VLOOKUP(K$13&amp;$B190,Aux!$B:$M,3,0),"")</f>
        <v/>
      </c>
      <c r="M190" s="60"/>
      <c r="N190" s="60"/>
      <c r="O190" s="61" t="str">
        <f>IFERROR(VLOOKUP(K$13&amp;$B190,Aux!$B:$M,9,0),"")</f>
        <v/>
      </c>
      <c r="S190" s="59" t="str">
        <f>IFERROR(VLOOKUP(S$13&amp;$B194,Aux!$B:$M,5,0),"")</f>
        <v/>
      </c>
      <c r="T190" s="60" t="str">
        <f>IFERROR(VLOOKUP(S$13&amp;$B190,Aux!$B:$M,3,0),"")</f>
        <v/>
      </c>
      <c r="U190" s="60"/>
      <c r="V190" s="60"/>
      <c r="W190" s="61" t="str">
        <f>IFERROR(VLOOKUP(S$13&amp;$B190,Aux!$B:$M,9,0),"")</f>
        <v/>
      </c>
      <c r="AA190" s="59" t="str">
        <f>IFERROR(VLOOKUP(AA$13&amp;$B194,Aux!$B:$M,5,0),"")</f>
        <v/>
      </c>
      <c r="AB190" s="60" t="str">
        <f>IFERROR(VLOOKUP(AA$13&amp;$B190,Aux!$B:$M,3,0),"")</f>
        <v/>
      </c>
      <c r="AC190" s="60"/>
      <c r="AD190" s="60"/>
      <c r="AE190" s="61" t="str">
        <f>IFERROR(VLOOKUP(AA$13&amp;$B190,Aux!$B:$M,9,0),"")</f>
        <v/>
      </c>
    </row>
    <row r="191" spans="2:31" x14ac:dyDescent="0.25">
      <c r="B191" s="53">
        <f t="shared" si="2"/>
        <v>36</v>
      </c>
      <c r="C191" s="59"/>
      <c r="D191" s="60"/>
      <c r="E191" s="60"/>
      <c r="F191" s="60"/>
      <c r="G191" s="61"/>
      <c r="K191" s="59"/>
      <c r="L191" s="60"/>
      <c r="M191" s="60"/>
      <c r="N191" s="60"/>
      <c r="O191" s="61"/>
      <c r="S191" s="59"/>
      <c r="T191" s="60"/>
      <c r="U191" s="60"/>
      <c r="V191" s="60"/>
      <c r="W191" s="61"/>
      <c r="AA191" s="59"/>
      <c r="AB191" s="60"/>
      <c r="AC191" s="60"/>
      <c r="AD191" s="60"/>
      <c r="AE191" s="61"/>
    </row>
    <row r="192" spans="2:31" x14ac:dyDescent="0.25">
      <c r="B192" s="53">
        <f t="shared" si="2"/>
        <v>36</v>
      </c>
      <c r="C192" s="59"/>
      <c r="D192" s="15" t="str">
        <f>IF(D190="","","Исполнитель"&amp;": ")</f>
        <v/>
      </c>
      <c r="E192" s="62" t="str">
        <f>IFERROR(VLOOKUP(C$13&amp;$B192,Aux!$B:$M,4,0),"")</f>
        <v/>
      </c>
      <c r="F192" s="62"/>
      <c r="G192" s="63" t="str">
        <f>IFERROR(IF(VLOOKUP(C$13&amp;$B190,Aux!$B:$M,8,0)="Да","✔","🕓"),"")</f>
        <v/>
      </c>
      <c r="K192" s="59"/>
      <c r="L192" s="15" t="str">
        <f>IF(L190="","","Исполнитель"&amp;": ")</f>
        <v/>
      </c>
      <c r="M192" s="62" t="str">
        <f>IFERROR(VLOOKUP(K$13&amp;$B192,Aux!$B:$M,4,0),"")</f>
        <v/>
      </c>
      <c r="N192" s="62"/>
      <c r="O192" s="63" t="str">
        <f>IFERROR(IF(VLOOKUP(K$13&amp;$B190,Aux!$B:$M,8,0)="Да","✔","🕓"),"")</f>
        <v/>
      </c>
      <c r="S192" s="59"/>
      <c r="T192" s="15" t="str">
        <f>IF(T190="","","Исполнитель"&amp;": ")</f>
        <v/>
      </c>
      <c r="U192" s="62" t="str">
        <f>IFERROR(VLOOKUP(S$13&amp;$B192,Aux!$B:$M,4,0),"")</f>
        <v/>
      </c>
      <c r="V192" s="62"/>
      <c r="W192" s="63" t="str">
        <f>IFERROR(IF(VLOOKUP(S$13&amp;$B190,Aux!$B:$M,8,0)="Да","✔","🕓"),"")</f>
        <v/>
      </c>
      <c r="AA192" s="59"/>
      <c r="AB192" s="15" t="str">
        <f>IF(AB190="","","Исполнитель"&amp;": ")</f>
        <v/>
      </c>
      <c r="AC192" s="62" t="str">
        <f>IFERROR(VLOOKUP(AA$13&amp;$B192,Aux!$B:$M,4,0),"")</f>
        <v/>
      </c>
      <c r="AD192" s="62"/>
      <c r="AE192" s="63" t="str">
        <f>IFERROR(IF(VLOOKUP(AA$13&amp;$B190,Aux!$B:$M,8,0)="Да","✔","🕓"),"")</f>
        <v/>
      </c>
    </row>
    <row r="193" spans="2:31" x14ac:dyDescent="0.25">
      <c r="B193" s="53">
        <f t="shared" si="2"/>
        <v>36</v>
      </c>
      <c r="C193" s="59"/>
      <c r="D193" s="16" t="str">
        <f>IF(D190="","","Срок сдачи"&amp;": ")</f>
        <v/>
      </c>
      <c r="E193" s="64" t="str">
        <f>IFERROR(VLOOKUP(C$13&amp;$B193,Aux!$B:$M,6,0),"")</f>
        <v/>
      </c>
      <c r="F193" s="64"/>
      <c r="G193" s="63"/>
      <c r="K193" s="59"/>
      <c r="L193" s="16" t="str">
        <f>IF(L190="","","Срок сдачи"&amp;": ")</f>
        <v/>
      </c>
      <c r="M193" s="64" t="str">
        <f>IFERROR(VLOOKUP(K$13&amp;$B193,Aux!$B:$M,6,0),"")</f>
        <v/>
      </c>
      <c r="N193" s="64"/>
      <c r="O193" s="63"/>
      <c r="S193" s="59"/>
      <c r="T193" s="16" t="str">
        <f>IF(T190="","","Срок сдачи"&amp;": ")</f>
        <v/>
      </c>
      <c r="U193" s="64" t="str">
        <f>IFERROR(VLOOKUP(S$13&amp;$B193,Aux!$B:$M,6,0),"")</f>
        <v/>
      </c>
      <c r="V193" s="64"/>
      <c r="W193" s="63"/>
      <c r="AA193" s="59"/>
      <c r="AB193" s="16" t="str">
        <f>IF(AB190="","","Срок сдачи"&amp;": ")</f>
        <v/>
      </c>
      <c r="AC193" s="64" t="str">
        <f>IFERROR(VLOOKUP(AA$13&amp;$B193,Aux!$B:$M,6,0),"")</f>
        <v/>
      </c>
      <c r="AD193" s="64"/>
      <c r="AE193" s="63"/>
    </row>
    <row r="194" spans="2:31" x14ac:dyDescent="0.25">
      <c r="B194" s="53">
        <f t="shared" si="2"/>
        <v>36</v>
      </c>
      <c r="C194" s="7"/>
      <c r="D194" s="17"/>
      <c r="E194" s="7"/>
      <c r="F194" s="18"/>
      <c r="G194" s="18"/>
      <c r="K194" s="13"/>
      <c r="L194" s="17"/>
      <c r="M194" s="13"/>
      <c r="N194" s="14"/>
      <c r="O194" s="14"/>
      <c r="S194" s="13"/>
      <c r="T194" s="17"/>
      <c r="U194" s="13"/>
      <c r="V194" s="14"/>
      <c r="W194" s="14"/>
      <c r="AA194" s="13"/>
      <c r="AB194" s="17"/>
      <c r="AC194" s="13"/>
      <c r="AD194" s="14"/>
      <c r="AE194" s="30"/>
    </row>
    <row r="195" spans="2:31" x14ac:dyDescent="0.25">
      <c r="B195" s="53">
        <f t="shared" si="2"/>
        <v>37</v>
      </c>
      <c r="C195" s="59" t="str">
        <f>IFERROR(VLOOKUP(C$13&amp;$B199,Aux!$B:$M,5,0),"")</f>
        <v/>
      </c>
      <c r="D195" s="60" t="str">
        <f>IFERROR(VLOOKUP(C$13&amp;$B195,Aux!$B:$M,3,0),"")</f>
        <v/>
      </c>
      <c r="E195" s="60"/>
      <c r="F195" s="60"/>
      <c r="G195" s="61" t="str">
        <f>IFERROR(VLOOKUP(C$13&amp;$B195,Aux!$B:$M,9,0),"")</f>
        <v/>
      </c>
      <c r="K195" s="59" t="str">
        <f>IFERROR(VLOOKUP(K$13&amp;$B199,Aux!$B:$M,5,0),"")</f>
        <v/>
      </c>
      <c r="L195" s="60" t="str">
        <f>IFERROR(VLOOKUP(K$13&amp;$B195,Aux!$B:$M,3,0),"")</f>
        <v/>
      </c>
      <c r="M195" s="60"/>
      <c r="N195" s="60"/>
      <c r="O195" s="61" t="str">
        <f>IFERROR(VLOOKUP(K$13&amp;$B195,Aux!$B:$M,9,0),"")</f>
        <v/>
      </c>
      <c r="S195" s="59" t="str">
        <f>IFERROR(VLOOKUP(S$13&amp;$B199,Aux!$B:$M,5,0),"")</f>
        <v/>
      </c>
      <c r="T195" s="60" t="str">
        <f>IFERROR(VLOOKUP(S$13&amp;$B195,Aux!$B:$M,3,0),"")</f>
        <v/>
      </c>
      <c r="U195" s="60"/>
      <c r="V195" s="60"/>
      <c r="W195" s="61" t="str">
        <f>IFERROR(VLOOKUP(S$13&amp;$B195,Aux!$B:$M,9,0),"")</f>
        <v/>
      </c>
      <c r="AA195" s="59" t="str">
        <f>IFERROR(VLOOKUP(AA$13&amp;$B199,Aux!$B:$M,5,0),"")</f>
        <v/>
      </c>
      <c r="AB195" s="60" t="str">
        <f>IFERROR(VLOOKUP(AA$13&amp;$B195,Aux!$B:$M,3,0),"")</f>
        <v/>
      </c>
      <c r="AC195" s="60"/>
      <c r="AD195" s="60"/>
      <c r="AE195" s="61" t="str">
        <f>IFERROR(VLOOKUP(AA$13&amp;$B195,Aux!$B:$M,9,0),"")</f>
        <v/>
      </c>
    </row>
    <row r="196" spans="2:31" x14ac:dyDescent="0.25">
      <c r="B196" s="53">
        <f t="shared" si="2"/>
        <v>37</v>
      </c>
      <c r="C196" s="59"/>
      <c r="D196" s="60"/>
      <c r="E196" s="60"/>
      <c r="F196" s="60"/>
      <c r="G196" s="61"/>
      <c r="K196" s="59"/>
      <c r="L196" s="60"/>
      <c r="M196" s="60"/>
      <c r="N196" s="60"/>
      <c r="O196" s="61"/>
      <c r="S196" s="59"/>
      <c r="T196" s="60"/>
      <c r="U196" s="60"/>
      <c r="V196" s="60"/>
      <c r="W196" s="61"/>
      <c r="AA196" s="59"/>
      <c r="AB196" s="60"/>
      <c r="AC196" s="60"/>
      <c r="AD196" s="60"/>
      <c r="AE196" s="61"/>
    </row>
    <row r="197" spans="2:31" x14ac:dyDescent="0.25">
      <c r="B197" s="53">
        <f t="shared" si="2"/>
        <v>37</v>
      </c>
      <c r="C197" s="59"/>
      <c r="D197" s="15" t="str">
        <f>IF(D195="","","Исполнитель"&amp;": ")</f>
        <v/>
      </c>
      <c r="E197" s="62" t="str">
        <f>IFERROR(VLOOKUP(C$13&amp;$B197,Aux!$B:$M,4,0),"")</f>
        <v/>
      </c>
      <c r="F197" s="62"/>
      <c r="G197" s="63" t="str">
        <f>IFERROR(IF(VLOOKUP(C$13&amp;$B195,Aux!$B:$M,8,0)="Да","✔","🕓"),"")</f>
        <v/>
      </c>
      <c r="K197" s="59"/>
      <c r="L197" s="15" t="str">
        <f>IF(L195="","","Исполнитель"&amp;": ")</f>
        <v/>
      </c>
      <c r="M197" s="62" t="str">
        <f>IFERROR(VLOOKUP(K$13&amp;$B197,Aux!$B:$M,4,0),"")</f>
        <v/>
      </c>
      <c r="N197" s="62"/>
      <c r="O197" s="63" t="str">
        <f>IFERROR(IF(VLOOKUP(K$13&amp;$B195,Aux!$B:$M,8,0)="Да","✔","🕓"),"")</f>
        <v/>
      </c>
      <c r="S197" s="59"/>
      <c r="T197" s="15" t="str">
        <f>IF(T195="","","Исполнитель"&amp;": ")</f>
        <v/>
      </c>
      <c r="U197" s="62" t="str">
        <f>IFERROR(VLOOKUP(S$13&amp;$B197,Aux!$B:$M,4,0),"")</f>
        <v/>
      </c>
      <c r="V197" s="62"/>
      <c r="W197" s="63" t="str">
        <f>IFERROR(IF(VLOOKUP(S$13&amp;$B195,Aux!$B:$M,8,0)="Да","✔","🕓"),"")</f>
        <v/>
      </c>
      <c r="AA197" s="59"/>
      <c r="AB197" s="15" t="str">
        <f>IF(AB195="","","Исполнитель"&amp;": ")</f>
        <v/>
      </c>
      <c r="AC197" s="62" t="str">
        <f>IFERROR(VLOOKUP(AA$13&amp;$B197,Aux!$B:$M,4,0),"")</f>
        <v/>
      </c>
      <c r="AD197" s="62"/>
      <c r="AE197" s="63" t="str">
        <f>IFERROR(IF(VLOOKUP(AA$13&amp;$B195,Aux!$B:$M,8,0)="Да","✔","🕓"),"")</f>
        <v/>
      </c>
    </row>
    <row r="198" spans="2:31" x14ac:dyDescent="0.25">
      <c r="B198" s="53">
        <f t="shared" si="2"/>
        <v>37</v>
      </c>
      <c r="C198" s="59"/>
      <c r="D198" s="16" t="str">
        <f>IF(D195="","","Срок сдачи"&amp;": ")</f>
        <v/>
      </c>
      <c r="E198" s="64" t="str">
        <f>IFERROR(VLOOKUP(C$13&amp;$B198,Aux!$B:$M,6,0),"")</f>
        <v/>
      </c>
      <c r="F198" s="64"/>
      <c r="G198" s="63"/>
      <c r="K198" s="59"/>
      <c r="L198" s="16" t="str">
        <f>IF(L195="","","Срок сдачи"&amp;": ")</f>
        <v/>
      </c>
      <c r="M198" s="64" t="str">
        <f>IFERROR(VLOOKUP(K$13&amp;$B198,Aux!$B:$M,6,0),"")</f>
        <v/>
      </c>
      <c r="N198" s="64"/>
      <c r="O198" s="63"/>
      <c r="S198" s="59"/>
      <c r="T198" s="16" t="str">
        <f>IF(T195="","","Срок сдачи"&amp;": ")</f>
        <v/>
      </c>
      <c r="U198" s="64" t="str">
        <f>IFERROR(VLOOKUP(S$13&amp;$B198,Aux!$B:$M,6,0),"")</f>
        <v/>
      </c>
      <c r="V198" s="64"/>
      <c r="W198" s="63"/>
      <c r="AA198" s="59"/>
      <c r="AB198" s="16" t="str">
        <f>IF(AB195="","","Срок сдачи"&amp;": ")</f>
        <v/>
      </c>
      <c r="AC198" s="64" t="str">
        <f>IFERROR(VLOOKUP(AA$13&amp;$B198,Aux!$B:$M,6,0),"")</f>
        <v/>
      </c>
      <c r="AD198" s="64"/>
      <c r="AE198" s="63"/>
    </row>
    <row r="199" spans="2:31" x14ac:dyDescent="0.25">
      <c r="B199" s="53">
        <f t="shared" si="2"/>
        <v>37</v>
      </c>
      <c r="C199" s="7"/>
      <c r="D199" s="17"/>
      <c r="E199" s="7"/>
      <c r="F199" s="18"/>
      <c r="G199" s="18"/>
      <c r="K199" s="13"/>
      <c r="L199" s="17"/>
      <c r="M199" s="13"/>
      <c r="N199" s="14"/>
      <c r="O199" s="14"/>
      <c r="S199" s="13"/>
      <c r="T199" s="17"/>
      <c r="U199" s="13"/>
      <c r="V199" s="14"/>
      <c r="W199" s="14"/>
      <c r="AA199" s="13"/>
      <c r="AB199" s="17"/>
      <c r="AC199" s="13"/>
      <c r="AD199" s="14"/>
      <c r="AE199" s="30"/>
    </row>
    <row r="200" spans="2:31" x14ac:dyDescent="0.25">
      <c r="B200" s="53">
        <f t="shared" si="2"/>
        <v>38</v>
      </c>
      <c r="C200" s="59" t="str">
        <f>IFERROR(VLOOKUP(C$13&amp;$B204,Aux!$B:$M,5,0),"")</f>
        <v/>
      </c>
      <c r="D200" s="60" t="str">
        <f>IFERROR(VLOOKUP(C$13&amp;$B200,Aux!$B:$M,3,0),"")</f>
        <v/>
      </c>
      <c r="E200" s="60"/>
      <c r="F200" s="60"/>
      <c r="G200" s="61" t="str">
        <f>IFERROR(VLOOKUP(C$13&amp;$B200,Aux!$B:$M,9,0),"")</f>
        <v/>
      </c>
      <c r="K200" s="59" t="str">
        <f>IFERROR(VLOOKUP(K$13&amp;$B204,Aux!$B:$M,5,0),"")</f>
        <v/>
      </c>
      <c r="L200" s="60" t="str">
        <f>IFERROR(VLOOKUP(K$13&amp;$B200,Aux!$B:$M,3,0),"")</f>
        <v/>
      </c>
      <c r="M200" s="60"/>
      <c r="N200" s="60"/>
      <c r="O200" s="61" t="str">
        <f>IFERROR(VLOOKUP(K$13&amp;$B200,Aux!$B:$M,9,0),"")</f>
        <v/>
      </c>
      <c r="S200" s="59" t="str">
        <f>IFERROR(VLOOKUP(S$13&amp;$B204,Aux!$B:$M,5,0),"")</f>
        <v/>
      </c>
      <c r="T200" s="60" t="str">
        <f>IFERROR(VLOOKUP(S$13&amp;$B200,Aux!$B:$M,3,0),"")</f>
        <v/>
      </c>
      <c r="U200" s="60"/>
      <c r="V200" s="60"/>
      <c r="W200" s="61" t="str">
        <f>IFERROR(VLOOKUP(S$13&amp;$B200,Aux!$B:$M,9,0),"")</f>
        <v/>
      </c>
      <c r="AA200" s="59" t="str">
        <f>IFERROR(VLOOKUP(AA$13&amp;$B204,Aux!$B:$M,5,0),"")</f>
        <v/>
      </c>
      <c r="AB200" s="60" t="str">
        <f>IFERROR(VLOOKUP(AA$13&amp;$B200,Aux!$B:$M,3,0),"")</f>
        <v/>
      </c>
      <c r="AC200" s="60"/>
      <c r="AD200" s="60"/>
      <c r="AE200" s="61" t="str">
        <f>IFERROR(VLOOKUP(AA$13&amp;$B200,Aux!$B:$M,9,0),"")</f>
        <v/>
      </c>
    </row>
    <row r="201" spans="2:31" x14ac:dyDescent="0.25">
      <c r="B201" s="53">
        <f t="shared" si="2"/>
        <v>38</v>
      </c>
      <c r="C201" s="59"/>
      <c r="D201" s="60"/>
      <c r="E201" s="60"/>
      <c r="F201" s="60"/>
      <c r="G201" s="61"/>
      <c r="K201" s="59"/>
      <c r="L201" s="60"/>
      <c r="M201" s="60"/>
      <c r="N201" s="60"/>
      <c r="O201" s="61"/>
      <c r="S201" s="59"/>
      <c r="T201" s="60"/>
      <c r="U201" s="60"/>
      <c r="V201" s="60"/>
      <c r="W201" s="61"/>
      <c r="AA201" s="59"/>
      <c r="AB201" s="60"/>
      <c r="AC201" s="60"/>
      <c r="AD201" s="60"/>
      <c r="AE201" s="61"/>
    </row>
    <row r="202" spans="2:31" x14ac:dyDescent="0.25">
      <c r="B202" s="53">
        <f t="shared" si="2"/>
        <v>38</v>
      </c>
      <c r="C202" s="59"/>
      <c r="D202" s="15" t="str">
        <f>IF(D200="","","Исполнитель"&amp;": ")</f>
        <v/>
      </c>
      <c r="E202" s="62" t="str">
        <f>IFERROR(VLOOKUP(C$13&amp;$B202,Aux!$B:$M,4,0),"")</f>
        <v/>
      </c>
      <c r="F202" s="62"/>
      <c r="G202" s="63" t="str">
        <f>IFERROR(IF(VLOOKUP(C$13&amp;$B200,Aux!$B:$M,8,0)="Да","✔","🕓"),"")</f>
        <v/>
      </c>
      <c r="K202" s="59"/>
      <c r="L202" s="15" t="str">
        <f>IF(L200="","","Исполнитель"&amp;": ")</f>
        <v/>
      </c>
      <c r="M202" s="62" t="str">
        <f>IFERROR(VLOOKUP(K$13&amp;$B202,Aux!$B:$M,4,0),"")</f>
        <v/>
      </c>
      <c r="N202" s="62"/>
      <c r="O202" s="63" t="str">
        <f>IFERROR(IF(VLOOKUP(K$13&amp;$B200,Aux!$B:$M,8,0)="Да","✔","🕓"),"")</f>
        <v/>
      </c>
      <c r="S202" s="59"/>
      <c r="T202" s="15" t="str">
        <f>IF(T200="","","Исполнитель"&amp;": ")</f>
        <v/>
      </c>
      <c r="U202" s="62" t="str">
        <f>IFERROR(VLOOKUP(S$13&amp;$B202,Aux!$B:$M,4,0),"")</f>
        <v/>
      </c>
      <c r="V202" s="62"/>
      <c r="W202" s="63" t="str">
        <f>IFERROR(IF(VLOOKUP(S$13&amp;$B200,Aux!$B:$M,8,0)="Да","✔","🕓"),"")</f>
        <v/>
      </c>
      <c r="AA202" s="59"/>
      <c r="AB202" s="15" t="str">
        <f>IF(AB200="","","Исполнитель"&amp;": ")</f>
        <v/>
      </c>
      <c r="AC202" s="62" t="str">
        <f>IFERROR(VLOOKUP(AA$13&amp;$B202,Aux!$B:$M,4,0),"")</f>
        <v/>
      </c>
      <c r="AD202" s="62"/>
      <c r="AE202" s="63" t="str">
        <f>IFERROR(IF(VLOOKUP(AA$13&amp;$B200,Aux!$B:$M,8,0)="Да","✔","🕓"),"")</f>
        <v/>
      </c>
    </row>
    <row r="203" spans="2:31" x14ac:dyDescent="0.25">
      <c r="B203" s="53">
        <f t="shared" si="2"/>
        <v>38</v>
      </c>
      <c r="C203" s="59"/>
      <c r="D203" s="16" t="str">
        <f>IF(D200="","","Срок сдачи"&amp;": ")</f>
        <v/>
      </c>
      <c r="E203" s="64" t="str">
        <f>IFERROR(VLOOKUP(C$13&amp;$B203,Aux!$B:$M,6,0),"")</f>
        <v/>
      </c>
      <c r="F203" s="64"/>
      <c r="G203" s="63"/>
      <c r="K203" s="59"/>
      <c r="L203" s="16" t="str">
        <f>IF(L200="","","Срок сдачи"&amp;": ")</f>
        <v/>
      </c>
      <c r="M203" s="64" t="str">
        <f>IFERROR(VLOOKUP(K$13&amp;$B203,Aux!$B:$M,6,0),"")</f>
        <v/>
      </c>
      <c r="N203" s="64"/>
      <c r="O203" s="63"/>
      <c r="S203" s="59"/>
      <c r="T203" s="16" t="str">
        <f>IF(T200="","","Срок сдачи"&amp;": ")</f>
        <v/>
      </c>
      <c r="U203" s="64" t="str">
        <f>IFERROR(VLOOKUP(S$13&amp;$B203,Aux!$B:$M,6,0),"")</f>
        <v/>
      </c>
      <c r="V203" s="64"/>
      <c r="W203" s="63"/>
      <c r="AA203" s="59"/>
      <c r="AB203" s="16" t="str">
        <f>IF(AB200="","","Срок сдачи"&amp;": ")</f>
        <v/>
      </c>
      <c r="AC203" s="64" t="str">
        <f>IFERROR(VLOOKUP(AA$13&amp;$B203,Aux!$B:$M,6,0),"")</f>
        <v/>
      </c>
      <c r="AD203" s="64"/>
      <c r="AE203" s="63"/>
    </row>
    <row r="204" spans="2:31" x14ac:dyDescent="0.25">
      <c r="B204" s="53">
        <f t="shared" si="2"/>
        <v>38</v>
      </c>
      <c r="C204" s="7"/>
      <c r="D204" s="17"/>
      <c r="E204" s="7"/>
      <c r="F204" s="18"/>
      <c r="G204" s="18"/>
      <c r="K204" s="13"/>
      <c r="L204" s="17"/>
      <c r="M204" s="13"/>
      <c r="N204" s="14"/>
      <c r="O204" s="14"/>
      <c r="S204" s="13"/>
      <c r="T204" s="17"/>
      <c r="U204" s="13"/>
      <c r="V204" s="14"/>
      <c r="W204" s="14"/>
      <c r="AA204" s="13"/>
      <c r="AB204" s="17"/>
      <c r="AC204" s="13"/>
      <c r="AD204" s="14"/>
      <c r="AE204" s="30"/>
    </row>
    <row r="205" spans="2:31" x14ac:dyDescent="0.25">
      <c r="B205" s="53">
        <f t="shared" si="2"/>
        <v>39</v>
      </c>
      <c r="C205" s="59" t="str">
        <f>IFERROR(VLOOKUP(C$13&amp;$B209,Aux!$B:$M,5,0),"")</f>
        <v/>
      </c>
      <c r="D205" s="60" t="str">
        <f>IFERROR(VLOOKUP(C$13&amp;$B205,Aux!$B:$M,3,0),"")</f>
        <v/>
      </c>
      <c r="E205" s="60"/>
      <c r="F205" s="60"/>
      <c r="G205" s="61" t="str">
        <f>IFERROR(VLOOKUP(C$13&amp;$B205,Aux!$B:$M,9,0),"")</f>
        <v/>
      </c>
      <c r="K205" s="59" t="str">
        <f>IFERROR(VLOOKUP(K$13&amp;$B209,Aux!$B:$M,5,0),"")</f>
        <v/>
      </c>
      <c r="L205" s="60" t="str">
        <f>IFERROR(VLOOKUP(K$13&amp;$B205,Aux!$B:$M,3,0),"")</f>
        <v/>
      </c>
      <c r="M205" s="60"/>
      <c r="N205" s="60"/>
      <c r="O205" s="61" t="str">
        <f>IFERROR(VLOOKUP(K$13&amp;$B205,Aux!$B:$M,9,0),"")</f>
        <v/>
      </c>
      <c r="S205" s="59" t="str">
        <f>IFERROR(VLOOKUP(S$13&amp;$B209,Aux!$B:$M,5,0),"")</f>
        <v/>
      </c>
      <c r="T205" s="60" t="str">
        <f>IFERROR(VLOOKUP(S$13&amp;$B205,Aux!$B:$M,3,0),"")</f>
        <v/>
      </c>
      <c r="U205" s="60"/>
      <c r="V205" s="60"/>
      <c r="W205" s="61" t="str">
        <f>IFERROR(VLOOKUP(S$13&amp;$B205,Aux!$B:$M,9,0),"")</f>
        <v/>
      </c>
      <c r="AA205" s="59" t="str">
        <f>IFERROR(VLOOKUP(AA$13&amp;$B209,Aux!$B:$M,5,0),"")</f>
        <v/>
      </c>
      <c r="AB205" s="60" t="str">
        <f>IFERROR(VLOOKUP(AA$13&amp;$B205,Aux!$B:$M,3,0),"")</f>
        <v/>
      </c>
      <c r="AC205" s="60"/>
      <c r="AD205" s="60"/>
      <c r="AE205" s="61" t="str">
        <f>IFERROR(VLOOKUP(AA$13&amp;$B205,Aux!$B:$M,9,0),"")</f>
        <v/>
      </c>
    </row>
    <row r="206" spans="2:31" x14ac:dyDescent="0.25">
      <c r="B206" s="53">
        <f t="shared" si="2"/>
        <v>39</v>
      </c>
      <c r="C206" s="59"/>
      <c r="D206" s="60"/>
      <c r="E206" s="60"/>
      <c r="F206" s="60"/>
      <c r="G206" s="61"/>
      <c r="K206" s="59"/>
      <c r="L206" s="60"/>
      <c r="M206" s="60"/>
      <c r="N206" s="60"/>
      <c r="O206" s="61"/>
      <c r="S206" s="59"/>
      <c r="T206" s="60"/>
      <c r="U206" s="60"/>
      <c r="V206" s="60"/>
      <c r="W206" s="61"/>
      <c r="AA206" s="59"/>
      <c r="AB206" s="60"/>
      <c r="AC206" s="60"/>
      <c r="AD206" s="60"/>
      <c r="AE206" s="61"/>
    </row>
    <row r="207" spans="2:31" x14ac:dyDescent="0.25">
      <c r="B207" s="53">
        <f t="shared" si="2"/>
        <v>39</v>
      </c>
      <c r="C207" s="59"/>
      <c r="D207" s="15" t="str">
        <f>IF(D205="","","Исполнитель"&amp;": ")</f>
        <v/>
      </c>
      <c r="E207" s="62" t="str">
        <f>IFERROR(VLOOKUP(C$13&amp;$B207,Aux!$B:$M,4,0),"")</f>
        <v/>
      </c>
      <c r="F207" s="62"/>
      <c r="G207" s="63" t="str">
        <f>IFERROR(IF(VLOOKUP(C$13&amp;$B205,Aux!$B:$M,8,0)="Да","✔","🕓"),"")</f>
        <v/>
      </c>
      <c r="K207" s="59"/>
      <c r="L207" s="15" t="str">
        <f>IF(L205="","","Исполнитель"&amp;": ")</f>
        <v/>
      </c>
      <c r="M207" s="62" t="str">
        <f>IFERROR(VLOOKUP(K$13&amp;$B207,Aux!$B:$M,4,0),"")</f>
        <v/>
      </c>
      <c r="N207" s="62"/>
      <c r="O207" s="63" t="str">
        <f>IFERROR(IF(VLOOKUP(K$13&amp;$B205,Aux!$B:$M,8,0)="Да","✔","🕓"),"")</f>
        <v/>
      </c>
      <c r="S207" s="59"/>
      <c r="T207" s="15" t="str">
        <f>IF(T205="","","Исполнитель"&amp;": ")</f>
        <v/>
      </c>
      <c r="U207" s="62" t="str">
        <f>IFERROR(VLOOKUP(S$13&amp;$B207,Aux!$B:$M,4,0),"")</f>
        <v/>
      </c>
      <c r="V207" s="62"/>
      <c r="W207" s="63" t="str">
        <f>IFERROR(IF(VLOOKUP(S$13&amp;$B205,Aux!$B:$M,8,0)="Да","✔","🕓"),"")</f>
        <v/>
      </c>
      <c r="AA207" s="59"/>
      <c r="AB207" s="15" t="str">
        <f>IF(AB205="","","Исполнитель"&amp;": ")</f>
        <v/>
      </c>
      <c r="AC207" s="62" t="str">
        <f>IFERROR(VLOOKUP(AA$13&amp;$B207,Aux!$B:$M,4,0),"")</f>
        <v/>
      </c>
      <c r="AD207" s="62"/>
      <c r="AE207" s="63" t="str">
        <f>IFERROR(IF(VLOOKUP(AA$13&amp;$B205,Aux!$B:$M,8,0)="Да","✔","🕓"),"")</f>
        <v/>
      </c>
    </row>
    <row r="208" spans="2:31" x14ac:dyDescent="0.25">
      <c r="B208" s="53">
        <f t="shared" si="2"/>
        <v>39</v>
      </c>
      <c r="C208" s="59"/>
      <c r="D208" s="16" t="str">
        <f>IF(D205="","","Срок сдачи"&amp;": ")</f>
        <v/>
      </c>
      <c r="E208" s="64" t="str">
        <f>IFERROR(VLOOKUP(C$13&amp;$B208,Aux!$B:$M,6,0),"")</f>
        <v/>
      </c>
      <c r="F208" s="64"/>
      <c r="G208" s="63"/>
      <c r="K208" s="59"/>
      <c r="L208" s="16" t="str">
        <f>IF(L205="","","Срок сдачи"&amp;": ")</f>
        <v/>
      </c>
      <c r="M208" s="64" t="str">
        <f>IFERROR(VLOOKUP(K$13&amp;$B208,Aux!$B:$M,6,0),"")</f>
        <v/>
      </c>
      <c r="N208" s="64"/>
      <c r="O208" s="63"/>
      <c r="S208" s="59"/>
      <c r="T208" s="16" t="str">
        <f>IF(T205="","","Срок сдачи"&amp;": ")</f>
        <v/>
      </c>
      <c r="U208" s="64" t="str">
        <f>IFERROR(VLOOKUP(S$13&amp;$B208,Aux!$B:$M,6,0),"")</f>
        <v/>
      </c>
      <c r="V208" s="64"/>
      <c r="W208" s="63"/>
      <c r="AA208" s="59"/>
      <c r="AB208" s="16" t="str">
        <f>IF(AB205="","","Срок сдачи"&amp;": ")</f>
        <v/>
      </c>
      <c r="AC208" s="64" t="str">
        <f>IFERROR(VLOOKUP(AA$13&amp;$B208,Aux!$B:$M,6,0),"")</f>
        <v/>
      </c>
      <c r="AD208" s="64"/>
      <c r="AE208" s="63"/>
    </row>
    <row r="209" spans="2:31" x14ac:dyDescent="0.25">
      <c r="B209" s="53">
        <f t="shared" si="2"/>
        <v>39</v>
      </c>
      <c r="C209" s="7"/>
      <c r="D209" s="17"/>
      <c r="E209" s="7"/>
      <c r="F209" s="18"/>
      <c r="G209" s="18"/>
      <c r="K209" s="13"/>
      <c r="L209" s="17"/>
      <c r="M209" s="13"/>
      <c r="N209" s="14"/>
      <c r="O209" s="14"/>
      <c r="S209" s="13"/>
      <c r="T209" s="17"/>
      <c r="U209" s="13"/>
      <c r="V209" s="14"/>
      <c r="W209" s="14"/>
      <c r="AA209" s="13"/>
      <c r="AB209" s="17"/>
      <c r="AC209" s="13"/>
      <c r="AD209" s="14"/>
      <c r="AE209" s="30"/>
    </row>
    <row r="210" spans="2:31" x14ac:dyDescent="0.25">
      <c r="B210" s="53">
        <f t="shared" si="2"/>
        <v>40</v>
      </c>
      <c r="C210" s="59" t="str">
        <f>IFERROR(VLOOKUP(C$13&amp;$B214,Aux!$B:$M,5,0),"")</f>
        <v/>
      </c>
      <c r="D210" s="60" t="str">
        <f>IFERROR(VLOOKUP(C$13&amp;$B210,Aux!$B:$M,3,0),"")</f>
        <v/>
      </c>
      <c r="E210" s="60"/>
      <c r="F210" s="60"/>
      <c r="G210" s="61" t="str">
        <f>IFERROR(VLOOKUP(C$13&amp;$B210,Aux!$B:$M,9,0),"")</f>
        <v/>
      </c>
      <c r="K210" s="59" t="str">
        <f>IFERROR(VLOOKUP(K$13&amp;$B214,Aux!$B:$M,5,0),"")</f>
        <v/>
      </c>
      <c r="L210" s="60" t="str">
        <f>IFERROR(VLOOKUP(K$13&amp;$B210,Aux!$B:$M,3,0),"")</f>
        <v/>
      </c>
      <c r="M210" s="60"/>
      <c r="N210" s="60"/>
      <c r="O210" s="61" t="str">
        <f>IFERROR(VLOOKUP(K$13&amp;$B210,Aux!$B:$M,9,0),"")</f>
        <v/>
      </c>
      <c r="S210" s="59" t="str">
        <f>IFERROR(VLOOKUP(S$13&amp;$B214,Aux!$B:$M,5,0),"")</f>
        <v/>
      </c>
      <c r="T210" s="60" t="str">
        <f>IFERROR(VLOOKUP(S$13&amp;$B210,Aux!$B:$M,3,0),"")</f>
        <v/>
      </c>
      <c r="U210" s="60"/>
      <c r="V210" s="60"/>
      <c r="W210" s="61" t="str">
        <f>IFERROR(VLOOKUP(S$13&amp;$B210,Aux!$B:$M,9,0),"")</f>
        <v/>
      </c>
      <c r="AA210" s="59" t="str">
        <f>IFERROR(VLOOKUP(AA$13&amp;$B214,Aux!$B:$M,5,0),"")</f>
        <v/>
      </c>
      <c r="AB210" s="60" t="str">
        <f>IFERROR(VLOOKUP(AA$13&amp;$B210,Aux!$B:$M,3,0),"")</f>
        <v/>
      </c>
      <c r="AC210" s="60"/>
      <c r="AD210" s="60"/>
      <c r="AE210" s="61" t="str">
        <f>IFERROR(VLOOKUP(AA$13&amp;$B210,Aux!$B:$M,9,0),"")</f>
        <v/>
      </c>
    </row>
    <row r="211" spans="2:31" x14ac:dyDescent="0.25">
      <c r="B211" s="53">
        <f t="shared" si="2"/>
        <v>40</v>
      </c>
      <c r="C211" s="59"/>
      <c r="D211" s="60"/>
      <c r="E211" s="60"/>
      <c r="F211" s="60"/>
      <c r="G211" s="61"/>
      <c r="K211" s="59"/>
      <c r="L211" s="60"/>
      <c r="M211" s="60"/>
      <c r="N211" s="60"/>
      <c r="O211" s="61"/>
      <c r="S211" s="59"/>
      <c r="T211" s="60"/>
      <c r="U211" s="60"/>
      <c r="V211" s="60"/>
      <c r="W211" s="61"/>
      <c r="AA211" s="59"/>
      <c r="AB211" s="60"/>
      <c r="AC211" s="60"/>
      <c r="AD211" s="60"/>
      <c r="AE211" s="61"/>
    </row>
    <row r="212" spans="2:31" x14ac:dyDescent="0.25">
      <c r="B212" s="53">
        <f t="shared" si="2"/>
        <v>40</v>
      </c>
      <c r="C212" s="59"/>
      <c r="D212" s="15" t="str">
        <f>IF(D210="","","Исполнитель"&amp;": ")</f>
        <v/>
      </c>
      <c r="E212" s="62" t="str">
        <f>IFERROR(VLOOKUP(C$13&amp;$B212,Aux!$B:$M,4,0),"")</f>
        <v/>
      </c>
      <c r="F212" s="62"/>
      <c r="G212" s="63" t="str">
        <f>IFERROR(IF(VLOOKUP(C$13&amp;$B210,Aux!$B:$M,8,0)="Да","✔","🕓"),"")</f>
        <v/>
      </c>
      <c r="K212" s="59"/>
      <c r="L212" s="15" t="str">
        <f>IF(L210="","","Исполнитель"&amp;": ")</f>
        <v/>
      </c>
      <c r="M212" s="62" t="str">
        <f>IFERROR(VLOOKUP(K$13&amp;$B212,Aux!$B:$M,4,0),"")</f>
        <v/>
      </c>
      <c r="N212" s="62"/>
      <c r="O212" s="63" t="str">
        <f>IFERROR(IF(VLOOKUP(K$13&amp;$B210,Aux!$B:$M,8,0)="Да","✔","🕓"),"")</f>
        <v/>
      </c>
      <c r="S212" s="59"/>
      <c r="T212" s="15" t="str">
        <f>IF(T210="","","Исполнитель"&amp;": ")</f>
        <v/>
      </c>
      <c r="U212" s="62" t="str">
        <f>IFERROR(VLOOKUP(S$13&amp;$B212,Aux!$B:$M,4,0),"")</f>
        <v/>
      </c>
      <c r="V212" s="62"/>
      <c r="W212" s="63" t="str">
        <f>IFERROR(IF(VLOOKUP(S$13&amp;$B210,Aux!$B:$M,8,0)="Да","✔","🕓"),"")</f>
        <v/>
      </c>
      <c r="AA212" s="59"/>
      <c r="AB212" s="15" t="str">
        <f>IF(AB210="","","Исполнитель"&amp;": ")</f>
        <v/>
      </c>
      <c r="AC212" s="62" t="str">
        <f>IFERROR(VLOOKUP(AA$13&amp;$B212,Aux!$B:$M,4,0),"")</f>
        <v/>
      </c>
      <c r="AD212" s="62"/>
      <c r="AE212" s="63" t="str">
        <f>IFERROR(IF(VLOOKUP(AA$13&amp;$B210,Aux!$B:$M,8,0)="Да","✔","🕓"),"")</f>
        <v/>
      </c>
    </row>
    <row r="213" spans="2:31" x14ac:dyDescent="0.25">
      <c r="B213" s="53">
        <f t="shared" ref="B213:B276" si="3">B208+1</f>
        <v>40</v>
      </c>
      <c r="C213" s="59"/>
      <c r="D213" s="16" t="str">
        <f>IF(D210="","","Срок сдачи"&amp;": ")</f>
        <v/>
      </c>
      <c r="E213" s="64" t="str">
        <f>IFERROR(VLOOKUP(C$13&amp;$B213,Aux!$B:$M,6,0),"")</f>
        <v/>
      </c>
      <c r="F213" s="64"/>
      <c r="G213" s="63"/>
      <c r="K213" s="59"/>
      <c r="L213" s="16" t="str">
        <f>IF(L210="","","Срок сдачи"&amp;": ")</f>
        <v/>
      </c>
      <c r="M213" s="64" t="str">
        <f>IFERROR(VLOOKUP(K$13&amp;$B213,Aux!$B:$M,6,0),"")</f>
        <v/>
      </c>
      <c r="N213" s="64"/>
      <c r="O213" s="63"/>
      <c r="S213" s="59"/>
      <c r="T213" s="16" t="str">
        <f>IF(T210="","","Срок сдачи"&amp;": ")</f>
        <v/>
      </c>
      <c r="U213" s="64" t="str">
        <f>IFERROR(VLOOKUP(S$13&amp;$B213,Aux!$B:$M,6,0),"")</f>
        <v/>
      </c>
      <c r="V213" s="64"/>
      <c r="W213" s="63"/>
      <c r="AA213" s="59"/>
      <c r="AB213" s="16" t="str">
        <f>IF(AB210="","","Срок сдачи"&amp;": ")</f>
        <v/>
      </c>
      <c r="AC213" s="64" t="str">
        <f>IFERROR(VLOOKUP(AA$13&amp;$B213,Aux!$B:$M,6,0),"")</f>
        <v/>
      </c>
      <c r="AD213" s="64"/>
      <c r="AE213" s="63"/>
    </row>
    <row r="214" spans="2:31" x14ac:dyDescent="0.25">
      <c r="B214" s="53">
        <f t="shared" si="3"/>
        <v>40</v>
      </c>
      <c r="C214" s="7"/>
      <c r="D214" s="17"/>
      <c r="E214" s="7"/>
      <c r="F214" s="18"/>
      <c r="G214" s="18"/>
      <c r="K214" s="13"/>
      <c r="L214" s="17"/>
      <c r="M214" s="13"/>
      <c r="N214" s="14"/>
      <c r="O214" s="14"/>
      <c r="S214" s="13"/>
      <c r="T214" s="17"/>
      <c r="U214" s="13"/>
      <c r="V214" s="14"/>
      <c r="W214" s="14"/>
      <c r="AA214" s="13"/>
      <c r="AB214" s="17"/>
      <c r="AC214" s="13"/>
      <c r="AD214" s="14"/>
      <c r="AE214" s="30"/>
    </row>
    <row r="215" spans="2:31" x14ac:dyDescent="0.25">
      <c r="B215" s="53">
        <f t="shared" si="3"/>
        <v>41</v>
      </c>
      <c r="C215" s="59" t="str">
        <f>IFERROR(VLOOKUP(C$13&amp;$B219,Aux!$B:$M,5,0),"")</f>
        <v/>
      </c>
      <c r="D215" s="60" t="str">
        <f>IFERROR(VLOOKUP(C$13&amp;$B215,Aux!$B:$M,3,0),"")</f>
        <v/>
      </c>
      <c r="E215" s="60"/>
      <c r="F215" s="60"/>
      <c r="G215" s="61" t="str">
        <f>IFERROR(VLOOKUP(C$13&amp;$B215,Aux!$B:$M,9,0),"")</f>
        <v/>
      </c>
      <c r="K215" s="59" t="str">
        <f>IFERROR(VLOOKUP(K$13&amp;$B219,Aux!$B:$M,5,0),"")</f>
        <v/>
      </c>
      <c r="L215" s="60" t="str">
        <f>IFERROR(VLOOKUP(K$13&amp;$B215,Aux!$B:$M,3,0),"")</f>
        <v/>
      </c>
      <c r="M215" s="60"/>
      <c r="N215" s="60"/>
      <c r="O215" s="61" t="str">
        <f>IFERROR(VLOOKUP(K$13&amp;$B215,Aux!$B:$M,9,0),"")</f>
        <v/>
      </c>
      <c r="S215" s="59" t="str">
        <f>IFERROR(VLOOKUP(S$13&amp;$B219,Aux!$B:$M,5,0),"")</f>
        <v/>
      </c>
      <c r="T215" s="60" t="str">
        <f>IFERROR(VLOOKUP(S$13&amp;$B215,Aux!$B:$M,3,0),"")</f>
        <v/>
      </c>
      <c r="U215" s="60"/>
      <c r="V215" s="60"/>
      <c r="W215" s="61" t="str">
        <f>IFERROR(VLOOKUP(S$13&amp;$B215,Aux!$B:$M,9,0),"")</f>
        <v/>
      </c>
      <c r="AA215" s="59" t="str">
        <f>IFERROR(VLOOKUP(AA$13&amp;$B219,Aux!$B:$M,5,0),"")</f>
        <v/>
      </c>
      <c r="AB215" s="60" t="str">
        <f>IFERROR(VLOOKUP(AA$13&amp;$B215,Aux!$B:$M,3,0),"")</f>
        <v/>
      </c>
      <c r="AC215" s="60"/>
      <c r="AD215" s="60"/>
      <c r="AE215" s="61" t="str">
        <f>IFERROR(VLOOKUP(AA$13&amp;$B215,Aux!$B:$M,9,0),"")</f>
        <v/>
      </c>
    </row>
    <row r="216" spans="2:31" x14ac:dyDescent="0.25">
      <c r="B216" s="53">
        <f t="shared" si="3"/>
        <v>41</v>
      </c>
      <c r="C216" s="59"/>
      <c r="D216" s="60"/>
      <c r="E216" s="60"/>
      <c r="F216" s="60"/>
      <c r="G216" s="61"/>
      <c r="K216" s="59"/>
      <c r="L216" s="60"/>
      <c r="M216" s="60"/>
      <c r="N216" s="60"/>
      <c r="O216" s="61"/>
      <c r="S216" s="59"/>
      <c r="T216" s="60"/>
      <c r="U216" s="60"/>
      <c r="V216" s="60"/>
      <c r="W216" s="61"/>
      <c r="AA216" s="59"/>
      <c r="AB216" s="60"/>
      <c r="AC216" s="60"/>
      <c r="AD216" s="60"/>
      <c r="AE216" s="61"/>
    </row>
    <row r="217" spans="2:31" x14ac:dyDescent="0.25">
      <c r="B217" s="53">
        <f t="shared" si="3"/>
        <v>41</v>
      </c>
      <c r="C217" s="59"/>
      <c r="D217" s="15" t="str">
        <f>IF(D215="","","Исполнитель"&amp;": ")</f>
        <v/>
      </c>
      <c r="E217" s="62" t="str">
        <f>IFERROR(VLOOKUP(C$13&amp;$B217,Aux!$B:$M,4,0),"")</f>
        <v/>
      </c>
      <c r="F217" s="62"/>
      <c r="G217" s="63" t="str">
        <f>IFERROR(IF(VLOOKUP(C$13&amp;$B215,Aux!$B:$M,8,0)="Да","✔","🕓"),"")</f>
        <v/>
      </c>
      <c r="K217" s="59"/>
      <c r="L217" s="15" t="str">
        <f>IF(L215="","","Исполнитель"&amp;": ")</f>
        <v/>
      </c>
      <c r="M217" s="62" t="str">
        <f>IFERROR(VLOOKUP(K$13&amp;$B217,Aux!$B:$M,4,0),"")</f>
        <v/>
      </c>
      <c r="N217" s="62"/>
      <c r="O217" s="63" t="str">
        <f>IFERROR(IF(VLOOKUP(K$13&amp;$B215,Aux!$B:$M,8,0)="Да","✔","🕓"),"")</f>
        <v/>
      </c>
      <c r="S217" s="59"/>
      <c r="T217" s="15" t="str">
        <f>IF(T215="","","Исполнитель"&amp;": ")</f>
        <v/>
      </c>
      <c r="U217" s="62" t="str">
        <f>IFERROR(VLOOKUP(S$13&amp;$B217,Aux!$B:$M,4,0),"")</f>
        <v/>
      </c>
      <c r="V217" s="62"/>
      <c r="W217" s="63" t="str">
        <f>IFERROR(IF(VLOOKUP(S$13&amp;$B215,Aux!$B:$M,8,0)="Да","✔","🕓"),"")</f>
        <v/>
      </c>
      <c r="AA217" s="59"/>
      <c r="AB217" s="15" t="str">
        <f>IF(AB215="","","Исполнитель"&amp;": ")</f>
        <v/>
      </c>
      <c r="AC217" s="62" t="str">
        <f>IFERROR(VLOOKUP(AA$13&amp;$B217,Aux!$B:$M,4,0),"")</f>
        <v/>
      </c>
      <c r="AD217" s="62"/>
      <c r="AE217" s="63" t="str">
        <f>IFERROR(IF(VLOOKUP(AA$13&amp;$B215,Aux!$B:$M,8,0)="Да","✔","🕓"),"")</f>
        <v/>
      </c>
    </row>
    <row r="218" spans="2:31" x14ac:dyDescent="0.25">
      <c r="B218" s="53">
        <f t="shared" si="3"/>
        <v>41</v>
      </c>
      <c r="C218" s="59"/>
      <c r="D218" s="16" t="str">
        <f>IF(D215="","","Срок сдачи"&amp;": ")</f>
        <v/>
      </c>
      <c r="E218" s="64" t="str">
        <f>IFERROR(VLOOKUP(C$13&amp;$B218,Aux!$B:$M,6,0),"")</f>
        <v/>
      </c>
      <c r="F218" s="64"/>
      <c r="G218" s="63"/>
      <c r="K218" s="59"/>
      <c r="L218" s="16" t="str">
        <f>IF(L215="","","Срок сдачи"&amp;": ")</f>
        <v/>
      </c>
      <c r="M218" s="64" t="str">
        <f>IFERROR(VLOOKUP(K$13&amp;$B218,Aux!$B:$M,6,0),"")</f>
        <v/>
      </c>
      <c r="N218" s="64"/>
      <c r="O218" s="63"/>
      <c r="S218" s="59"/>
      <c r="T218" s="16" t="str">
        <f>IF(T215="","","Срок сдачи"&amp;": ")</f>
        <v/>
      </c>
      <c r="U218" s="64" t="str">
        <f>IFERROR(VLOOKUP(S$13&amp;$B218,Aux!$B:$M,6,0),"")</f>
        <v/>
      </c>
      <c r="V218" s="64"/>
      <c r="W218" s="63"/>
      <c r="AA218" s="59"/>
      <c r="AB218" s="16" t="str">
        <f>IF(AB215="","","Срок сдачи"&amp;": ")</f>
        <v/>
      </c>
      <c r="AC218" s="64" t="str">
        <f>IFERROR(VLOOKUP(AA$13&amp;$B218,Aux!$B:$M,6,0),"")</f>
        <v/>
      </c>
      <c r="AD218" s="64"/>
      <c r="AE218" s="63"/>
    </row>
    <row r="219" spans="2:31" x14ac:dyDescent="0.25">
      <c r="B219" s="53">
        <f t="shared" si="3"/>
        <v>41</v>
      </c>
      <c r="C219" s="7"/>
      <c r="D219" s="17"/>
      <c r="E219" s="7"/>
      <c r="F219" s="18"/>
      <c r="G219" s="18"/>
      <c r="K219" s="13"/>
      <c r="L219" s="17"/>
      <c r="M219" s="13"/>
      <c r="N219" s="14"/>
      <c r="O219" s="14"/>
      <c r="S219" s="13"/>
      <c r="T219" s="17"/>
      <c r="U219" s="13"/>
      <c r="V219" s="14"/>
      <c r="W219" s="14"/>
      <c r="AA219" s="13"/>
      <c r="AB219" s="17"/>
      <c r="AC219" s="13"/>
      <c r="AD219" s="14"/>
      <c r="AE219" s="30"/>
    </row>
    <row r="220" spans="2:31" x14ac:dyDescent="0.25">
      <c r="B220" s="53">
        <f t="shared" si="3"/>
        <v>42</v>
      </c>
      <c r="C220" s="59" t="str">
        <f>IFERROR(VLOOKUP(C$13&amp;$B224,Aux!$B:$M,5,0),"")</f>
        <v/>
      </c>
      <c r="D220" s="60" t="str">
        <f>IFERROR(VLOOKUP(C$13&amp;$B220,Aux!$B:$M,3,0),"")</f>
        <v/>
      </c>
      <c r="E220" s="60"/>
      <c r="F220" s="60"/>
      <c r="G220" s="61" t="str">
        <f>IFERROR(VLOOKUP(C$13&amp;$B220,Aux!$B:$M,9,0),"")</f>
        <v/>
      </c>
      <c r="K220" s="59" t="str">
        <f>IFERROR(VLOOKUP(K$13&amp;$B224,Aux!$B:$M,5,0),"")</f>
        <v/>
      </c>
      <c r="L220" s="60" t="str">
        <f>IFERROR(VLOOKUP(K$13&amp;$B220,Aux!$B:$M,3,0),"")</f>
        <v/>
      </c>
      <c r="M220" s="60"/>
      <c r="N220" s="60"/>
      <c r="O220" s="61" t="str">
        <f>IFERROR(VLOOKUP(K$13&amp;$B220,Aux!$B:$M,9,0),"")</f>
        <v/>
      </c>
      <c r="S220" s="59" t="str">
        <f>IFERROR(VLOOKUP(S$13&amp;$B224,Aux!$B:$M,5,0),"")</f>
        <v/>
      </c>
      <c r="T220" s="60" t="str">
        <f>IFERROR(VLOOKUP(S$13&amp;$B220,Aux!$B:$M,3,0),"")</f>
        <v/>
      </c>
      <c r="U220" s="60"/>
      <c r="V220" s="60"/>
      <c r="W220" s="61" t="str">
        <f>IFERROR(VLOOKUP(S$13&amp;$B220,Aux!$B:$M,9,0),"")</f>
        <v/>
      </c>
      <c r="AA220" s="59" t="str">
        <f>IFERROR(VLOOKUP(AA$13&amp;$B224,Aux!$B:$M,5,0),"")</f>
        <v/>
      </c>
      <c r="AB220" s="60" t="str">
        <f>IFERROR(VLOOKUP(AA$13&amp;$B220,Aux!$B:$M,3,0),"")</f>
        <v/>
      </c>
      <c r="AC220" s="60"/>
      <c r="AD220" s="60"/>
      <c r="AE220" s="61" t="str">
        <f>IFERROR(VLOOKUP(AA$13&amp;$B220,Aux!$B:$M,9,0),"")</f>
        <v/>
      </c>
    </row>
    <row r="221" spans="2:31" x14ac:dyDescent="0.25">
      <c r="B221" s="53">
        <f t="shared" si="3"/>
        <v>42</v>
      </c>
      <c r="C221" s="59"/>
      <c r="D221" s="60"/>
      <c r="E221" s="60"/>
      <c r="F221" s="60"/>
      <c r="G221" s="61"/>
      <c r="K221" s="59"/>
      <c r="L221" s="60"/>
      <c r="M221" s="60"/>
      <c r="N221" s="60"/>
      <c r="O221" s="61"/>
      <c r="S221" s="59"/>
      <c r="T221" s="60"/>
      <c r="U221" s="60"/>
      <c r="V221" s="60"/>
      <c r="W221" s="61"/>
      <c r="AA221" s="59"/>
      <c r="AB221" s="60"/>
      <c r="AC221" s="60"/>
      <c r="AD221" s="60"/>
      <c r="AE221" s="61"/>
    </row>
    <row r="222" spans="2:31" x14ac:dyDescent="0.25">
      <c r="B222" s="53">
        <f t="shared" si="3"/>
        <v>42</v>
      </c>
      <c r="C222" s="59"/>
      <c r="D222" s="15" t="str">
        <f>IF(D220="","","Исполнитель"&amp;": ")</f>
        <v/>
      </c>
      <c r="E222" s="62" t="str">
        <f>IFERROR(VLOOKUP(C$13&amp;$B222,Aux!$B:$M,4,0),"")</f>
        <v/>
      </c>
      <c r="F222" s="62"/>
      <c r="G222" s="63" t="str">
        <f>IFERROR(IF(VLOOKUP(C$13&amp;$B220,Aux!$B:$M,8,0)="Да","✔","🕓"),"")</f>
        <v/>
      </c>
      <c r="K222" s="59"/>
      <c r="L222" s="15" t="str">
        <f>IF(L220="","","Исполнитель"&amp;": ")</f>
        <v/>
      </c>
      <c r="M222" s="62" t="str">
        <f>IFERROR(VLOOKUP(K$13&amp;$B222,Aux!$B:$M,4,0),"")</f>
        <v/>
      </c>
      <c r="N222" s="62"/>
      <c r="O222" s="63" t="str">
        <f>IFERROR(IF(VLOOKUP(K$13&amp;$B220,Aux!$B:$M,8,0)="Да","✔","🕓"),"")</f>
        <v/>
      </c>
      <c r="S222" s="59"/>
      <c r="T222" s="15" t="str">
        <f>IF(T220="","","Исполнитель"&amp;": ")</f>
        <v/>
      </c>
      <c r="U222" s="62" t="str">
        <f>IFERROR(VLOOKUP(S$13&amp;$B222,Aux!$B:$M,4,0),"")</f>
        <v/>
      </c>
      <c r="V222" s="62"/>
      <c r="W222" s="63" t="str">
        <f>IFERROR(IF(VLOOKUP(S$13&amp;$B220,Aux!$B:$M,8,0)="Да","✔","🕓"),"")</f>
        <v/>
      </c>
      <c r="AA222" s="59"/>
      <c r="AB222" s="15" t="str">
        <f>IF(AB220="","","Исполнитель"&amp;": ")</f>
        <v/>
      </c>
      <c r="AC222" s="62" t="str">
        <f>IFERROR(VLOOKUP(AA$13&amp;$B222,Aux!$B:$M,4,0),"")</f>
        <v/>
      </c>
      <c r="AD222" s="62"/>
      <c r="AE222" s="63" t="str">
        <f>IFERROR(IF(VLOOKUP(AA$13&amp;$B220,Aux!$B:$M,8,0)="Да","✔","🕓"),"")</f>
        <v/>
      </c>
    </row>
    <row r="223" spans="2:31" x14ac:dyDescent="0.25">
      <c r="B223" s="53">
        <f t="shared" si="3"/>
        <v>42</v>
      </c>
      <c r="C223" s="59"/>
      <c r="D223" s="16" t="str">
        <f>IF(D220="","","Срок сдачи"&amp;": ")</f>
        <v/>
      </c>
      <c r="E223" s="64" t="str">
        <f>IFERROR(VLOOKUP(C$13&amp;$B223,Aux!$B:$M,6,0),"")</f>
        <v/>
      </c>
      <c r="F223" s="64"/>
      <c r="G223" s="63"/>
      <c r="K223" s="59"/>
      <c r="L223" s="16" t="str">
        <f>IF(L220="","","Срок сдачи"&amp;": ")</f>
        <v/>
      </c>
      <c r="M223" s="64" t="str">
        <f>IFERROR(VLOOKUP(K$13&amp;$B223,Aux!$B:$M,6,0),"")</f>
        <v/>
      </c>
      <c r="N223" s="64"/>
      <c r="O223" s="63"/>
      <c r="S223" s="59"/>
      <c r="T223" s="16" t="str">
        <f>IF(T220="","","Срок сдачи"&amp;": ")</f>
        <v/>
      </c>
      <c r="U223" s="64" t="str">
        <f>IFERROR(VLOOKUP(S$13&amp;$B223,Aux!$B:$M,6,0),"")</f>
        <v/>
      </c>
      <c r="V223" s="64"/>
      <c r="W223" s="63"/>
      <c r="AA223" s="59"/>
      <c r="AB223" s="16" t="str">
        <f>IF(AB220="","","Срок сдачи"&amp;": ")</f>
        <v/>
      </c>
      <c r="AC223" s="64" t="str">
        <f>IFERROR(VLOOKUP(AA$13&amp;$B223,Aux!$B:$M,6,0),"")</f>
        <v/>
      </c>
      <c r="AD223" s="64"/>
      <c r="AE223" s="63"/>
    </row>
    <row r="224" spans="2:31" x14ac:dyDescent="0.25">
      <c r="B224" s="53">
        <f t="shared" si="3"/>
        <v>42</v>
      </c>
      <c r="C224" s="7"/>
      <c r="D224" s="17"/>
      <c r="E224" s="7"/>
      <c r="F224" s="18"/>
      <c r="G224" s="18"/>
      <c r="K224" s="13"/>
      <c r="L224" s="17"/>
      <c r="M224" s="13"/>
      <c r="N224" s="14"/>
      <c r="O224" s="14"/>
      <c r="S224" s="13"/>
      <c r="T224" s="17"/>
      <c r="U224" s="13"/>
      <c r="V224" s="14"/>
      <c r="W224" s="14"/>
      <c r="AA224" s="13"/>
      <c r="AB224" s="17"/>
      <c r="AC224" s="13"/>
      <c r="AD224" s="14"/>
      <c r="AE224" s="30"/>
    </row>
    <row r="225" spans="2:31" x14ac:dyDescent="0.25">
      <c r="B225" s="53">
        <f t="shared" si="3"/>
        <v>43</v>
      </c>
      <c r="C225" s="59" t="str">
        <f>IFERROR(VLOOKUP(C$13&amp;$B229,Aux!$B:$M,5,0),"")</f>
        <v/>
      </c>
      <c r="D225" s="60" t="str">
        <f>IFERROR(VLOOKUP(C$13&amp;$B225,Aux!$B:$M,3,0),"")</f>
        <v/>
      </c>
      <c r="E225" s="60"/>
      <c r="F225" s="60"/>
      <c r="G225" s="61" t="str">
        <f>IFERROR(VLOOKUP(C$13&amp;$B225,Aux!$B:$M,9,0),"")</f>
        <v/>
      </c>
      <c r="K225" s="59" t="str">
        <f>IFERROR(VLOOKUP(K$13&amp;$B229,Aux!$B:$M,5,0),"")</f>
        <v/>
      </c>
      <c r="L225" s="60" t="str">
        <f>IFERROR(VLOOKUP(K$13&amp;$B225,Aux!$B:$M,3,0),"")</f>
        <v/>
      </c>
      <c r="M225" s="60"/>
      <c r="N225" s="60"/>
      <c r="O225" s="61" t="str">
        <f>IFERROR(VLOOKUP(K$13&amp;$B225,Aux!$B:$M,9,0),"")</f>
        <v/>
      </c>
      <c r="S225" s="59" t="str">
        <f>IFERROR(VLOOKUP(S$13&amp;$B229,Aux!$B:$M,5,0),"")</f>
        <v/>
      </c>
      <c r="T225" s="60" t="str">
        <f>IFERROR(VLOOKUP(S$13&amp;$B225,Aux!$B:$M,3,0),"")</f>
        <v/>
      </c>
      <c r="U225" s="60"/>
      <c r="V225" s="60"/>
      <c r="W225" s="61" t="str">
        <f>IFERROR(VLOOKUP(S$13&amp;$B225,Aux!$B:$M,9,0),"")</f>
        <v/>
      </c>
      <c r="AA225" s="59" t="str">
        <f>IFERROR(VLOOKUP(AA$13&amp;$B229,Aux!$B:$M,5,0),"")</f>
        <v/>
      </c>
      <c r="AB225" s="60" t="str">
        <f>IFERROR(VLOOKUP(AA$13&amp;$B225,Aux!$B:$M,3,0),"")</f>
        <v/>
      </c>
      <c r="AC225" s="60"/>
      <c r="AD225" s="60"/>
      <c r="AE225" s="61" t="str">
        <f>IFERROR(VLOOKUP(AA$13&amp;$B225,Aux!$B:$M,9,0),"")</f>
        <v/>
      </c>
    </row>
    <row r="226" spans="2:31" x14ac:dyDescent="0.25">
      <c r="B226" s="53">
        <f t="shared" si="3"/>
        <v>43</v>
      </c>
      <c r="C226" s="59"/>
      <c r="D226" s="60"/>
      <c r="E226" s="60"/>
      <c r="F226" s="60"/>
      <c r="G226" s="61"/>
      <c r="K226" s="59"/>
      <c r="L226" s="60"/>
      <c r="M226" s="60"/>
      <c r="N226" s="60"/>
      <c r="O226" s="61"/>
      <c r="S226" s="59"/>
      <c r="T226" s="60"/>
      <c r="U226" s="60"/>
      <c r="V226" s="60"/>
      <c r="W226" s="61"/>
      <c r="AA226" s="59"/>
      <c r="AB226" s="60"/>
      <c r="AC226" s="60"/>
      <c r="AD226" s="60"/>
      <c r="AE226" s="61"/>
    </row>
    <row r="227" spans="2:31" x14ac:dyDescent="0.25">
      <c r="B227" s="53">
        <f t="shared" si="3"/>
        <v>43</v>
      </c>
      <c r="C227" s="59"/>
      <c r="D227" s="15" t="str">
        <f>IF(D225="","","Исполнитель"&amp;": ")</f>
        <v/>
      </c>
      <c r="E227" s="62" t="str">
        <f>IFERROR(VLOOKUP(C$13&amp;$B227,Aux!$B:$M,4,0),"")</f>
        <v/>
      </c>
      <c r="F227" s="62"/>
      <c r="G227" s="63" t="str">
        <f>IFERROR(IF(VLOOKUP(C$13&amp;$B225,Aux!$B:$M,8,0)="Да","✔","🕓"),"")</f>
        <v/>
      </c>
      <c r="K227" s="59"/>
      <c r="L227" s="15" t="str">
        <f>IF(L225="","","Исполнитель"&amp;": ")</f>
        <v/>
      </c>
      <c r="M227" s="62" t="str">
        <f>IFERROR(VLOOKUP(K$13&amp;$B227,Aux!$B:$M,4,0),"")</f>
        <v/>
      </c>
      <c r="N227" s="62"/>
      <c r="O227" s="63" t="str">
        <f>IFERROR(IF(VLOOKUP(K$13&amp;$B225,Aux!$B:$M,8,0)="Да","✔","🕓"),"")</f>
        <v/>
      </c>
      <c r="S227" s="59"/>
      <c r="T227" s="15" t="str">
        <f>IF(T225="","","Исполнитель"&amp;": ")</f>
        <v/>
      </c>
      <c r="U227" s="62" t="str">
        <f>IFERROR(VLOOKUP(S$13&amp;$B227,Aux!$B:$M,4,0),"")</f>
        <v/>
      </c>
      <c r="V227" s="62"/>
      <c r="W227" s="63" t="str">
        <f>IFERROR(IF(VLOOKUP(S$13&amp;$B225,Aux!$B:$M,8,0)="Да","✔","🕓"),"")</f>
        <v/>
      </c>
      <c r="AA227" s="59"/>
      <c r="AB227" s="15" t="str">
        <f>IF(AB225="","","Исполнитель"&amp;": ")</f>
        <v/>
      </c>
      <c r="AC227" s="62" t="str">
        <f>IFERROR(VLOOKUP(AA$13&amp;$B227,Aux!$B:$M,4,0),"")</f>
        <v/>
      </c>
      <c r="AD227" s="62"/>
      <c r="AE227" s="63" t="str">
        <f>IFERROR(IF(VLOOKUP(AA$13&amp;$B225,Aux!$B:$M,8,0)="Да","✔","🕓"),"")</f>
        <v/>
      </c>
    </row>
    <row r="228" spans="2:31" x14ac:dyDescent="0.25">
      <c r="B228" s="53">
        <f t="shared" si="3"/>
        <v>43</v>
      </c>
      <c r="C228" s="59"/>
      <c r="D228" s="16" t="str">
        <f>IF(D225="","","Срок сдачи"&amp;": ")</f>
        <v/>
      </c>
      <c r="E228" s="64" t="str">
        <f>IFERROR(VLOOKUP(C$13&amp;$B228,Aux!$B:$M,6,0),"")</f>
        <v/>
      </c>
      <c r="F228" s="64"/>
      <c r="G228" s="63"/>
      <c r="K228" s="59"/>
      <c r="L228" s="16" t="str">
        <f>IF(L225="","","Срок сдачи"&amp;": ")</f>
        <v/>
      </c>
      <c r="M228" s="64" t="str">
        <f>IFERROR(VLOOKUP(K$13&amp;$B228,Aux!$B:$M,6,0),"")</f>
        <v/>
      </c>
      <c r="N228" s="64"/>
      <c r="O228" s="63"/>
      <c r="S228" s="59"/>
      <c r="T228" s="16" t="str">
        <f>IF(T225="","","Срок сдачи"&amp;": ")</f>
        <v/>
      </c>
      <c r="U228" s="64" t="str">
        <f>IFERROR(VLOOKUP(S$13&amp;$B228,Aux!$B:$M,6,0),"")</f>
        <v/>
      </c>
      <c r="V228" s="64"/>
      <c r="W228" s="63"/>
      <c r="AA228" s="59"/>
      <c r="AB228" s="16" t="str">
        <f>IF(AB225="","","Срок сдачи"&amp;": ")</f>
        <v/>
      </c>
      <c r="AC228" s="64" t="str">
        <f>IFERROR(VLOOKUP(AA$13&amp;$B228,Aux!$B:$M,6,0),"")</f>
        <v/>
      </c>
      <c r="AD228" s="64"/>
      <c r="AE228" s="63"/>
    </row>
    <row r="229" spans="2:31" x14ac:dyDescent="0.25">
      <c r="B229" s="53">
        <f t="shared" si="3"/>
        <v>43</v>
      </c>
      <c r="C229" s="7"/>
      <c r="D229" s="17"/>
      <c r="E229" s="7"/>
      <c r="F229" s="18"/>
      <c r="G229" s="18"/>
      <c r="K229" s="13"/>
      <c r="L229" s="17"/>
      <c r="M229" s="13"/>
      <c r="N229" s="14"/>
      <c r="O229" s="14"/>
      <c r="S229" s="13"/>
      <c r="T229" s="17"/>
      <c r="U229" s="13"/>
      <c r="V229" s="14"/>
      <c r="W229" s="14"/>
      <c r="AA229" s="13"/>
      <c r="AB229" s="17"/>
      <c r="AC229" s="13"/>
      <c r="AD229" s="14"/>
      <c r="AE229" s="30"/>
    </row>
    <row r="230" spans="2:31" x14ac:dyDescent="0.25">
      <c r="B230" s="53">
        <f t="shared" si="3"/>
        <v>44</v>
      </c>
      <c r="C230" s="59" t="str">
        <f>IFERROR(VLOOKUP(C$13&amp;$B234,Aux!$B:$M,5,0),"")</f>
        <v/>
      </c>
      <c r="D230" s="60" t="str">
        <f>IFERROR(VLOOKUP(C$13&amp;$B230,Aux!$B:$M,3,0),"")</f>
        <v/>
      </c>
      <c r="E230" s="60"/>
      <c r="F230" s="60"/>
      <c r="G230" s="61" t="str">
        <f>IFERROR(VLOOKUP(C$13&amp;$B230,Aux!$B:$M,9,0),"")</f>
        <v/>
      </c>
      <c r="K230" s="59" t="str">
        <f>IFERROR(VLOOKUP(K$13&amp;$B234,Aux!$B:$M,5,0),"")</f>
        <v/>
      </c>
      <c r="L230" s="60" t="str">
        <f>IFERROR(VLOOKUP(K$13&amp;$B230,Aux!$B:$M,3,0),"")</f>
        <v/>
      </c>
      <c r="M230" s="60"/>
      <c r="N230" s="60"/>
      <c r="O230" s="61" t="str">
        <f>IFERROR(VLOOKUP(K$13&amp;$B230,Aux!$B:$M,9,0),"")</f>
        <v/>
      </c>
      <c r="S230" s="59" t="str">
        <f>IFERROR(VLOOKUP(S$13&amp;$B234,Aux!$B:$M,5,0),"")</f>
        <v/>
      </c>
      <c r="T230" s="60" t="str">
        <f>IFERROR(VLOOKUP(S$13&amp;$B230,Aux!$B:$M,3,0),"")</f>
        <v/>
      </c>
      <c r="U230" s="60"/>
      <c r="V230" s="60"/>
      <c r="W230" s="61" t="str">
        <f>IFERROR(VLOOKUP(S$13&amp;$B230,Aux!$B:$M,9,0),"")</f>
        <v/>
      </c>
      <c r="AA230" s="59" t="str">
        <f>IFERROR(VLOOKUP(AA$13&amp;$B234,Aux!$B:$M,5,0),"")</f>
        <v/>
      </c>
      <c r="AB230" s="60" t="str">
        <f>IFERROR(VLOOKUP(AA$13&amp;$B230,Aux!$B:$M,3,0),"")</f>
        <v/>
      </c>
      <c r="AC230" s="60"/>
      <c r="AD230" s="60"/>
      <c r="AE230" s="61" t="str">
        <f>IFERROR(VLOOKUP(AA$13&amp;$B230,Aux!$B:$M,9,0),"")</f>
        <v/>
      </c>
    </row>
    <row r="231" spans="2:31" x14ac:dyDescent="0.25">
      <c r="B231" s="53">
        <f t="shared" si="3"/>
        <v>44</v>
      </c>
      <c r="C231" s="59"/>
      <c r="D231" s="60"/>
      <c r="E231" s="60"/>
      <c r="F231" s="60"/>
      <c r="G231" s="61"/>
      <c r="K231" s="59"/>
      <c r="L231" s="60"/>
      <c r="M231" s="60"/>
      <c r="N231" s="60"/>
      <c r="O231" s="61"/>
      <c r="S231" s="59"/>
      <c r="T231" s="60"/>
      <c r="U231" s="60"/>
      <c r="V231" s="60"/>
      <c r="W231" s="61"/>
      <c r="AA231" s="59"/>
      <c r="AB231" s="60"/>
      <c r="AC231" s="60"/>
      <c r="AD231" s="60"/>
      <c r="AE231" s="61"/>
    </row>
    <row r="232" spans="2:31" x14ac:dyDescent="0.25">
      <c r="B232" s="53">
        <f t="shared" si="3"/>
        <v>44</v>
      </c>
      <c r="C232" s="59"/>
      <c r="D232" s="15" t="str">
        <f>IF(D230="","","Исполнитель"&amp;": ")</f>
        <v/>
      </c>
      <c r="E232" s="62" t="str">
        <f>IFERROR(VLOOKUP(C$13&amp;$B232,Aux!$B:$M,4,0),"")</f>
        <v/>
      </c>
      <c r="F232" s="62"/>
      <c r="G232" s="63" t="str">
        <f>IFERROR(IF(VLOOKUP(C$13&amp;$B230,Aux!$B:$M,8,0)="Да","✔","🕓"),"")</f>
        <v/>
      </c>
      <c r="K232" s="59"/>
      <c r="L232" s="15" t="str">
        <f>IF(L230="","","Исполнитель"&amp;": ")</f>
        <v/>
      </c>
      <c r="M232" s="62" t="str">
        <f>IFERROR(VLOOKUP(K$13&amp;$B232,Aux!$B:$M,4,0),"")</f>
        <v/>
      </c>
      <c r="N232" s="62"/>
      <c r="O232" s="63" t="str">
        <f>IFERROR(IF(VLOOKUP(K$13&amp;$B230,Aux!$B:$M,8,0)="Да","✔","🕓"),"")</f>
        <v/>
      </c>
      <c r="S232" s="59"/>
      <c r="T232" s="15" t="str">
        <f>IF(T230="","","Исполнитель"&amp;": ")</f>
        <v/>
      </c>
      <c r="U232" s="62" t="str">
        <f>IFERROR(VLOOKUP(S$13&amp;$B232,Aux!$B:$M,4,0),"")</f>
        <v/>
      </c>
      <c r="V232" s="62"/>
      <c r="W232" s="63" t="str">
        <f>IFERROR(IF(VLOOKUP(S$13&amp;$B230,Aux!$B:$M,8,0)="Да","✔","🕓"),"")</f>
        <v/>
      </c>
      <c r="AA232" s="59"/>
      <c r="AB232" s="15" t="str">
        <f>IF(AB230="","","Исполнитель"&amp;": ")</f>
        <v/>
      </c>
      <c r="AC232" s="62" t="str">
        <f>IFERROR(VLOOKUP(AA$13&amp;$B232,Aux!$B:$M,4,0),"")</f>
        <v/>
      </c>
      <c r="AD232" s="62"/>
      <c r="AE232" s="63" t="str">
        <f>IFERROR(IF(VLOOKUP(AA$13&amp;$B230,Aux!$B:$M,8,0)="Да","✔","🕓"),"")</f>
        <v/>
      </c>
    </row>
    <row r="233" spans="2:31" x14ac:dyDescent="0.25">
      <c r="B233" s="53">
        <f t="shared" si="3"/>
        <v>44</v>
      </c>
      <c r="C233" s="59"/>
      <c r="D233" s="16" t="str">
        <f>IF(D230="","","Срок сдачи"&amp;": ")</f>
        <v/>
      </c>
      <c r="E233" s="64" t="str">
        <f>IFERROR(VLOOKUP(C$13&amp;$B233,Aux!$B:$M,6,0),"")</f>
        <v/>
      </c>
      <c r="F233" s="64"/>
      <c r="G233" s="63"/>
      <c r="K233" s="59"/>
      <c r="L233" s="16" t="str">
        <f>IF(L230="","","Срок сдачи"&amp;": ")</f>
        <v/>
      </c>
      <c r="M233" s="64" t="str">
        <f>IFERROR(VLOOKUP(K$13&amp;$B233,Aux!$B:$M,6,0),"")</f>
        <v/>
      </c>
      <c r="N233" s="64"/>
      <c r="O233" s="63"/>
      <c r="S233" s="59"/>
      <c r="T233" s="16" t="str">
        <f>IF(T230="","","Срок сдачи"&amp;": ")</f>
        <v/>
      </c>
      <c r="U233" s="64" t="str">
        <f>IFERROR(VLOOKUP(S$13&amp;$B233,Aux!$B:$M,6,0),"")</f>
        <v/>
      </c>
      <c r="V233" s="64"/>
      <c r="W233" s="63"/>
      <c r="AA233" s="59"/>
      <c r="AB233" s="16" t="str">
        <f>IF(AB230="","","Срок сдачи"&amp;": ")</f>
        <v/>
      </c>
      <c r="AC233" s="64" t="str">
        <f>IFERROR(VLOOKUP(AA$13&amp;$B233,Aux!$B:$M,6,0),"")</f>
        <v/>
      </c>
      <c r="AD233" s="64"/>
      <c r="AE233" s="63"/>
    </row>
    <row r="234" spans="2:31" x14ac:dyDescent="0.25">
      <c r="B234" s="53">
        <f t="shared" si="3"/>
        <v>44</v>
      </c>
      <c r="C234" s="7"/>
      <c r="D234" s="17"/>
      <c r="E234" s="7"/>
      <c r="F234" s="18"/>
      <c r="G234" s="18"/>
      <c r="K234" s="13"/>
      <c r="L234" s="17"/>
      <c r="M234" s="13"/>
      <c r="N234" s="14"/>
      <c r="O234" s="14"/>
      <c r="S234" s="13"/>
      <c r="T234" s="17"/>
      <c r="U234" s="13"/>
      <c r="V234" s="14"/>
      <c r="W234" s="14"/>
      <c r="AA234" s="13"/>
      <c r="AB234" s="17"/>
      <c r="AC234" s="13"/>
      <c r="AD234" s="14"/>
      <c r="AE234" s="30"/>
    </row>
    <row r="235" spans="2:31" x14ac:dyDescent="0.25">
      <c r="B235" s="53">
        <f t="shared" si="3"/>
        <v>45</v>
      </c>
      <c r="C235" s="59" t="str">
        <f>IFERROR(VLOOKUP(C$13&amp;$B239,Aux!$B:$M,5,0),"")</f>
        <v/>
      </c>
      <c r="D235" s="60" t="str">
        <f>IFERROR(VLOOKUP(C$13&amp;$B235,Aux!$B:$M,3,0),"")</f>
        <v/>
      </c>
      <c r="E235" s="60"/>
      <c r="F235" s="60"/>
      <c r="G235" s="61" t="str">
        <f>IFERROR(VLOOKUP(C$13&amp;$B235,Aux!$B:$M,9,0),"")</f>
        <v/>
      </c>
      <c r="K235" s="59" t="str">
        <f>IFERROR(VLOOKUP(K$13&amp;$B239,Aux!$B:$M,5,0),"")</f>
        <v/>
      </c>
      <c r="L235" s="60" t="str">
        <f>IFERROR(VLOOKUP(K$13&amp;$B235,Aux!$B:$M,3,0),"")</f>
        <v/>
      </c>
      <c r="M235" s="60"/>
      <c r="N235" s="60"/>
      <c r="O235" s="61" t="str">
        <f>IFERROR(VLOOKUP(K$13&amp;$B235,Aux!$B:$M,9,0),"")</f>
        <v/>
      </c>
      <c r="S235" s="59" t="str">
        <f>IFERROR(VLOOKUP(S$13&amp;$B239,Aux!$B:$M,5,0),"")</f>
        <v/>
      </c>
      <c r="T235" s="60" t="str">
        <f>IFERROR(VLOOKUP(S$13&amp;$B235,Aux!$B:$M,3,0),"")</f>
        <v/>
      </c>
      <c r="U235" s="60"/>
      <c r="V235" s="60"/>
      <c r="W235" s="61" t="str">
        <f>IFERROR(VLOOKUP(S$13&amp;$B235,Aux!$B:$M,9,0),"")</f>
        <v/>
      </c>
      <c r="AA235" s="59" t="str">
        <f>IFERROR(VLOOKUP(AA$13&amp;$B239,Aux!$B:$M,5,0),"")</f>
        <v/>
      </c>
      <c r="AB235" s="60" t="str">
        <f>IFERROR(VLOOKUP(AA$13&amp;$B235,Aux!$B:$M,3,0),"")</f>
        <v/>
      </c>
      <c r="AC235" s="60"/>
      <c r="AD235" s="60"/>
      <c r="AE235" s="61" t="str">
        <f>IFERROR(VLOOKUP(AA$13&amp;$B235,Aux!$B:$M,9,0),"")</f>
        <v/>
      </c>
    </row>
    <row r="236" spans="2:31" x14ac:dyDescent="0.25">
      <c r="B236" s="53">
        <f t="shared" si="3"/>
        <v>45</v>
      </c>
      <c r="C236" s="59"/>
      <c r="D236" s="60"/>
      <c r="E236" s="60"/>
      <c r="F236" s="60"/>
      <c r="G236" s="61"/>
      <c r="K236" s="59"/>
      <c r="L236" s="60"/>
      <c r="M236" s="60"/>
      <c r="N236" s="60"/>
      <c r="O236" s="61"/>
      <c r="S236" s="59"/>
      <c r="T236" s="60"/>
      <c r="U236" s="60"/>
      <c r="V236" s="60"/>
      <c r="W236" s="61"/>
      <c r="AA236" s="59"/>
      <c r="AB236" s="60"/>
      <c r="AC236" s="60"/>
      <c r="AD236" s="60"/>
      <c r="AE236" s="61"/>
    </row>
    <row r="237" spans="2:31" x14ac:dyDescent="0.25">
      <c r="B237" s="53">
        <f t="shared" si="3"/>
        <v>45</v>
      </c>
      <c r="C237" s="59"/>
      <c r="D237" s="15" t="str">
        <f>IF(D235="","","Исполнитель"&amp;": ")</f>
        <v/>
      </c>
      <c r="E237" s="62" t="str">
        <f>IFERROR(VLOOKUP(C$13&amp;$B237,Aux!$B:$M,4,0),"")</f>
        <v/>
      </c>
      <c r="F237" s="62"/>
      <c r="G237" s="63" t="str">
        <f>IFERROR(IF(VLOOKUP(C$13&amp;$B235,Aux!$B:$M,8,0)="Да","✔","🕓"),"")</f>
        <v/>
      </c>
      <c r="K237" s="59"/>
      <c r="L237" s="15" t="str">
        <f>IF(L235="","","Исполнитель"&amp;": ")</f>
        <v/>
      </c>
      <c r="M237" s="62" t="str">
        <f>IFERROR(VLOOKUP(K$13&amp;$B237,Aux!$B:$M,4,0),"")</f>
        <v/>
      </c>
      <c r="N237" s="62"/>
      <c r="O237" s="63" t="str">
        <f>IFERROR(IF(VLOOKUP(K$13&amp;$B235,Aux!$B:$M,8,0)="Да","✔","🕓"),"")</f>
        <v/>
      </c>
      <c r="S237" s="59"/>
      <c r="T237" s="15" t="str">
        <f>IF(T235="","","Исполнитель"&amp;": ")</f>
        <v/>
      </c>
      <c r="U237" s="62" t="str">
        <f>IFERROR(VLOOKUP(S$13&amp;$B237,Aux!$B:$M,4,0),"")</f>
        <v/>
      </c>
      <c r="V237" s="62"/>
      <c r="W237" s="63" t="str">
        <f>IFERROR(IF(VLOOKUP(S$13&amp;$B235,Aux!$B:$M,8,0)="Да","✔","🕓"),"")</f>
        <v/>
      </c>
      <c r="AA237" s="59"/>
      <c r="AB237" s="15" t="str">
        <f>IF(AB235="","","Исполнитель"&amp;": ")</f>
        <v/>
      </c>
      <c r="AC237" s="62" t="str">
        <f>IFERROR(VLOOKUP(AA$13&amp;$B237,Aux!$B:$M,4,0),"")</f>
        <v/>
      </c>
      <c r="AD237" s="62"/>
      <c r="AE237" s="63" t="str">
        <f>IFERROR(IF(VLOOKUP(AA$13&amp;$B235,Aux!$B:$M,8,0)="Да","✔","🕓"),"")</f>
        <v/>
      </c>
    </row>
    <row r="238" spans="2:31" x14ac:dyDescent="0.25">
      <c r="B238" s="53">
        <f t="shared" si="3"/>
        <v>45</v>
      </c>
      <c r="C238" s="59"/>
      <c r="D238" s="16" t="str">
        <f>IF(D235="","","Срок сдачи"&amp;": ")</f>
        <v/>
      </c>
      <c r="E238" s="64" t="str">
        <f>IFERROR(VLOOKUP(C$13&amp;$B238,Aux!$B:$M,6,0),"")</f>
        <v/>
      </c>
      <c r="F238" s="64"/>
      <c r="G238" s="63"/>
      <c r="K238" s="59"/>
      <c r="L238" s="16" t="str">
        <f>IF(L235="","","Срок сдачи"&amp;": ")</f>
        <v/>
      </c>
      <c r="M238" s="64" t="str">
        <f>IFERROR(VLOOKUP(K$13&amp;$B238,Aux!$B:$M,6,0),"")</f>
        <v/>
      </c>
      <c r="N238" s="64"/>
      <c r="O238" s="63"/>
      <c r="S238" s="59"/>
      <c r="T238" s="16" t="str">
        <f>IF(T235="","","Срок сдачи"&amp;": ")</f>
        <v/>
      </c>
      <c r="U238" s="64" t="str">
        <f>IFERROR(VLOOKUP(S$13&amp;$B238,Aux!$B:$M,6,0),"")</f>
        <v/>
      </c>
      <c r="V238" s="64"/>
      <c r="W238" s="63"/>
      <c r="AA238" s="59"/>
      <c r="AB238" s="16" t="str">
        <f>IF(AB235="","","Срок сдачи"&amp;": ")</f>
        <v/>
      </c>
      <c r="AC238" s="64" t="str">
        <f>IFERROR(VLOOKUP(AA$13&amp;$B238,Aux!$B:$M,6,0),"")</f>
        <v/>
      </c>
      <c r="AD238" s="64"/>
      <c r="AE238" s="63"/>
    </row>
    <row r="239" spans="2:31" x14ac:dyDescent="0.25">
      <c r="B239" s="53">
        <f t="shared" si="3"/>
        <v>45</v>
      </c>
      <c r="C239" s="7"/>
      <c r="D239" s="17"/>
      <c r="E239" s="7"/>
      <c r="F239" s="18"/>
      <c r="G239" s="18"/>
      <c r="K239" s="13"/>
      <c r="L239" s="17"/>
      <c r="M239" s="13"/>
      <c r="N239" s="14"/>
      <c r="O239" s="14"/>
      <c r="S239" s="13"/>
      <c r="T239" s="17"/>
      <c r="U239" s="13"/>
      <c r="V239" s="14"/>
      <c r="W239" s="14"/>
      <c r="AA239" s="13"/>
      <c r="AB239" s="17"/>
      <c r="AC239" s="13"/>
      <c r="AD239" s="14"/>
      <c r="AE239" s="30"/>
    </row>
    <row r="240" spans="2:31" x14ac:dyDescent="0.25">
      <c r="B240" s="53">
        <f t="shared" si="3"/>
        <v>46</v>
      </c>
      <c r="C240" s="59" t="str">
        <f>IFERROR(VLOOKUP(C$13&amp;$B244,Aux!$B:$M,5,0),"")</f>
        <v/>
      </c>
      <c r="D240" s="60" t="str">
        <f>IFERROR(VLOOKUP(C$13&amp;$B240,Aux!$B:$M,3,0),"")</f>
        <v/>
      </c>
      <c r="E240" s="60"/>
      <c r="F240" s="60"/>
      <c r="G240" s="61" t="str">
        <f>IFERROR(VLOOKUP(C$13&amp;$B240,Aux!$B:$M,9,0),"")</f>
        <v/>
      </c>
      <c r="K240" s="59" t="str">
        <f>IFERROR(VLOOKUP(K$13&amp;$B244,Aux!$B:$M,5,0),"")</f>
        <v/>
      </c>
      <c r="L240" s="60" t="str">
        <f>IFERROR(VLOOKUP(K$13&amp;$B240,Aux!$B:$M,3,0),"")</f>
        <v/>
      </c>
      <c r="M240" s="60"/>
      <c r="N240" s="60"/>
      <c r="O240" s="61" t="str">
        <f>IFERROR(VLOOKUP(K$13&amp;$B240,Aux!$B:$M,9,0),"")</f>
        <v/>
      </c>
      <c r="S240" s="59" t="str">
        <f>IFERROR(VLOOKUP(S$13&amp;$B244,Aux!$B:$M,5,0),"")</f>
        <v/>
      </c>
      <c r="T240" s="60" t="str">
        <f>IFERROR(VLOOKUP(S$13&amp;$B240,Aux!$B:$M,3,0),"")</f>
        <v/>
      </c>
      <c r="U240" s="60"/>
      <c r="V240" s="60"/>
      <c r="W240" s="61" t="str">
        <f>IFERROR(VLOOKUP(S$13&amp;$B240,Aux!$B:$M,9,0),"")</f>
        <v/>
      </c>
      <c r="AA240" s="59" t="str">
        <f>IFERROR(VLOOKUP(AA$13&amp;$B244,Aux!$B:$M,5,0),"")</f>
        <v/>
      </c>
      <c r="AB240" s="60" t="str">
        <f>IFERROR(VLOOKUP(AA$13&amp;$B240,Aux!$B:$M,3,0),"")</f>
        <v/>
      </c>
      <c r="AC240" s="60"/>
      <c r="AD240" s="60"/>
      <c r="AE240" s="61" t="str">
        <f>IFERROR(VLOOKUP(AA$13&amp;$B240,Aux!$B:$M,9,0),"")</f>
        <v/>
      </c>
    </row>
    <row r="241" spans="2:31" x14ac:dyDescent="0.25">
      <c r="B241" s="53">
        <f t="shared" si="3"/>
        <v>46</v>
      </c>
      <c r="C241" s="59"/>
      <c r="D241" s="60"/>
      <c r="E241" s="60"/>
      <c r="F241" s="60"/>
      <c r="G241" s="61"/>
      <c r="K241" s="59"/>
      <c r="L241" s="60"/>
      <c r="M241" s="60"/>
      <c r="N241" s="60"/>
      <c r="O241" s="61"/>
      <c r="S241" s="59"/>
      <c r="T241" s="60"/>
      <c r="U241" s="60"/>
      <c r="V241" s="60"/>
      <c r="W241" s="61"/>
      <c r="AA241" s="59"/>
      <c r="AB241" s="60"/>
      <c r="AC241" s="60"/>
      <c r="AD241" s="60"/>
      <c r="AE241" s="61"/>
    </row>
    <row r="242" spans="2:31" x14ac:dyDescent="0.25">
      <c r="B242" s="53">
        <f t="shared" si="3"/>
        <v>46</v>
      </c>
      <c r="C242" s="59"/>
      <c r="D242" s="15" t="str">
        <f>IF(D240="","","Исполнитель"&amp;": ")</f>
        <v/>
      </c>
      <c r="E242" s="62" t="str">
        <f>IFERROR(VLOOKUP(C$13&amp;$B242,Aux!$B:$M,4,0),"")</f>
        <v/>
      </c>
      <c r="F242" s="62"/>
      <c r="G242" s="63" t="str">
        <f>IFERROR(IF(VLOOKUP(C$13&amp;$B240,Aux!$B:$M,8,0)="Да","✔","🕓"),"")</f>
        <v/>
      </c>
      <c r="K242" s="59"/>
      <c r="L242" s="15" t="str">
        <f>IF(L240="","","Исполнитель"&amp;": ")</f>
        <v/>
      </c>
      <c r="M242" s="62" t="str">
        <f>IFERROR(VLOOKUP(K$13&amp;$B242,Aux!$B:$M,4,0),"")</f>
        <v/>
      </c>
      <c r="N242" s="62"/>
      <c r="O242" s="63" t="str">
        <f>IFERROR(IF(VLOOKUP(K$13&amp;$B240,Aux!$B:$M,8,0)="Да","✔","🕓"),"")</f>
        <v/>
      </c>
      <c r="S242" s="59"/>
      <c r="T242" s="15" t="str">
        <f>IF(T240="","","Исполнитель"&amp;": ")</f>
        <v/>
      </c>
      <c r="U242" s="62" t="str">
        <f>IFERROR(VLOOKUP(S$13&amp;$B242,Aux!$B:$M,4,0),"")</f>
        <v/>
      </c>
      <c r="V242" s="62"/>
      <c r="W242" s="63" t="str">
        <f>IFERROR(IF(VLOOKUP(S$13&amp;$B240,Aux!$B:$M,8,0)="Да","✔","🕓"),"")</f>
        <v/>
      </c>
      <c r="AA242" s="59"/>
      <c r="AB242" s="15" t="str">
        <f>IF(AB240="","","Исполнитель"&amp;": ")</f>
        <v/>
      </c>
      <c r="AC242" s="62" t="str">
        <f>IFERROR(VLOOKUP(AA$13&amp;$B242,Aux!$B:$M,4,0),"")</f>
        <v/>
      </c>
      <c r="AD242" s="62"/>
      <c r="AE242" s="63" t="str">
        <f>IFERROR(IF(VLOOKUP(AA$13&amp;$B240,Aux!$B:$M,8,0)="Да","✔","🕓"),"")</f>
        <v/>
      </c>
    </row>
    <row r="243" spans="2:31" x14ac:dyDescent="0.25">
      <c r="B243" s="53">
        <f t="shared" si="3"/>
        <v>46</v>
      </c>
      <c r="C243" s="59"/>
      <c r="D243" s="16" t="str">
        <f>IF(D240="","","Срок сдачи"&amp;": ")</f>
        <v/>
      </c>
      <c r="E243" s="64" t="str">
        <f>IFERROR(VLOOKUP(C$13&amp;$B243,Aux!$B:$M,6,0),"")</f>
        <v/>
      </c>
      <c r="F243" s="64"/>
      <c r="G243" s="63"/>
      <c r="K243" s="59"/>
      <c r="L243" s="16" t="str">
        <f>IF(L240="","","Срок сдачи"&amp;": ")</f>
        <v/>
      </c>
      <c r="M243" s="64" t="str">
        <f>IFERROR(VLOOKUP(K$13&amp;$B243,Aux!$B:$M,6,0),"")</f>
        <v/>
      </c>
      <c r="N243" s="64"/>
      <c r="O243" s="63"/>
      <c r="S243" s="59"/>
      <c r="T243" s="16" t="str">
        <f>IF(T240="","","Срок сдачи"&amp;": ")</f>
        <v/>
      </c>
      <c r="U243" s="64" t="str">
        <f>IFERROR(VLOOKUP(S$13&amp;$B243,Aux!$B:$M,6,0),"")</f>
        <v/>
      </c>
      <c r="V243" s="64"/>
      <c r="W243" s="63"/>
      <c r="AA243" s="59"/>
      <c r="AB243" s="16" t="str">
        <f>IF(AB240="","","Срок сдачи"&amp;": ")</f>
        <v/>
      </c>
      <c r="AC243" s="64" t="str">
        <f>IFERROR(VLOOKUP(AA$13&amp;$B243,Aux!$B:$M,6,0),"")</f>
        <v/>
      </c>
      <c r="AD243" s="64"/>
      <c r="AE243" s="63"/>
    </row>
    <row r="244" spans="2:31" x14ac:dyDescent="0.25">
      <c r="B244" s="53">
        <f t="shared" si="3"/>
        <v>46</v>
      </c>
      <c r="C244" s="7"/>
      <c r="D244" s="17"/>
      <c r="E244" s="7"/>
      <c r="F244" s="18"/>
      <c r="G244" s="18"/>
      <c r="K244" s="13"/>
      <c r="L244" s="17"/>
      <c r="M244" s="13"/>
      <c r="N244" s="14"/>
      <c r="O244" s="14"/>
      <c r="S244" s="13"/>
      <c r="T244" s="17"/>
      <c r="U244" s="13"/>
      <c r="V244" s="14"/>
      <c r="W244" s="14"/>
      <c r="AA244" s="13"/>
      <c r="AB244" s="17"/>
      <c r="AC244" s="13"/>
      <c r="AD244" s="14"/>
      <c r="AE244" s="30"/>
    </row>
    <row r="245" spans="2:31" x14ac:dyDescent="0.25">
      <c r="B245" s="53">
        <f t="shared" si="3"/>
        <v>47</v>
      </c>
      <c r="C245" s="59" t="str">
        <f>IFERROR(VLOOKUP(C$13&amp;$B249,Aux!$B:$M,5,0),"")</f>
        <v/>
      </c>
      <c r="D245" s="60" t="str">
        <f>IFERROR(VLOOKUP(C$13&amp;$B245,Aux!$B:$M,3,0),"")</f>
        <v/>
      </c>
      <c r="E245" s="60"/>
      <c r="F245" s="60"/>
      <c r="G245" s="61" t="str">
        <f>IFERROR(VLOOKUP(C$13&amp;$B245,Aux!$B:$M,9,0),"")</f>
        <v/>
      </c>
      <c r="K245" s="59" t="str">
        <f>IFERROR(VLOOKUP(K$13&amp;$B249,Aux!$B:$M,5,0),"")</f>
        <v/>
      </c>
      <c r="L245" s="60" t="str">
        <f>IFERROR(VLOOKUP(K$13&amp;$B245,Aux!$B:$M,3,0),"")</f>
        <v/>
      </c>
      <c r="M245" s="60"/>
      <c r="N245" s="60"/>
      <c r="O245" s="61" t="str">
        <f>IFERROR(VLOOKUP(K$13&amp;$B245,Aux!$B:$M,9,0),"")</f>
        <v/>
      </c>
      <c r="S245" s="59" t="str">
        <f>IFERROR(VLOOKUP(S$13&amp;$B249,Aux!$B:$M,5,0),"")</f>
        <v/>
      </c>
      <c r="T245" s="60" t="str">
        <f>IFERROR(VLOOKUP(S$13&amp;$B245,Aux!$B:$M,3,0),"")</f>
        <v/>
      </c>
      <c r="U245" s="60"/>
      <c r="V245" s="60"/>
      <c r="W245" s="61" t="str">
        <f>IFERROR(VLOOKUP(S$13&amp;$B245,Aux!$B:$M,9,0),"")</f>
        <v/>
      </c>
      <c r="AA245" s="59" t="str">
        <f>IFERROR(VLOOKUP(AA$13&amp;$B249,Aux!$B:$M,5,0),"")</f>
        <v/>
      </c>
      <c r="AB245" s="60" t="str">
        <f>IFERROR(VLOOKUP(AA$13&amp;$B245,Aux!$B:$M,3,0),"")</f>
        <v/>
      </c>
      <c r="AC245" s="60"/>
      <c r="AD245" s="60"/>
      <c r="AE245" s="61" t="str">
        <f>IFERROR(VLOOKUP(AA$13&amp;$B245,Aux!$B:$M,9,0),"")</f>
        <v/>
      </c>
    </row>
    <row r="246" spans="2:31" x14ac:dyDescent="0.25">
      <c r="B246" s="53">
        <f t="shared" si="3"/>
        <v>47</v>
      </c>
      <c r="C246" s="59"/>
      <c r="D246" s="60"/>
      <c r="E246" s="60"/>
      <c r="F246" s="60"/>
      <c r="G246" s="61"/>
      <c r="K246" s="59"/>
      <c r="L246" s="60"/>
      <c r="M246" s="60"/>
      <c r="N246" s="60"/>
      <c r="O246" s="61"/>
      <c r="S246" s="59"/>
      <c r="T246" s="60"/>
      <c r="U246" s="60"/>
      <c r="V246" s="60"/>
      <c r="W246" s="61"/>
      <c r="AA246" s="59"/>
      <c r="AB246" s="60"/>
      <c r="AC246" s="60"/>
      <c r="AD246" s="60"/>
      <c r="AE246" s="61"/>
    </row>
    <row r="247" spans="2:31" x14ac:dyDescent="0.25">
      <c r="B247" s="53">
        <f t="shared" si="3"/>
        <v>47</v>
      </c>
      <c r="C247" s="59"/>
      <c r="D247" s="15" t="str">
        <f>IF(D245="","","Исполнитель"&amp;": ")</f>
        <v/>
      </c>
      <c r="E247" s="62" t="str">
        <f>IFERROR(VLOOKUP(C$13&amp;$B247,Aux!$B:$M,4,0),"")</f>
        <v/>
      </c>
      <c r="F247" s="62"/>
      <c r="G247" s="63" t="str">
        <f>IFERROR(IF(VLOOKUP(C$13&amp;$B245,Aux!$B:$M,8,0)="Да","✔","🕓"),"")</f>
        <v/>
      </c>
      <c r="K247" s="59"/>
      <c r="L247" s="15" t="str">
        <f>IF(L245="","","Исполнитель"&amp;": ")</f>
        <v/>
      </c>
      <c r="M247" s="62" t="str">
        <f>IFERROR(VLOOKUP(K$13&amp;$B247,Aux!$B:$M,4,0),"")</f>
        <v/>
      </c>
      <c r="N247" s="62"/>
      <c r="O247" s="63" t="str">
        <f>IFERROR(IF(VLOOKUP(K$13&amp;$B245,Aux!$B:$M,8,0)="Да","✔","🕓"),"")</f>
        <v/>
      </c>
      <c r="S247" s="59"/>
      <c r="T247" s="15" t="str">
        <f>IF(T245="","","Исполнитель"&amp;": ")</f>
        <v/>
      </c>
      <c r="U247" s="62" t="str">
        <f>IFERROR(VLOOKUP(S$13&amp;$B247,Aux!$B:$M,4,0),"")</f>
        <v/>
      </c>
      <c r="V247" s="62"/>
      <c r="W247" s="63" t="str">
        <f>IFERROR(IF(VLOOKUP(S$13&amp;$B245,Aux!$B:$M,8,0)="Да","✔","🕓"),"")</f>
        <v/>
      </c>
      <c r="AA247" s="59"/>
      <c r="AB247" s="15" t="str">
        <f>IF(AB245="","","Исполнитель"&amp;": ")</f>
        <v/>
      </c>
      <c r="AC247" s="62" t="str">
        <f>IFERROR(VLOOKUP(AA$13&amp;$B247,Aux!$B:$M,4,0),"")</f>
        <v/>
      </c>
      <c r="AD247" s="62"/>
      <c r="AE247" s="63" t="str">
        <f>IFERROR(IF(VLOOKUP(AA$13&amp;$B245,Aux!$B:$M,8,0)="Да","✔","🕓"),"")</f>
        <v/>
      </c>
    </row>
    <row r="248" spans="2:31" x14ac:dyDescent="0.25">
      <c r="B248" s="53">
        <f t="shared" si="3"/>
        <v>47</v>
      </c>
      <c r="C248" s="59"/>
      <c r="D248" s="16" t="str">
        <f>IF(D245="","","Срок сдачи"&amp;": ")</f>
        <v/>
      </c>
      <c r="E248" s="64" t="str">
        <f>IFERROR(VLOOKUP(C$13&amp;$B248,Aux!$B:$M,6,0),"")</f>
        <v/>
      </c>
      <c r="F248" s="64"/>
      <c r="G248" s="63"/>
      <c r="K248" s="59"/>
      <c r="L248" s="16" t="str">
        <f>IF(L245="","","Срок сдачи"&amp;": ")</f>
        <v/>
      </c>
      <c r="M248" s="64" t="str">
        <f>IFERROR(VLOOKUP(K$13&amp;$B248,Aux!$B:$M,6,0),"")</f>
        <v/>
      </c>
      <c r="N248" s="64"/>
      <c r="O248" s="63"/>
      <c r="S248" s="59"/>
      <c r="T248" s="16" t="str">
        <f>IF(T245="","","Срок сдачи"&amp;": ")</f>
        <v/>
      </c>
      <c r="U248" s="64" t="str">
        <f>IFERROR(VLOOKUP(S$13&amp;$B248,Aux!$B:$M,6,0),"")</f>
        <v/>
      </c>
      <c r="V248" s="64"/>
      <c r="W248" s="63"/>
      <c r="AA248" s="59"/>
      <c r="AB248" s="16" t="str">
        <f>IF(AB245="","","Срок сдачи"&amp;": ")</f>
        <v/>
      </c>
      <c r="AC248" s="64" t="str">
        <f>IFERROR(VLOOKUP(AA$13&amp;$B248,Aux!$B:$M,6,0),"")</f>
        <v/>
      </c>
      <c r="AD248" s="64"/>
      <c r="AE248" s="63"/>
    </row>
    <row r="249" spans="2:31" x14ac:dyDescent="0.25">
      <c r="B249" s="53">
        <f t="shared" si="3"/>
        <v>47</v>
      </c>
      <c r="C249" s="7"/>
      <c r="D249" s="17"/>
      <c r="E249" s="7"/>
      <c r="F249" s="18"/>
      <c r="G249" s="18"/>
      <c r="K249" s="13"/>
      <c r="L249" s="17"/>
      <c r="M249" s="13"/>
      <c r="N249" s="14"/>
      <c r="O249" s="14"/>
      <c r="S249" s="13"/>
      <c r="T249" s="17"/>
      <c r="U249" s="13"/>
      <c r="V249" s="14"/>
      <c r="W249" s="14"/>
      <c r="AA249" s="13"/>
      <c r="AB249" s="17"/>
      <c r="AC249" s="13"/>
      <c r="AD249" s="14"/>
      <c r="AE249" s="30"/>
    </row>
    <row r="250" spans="2:31" x14ac:dyDescent="0.25">
      <c r="B250" s="53">
        <f t="shared" si="3"/>
        <v>48</v>
      </c>
      <c r="C250" s="59" t="str">
        <f>IFERROR(VLOOKUP(C$13&amp;$B254,Aux!$B:$M,5,0),"")</f>
        <v/>
      </c>
      <c r="D250" s="60" t="str">
        <f>IFERROR(VLOOKUP(C$13&amp;$B250,Aux!$B:$M,3,0),"")</f>
        <v/>
      </c>
      <c r="E250" s="60"/>
      <c r="F250" s="60"/>
      <c r="G250" s="61" t="str">
        <f>IFERROR(VLOOKUP(C$13&amp;$B250,Aux!$B:$M,9,0),"")</f>
        <v/>
      </c>
      <c r="K250" s="59" t="str">
        <f>IFERROR(VLOOKUP(K$13&amp;$B254,Aux!$B:$M,5,0),"")</f>
        <v/>
      </c>
      <c r="L250" s="60" t="str">
        <f>IFERROR(VLOOKUP(K$13&amp;$B250,Aux!$B:$M,3,0),"")</f>
        <v/>
      </c>
      <c r="M250" s="60"/>
      <c r="N250" s="60"/>
      <c r="O250" s="61" t="str">
        <f>IFERROR(VLOOKUP(K$13&amp;$B250,Aux!$B:$M,9,0),"")</f>
        <v/>
      </c>
      <c r="S250" s="59" t="str">
        <f>IFERROR(VLOOKUP(S$13&amp;$B254,Aux!$B:$M,5,0),"")</f>
        <v/>
      </c>
      <c r="T250" s="60" t="str">
        <f>IFERROR(VLOOKUP(S$13&amp;$B250,Aux!$B:$M,3,0),"")</f>
        <v/>
      </c>
      <c r="U250" s="60"/>
      <c r="V250" s="60"/>
      <c r="W250" s="61" t="str">
        <f>IFERROR(VLOOKUP(S$13&amp;$B250,Aux!$B:$M,9,0),"")</f>
        <v/>
      </c>
      <c r="AA250" s="59" t="str">
        <f>IFERROR(VLOOKUP(AA$13&amp;$B254,Aux!$B:$M,5,0),"")</f>
        <v/>
      </c>
      <c r="AB250" s="60" t="str">
        <f>IFERROR(VLOOKUP(AA$13&amp;$B250,Aux!$B:$M,3,0),"")</f>
        <v/>
      </c>
      <c r="AC250" s="60"/>
      <c r="AD250" s="60"/>
      <c r="AE250" s="61" t="str">
        <f>IFERROR(VLOOKUP(AA$13&amp;$B250,Aux!$B:$M,9,0),"")</f>
        <v/>
      </c>
    </row>
    <row r="251" spans="2:31" x14ac:dyDescent="0.25">
      <c r="B251" s="53">
        <f t="shared" si="3"/>
        <v>48</v>
      </c>
      <c r="C251" s="59"/>
      <c r="D251" s="60"/>
      <c r="E251" s="60"/>
      <c r="F251" s="60"/>
      <c r="G251" s="61"/>
      <c r="K251" s="59"/>
      <c r="L251" s="60"/>
      <c r="M251" s="60"/>
      <c r="N251" s="60"/>
      <c r="O251" s="61"/>
      <c r="S251" s="59"/>
      <c r="T251" s="60"/>
      <c r="U251" s="60"/>
      <c r="V251" s="60"/>
      <c r="W251" s="61"/>
      <c r="AA251" s="59"/>
      <c r="AB251" s="60"/>
      <c r="AC251" s="60"/>
      <c r="AD251" s="60"/>
      <c r="AE251" s="61"/>
    </row>
    <row r="252" spans="2:31" x14ac:dyDescent="0.25">
      <c r="B252" s="53">
        <f t="shared" si="3"/>
        <v>48</v>
      </c>
      <c r="C252" s="59"/>
      <c r="D252" s="15" t="str">
        <f>IF(D250="","","Исполнитель"&amp;": ")</f>
        <v/>
      </c>
      <c r="E252" s="62" t="str">
        <f>IFERROR(VLOOKUP(C$13&amp;$B252,Aux!$B:$M,4,0),"")</f>
        <v/>
      </c>
      <c r="F252" s="62"/>
      <c r="G252" s="63" t="str">
        <f>IFERROR(IF(VLOOKUP(C$13&amp;$B250,Aux!$B:$M,8,0)="Да","✔","🕓"),"")</f>
        <v/>
      </c>
      <c r="K252" s="59"/>
      <c r="L252" s="15" t="str">
        <f>IF(L250="","","Исполнитель"&amp;": ")</f>
        <v/>
      </c>
      <c r="M252" s="62" t="str">
        <f>IFERROR(VLOOKUP(K$13&amp;$B252,Aux!$B:$M,4,0),"")</f>
        <v/>
      </c>
      <c r="N252" s="62"/>
      <c r="O252" s="63" t="str">
        <f>IFERROR(IF(VLOOKUP(K$13&amp;$B250,Aux!$B:$M,8,0)="Да","✔","🕓"),"")</f>
        <v/>
      </c>
      <c r="S252" s="59"/>
      <c r="T252" s="15" t="str">
        <f>IF(T250="","","Исполнитель"&amp;": ")</f>
        <v/>
      </c>
      <c r="U252" s="62" t="str">
        <f>IFERROR(VLOOKUP(S$13&amp;$B252,Aux!$B:$M,4,0),"")</f>
        <v/>
      </c>
      <c r="V252" s="62"/>
      <c r="W252" s="63" t="str">
        <f>IFERROR(IF(VLOOKUP(S$13&amp;$B250,Aux!$B:$M,8,0)="Да","✔","🕓"),"")</f>
        <v/>
      </c>
      <c r="AA252" s="59"/>
      <c r="AB252" s="15" t="str">
        <f>IF(AB250="","","Исполнитель"&amp;": ")</f>
        <v/>
      </c>
      <c r="AC252" s="62" t="str">
        <f>IFERROR(VLOOKUP(AA$13&amp;$B252,Aux!$B:$M,4,0),"")</f>
        <v/>
      </c>
      <c r="AD252" s="62"/>
      <c r="AE252" s="63" t="str">
        <f>IFERROR(IF(VLOOKUP(AA$13&amp;$B250,Aux!$B:$M,8,0)="Да","✔","🕓"),"")</f>
        <v/>
      </c>
    </row>
    <row r="253" spans="2:31" x14ac:dyDescent="0.25">
      <c r="B253" s="53">
        <f t="shared" si="3"/>
        <v>48</v>
      </c>
      <c r="C253" s="59"/>
      <c r="D253" s="16" t="str">
        <f>IF(D250="","","Срок сдачи"&amp;": ")</f>
        <v/>
      </c>
      <c r="E253" s="64" t="str">
        <f>IFERROR(VLOOKUP(C$13&amp;$B253,Aux!$B:$M,6,0),"")</f>
        <v/>
      </c>
      <c r="F253" s="64"/>
      <c r="G253" s="63"/>
      <c r="K253" s="59"/>
      <c r="L253" s="16" t="str">
        <f>IF(L250="","","Срок сдачи"&amp;": ")</f>
        <v/>
      </c>
      <c r="M253" s="64" t="str">
        <f>IFERROR(VLOOKUP(K$13&amp;$B253,Aux!$B:$M,6,0),"")</f>
        <v/>
      </c>
      <c r="N253" s="64"/>
      <c r="O253" s="63"/>
      <c r="S253" s="59"/>
      <c r="T253" s="16" t="str">
        <f>IF(T250="","","Срок сдачи"&amp;": ")</f>
        <v/>
      </c>
      <c r="U253" s="64" t="str">
        <f>IFERROR(VLOOKUP(S$13&amp;$B253,Aux!$B:$M,6,0),"")</f>
        <v/>
      </c>
      <c r="V253" s="64"/>
      <c r="W253" s="63"/>
      <c r="AA253" s="59"/>
      <c r="AB253" s="16" t="str">
        <f>IF(AB250="","","Срок сдачи"&amp;": ")</f>
        <v/>
      </c>
      <c r="AC253" s="64" t="str">
        <f>IFERROR(VLOOKUP(AA$13&amp;$B253,Aux!$B:$M,6,0),"")</f>
        <v/>
      </c>
      <c r="AD253" s="64"/>
      <c r="AE253" s="63"/>
    </row>
    <row r="254" spans="2:31" x14ac:dyDescent="0.25">
      <c r="B254" s="53">
        <f t="shared" si="3"/>
        <v>48</v>
      </c>
      <c r="C254" s="7"/>
      <c r="D254" s="17"/>
      <c r="E254" s="7"/>
      <c r="F254" s="18"/>
      <c r="G254" s="18"/>
      <c r="K254" s="13"/>
      <c r="L254" s="17"/>
      <c r="M254" s="13"/>
      <c r="N254" s="14"/>
      <c r="O254" s="14"/>
      <c r="S254" s="13"/>
      <c r="T254" s="17"/>
      <c r="U254" s="13"/>
      <c r="V254" s="14"/>
      <c r="W254" s="14"/>
      <c r="AA254" s="13"/>
      <c r="AB254" s="17"/>
      <c r="AC254" s="13"/>
      <c r="AD254" s="14"/>
      <c r="AE254" s="30"/>
    </row>
    <row r="255" spans="2:31" x14ac:dyDescent="0.25">
      <c r="B255" s="53">
        <f t="shared" si="3"/>
        <v>49</v>
      </c>
      <c r="C255" s="59" t="str">
        <f>IFERROR(VLOOKUP(C$13&amp;$B259,Aux!$B:$M,5,0),"")</f>
        <v/>
      </c>
      <c r="D255" s="60" t="str">
        <f>IFERROR(VLOOKUP(C$13&amp;$B255,Aux!$B:$M,3,0),"")</f>
        <v/>
      </c>
      <c r="E255" s="60"/>
      <c r="F255" s="60"/>
      <c r="G255" s="61" t="str">
        <f>IFERROR(VLOOKUP(C$13&amp;$B255,Aux!$B:$M,9,0),"")</f>
        <v/>
      </c>
      <c r="K255" s="59" t="str">
        <f>IFERROR(VLOOKUP(K$13&amp;$B259,Aux!$B:$M,5,0),"")</f>
        <v/>
      </c>
      <c r="L255" s="60" t="str">
        <f>IFERROR(VLOOKUP(K$13&amp;$B255,Aux!$B:$M,3,0),"")</f>
        <v/>
      </c>
      <c r="M255" s="60"/>
      <c r="N255" s="60"/>
      <c r="O255" s="61" t="str">
        <f>IFERROR(VLOOKUP(K$13&amp;$B255,Aux!$B:$M,9,0),"")</f>
        <v/>
      </c>
      <c r="S255" s="59" t="str">
        <f>IFERROR(VLOOKUP(S$13&amp;$B259,Aux!$B:$M,5,0),"")</f>
        <v/>
      </c>
      <c r="T255" s="60" t="str">
        <f>IFERROR(VLOOKUP(S$13&amp;$B255,Aux!$B:$M,3,0),"")</f>
        <v/>
      </c>
      <c r="U255" s="60"/>
      <c r="V255" s="60"/>
      <c r="W255" s="61" t="str">
        <f>IFERROR(VLOOKUP(S$13&amp;$B255,Aux!$B:$M,9,0),"")</f>
        <v/>
      </c>
      <c r="AA255" s="59" t="str">
        <f>IFERROR(VLOOKUP(AA$13&amp;$B259,Aux!$B:$M,5,0),"")</f>
        <v/>
      </c>
      <c r="AB255" s="60" t="str">
        <f>IFERROR(VLOOKUP(AA$13&amp;$B255,Aux!$B:$M,3,0),"")</f>
        <v/>
      </c>
      <c r="AC255" s="60"/>
      <c r="AD255" s="60"/>
      <c r="AE255" s="61" t="str">
        <f>IFERROR(VLOOKUP(AA$13&amp;$B255,Aux!$B:$M,9,0),"")</f>
        <v/>
      </c>
    </row>
    <row r="256" spans="2:31" x14ac:dyDescent="0.25">
      <c r="B256" s="53">
        <f t="shared" si="3"/>
        <v>49</v>
      </c>
      <c r="C256" s="59"/>
      <c r="D256" s="60"/>
      <c r="E256" s="60"/>
      <c r="F256" s="60"/>
      <c r="G256" s="61"/>
      <c r="K256" s="59"/>
      <c r="L256" s="60"/>
      <c r="M256" s="60"/>
      <c r="N256" s="60"/>
      <c r="O256" s="61"/>
      <c r="S256" s="59"/>
      <c r="T256" s="60"/>
      <c r="U256" s="60"/>
      <c r="V256" s="60"/>
      <c r="W256" s="61"/>
      <c r="AA256" s="59"/>
      <c r="AB256" s="60"/>
      <c r="AC256" s="60"/>
      <c r="AD256" s="60"/>
      <c r="AE256" s="61"/>
    </row>
    <row r="257" spans="2:31" x14ac:dyDescent="0.25">
      <c r="B257" s="53">
        <f t="shared" si="3"/>
        <v>49</v>
      </c>
      <c r="C257" s="59"/>
      <c r="D257" s="15" t="str">
        <f>IF(D255="","","Исполнитель"&amp;": ")</f>
        <v/>
      </c>
      <c r="E257" s="62" t="str">
        <f>IFERROR(VLOOKUP(C$13&amp;$B257,Aux!$B:$M,4,0),"")</f>
        <v/>
      </c>
      <c r="F257" s="62"/>
      <c r="G257" s="63" t="str">
        <f>IFERROR(IF(VLOOKUP(C$13&amp;$B255,Aux!$B:$M,8,0)="Да","✔","🕓"),"")</f>
        <v/>
      </c>
      <c r="K257" s="59"/>
      <c r="L257" s="15" t="str">
        <f>IF(L255="","","Исполнитель"&amp;": ")</f>
        <v/>
      </c>
      <c r="M257" s="62" t="str">
        <f>IFERROR(VLOOKUP(K$13&amp;$B257,Aux!$B:$M,4,0),"")</f>
        <v/>
      </c>
      <c r="N257" s="62"/>
      <c r="O257" s="63" t="str">
        <f>IFERROR(IF(VLOOKUP(K$13&amp;$B255,Aux!$B:$M,8,0)="Да","✔","🕓"),"")</f>
        <v/>
      </c>
      <c r="S257" s="59"/>
      <c r="T257" s="15" t="str">
        <f>IF(T255="","","Исполнитель"&amp;": ")</f>
        <v/>
      </c>
      <c r="U257" s="62" t="str">
        <f>IFERROR(VLOOKUP(S$13&amp;$B257,Aux!$B:$M,4,0),"")</f>
        <v/>
      </c>
      <c r="V257" s="62"/>
      <c r="W257" s="63" t="str">
        <f>IFERROR(IF(VLOOKUP(S$13&amp;$B255,Aux!$B:$M,8,0)="Да","✔","🕓"),"")</f>
        <v/>
      </c>
      <c r="AA257" s="59"/>
      <c r="AB257" s="15" t="str">
        <f>IF(AB255="","","Исполнитель"&amp;": ")</f>
        <v/>
      </c>
      <c r="AC257" s="62" t="str">
        <f>IFERROR(VLOOKUP(AA$13&amp;$B257,Aux!$B:$M,4,0),"")</f>
        <v/>
      </c>
      <c r="AD257" s="62"/>
      <c r="AE257" s="63" t="str">
        <f>IFERROR(IF(VLOOKUP(AA$13&amp;$B255,Aux!$B:$M,8,0)="Да","✔","🕓"),"")</f>
        <v/>
      </c>
    </row>
    <row r="258" spans="2:31" x14ac:dyDescent="0.25">
      <c r="B258" s="53">
        <f t="shared" si="3"/>
        <v>49</v>
      </c>
      <c r="C258" s="59"/>
      <c r="D258" s="16" t="str">
        <f>IF(D255="","","Срок сдачи"&amp;": ")</f>
        <v/>
      </c>
      <c r="E258" s="64" t="str">
        <f>IFERROR(VLOOKUP(C$13&amp;$B258,Aux!$B:$M,6,0),"")</f>
        <v/>
      </c>
      <c r="F258" s="64"/>
      <c r="G258" s="63"/>
      <c r="K258" s="59"/>
      <c r="L258" s="16" t="str">
        <f>IF(L255="","","Срок сдачи"&amp;": ")</f>
        <v/>
      </c>
      <c r="M258" s="64" t="str">
        <f>IFERROR(VLOOKUP(K$13&amp;$B258,Aux!$B:$M,6,0),"")</f>
        <v/>
      </c>
      <c r="N258" s="64"/>
      <c r="O258" s="63"/>
      <c r="S258" s="59"/>
      <c r="T258" s="16" t="str">
        <f>IF(T255="","","Срок сдачи"&amp;": ")</f>
        <v/>
      </c>
      <c r="U258" s="64" t="str">
        <f>IFERROR(VLOOKUP(S$13&amp;$B258,Aux!$B:$M,6,0),"")</f>
        <v/>
      </c>
      <c r="V258" s="64"/>
      <c r="W258" s="63"/>
      <c r="AA258" s="59"/>
      <c r="AB258" s="16" t="str">
        <f>IF(AB255="","","Срок сдачи"&amp;": ")</f>
        <v/>
      </c>
      <c r="AC258" s="64" t="str">
        <f>IFERROR(VLOOKUP(AA$13&amp;$B258,Aux!$B:$M,6,0),"")</f>
        <v/>
      </c>
      <c r="AD258" s="64"/>
      <c r="AE258" s="63"/>
    </row>
    <row r="259" spans="2:31" x14ac:dyDescent="0.25">
      <c r="B259" s="53">
        <f t="shared" si="3"/>
        <v>49</v>
      </c>
      <c r="C259" s="7"/>
      <c r="D259" s="17"/>
      <c r="E259" s="7"/>
      <c r="F259" s="18"/>
      <c r="G259" s="18"/>
      <c r="K259" s="13"/>
      <c r="L259" s="17"/>
      <c r="M259" s="13"/>
      <c r="N259" s="14"/>
      <c r="O259" s="14"/>
      <c r="S259" s="13"/>
      <c r="T259" s="17"/>
      <c r="U259" s="13"/>
      <c r="V259" s="14"/>
      <c r="W259" s="14"/>
      <c r="AA259" s="13"/>
      <c r="AB259" s="17"/>
      <c r="AC259" s="13"/>
      <c r="AD259" s="14"/>
      <c r="AE259" s="30"/>
    </row>
    <row r="260" spans="2:31" x14ac:dyDescent="0.25">
      <c r="B260" s="53">
        <f t="shared" si="3"/>
        <v>50</v>
      </c>
      <c r="C260" s="59" t="str">
        <f>IFERROR(VLOOKUP(C$13&amp;$B264,Aux!$B:$M,5,0),"")</f>
        <v/>
      </c>
      <c r="D260" s="60" t="str">
        <f>IFERROR(VLOOKUP(C$13&amp;$B260,Aux!$B:$M,3,0),"")</f>
        <v/>
      </c>
      <c r="E260" s="60"/>
      <c r="F260" s="60"/>
      <c r="G260" s="61" t="str">
        <f>IFERROR(VLOOKUP(C$13&amp;$B260,Aux!$B:$M,9,0),"")</f>
        <v/>
      </c>
      <c r="K260" s="59" t="str">
        <f>IFERROR(VLOOKUP(K$13&amp;$B264,Aux!$B:$M,5,0),"")</f>
        <v/>
      </c>
      <c r="L260" s="60" t="str">
        <f>IFERROR(VLOOKUP(K$13&amp;$B260,Aux!$B:$M,3,0),"")</f>
        <v/>
      </c>
      <c r="M260" s="60"/>
      <c r="N260" s="60"/>
      <c r="O260" s="61" t="str">
        <f>IFERROR(VLOOKUP(K$13&amp;$B260,Aux!$B:$M,9,0),"")</f>
        <v/>
      </c>
      <c r="S260" s="59" t="str">
        <f>IFERROR(VLOOKUP(S$13&amp;$B264,Aux!$B:$M,5,0),"")</f>
        <v/>
      </c>
      <c r="T260" s="60" t="str">
        <f>IFERROR(VLOOKUP(S$13&amp;$B260,Aux!$B:$M,3,0),"")</f>
        <v/>
      </c>
      <c r="U260" s="60"/>
      <c r="V260" s="60"/>
      <c r="W260" s="61" t="str">
        <f>IFERROR(VLOOKUP(S$13&amp;$B260,Aux!$B:$M,9,0),"")</f>
        <v/>
      </c>
      <c r="AA260" s="59" t="str">
        <f>IFERROR(VLOOKUP(AA$13&amp;$B264,Aux!$B:$M,5,0),"")</f>
        <v/>
      </c>
      <c r="AB260" s="60" t="str">
        <f>IFERROR(VLOOKUP(AA$13&amp;$B260,Aux!$B:$M,3,0),"")</f>
        <v/>
      </c>
      <c r="AC260" s="60"/>
      <c r="AD260" s="60"/>
      <c r="AE260" s="61" t="str">
        <f>IFERROR(VLOOKUP(AA$13&amp;$B260,Aux!$B:$M,9,0),"")</f>
        <v/>
      </c>
    </row>
    <row r="261" spans="2:31" x14ac:dyDescent="0.25">
      <c r="B261" s="53">
        <f t="shared" si="3"/>
        <v>50</v>
      </c>
      <c r="C261" s="59"/>
      <c r="D261" s="60"/>
      <c r="E261" s="60"/>
      <c r="F261" s="60"/>
      <c r="G261" s="61"/>
      <c r="K261" s="59"/>
      <c r="L261" s="60"/>
      <c r="M261" s="60"/>
      <c r="N261" s="60"/>
      <c r="O261" s="61"/>
      <c r="S261" s="59"/>
      <c r="T261" s="60"/>
      <c r="U261" s="60"/>
      <c r="V261" s="60"/>
      <c r="W261" s="61"/>
      <c r="AA261" s="59"/>
      <c r="AB261" s="60"/>
      <c r="AC261" s="60"/>
      <c r="AD261" s="60"/>
      <c r="AE261" s="61"/>
    </row>
    <row r="262" spans="2:31" x14ac:dyDescent="0.25">
      <c r="B262" s="53">
        <f t="shared" si="3"/>
        <v>50</v>
      </c>
      <c r="C262" s="59"/>
      <c r="D262" s="15" t="str">
        <f>IF(D260="","","Исполнитель"&amp;": ")</f>
        <v/>
      </c>
      <c r="E262" s="62" t="str">
        <f>IFERROR(VLOOKUP(C$13&amp;$B262,Aux!$B:$M,4,0),"")</f>
        <v/>
      </c>
      <c r="F262" s="62"/>
      <c r="G262" s="63" t="str">
        <f>IFERROR(IF(VLOOKUP(C$13&amp;$B260,Aux!$B:$M,8,0)="Да","✔","🕓"),"")</f>
        <v/>
      </c>
      <c r="K262" s="59"/>
      <c r="L262" s="15" t="str">
        <f>IF(L260="","","Исполнитель"&amp;": ")</f>
        <v/>
      </c>
      <c r="M262" s="62" t="str">
        <f>IFERROR(VLOOKUP(K$13&amp;$B262,Aux!$B:$M,4,0),"")</f>
        <v/>
      </c>
      <c r="N262" s="62"/>
      <c r="O262" s="63" t="str">
        <f>IFERROR(IF(VLOOKUP(K$13&amp;$B260,Aux!$B:$M,8,0)="Да","✔","🕓"),"")</f>
        <v/>
      </c>
      <c r="S262" s="59"/>
      <c r="T262" s="15" t="str">
        <f>IF(T260="","","Исполнитель"&amp;": ")</f>
        <v/>
      </c>
      <c r="U262" s="62" t="str">
        <f>IFERROR(VLOOKUP(S$13&amp;$B262,Aux!$B:$M,4,0),"")</f>
        <v/>
      </c>
      <c r="V262" s="62"/>
      <c r="W262" s="63" t="str">
        <f>IFERROR(IF(VLOOKUP(S$13&amp;$B260,Aux!$B:$M,8,0)="Да","✔","🕓"),"")</f>
        <v/>
      </c>
      <c r="AA262" s="59"/>
      <c r="AB262" s="15" t="str">
        <f>IF(AB260="","","Исполнитель"&amp;": ")</f>
        <v/>
      </c>
      <c r="AC262" s="62" t="str">
        <f>IFERROR(VLOOKUP(AA$13&amp;$B262,Aux!$B:$M,4,0),"")</f>
        <v/>
      </c>
      <c r="AD262" s="62"/>
      <c r="AE262" s="63" t="str">
        <f>IFERROR(IF(VLOOKUP(AA$13&amp;$B260,Aux!$B:$M,8,0)="Да","✔","🕓"),"")</f>
        <v/>
      </c>
    </row>
    <row r="263" spans="2:31" x14ac:dyDescent="0.25">
      <c r="B263" s="53">
        <f t="shared" si="3"/>
        <v>50</v>
      </c>
      <c r="C263" s="59"/>
      <c r="D263" s="16" t="str">
        <f>IF(D260="","","Срок сдачи"&amp;": ")</f>
        <v/>
      </c>
      <c r="E263" s="64" t="str">
        <f>IFERROR(VLOOKUP(C$13&amp;$B263,Aux!$B:$M,6,0),"")</f>
        <v/>
      </c>
      <c r="F263" s="64"/>
      <c r="G263" s="63"/>
      <c r="K263" s="59"/>
      <c r="L263" s="16" t="str">
        <f>IF(L260="","","Срок сдачи"&amp;": ")</f>
        <v/>
      </c>
      <c r="M263" s="64" t="str">
        <f>IFERROR(VLOOKUP(K$13&amp;$B263,Aux!$B:$M,6,0),"")</f>
        <v/>
      </c>
      <c r="N263" s="64"/>
      <c r="O263" s="63"/>
      <c r="S263" s="59"/>
      <c r="T263" s="16" t="str">
        <f>IF(T260="","","Срок сдачи"&amp;": ")</f>
        <v/>
      </c>
      <c r="U263" s="64" t="str">
        <f>IFERROR(VLOOKUP(S$13&amp;$B263,Aux!$B:$M,6,0),"")</f>
        <v/>
      </c>
      <c r="V263" s="64"/>
      <c r="W263" s="63"/>
      <c r="AA263" s="59"/>
      <c r="AB263" s="16" t="str">
        <f>IF(AB260="","","Срок сдачи"&amp;": ")</f>
        <v/>
      </c>
      <c r="AC263" s="64" t="str">
        <f>IFERROR(VLOOKUP(AA$13&amp;$B263,Aux!$B:$M,6,0),"")</f>
        <v/>
      </c>
      <c r="AD263" s="64"/>
      <c r="AE263" s="63"/>
    </row>
    <row r="264" spans="2:31" x14ac:dyDescent="0.25">
      <c r="B264" s="53">
        <f t="shared" si="3"/>
        <v>50</v>
      </c>
      <c r="C264" s="7"/>
      <c r="D264" s="17"/>
      <c r="E264" s="7"/>
      <c r="F264" s="18"/>
      <c r="G264" s="18"/>
      <c r="K264" s="13"/>
      <c r="L264" s="17"/>
      <c r="M264" s="13"/>
      <c r="N264" s="14"/>
      <c r="O264" s="14"/>
      <c r="S264" s="13"/>
      <c r="T264" s="17"/>
      <c r="U264" s="13"/>
      <c r="V264" s="14"/>
      <c r="W264" s="14"/>
      <c r="AA264" s="13"/>
      <c r="AB264" s="17"/>
      <c r="AC264" s="13"/>
      <c r="AD264" s="14"/>
      <c r="AE264" s="30"/>
    </row>
    <row r="265" spans="2:31" x14ac:dyDescent="0.25">
      <c r="B265" s="53">
        <f t="shared" si="3"/>
        <v>51</v>
      </c>
      <c r="C265" s="59" t="str">
        <f>IFERROR(VLOOKUP(C$13&amp;$B269,Aux!$B:$M,5,0),"")</f>
        <v/>
      </c>
      <c r="D265" s="60" t="str">
        <f>IFERROR(VLOOKUP(C$13&amp;$B265,Aux!$B:$M,3,0),"")</f>
        <v/>
      </c>
      <c r="E265" s="60"/>
      <c r="F265" s="60"/>
      <c r="G265" s="61" t="str">
        <f>IFERROR(VLOOKUP(C$13&amp;$B265,Aux!$B:$M,9,0),"")</f>
        <v/>
      </c>
      <c r="K265" s="59" t="str">
        <f>IFERROR(VLOOKUP(K$13&amp;$B269,Aux!$B:$M,5,0),"")</f>
        <v/>
      </c>
      <c r="L265" s="60" t="str">
        <f>IFERROR(VLOOKUP(K$13&amp;$B265,Aux!$B:$M,3,0),"")</f>
        <v/>
      </c>
      <c r="M265" s="60"/>
      <c r="N265" s="60"/>
      <c r="O265" s="61" t="str">
        <f>IFERROR(VLOOKUP(K$13&amp;$B265,Aux!$B:$M,9,0),"")</f>
        <v/>
      </c>
      <c r="S265" s="59" t="str">
        <f>IFERROR(VLOOKUP(S$13&amp;$B269,Aux!$B:$M,5,0),"")</f>
        <v/>
      </c>
      <c r="T265" s="60" t="str">
        <f>IFERROR(VLOOKUP(S$13&amp;$B265,Aux!$B:$M,3,0),"")</f>
        <v/>
      </c>
      <c r="U265" s="60"/>
      <c r="V265" s="60"/>
      <c r="W265" s="61" t="str">
        <f>IFERROR(VLOOKUP(S$13&amp;$B265,Aux!$B:$M,9,0),"")</f>
        <v/>
      </c>
      <c r="AA265" s="59" t="str">
        <f>IFERROR(VLOOKUP(AA$13&amp;$B269,Aux!$B:$M,5,0),"")</f>
        <v/>
      </c>
      <c r="AB265" s="60" t="str">
        <f>IFERROR(VLOOKUP(AA$13&amp;$B265,Aux!$B:$M,3,0),"")</f>
        <v/>
      </c>
      <c r="AC265" s="60"/>
      <c r="AD265" s="60"/>
      <c r="AE265" s="61" t="str">
        <f>IFERROR(VLOOKUP(AA$13&amp;$B265,Aux!$B:$M,9,0),"")</f>
        <v/>
      </c>
    </row>
    <row r="266" spans="2:31" x14ac:dyDescent="0.25">
      <c r="B266" s="53">
        <f t="shared" si="3"/>
        <v>51</v>
      </c>
      <c r="C266" s="59"/>
      <c r="D266" s="60"/>
      <c r="E266" s="60"/>
      <c r="F266" s="60"/>
      <c r="G266" s="61"/>
      <c r="K266" s="59"/>
      <c r="L266" s="60"/>
      <c r="M266" s="60"/>
      <c r="N266" s="60"/>
      <c r="O266" s="61"/>
      <c r="S266" s="59"/>
      <c r="T266" s="60"/>
      <c r="U266" s="60"/>
      <c r="V266" s="60"/>
      <c r="W266" s="61"/>
      <c r="AA266" s="59"/>
      <c r="AB266" s="60"/>
      <c r="AC266" s="60"/>
      <c r="AD266" s="60"/>
      <c r="AE266" s="61"/>
    </row>
    <row r="267" spans="2:31" x14ac:dyDescent="0.25">
      <c r="B267" s="53">
        <f t="shared" si="3"/>
        <v>51</v>
      </c>
      <c r="C267" s="59"/>
      <c r="D267" s="15" t="str">
        <f>IF(D265="","","Исполнитель"&amp;": ")</f>
        <v/>
      </c>
      <c r="E267" s="62" t="str">
        <f>IFERROR(VLOOKUP(C$13&amp;$B267,Aux!$B:$M,4,0),"")</f>
        <v/>
      </c>
      <c r="F267" s="62"/>
      <c r="G267" s="63" t="str">
        <f>IFERROR(IF(VLOOKUP(C$13&amp;$B265,Aux!$B:$M,8,0)="Да","✔","🕓"),"")</f>
        <v/>
      </c>
      <c r="K267" s="59"/>
      <c r="L267" s="15" t="str">
        <f>IF(L265="","","Исполнитель"&amp;": ")</f>
        <v/>
      </c>
      <c r="M267" s="62" t="str">
        <f>IFERROR(VLOOKUP(K$13&amp;$B267,Aux!$B:$M,4,0),"")</f>
        <v/>
      </c>
      <c r="N267" s="62"/>
      <c r="O267" s="63" t="str">
        <f>IFERROR(IF(VLOOKUP(K$13&amp;$B265,Aux!$B:$M,8,0)="Да","✔","🕓"),"")</f>
        <v/>
      </c>
      <c r="S267" s="59"/>
      <c r="T267" s="15" t="str">
        <f>IF(T265="","","Исполнитель"&amp;": ")</f>
        <v/>
      </c>
      <c r="U267" s="62" t="str">
        <f>IFERROR(VLOOKUP(S$13&amp;$B267,Aux!$B:$M,4,0),"")</f>
        <v/>
      </c>
      <c r="V267" s="62"/>
      <c r="W267" s="63" t="str">
        <f>IFERROR(IF(VLOOKUP(S$13&amp;$B265,Aux!$B:$M,8,0)="Да","✔","🕓"),"")</f>
        <v/>
      </c>
      <c r="AA267" s="59"/>
      <c r="AB267" s="15" t="str">
        <f>IF(AB265="","","Исполнитель"&amp;": ")</f>
        <v/>
      </c>
      <c r="AC267" s="62" t="str">
        <f>IFERROR(VLOOKUP(AA$13&amp;$B267,Aux!$B:$M,4,0),"")</f>
        <v/>
      </c>
      <c r="AD267" s="62"/>
      <c r="AE267" s="63" t="str">
        <f>IFERROR(IF(VLOOKUP(AA$13&amp;$B265,Aux!$B:$M,8,0)="Да","✔","🕓"),"")</f>
        <v/>
      </c>
    </row>
    <row r="268" spans="2:31" x14ac:dyDescent="0.25">
      <c r="B268" s="53">
        <f t="shared" si="3"/>
        <v>51</v>
      </c>
      <c r="C268" s="59"/>
      <c r="D268" s="16" t="str">
        <f>IF(D265="","","Срок сдачи"&amp;": ")</f>
        <v/>
      </c>
      <c r="E268" s="64" t="str">
        <f>IFERROR(VLOOKUP(C$13&amp;$B268,Aux!$B:$M,6,0),"")</f>
        <v/>
      </c>
      <c r="F268" s="64"/>
      <c r="G268" s="63"/>
      <c r="K268" s="59"/>
      <c r="L268" s="16" t="str">
        <f>IF(L265="","","Срок сдачи"&amp;": ")</f>
        <v/>
      </c>
      <c r="M268" s="64" t="str">
        <f>IFERROR(VLOOKUP(K$13&amp;$B268,Aux!$B:$M,6,0),"")</f>
        <v/>
      </c>
      <c r="N268" s="64"/>
      <c r="O268" s="63"/>
      <c r="S268" s="59"/>
      <c r="T268" s="16" t="str">
        <f>IF(T265="","","Срок сдачи"&amp;": ")</f>
        <v/>
      </c>
      <c r="U268" s="64" t="str">
        <f>IFERROR(VLOOKUP(S$13&amp;$B268,Aux!$B:$M,6,0),"")</f>
        <v/>
      </c>
      <c r="V268" s="64"/>
      <c r="W268" s="63"/>
      <c r="AA268" s="59"/>
      <c r="AB268" s="16" t="str">
        <f>IF(AB265="","","Срок сдачи"&amp;": ")</f>
        <v/>
      </c>
      <c r="AC268" s="64" t="str">
        <f>IFERROR(VLOOKUP(AA$13&amp;$B268,Aux!$B:$M,6,0),"")</f>
        <v/>
      </c>
      <c r="AD268" s="64"/>
      <c r="AE268" s="63"/>
    </row>
    <row r="269" spans="2:31" x14ac:dyDescent="0.25">
      <c r="B269" s="53">
        <f t="shared" si="3"/>
        <v>51</v>
      </c>
      <c r="C269" s="7"/>
      <c r="D269" s="17"/>
      <c r="E269" s="7"/>
      <c r="F269" s="18"/>
      <c r="G269" s="18"/>
      <c r="K269" s="13"/>
      <c r="L269" s="17"/>
      <c r="M269" s="13"/>
      <c r="N269" s="14"/>
      <c r="O269" s="14"/>
      <c r="S269" s="13"/>
      <c r="T269" s="17"/>
      <c r="U269" s="13"/>
      <c r="V269" s="14"/>
      <c r="W269" s="14"/>
      <c r="AA269" s="13"/>
      <c r="AB269" s="17"/>
      <c r="AC269" s="13"/>
      <c r="AD269" s="14"/>
      <c r="AE269" s="30"/>
    </row>
    <row r="270" spans="2:31" x14ac:dyDescent="0.25">
      <c r="B270" s="53">
        <f t="shared" si="3"/>
        <v>52</v>
      </c>
      <c r="C270" s="59" t="str">
        <f>IFERROR(VLOOKUP(C$13&amp;$B274,Aux!$B:$M,5,0),"")</f>
        <v/>
      </c>
      <c r="D270" s="60" t="str">
        <f>IFERROR(VLOOKUP(C$13&amp;$B270,Aux!$B:$M,3,0),"")</f>
        <v/>
      </c>
      <c r="E270" s="60"/>
      <c r="F270" s="60"/>
      <c r="G270" s="61" t="str">
        <f>IFERROR(VLOOKUP(C$13&amp;$B270,Aux!$B:$M,9,0),"")</f>
        <v/>
      </c>
      <c r="K270" s="59" t="str">
        <f>IFERROR(VLOOKUP(K$13&amp;$B274,Aux!$B:$M,5,0),"")</f>
        <v/>
      </c>
      <c r="L270" s="60" t="str">
        <f>IFERROR(VLOOKUP(K$13&amp;$B270,Aux!$B:$M,3,0),"")</f>
        <v/>
      </c>
      <c r="M270" s="60"/>
      <c r="N270" s="60"/>
      <c r="O270" s="61" t="str">
        <f>IFERROR(VLOOKUP(K$13&amp;$B270,Aux!$B:$M,9,0),"")</f>
        <v/>
      </c>
      <c r="S270" s="59" t="str">
        <f>IFERROR(VLOOKUP(S$13&amp;$B274,Aux!$B:$M,5,0),"")</f>
        <v/>
      </c>
      <c r="T270" s="60" t="str">
        <f>IFERROR(VLOOKUP(S$13&amp;$B270,Aux!$B:$M,3,0),"")</f>
        <v/>
      </c>
      <c r="U270" s="60"/>
      <c r="V270" s="60"/>
      <c r="W270" s="61" t="str">
        <f>IFERROR(VLOOKUP(S$13&amp;$B270,Aux!$B:$M,9,0),"")</f>
        <v/>
      </c>
      <c r="AA270" s="59" t="str">
        <f>IFERROR(VLOOKUP(AA$13&amp;$B274,Aux!$B:$M,5,0),"")</f>
        <v/>
      </c>
      <c r="AB270" s="60" t="str">
        <f>IFERROR(VLOOKUP(AA$13&amp;$B270,Aux!$B:$M,3,0),"")</f>
        <v/>
      </c>
      <c r="AC270" s="60"/>
      <c r="AD270" s="60"/>
      <c r="AE270" s="61" t="str">
        <f>IFERROR(VLOOKUP(AA$13&amp;$B270,Aux!$B:$M,9,0),"")</f>
        <v/>
      </c>
    </row>
    <row r="271" spans="2:31" x14ac:dyDescent="0.25">
      <c r="B271" s="53">
        <f t="shared" si="3"/>
        <v>52</v>
      </c>
      <c r="C271" s="59"/>
      <c r="D271" s="60"/>
      <c r="E271" s="60"/>
      <c r="F271" s="60"/>
      <c r="G271" s="61"/>
      <c r="K271" s="59"/>
      <c r="L271" s="60"/>
      <c r="M271" s="60"/>
      <c r="N271" s="60"/>
      <c r="O271" s="61"/>
      <c r="S271" s="59"/>
      <c r="T271" s="60"/>
      <c r="U271" s="60"/>
      <c r="V271" s="60"/>
      <c r="W271" s="61"/>
      <c r="AA271" s="59"/>
      <c r="AB271" s="60"/>
      <c r="AC271" s="60"/>
      <c r="AD271" s="60"/>
      <c r="AE271" s="61"/>
    </row>
    <row r="272" spans="2:31" x14ac:dyDescent="0.25">
      <c r="B272" s="53">
        <f t="shared" si="3"/>
        <v>52</v>
      </c>
      <c r="C272" s="59"/>
      <c r="D272" s="15" t="str">
        <f>IF(D270="","","Исполнитель"&amp;": ")</f>
        <v/>
      </c>
      <c r="E272" s="62" t="str">
        <f>IFERROR(VLOOKUP(C$13&amp;$B272,Aux!$B:$M,4,0),"")</f>
        <v/>
      </c>
      <c r="F272" s="62"/>
      <c r="G272" s="63" t="str">
        <f>IFERROR(IF(VLOOKUP(C$13&amp;$B270,Aux!$B:$M,8,0)="Да","✔","🕓"),"")</f>
        <v/>
      </c>
      <c r="K272" s="59"/>
      <c r="L272" s="15" t="str">
        <f>IF(L270="","","Исполнитель"&amp;": ")</f>
        <v/>
      </c>
      <c r="M272" s="62" t="str">
        <f>IFERROR(VLOOKUP(K$13&amp;$B272,Aux!$B:$M,4,0),"")</f>
        <v/>
      </c>
      <c r="N272" s="62"/>
      <c r="O272" s="63" t="str">
        <f>IFERROR(IF(VLOOKUP(K$13&amp;$B270,Aux!$B:$M,8,0)="Да","✔","🕓"),"")</f>
        <v/>
      </c>
      <c r="S272" s="59"/>
      <c r="T272" s="15" t="str">
        <f>IF(T270="","","Исполнитель"&amp;": ")</f>
        <v/>
      </c>
      <c r="U272" s="62" t="str">
        <f>IFERROR(VLOOKUP(S$13&amp;$B272,Aux!$B:$M,4,0),"")</f>
        <v/>
      </c>
      <c r="V272" s="62"/>
      <c r="W272" s="63" t="str">
        <f>IFERROR(IF(VLOOKUP(S$13&amp;$B270,Aux!$B:$M,8,0)="Да","✔","🕓"),"")</f>
        <v/>
      </c>
      <c r="AA272" s="59"/>
      <c r="AB272" s="15" t="str">
        <f>IF(AB270="","","Исполнитель"&amp;": ")</f>
        <v/>
      </c>
      <c r="AC272" s="62" t="str">
        <f>IFERROR(VLOOKUP(AA$13&amp;$B272,Aux!$B:$M,4,0),"")</f>
        <v/>
      </c>
      <c r="AD272" s="62"/>
      <c r="AE272" s="63" t="str">
        <f>IFERROR(IF(VLOOKUP(AA$13&amp;$B270,Aux!$B:$M,8,0)="Да","✔","🕓"),"")</f>
        <v/>
      </c>
    </row>
    <row r="273" spans="2:31" x14ac:dyDescent="0.25">
      <c r="B273" s="53">
        <f t="shared" si="3"/>
        <v>52</v>
      </c>
      <c r="C273" s="59"/>
      <c r="D273" s="16" t="str">
        <f>IF(D270="","","Срок сдачи"&amp;": ")</f>
        <v/>
      </c>
      <c r="E273" s="64" t="str">
        <f>IFERROR(VLOOKUP(C$13&amp;$B273,Aux!$B:$M,6,0),"")</f>
        <v/>
      </c>
      <c r="F273" s="64"/>
      <c r="G273" s="63"/>
      <c r="K273" s="59"/>
      <c r="L273" s="16" t="str">
        <f>IF(L270="","","Срок сдачи"&amp;": ")</f>
        <v/>
      </c>
      <c r="M273" s="64" t="str">
        <f>IFERROR(VLOOKUP(K$13&amp;$B273,Aux!$B:$M,6,0),"")</f>
        <v/>
      </c>
      <c r="N273" s="64"/>
      <c r="O273" s="63"/>
      <c r="S273" s="59"/>
      <c r="T273" s="16" t="str">
        <f>IF(T270="","","Срок сдачи"&amp;": ")</f>
        <v/>
      </c>
      <c r="U273" s="64" t="str">
        <f>IFERROR(VLOOKUP(S$13&amp;$B273,Aux!$B:$M,6,0),"")</f>
        <v/>
      </c>
      <c r="V273" s="64"/>
      <c r="W273" s="63"/>
      <c r="AA273" s="59"/>
      <c r="AB273" s="16" t="str">
        <f>IF(AB270="","","Срок сдачи"&amp;": ")</f>
        <v/>
      </c>
      <c r="AC273" s="64" t="str">
        <f>IFERROR(VLOOKUP(AA$13&amp;$B273,Aux!$B:$M,6,0),"")</f>
        <v/>
      </c>
      <c r="AD273" s="64"/>
      <c r="AE273" s="63"/>
    </row>
    <row r="274" spans="2:31" x14ac:dyDescent="0.25">
      <c r="B274" s="53">
        <f t="shared" si="3"/>
        <v>52</v>
      </c>
      <c r="C274" s="7"/>
      <c r="D274" s="17"/>
      <c r="E274" s="7"/>
      <c r="F274" s="18"/>
      <c r="G274" s="18"/>
      <c r="K274" s="13"/>
      <c r="L274" s="17"/>
      <c r="M274" s="13"/>
      <c r="N274" s="14"/>
      <c r="O274" s="14"/>
      <c r="S274" s="13"/>
      <c r="T274" s="17"/>
      <c r="U274" s="13"/>
      <c r="V274" s="14"/>
      <c r="W274" s="14"/>
      <c r="AA274" s="13"/>
      <c r="AB274" s="17"/>
      <c r="AC274" s="13"/>
      <c r="AD274" s="14"/>
      <c r="AE274" s="30"/>
    </row>
    <row r="275" spans="2:31" x14ac:dyDescent="0.25">
      <c r="B275" s="53">
        <f t="shared" si="3"/>
        <v>53</v>
      </c>
      <c r="C275" s="59" t="str">
        <f>IFERROR(VLOOKUP(C$13&amp;$B279,Aux!$B:$M,5,0),"")</f>
        <v/>
      </c>
      <c r="D275" s="60" t="str">
        <f>IFERROR(VLOOKUP(C$13&amp;$B275,Aux!$B:$M,3,0),"")</f>
        <v/>
      </c>
      <c r="E275" s="60"/>
      <c r="F275" s="60"/>
      <c r="G275" s="61" t="str">
        <f>IFERROR(VLOOKUP(C$13&amp;$B275,Aux!$B:$M,9,0),"")</f>
        <v/>
      </c>
      <c r="K275" s="59" t="str">
        <f>IFERROR(VLOOKUP(K$13&amp;$B279,Aux!$B:$M,5,0),"")</f>
        <v/>
      </c>
      <c r="L275" s="60" t="str">
        <f>IFERROR(VLOOKUP(K$13&amp;$B275,Aux!$B:$M,3,0),"")</f>
        <v/>
      </c>
      <c r="M275" s="60"/>
      <c r="N275" s="60"/>
      <c r="O275" s="61" t="str">
        <f>IFERROR(VLOOKUP(K$13&amp;$B275,Aux!$B:$M,9,0),"")</f>
        <v/>
      </c>
      <c r="S275" s="59" t="str">
        <f>IFERROR(VLOOKUP(S$13&amp;$B279,Aux!$B:$M,5,0),"")</f>
        <v/>
      </c>
      <c r="T275" s="60" t="str">
        <f>IFERROR(VLOOKUP(S$13&amp;$B275,Aux!$B:$M,3,0),"")</f>
        <v/>
      </c>
      <c r="U275" s="60"/>
      <c r="V275" s="60"/>
      <c r="W275" s="61" t="str">
        <f>IFERROR(VLOOKUP(S$13&amp;$B275,Aux!$B:$M,9,0),"")</f>
        <v/>
      </c>
      <c r="AA275" s="59" t="str">
        <f>IFERROR(VLOOKUP(AA$13&amp;$B279,Aux!$B:$M,5,0),"")</f>
        <v/>
      </c>
      <c r="AB275" s="60" t="str">
        <f>IFERROR(VLOOKUP(AA$13&amp;$B275,Aux!$B:$M,3,0),"")</f>
        <v/>
      </c>
      <c r="AC275" s="60"/>
      <c r="AD275" s="60"/>
      <c r="AE275" s="61" t="str">
        <f>IFERROR(VLOOKUP(AA$13&amp;$B275,Aux!$B:$M,9,0),"")</f>
        <v/>
      </c>
    </row>
    <row r="276" spans="2:31" x14ac:dyDescent="0.25">
      <c r="B276" s="53">
        <f t="shared" si="3"/>
        <v>53</v>
      </c>
      <c r="C276" s="59"/>
      <c r="D276" s="60"/>
      <c r="E276" s="60"/>
      <c r="F276" s="60"/>
      <c r="G276" s="61"/>
      <c r="K276" s="59"/>
      <c r="L276" s="60"/>
      <c r="M276" s="60"/>
      <c r="N276" s="60"/>
      <c r="O276" s="61"/>
      <c r="S276" s="59"/>
      <c r="T276" s="60"/>
      <c r="U276" s="60"/>
      <c r="V276" s="60"/>
      <c r="W276" s="61"/>
      <c r="AA276" s="59"/>
      <c r="AB276" s="60"/>
      <c r="AC276" s="60"/>
      <c r="AD276" s="60"/>
      <c r="AE276" s="61"/>
    </row>
    <row r="277" spans="2:31" x14ac:dyDescent="0.25">
      <c r="B277" s="53">
        <f t="shared" ref="B277:B340" si="4">B272+1</f>
        <v>53</v>
      </c>
      <c r="C277" s="59"/>
      <c r="D277" s="15" t="str">
        <f>IF(D275="","","Исполнитель"&amp;": ")</f>
        <v/>
      </c>
      <c r="E277" s="62" t="str">
        <f>IFERROR(VLOOKUP(C$13&amp;$B277,Aux!$B:$M,4,0),"")</f>
        <v/>
      </c>
      <c r="F277" s="62"/>
      <c r="G277" s="63" t="str">
        <f>IFERROR(IF(VLOOKUP(C$13&amp;$B275,Aux!$B:$M,8,0)="Да","✔","🕓"),"")</f>
        <v/>
      </c>
      <c r="K277" s="59"/>
      <c r="L277" s="15" t="str">
        <f>IF(L275="","","Исполнитель"&amp;": ")</f>
        <v/>
      </c>
      <c r="M277" s="62" t="str">
        <f>IFERROR(VLOOKUP(K$13&amp;$B277,Aux!$B:$M,4,0),"")</f>
        <v/>
      </c>
      <c r="N277" s="62"/>
      <c r="O277" s="63" t="str">
        <f>IFERROR(IF(VLOOKUP(K$13&amp;$B275,Aux!$B:$M,8,0)="Да","✔","🕓"),"")</f>
        <v/>
      </c>
      <c r="S277" s="59"/>
      <c r="T277" s="15" t="str">
        <f>IF(T275="","","Исполнитель"&amp;": ")</f>
        <v/>
      </c>
      <c r="U277" s="62" t="str">
        <f>IFERROR(VLOOKUP(S$13&amp;$B277,Aux!$B:$M,4,0),"")</f>
        <v/>
      </c>
      <c r="V277" s="62"/>
      <c r="W277" s="63" t="str">
        <f>IFERROR(IF(VLOOKUP(S$13&amp;$B275,Aux!$B:$M,8,0)="Да","✔","🕓"),"")</f>
        <v/>
      </c>
      <c r="AA277" s="59"/>
      <c r="AB277" s="15" t="str">
        <f>IF(AB275="","","Исполнитель"&amp;": ")</f>
        <v/>
      </c>
      <c r="AC277" s="62" t="str">
        <f>IFERROR(VLOOKUP(AA$13&amp;$B277,Aux!$B:$M,4,0),"")</f>
        <v/>
      </c>
      <c r="AD277" s="62"/>
      <c r="AE277" s="63" t="str">
        <f>IFERROR(IF(VLOOKUP(AA$13&amp;$B275,Aux!$B:$M,8,0)="Да","✔","🕓"),"")</f>
        <v/>
      </c>
    </row>
    <row r="278" spans="2:31" x14ac:dyDescent="0.25">
      <c r="B278" s="53">
        <f t="shared" si="4"/>
        <v>53</v>
      </c>
      <c r="C278" s="59"/>
      <c r="D278" s="16" t="str">
        <f>IF(D275="","","Срок сдачи"&amp;": ")</f>
        <v/>
      </c>
      <c r="E278" s="64" t="str">
        <f>IFERROR(VLOOKUP(C$13&amp;$B278,Aux!$B:$M,6,0),"")</f>
        <v/>
      </c>
      <c r="F278" s="64"/>
      <c r="G278" s="63"/>
      <c r="K278" s="59"/>
      <c r="L278" s="16" t="str">
        <f>IF(L275="","","Срок сдачи"&amp;": ")</f>
        <v/>
      </c>
      <c r="M278" s="64" t="str">
        <f>IFERROR(VLOOKUP(K$13&amp;$B278,Aux!$B:$M,6,0),"")</f>
        <v/>
      </c>
      <c r="N278" s="64"/>
      <c r="O278" s="63"/>
      <c r="S278" s="59"/>
      <c r="T278" s="16" t="str">
        <f>IF(T275="","","Срок сдачи"&amp;": ")</f>
        <v/>
      </c>
      <c r="U278" s="64" t="str">
        <f>IFERROR(VLOOKUP(S$13&amp;$B278,Aux!$B:$M,6,0),"")</f>
        <v/>
      </c>
      <c r="V278" s="64"/>
      <c r="W278" s="63"/>
      <c r="AA278" s="59"/>
      <c r="AB278" s="16" t="str">
        <f>IF(AB275="","","Срок сдачи"&amp;": ")</f>
        <v/>
      </c>
      <c r="AC278" s="64" t="str">
        <f>IFERROR(VLOOKUP(AA$13&amp;$B278,Aux!$B:$M,6,0),"")</f>
        <v/>
      </c>
      <c r="AD278" s="64"/>
      <c r="AE278" s="63"/>
    </row>
    <row r="279" spans="2:31" x14ac:dyDescent="0.25">
      <c r="B279" s="53">
        <f t="shared" si="4"/>
        <v>53</v>
      </c>
      <c r="C279" s="7"/>
      <c r="D279" s="17"/>
      <c r="E279" s="7"/>
      <c r="F279" s="18"/>
      <c r="G279" s="18"/>
      <c r="K279" s="13"/>
      <c r="L279" s="17"/>
      <c r="M279" s="13"/>
      <c r="N279" s="14"/>
      <c r="O279" s="14"/>
      <c r="S279" s="13"/>
      <c r="T279" s="17"/>
      <c r="U279" s="13"/>
      <c r="V279" s="14"/>
      <c r="W279" s="14"/>
      <c r="AA279" s="13"/>
      <c r="AB279" s="17"/>
      <c r="AC279" s="13"/>
      <c r="AD279" s="14"/>
      <c r="AE279" s="30"/>
    </row>
    <row r="280" spans="2:31" x14ac:dyDescent="0.25">
      <c r="B280" s="53">
        <f t="shared" si="4"/>
        <v>54</v>
      </c>
      <c r="C280" s="59" t="str">
        <f>IFERROR(VLOOKUP(C$13&amp;$B284,Aux!$B:$M,5,0),"")</f>
        <v/>
      </c>
      <c r="D280" s="60" t="str">
        <f>IFERROR(VLOOKUP(C$13&amp;$B280,Aux!$B:$M,3,0),"")</f>
        <v/>
      </c>
      <c r="E280" s="60"/>
      <c r="F280" s="60"/>
      <c r="G280" s="61" t="str">
        <f>IFERROR(VLOOKUP(C$13&amp;$B280,Aux!$B:$M,9,0),"")</f>
        <v/>
      </c>
      <c r="K280" s="59" t="str">
        <f>IFERROR(VLOOKUP(K$13&amp;$B284,Aux!$B:$M,5,0),"")</f>
        <v/>
      </c>
      <c r="L280" s="60" t="str">
        <f>IFERROR(VLOOKUP(K$13&amp;$B280,Aux!$B:$M,3,0),"")</f>
        <v/>
      </c>
      <c r="M280" s="60"/>
      <c r="N280" s="60"/>
      <c r="O280" s="61" t="str">
        <f>IFERROR(VLOOKUP(K$13&amp;$B280,Aux!$B:$M,9,0),"")</f>
        <v/>
      </c>
      <c r="S280" s="59" t="str">
        <f>IFERROR(VLOOKUP(S$13&amp;$B284,Aux!$B:$M,5,0),"")</f>
        <v/>
      </c>
      <c r="T280" s="60" t="str">
        <f>IFERROR(VLOOKUP(S$13&amp;$B280,Aux!$B:$M,3,0),"")</f>
        <v/>
      </c>
      <c r="U280" s="60"/>
      <c r="V280" s="60"/>
      <c r="W280" s="61" t="str">
        <f>IFERROR(VLOOKUP(S$13&amp;$B280,Aux!$B:$M,9,0),"")</f>
        <v/>
      </c>
      <c r="AA280" s="59" t="str">
        <f>IFERROR(VLOOKUP(AA$13&amp;$B284,Aux!$B:$M,5,0),"")</f>
        <v/>
      </c>
      <c r="AB280" s="60" t="str">
        <f>IFERROR(VLOOKUP(AA$13&amp;$B280,Aux!$B:$M,3,0),"")</f>
        <v/>
      </c>
      <c r="AC280" s="60"/>
      <c r="AD280" s="60"/>
      <c r="AE280" s="61" t="str">
        <f>IFERROR(VLOOKUP(AA$13&amp;$B280,Aux!$B:$M,9,0),"")</f>
        <v/>
      </c>
    </row>
    <row r="281" spans="2:31" x14ac:dyDescent="0.25">
      <c r="B281" s="53">
        <f t="shared" si="4"/>
        <v>54</v>
      </c>
      <c r="C281" s="59"/>
      <c r="D281" s="60"/>
      <c r="E281" s="60"/>
      <c r="F281" s="60"/>
      <c r="G281" s="61"/>
      <c r="K281" s="59"/>
      <c r="L281" s="60"/>
      <c r="M281" s="60"/>
      <c r="N281" s="60"/>
      <c r="O281" s="61"/>
      <c r="S281" s="59"/>
      <c r="T281" s="60"/>
      <c r="U281" s="60"/>
      <c r="V281" s="60"/>
      <c r="W281" s="61"/>
      <c r="AA281" s="59"/>
      <c r="AB281" s="60"/>
      <c r="AC281" s="60"/>
      <c r="AD281" s="60"/>
      <c r="AE281" s="61"/>
    </row>
    <row r="282" spans="2:31" x14ac:dyDescent="0.25">
      <c r="B282" s="53">
        <f t="shared" si="4"/>
        <v>54</v>
      </c>
      <c r="C282" s="59"/>
      <c r="D282" s="15" t="str">
        <f>IF(D280="","","Исполнитель"&amp;": ")</f>
        <v/>
      </c>
      <c r="E282" s="62" t="str">
        <f>IFERROR(VLOOKUP(C$13&amp;$B282,Aux!$B:$M,4,0),"")</f>
        <v/>
      </c>
      <c r="F282" s="62"/>
      <c r="G282" s="63" t="str">
        <f>IFERROR(IF(VLOOKUP(C$13&amp;$B280,Aux!$B:$M,8,0)="Да","✔","🕓"),"")</f>
        <v/>
      </c>
      <c r="K282" s="59"/>
      <c r="L282" s="15" t="str">
        <f>IF(L280="","","Исполнитель"&amp;": ")</f>
        <v/>
      </c>
      <c r="M282" s="62" t="str">
        <f>IFERROR(VLOOKUP(K$13&amp;$B282,Aux!$B:$M,4,0),"")</f>
        <v/>
      </c>
      <c r="N282" s="62"/>
      <c r="O282" s="63" t="str">
        <f>IFERROR(IF(VLOOKUP(K$13&amp;$B280,Aux!$B:$M,8,0)="Да","✔","🕓"),"")</f>
        <v/>
      </c>
      <c r="S282" s="59"/>
      <c r="T282" s="15" t="str">
        <f>IF(T280="","","Исполнитель"&amp;": ")</f>
        <v/>
      </c>
      <c r="U282" s="62" t="str">
        <f>IFERROR(VLOOKUP(S$13&amp;$B282,Aux!$B:$M,4,0),"")</f>
        <v/>
      </c>
      <c r="V282" s="62"/>
      <c r="W282" s="63" t="str">
        <f>IFERROR(IF(VLOOKUP(S$13&amp;$B280,Aux!$B:$M,8,0)="Да","✔","🕓"),"")</f>
        <v/>
      </c>
      <c r="AA282" s="59"/>
      <c r="AB282" s="15" t="str">
        <f>IF(AB280="","","Исполнитель"&amp;": ")</f>
        <v/>
      </c>
      <c r="AC282" s="62" t="str">
        <f>IFERROR(VLOOKUP(AA$13&amp;$B282,Aux!$B:$M,4,0),"")</f>
        <v/>
      </c>
      <c r="AD282" s="62"/>
      <c r="AE282" s="63" t="str">
        <f>IFERROR(IF(VLOOKUP(AA$13&amp;$B280,Aux!$B:$M,8,0)="Да","✔","🕓"),"")</f>
        <v/>
      </c>
    </row>
    <row r="283" spans="2:31" x14ac:dyDescent="0.25">
      <c r="B283" s="53">
        <f t="shared" si="4"/>
        <v>54</v>
      </c>
      <c r="C283" s="59"/>
      <c r="D283" s="16" t="str">
        <f>IF(D280="","","Срок сдачи"&amp;": ")</f>
        <v/>
      </c>
      <c r="E283" s="64" t="str">
        <f>IFERROR(VLOOKUP(C$13&amp;$B283,Aux!$B:$M,6,0),"")</f>
        <v/>
      </c>
      <c r="F283" s="64"/>
      <c r="G283" s="63"/>
      <c r="K283" s="59"/>
      <c r="L283" s="16" t="str">
        <f>IF(L280="","","Срок сдачи"&amp;": ")</f>
        <v/>
      </c>
      <c r="M283" s="64" t="str">
        <f>IFERROR(VLOOKUP(K$13&amp;$B283,Aux!$B:$M,6,0),"")</f>
        <v/>
      </c>
      <c r="N283" s="64"/>
      <c r="O283" s="63"/>
      <c r="S283" s="59"/>
      <c r="T283" s="16" t="str">
        <f>IF(T280="","","Срок сдачи"&amp;": ")</f>
        <v/>
      </c>
      <c r="U283" s="64" t="str">
        <f>IFERROR(VLOOKUP(S$13&amp;$B283,Aux!$B:$M,6,0),"")</f>
        <v/>
      </c>
      <c r="V283" s="64"/>
      <c r="W283" s="63"/>
      <c r="AA283" s="59"/>
      <c r="AB283" s="16" t="str">
        <f>IF(AB280="","","Срок сдачи"&amp;": ")</f>
        <v/>
      </c>
      <c r="AC283" s="64" t="str">
        <f>IFERROR(VLOOKUP(AA$13&amp;$B283,Aux!$B:$M,6,0),"")</f>
        <v/>
      </c>
      <c r="AD283" s="64"/>
      <c r="AE283" s="63"/>
    </row>
    <row r="284" spans="2:31" x14ac:dyDescent="0.25">
      <c r="B284" s="53">
        <f t="shared" si="4"/>
        <v>54</v>
      </c>
      <c r="C284" s="7"/>
      <c r="D284" s="17"/>
      <c r="E284" s="7"/>
      <c r="F284" s="18"/>
      <c r="G284" s="18"/>
      <c r="K284" s="13"/>
      <c r="L284" s="17"/>
      <c r="M284" s="13"/>
      <c r="N284" s="14"/>
      <c r="O284" s="14"/>
      <c r="S284" s="13"/>
      <c r="T284" s="17"/>
      <c r="U284" s="13"/>
      <c r="V284" s="14"/>
      <c r="W284" s="14"/>
      <c r="AA284" s="13"/>
      <c r="AB284" s="17"/>
      <c r="AC284" s="13"/>
      <c r="AD284" s="14"/>
      <c r="AE284" s="30"/>
    </row>
    <row r="285" spans="2:31" x14ac:dyDescent="0.25">
      <c r="B285" s="53">
        <f t="shared" si="4"/>
        <v>55</v>
      </c>
      <c r="C285" s="59" t="str">
        <f>IFERROR(VLOOKUP(C$13&amp;$B289,Aux!$B:$M,5,0),"")</f>
        <v/>
      </c>
      <c r="D285" s="60" t="str">
        <f>IFERROR(VLOOKUP(C$13&amp;$B285,Aux!$B:$M,3,0),"")</f>
        <v/>
      </c>
      <c r="E285" s="60"/>
      <c r="F285" s="60"/>
      <c r="G285" s="61" t="str">
        <f>IFERROR(VLOOKUP(C$13&amp;$B285,Aux!$B:$M,9,0),"")</f>
        <v/>
      </c>
      <c r="K285" s="59" t="str">
        <f>IFERROR(VLOOKUP(K$13&amp;$B289,Aux!$B:$M,5,0),"")</f>
        <v/>
      </c>
      <c r="L285" s="60" t="str">
        <f>IFERROR(VLOOKUP(K$13&amp;$B285,Aux!$B:$M,3,0),"")</f>
        <v/>
      </c>
      <c r="M285" s="60"/>
      <c r="N285" s="60"/>
      <c r="O285" s="61" t="str">
        <f>IFERROR(VLOOKUP(K$13&amp;$B285,Aux!$B:$M,9,0),"")</f>
        <v/>
      </c>
      <c r="S285" s="59" t="str">
        <f>IFERROR(VLOOKUP(S$13&amp;$B289,Aux!$B:$M,5,0),"")</f>
        <v/>
      </c>
      <c r="T285" s="60" t="str">
        <f>IFERROR(VLOOKUP(S$13&amp;$B285,Aux!$B:$M,3,0),"")</f>
        <v/>
      </c>
      <c r="U285" s="60"/>
      <c r="V285" s="60"/>
      <c r="W285" s="61" t="str">
        <f>IFERROR(VLOOKUP(S$13&amp;$B285,Aux!$B:$M,9,0),"")</f>
        <v/>
      </c>
      <c r="AA285" s="59" t="str">
        <f>IFERROR(VLOOKUP(AA$13&amp;$B289,Aux!$B:$M,5,0),"")</f>
        <v/>
      </c>
      <c r="AB285" s="60" t="str">
        <f>IFERROR(VLOOKUP(AA$13&amp;$B285,Aux!$B:$M,3,0),"")</f>
        <v/>
      </c>
      <c r="AC285" s="60"/>
      <c r="AD285" s="60"/>
      <c r="AE285" s="61" t="str">
        <f>IFERROR(VLOOKUP(AA$13&amp;$B285,Aux!$B:$M,9,0),"")</f>
        <v/>
      </c>
    </row>
    <row r="286" spans="2:31" x14ac:dyDescent="0.25">
      <c r="B286" s="53">
        <f t="shared" si="4"/>
        <v>55</v>
      </c>
      <c r="C286" s="59"/>
      <c r="D286" s="60"/>
      <c r="E286" s="60"/>
      <c r="F286" s="60"/>
      <c r="G286" s="61"/>
      <c r="K286" s="59"/>
      <c r="L286" s="60"/>
      <c r="M286" s="60"/>
      <c r="N286" s="60"/>
      <c r="O286" s="61"/>
      <c r="S286" s="59"/>
      <c r="T286" s="60"/>
      <c r="U286" s="60"/>
      <c r="V286" s="60"/>
      <c r="W286" s="61"/>
      <c r="AA286" s="59"/>
      <c r="AB286" s="60"/>
      <c r="AC286" s="60"/>
      <c r="AD286" s="60"/>
      <c r="AE286" s="61"/>
    </row>
    <row r="287" spans="2:31" x14ac:dyDescent="0.25">
      <c r="B287" s="53">
        <f t="shared" si="4"/>
        <v>55</v>
      </c>
      <c r="C287" s="59"/>
      <c r="D287" s="15" t="str">
        <f>IF(D285="","","Исполнитель"&amp;": ")</f>
        <v/>
      </c>
      <c r="E287" s="62" t="str">
        <f>IFERROR(VLOOKUP(C$13&amp;$B287,Aux!$B:$M,4,0),"")</f>
        <v/>
      </c>
      <c r="F287" s="62"/>
      <c r="G287" s="63" t="str">
        <f>IFERROR(IF(VLOOKUP(C$13&amp;$B285,Aux!$B:$M,8,0)="Да","✔","🕓"),"")</f>
        <v/>
      </c>
      <c r="K287" s="59"/>
      <c r="L287" s="15" t="str">
        <f>IF(L285="","","Исполнитель"&amp;": ")</f>
        <v/>
      </c>
      <c r="M287" s="62" t="str">
        <f>IFERROR(VLOOKUP(K$13&amp;$B287,Aux!$B:$M,4,0),"")</f>
        <v/>
      </c>
      <c r="N287" s="62"/>
      <c r="O287" s="63" t="str">
        <f>IFERROR(IF(VLOOKUP(K$13&amp;$B285,Aux!$B:$M,8,0)="Да","✔","🕓"),"")</f>
        <v/>
      </c>
      <c r="S287" s="59"/>
      <c r="T287" s="15" t="str">
        <f>IF(T285="","","Исполнитель"&amp;": ")</f>
        <v/>
      </c>
      <c r="U287" s="62" t="str">
        <f>IFERROR(VLOOKUP(S$13&amp;$B287,Aux!$B:$M,4,0),"")</f>
        <v/>
      </c>
      <c r="V287" s="62"/>
      <c r="W287" s="63" t="str">
        <f>IFERROR(IF(VLOOKUP(S$13&amp;$B285,Aux!$B:$M,8,0)="Да","✔","🕓"),"")</f>
        <v/>
      </c>
      <c r="AA287" s="59"/>
      <c r="AB287" s="15" t="str">
        <f>IF(AB285="","","Исполнитель"&amp;": ")</f>
        <v/>
      </c>
      <c r="AC287" s="62" t="str">
        <f>IFERROR(VLOOKUP(AA$13&amp;$B287,Aux!$B:$M,4,0),"")</f>
        <v/>
      </c>
      <c r="AD287" s="62"/>
      <c r="AE287" s="63" t="str">
        <f>IFERROR(IF(VLOOKUP(AA$13&amp;$B285,Aux!$B:$M,8,0)="Да","✔","🕓"),"")</f>
        <v/>
      </c>
    </row>
    <row r="288" spans="2:31" x14ac:dyDescent="0.25">
      <c r="B288" s="53">
        <f t="shared" si="4"/>
        <v>55</v>
      </c>
      <c r="C288" s="59"/>
      <c r="D288" s="16" t="str">
        <f>IF(D285="","","Срок сдачи"&amp;": ")</f>
        <v/>
      </c>
      <c r="E288" s="64" t="str">
        <f>IFERROR(VLOOKUP(C$13&amp;$B288,Aux!$B:$M,6,0),"")</f>
        <v/>
      </c>
      <c r="F288" s="64"/>
      <c r="G288" s="63"/>
      <c r="K288" s="59"/>
      <c r="L288" s="16" t="str">
        <f>IF(L285="","","Срок сдачи"&amp;": ")</f>
        <v/>
      </c>
      <c r="M288" s="64" t="str">
        <f>IFERROR(VLOOKUP(K$13&amp;$B288,Aux!$B:$M,6,0),"")</f>
        <v/>
      </c>
      <c r="N288" s="64"/>
      <c r="O288" s="63"/>
      <c r="S288" s="59"/>
      <c r="T288" s="16" t="str">
        <f>IF(T285="","","Срок сдачи"&amp;": ")</f>
        <v/>
      </c>
      <c r="U288" s="64" t="str">
        <f>IFERROR(VLOOKUP(S$13&amp;$B288,Aux!$B:$M,6,0),"")</f>
        <v/>
      </c>
      <c r="V288" s="64"/>
      <c r="W288" s="63"/>
      <c r="AA288" s="59"/>
      <c r="AB288" s="16" t="str">
        <f>IF(AB285="","","Срок сдачи"&amp;": ")</f>
        <v/>
      </c>
      <c r="AC288" s="64" t="str">
        <f>IFERROR(VLOOKUP(AA$13&amp;$B288,Aux!$B:$M,6,0),"")</f>
        <v/>
      </c>
      <c r="AD288" s="64"/>
      <c r="AE288" s="63"/>
    </row>
    <row r="289" spans="2:31" x14ac:dyDescent="0.25">
      <c r="B289" s="53">
        <f t="shared" si="4"/>
        <v>55</v>
      </c>
      <c r="C289" s="7"/>
      <c r="D289" s="17"/>
      <c r="E289" s="7"/>
      <c r="F289" s="18"/>
      <c r="G289" s="18"/>
      <c r="K289" s="13"/>
      <c r="L289" s="17"/>
      <c r="M289" s="13"/>
      <c r="N289" s="14"/>
      <c r="O289" s="14"/>
      <c r="S289" s="13"/>
      <c r="T289" s="17"/>
      <c r="U289" s="13"/>
      <c r="V289" s="14"/>
      <c r="W289" s="14"/>
      <c r="AA289" s="13"/>
      <c r="AB289" s="17"/>
      <c r="AC289" s="13"/>
      <c r="AD289" s="14"/>
      <c r="AE289" s="30"/>
    </row>
    <row r="290" spans="2:31" x14ac:dyDescent="0.25">
      <c r="B290" s="53">
        <f t="shared" si="4"/>
        <v>56</v>
      </c>
      <c r="C290" s="59" t="str">
        <f>IFERROR(VLOOKUP(C$13&amp;$B294,Aux!$B:$M,5,0),"")</f>
        <v/>
      </c>
      <c r="D290" s="60" t="str">
        <f>IFERROR(VLOOKUP(C$13&amp;$B290,Aux!$B:$M,3,0),"")</f>
        <v/>
      </c>
      <c r="E290" s="60"/>
      <c r="F290" s="60"/>
      <c r="G290" s="61" t="str">
        <f>IFERROR(VLOOKUP(C$13&amp;$B290,Aux!$B:$M,9,0),"")</f>
        <v/>
      </c>
      <c r="K290" s="59" t="str">
        <f>IFERROR(VLOOKUP(K$13&amp;$B294,Aux!$B:$M,5,0),"")</f>
        <v/>
      </c>
      <c r="L290" s="60" t="str">
        <f>IFERROR(VLOOKUP(K$13&amp;$B290,Aux!$B:$M,3,0),"")</f>
        <v/>
      </c>
      <c r="M290" s="60"/>
      <c r="N290" s="60"/>
      <c r="O290" s="61" t="str">
        <f>IFERROR(VLOOKUP(K$13&amp;$B290,Aux!$B:$M,9,0),"")</f>
        <v/>
      </c>
      <c r="S290" s="59" t="str">
        <f>IFERROR(VLOOKUP(S$13&amp;$B294,Aux!$B:$M,5,0),"")</f>
        <v/>
      </c>
      <c r="T290" s="60" t="str">
        <f>IFERROR(VLOOKUP(S$13&amp;$B290,Aux!$B:$M,3,0),"")</f>
        <v/>
      </c>
      <c r="U290" s="60"/>
      <c r="V290" s="60"/>
      <c r="W290" s="61" t="str">
        <f>IFERROR(VLOOKUP(S$13&amp;$B290,Aux!$B:$M,9,0),"")</f>
        <v/>
      </c>
      <c r="AA290" s="59" t="str">
        <f>IFERROR(VLOOKUP(AA$13&amp;$B294,Aux!$B:$M,5,0),"")</f>
        <v/>
      </c>
      <c r="AB290" s="60" t="str">
        <f>IFERROR(VLOOKUP(AA$13&amp;$B290,Aux!$B:$M,3,0),"")</f>
        <v/>
      </c>
      <c r="AC290" s="60"/>
      <c r="AD290" s="60"/>
      <c r="AE290" s="61" t="str">
        <f>IFERROR(VLOOKUP(AA$13&amp;$B290,Aux!$B:$M,9,0),"")</f>
        <v/>
      </c>
    </row>
    <row r="291" spans="2:31" x14ac:dyDescent="0.25">
      <c r="B291" s="53">
        <f t="shared" si="4"/>
        <v>56</v>
      </c>
      <c r="C291" s="59"/>
      <c r="D291" s="60"/>
      <c r="E291" s="60"/>
      <c r="F291" s="60"/>
      <c r="G291" s="61"/>
      <c r="K291" s="59"/>
      <c r="L291" s="60"/>
      <c r="M291" s="60"/>
      <c r="N291" s="60"/>
      <c r="O291" s="61"/>
      <c r="S291" s="59"/>
      <c r="T291" s="60"/>
      <c r="U291" s="60"/>
      <c r="V291" s="60"/>
      <c r="W291" s="61"/>
      <c r="AA291" s="59"/>
      <c r="AB291" s="60"/>
      <c r="AC291" s="60"/>
      <c r="AD291" s="60"/>
      <c r="AE291" s="61"/>
    </row>
    <row r="292" spans="2:31" x14ac:dyDescent="0.25">
      <c r="B292" s="53">
        <f t="shared" si="4"/>
        <v>56</v>
      </c>
      <c r="C292" s="59"/>
      <c r="D292" s="15" t="str">
        <f>IF(D290="","","Исполнитель"&amp;": ")</f>
        <v/>
      </c>
      <c r="E292" s="62" t="str">
        <f>IFERROR(VLOOKUP(C$13&amp;$B292,Aux!$B:$M,4,0),"")</f>
        <v/>
      </c>
      <c r="F292" s="62"/>
      <c r="G292" s="63" t="str">
        <f>IFERROR(IF(VLOOKUP(C$13&amp;$B290,Aux!$B:$M,8,0)="Да","✔","🕓"),"")</f>
        <v/>
      </c>
      <c r="K292" s="59"/>
      <c r="L292" s="15" t="str">
        <f>IF(L290="","","Исполнитель"&amp;": ")</f>
        <v/>
      </c>
      <c r="M292" s="62" t="str">
        <f>IFERROR(VLOOKUP(K$13&amp;$B292,Aux!$B:$M,4,0),"")</f>
        <v/>
      </c>
      <c r="N292" s="62"/>
      <c r="O292" s="63" t="str">
        <f>IFERROR(IF(VLOOKUP(K$13&amp;$B290,Aux!$B:$M,8,0)="Да","✔","🕓"),"")</f>
        <v/>
      </c>
      <c r="S292" s="59"/>
      <c r="T292" s="15" t="str">
        <f>IF(T290="","","Исполнитель"&amp;": ")</f>
        <v/>
      </c>
      <c r="U292" s="62" t="str">
        <f>IFERROR(VLOOKUP(S$13&amp;$B292,Aux!$B:$M,4,0),"")</f>
        <v/>
      </c>
      <c r="V292" s="62"/>
      <c r="W292" s="63" t="str">
        <f>IFERROR(IF(VLOOKUP(S$13&amp;$B290,Aux!$B:$M,8,0)="Да","✔","🕓"),"")</f>
        <v/>
      </c>
      <c r="AA292" s="59"/>
      <c r="AB292" s="15" t="str">
        <f>IF(AB290="","","Исполнитель"&amp;": ")</f>
        <v/>
      </c>
      <c r="AC292" s="62" t="str">
        <f>IFERROR(VLOOKUP(AA$13&amp;$B292,Aux!$B:$M,4,0),"")</f>
        <v/>
      </c>
      <c r="AD292" s="62"/>
      <c r="AE292" s="63" t="str">
        <f>IFERROR(IF(VLOOKUP(AA$13&amp;$B290,Aux!$B:$M,8,0)="Да","✔","🕓"),"")</f>
        <v/>
      </c>
    </row>
    <row r="293" spans="2:31" x14ac:dyDescent="0.25">
      <c r="B293" s="53">
        <f t="shared" si="4"/>
        <v>56</v>
      </c>
      <c r="C293" s="59"/>
      <c r="D293" s="16" t="str">
        <f>IF(D290="","","Срок сдачи"&amp;": ")</f>
        <v/>
      </c>
      <c r="E293" s="64" t="str">
        <f>IFERROR(VLOOKUP(C$13&amp;$B293,Aux!$B:$M,6,0),"")</f>
        <v/>
      </c>
      <c r="F293" s="64"/>
      <c r="G293" s="63"/>
      <c r="K293" s="59"/>
      <c r="L293" s="16" t="str">
        <f>IF(L290="","","Срок сдачи"&amp;": ")</f>
        <v/>
      </c>
      <c r="M293" s="64" t="str">
        <f>IFERROR(VLOOKUP(K$13&amp;$B293,Aux!$B:$M,6,0),"")</f>
        <v/>
      </c>
      <c r="N293" s="64"/>
      <c r="O293" s="63"/>
      <c r="S293" s="59"/>
      <c r="T293" s="16" t="str">
        <f>IF(T290="","","Срок сдачи"&amp;": ")</f>
        <v/>
      </c>
      <c r="U293" s="64" t="str">
        <f>IFERROR(VLOOKUP(S$13&amp;$B293,Aux!$B:$M,6,0),"")</f>
        <v/>
      </c>
      <c r="V293" s="64"/>
      <c r="W293" s="63"/>
      <c r="AA293" s="59"/>
      <c r="AB293" s="16" t="str">
        <f>IF(AB290="","","Срок сдачи"&amp;": ")</f>
        <v/>
      </c>
      <c r="AC293" s="64" t="str">
        <f>IFERROR(VLOOKUP(AA$13&amp;$B293,Aux!$B:$M,6,0),"")</f>
        <v/>
      </c>
      <c r="AD293" s="64"/>
      <c r="AE293" s="63"/>
    </row>
    <row r="294" spans="2:31" x14ac:dyDescent="0.25">
      <c r="B294" s="53">
        <f t="shared" si="4"/>
        <v>56</v>
      </c>
      <c r="C294" s="7"/>
      <c r="D294" s="17"/>
      <c r="E294" s="7"/>
      <c r="F294" s="18"/>
      <c r="G294" s="18"/>
      <c r="K294" s="13"/>
      <c r="L294" s="17"/>
      <c r="M294" s="13"/>
      <c r="N294" s="14"/>
      <c r="O294" s="14"/>
      <c r="S294" s="13"/>
      <c r="T294" s="17"/>
      <c r="U294" s="13"/>
      <c r="V294" s="14"/>
      <c r="W294" s="14"/>
      <c r="AA294" s="13"/>
      <c r="AB294" s="17"/>
      <c r="AC294" s="13"/>
      <c r="AD294" s="14"/>
      <c r="AE294" s="30"/>
    </row>
    <row r="295" spans="2:31" x14ac:dyDescent="0.25">
      <c r="B295" s="53">
        <f t="shared" si="4"/>
        <v>57</v>
      </c>
      <c r="C295" s="59" t="str">
        <f>IFERROR(VLOOKUP(C$13&amp;$B299,Aux!$B:$M,5,0),"")</f>
        <v/>
      </c>
      <c r="D295" s="60" t="str">
        <f>IFERROR(VLOOKUP(C$13&amp;$B295,Aux!$B:$M,3,0),"")</f>
        <v/>
      </c>
      <c r="E295" s="60"/>
      <c r="F295" s="60"/>
      <c r="G295" s="61" t="str">
        <f>IFERROR(VLOOKUP(C$13&amp;$B295,Aux!$B:$M,9,0),"")</f>
        <v/>
      </c>
      <c r="K295" s="59" t="str">
        <f>IFERROR(VLOOKUP(K$13&amp;$B299,Aux!$B:$M,5,0),"")</f>
        <v/>
      </c>
      <c r="L295" s="60" t="str">
        <f>IFERROR(VLOOKUP(K$13&amp;$B295,Aux!$B:$M,3,0),"")</f>
        <v/>
      </c>
      <c r="M295" s="60"/>
      <c r="N295" s="60"/>
      <c r="O295" s="61" t="str">
        <f>IFERROR(VLOOKUP(K$13&amp;$B295,Aux!$B:$M,9,0),"")</f>
        <v/>
      </c>
      <c r="S295" s="59" t="str">
        <f>IFERROR(VLOOKUP(S$13&amp;$B299,Aux!$B:$M,5,0),"")</f>
        <v/>
      </c>
      <c r="T295" s="60" t="str">
        <f>IFERROR(VLOOKUP(S$13&amp;$B295,Aux!$B:$M,3,0),"")</f>
        <v/>
      </c>
      <c r="U295" s="60"/>
      <c r="V295" s="60"/>
      <c r="W295" s="61" t="str">
        <f>IFERROR(VLOOKUP(S$13&amp;$B295,Aux!$B:$M,9,0),"")</f>
        <v/>
      </c>
      <c r="AA295" s="59" t="str">
        <f>IFERROR(VLOOKUP(AA$13&amp;$B299,Aux!$B:$M,5,0),"")</f>
        <v/>
      </c>
      <c r="AB295" s="60" t="str">
        <f>IFERROR(VLOOKUP(AA$13&amp;$B295,Aux!$B:$M,3,0),"")</f>
        <v/>
      </c>
      <c r="AC295" s="60"/>
      <c r="AD295" s="60"/>
      <c r="AE295" s="61" t="str">
        <f>IFERROR(VLOOKUP(AA$13&amp;$B295,Aux!$B:$M,9,0),"")</f>
        <v/>
      </c>
    </row>
    <row r="296" spans="2:31" x14ac:dyDescent="0.25">
      <c r="B296" s="53">
        <f t="shared" si="4"/>
        <v>57</v>
      </c>
      <c r="C296" s="59"/>
      <c r="D296" s="60"/>
      <c r="E296" s="60"/>
      <c r="F296" s="60"/>
      <c r="G296" s="61"/>
      <c r="K296" s="59"/>
      <c r="L296" s="60"/>
      <c r="M296" s="60"/>
      <c r="N296" s="60"/>
      <c r="O296" s="61"/>
      <c r="S296" s="59"/>
      <c r="T296" s="60"/>
      <c r="U296" s="60"/>
      <c r="V296" s="60"/>
      <c r="W296" s="61"/>
      <c r="AA296" s="59"/>
      <c r="AB296" s="60"/>
      <c r="AC296" s="60"/>
      <c r="AD296" s="60"/>
      <c r="AE296" s="61"/>
    </row>
    <row r="297" spans="2:31" x14ac:dyDescent="0.25">
      <c r="B297" s="53">
        <f t="shared" si="4"/>
        <v>57</v>
      </c>
      <c r="C297" s="59"/>
      <c r="D297" s="15" t="str">
        <f>IF(D295="","","Исполнитель"&amp;": ")</f>
        <v/>
      </c>
      <c r="E297" s="62" t="str">
        <f>IFERROR(VLOOKUP(C$13&amp;$B297,Aux!$B:$M,4,0),"")</f>
        <v/>
      </c>
      <c r="F297" s="62"/>
      <c r="G297" s="63" t="str">
        <f>IFERROR(IF(VLOOKUP(C$13&amp;$B295,Aux!$B:$M,8,0)="Да","✔","🕓"),"")</f>
        <v/>
      </c>
      <c r="K297" s="59"/>
      <c r="L297" s="15" t="str">
        <f>IF(L295="","","Исполнитель"&amp;": ")</f>
        <v/>
      </c>
      <c r="M297" s="62" t="str">
        <f>IFERROR(VLOOKUP(K$13&amp;$B297,Aux!$B:$M,4,0),"")</f>
        <v/>
      </c>
      <c r="N297" s="62"/>
      <c r="O297" s="63" t="str">
        <f>IFERROR(IF(VLOOKUP(K$13&amp;$B295,Aux!$B:$M,8,0)="Да","✔","🕓"),"")</f>
        <v/>
      </c>
      <c r="S297" s="59"/>
      <c r="T297" s="15" t="str">
        <f>IF(T295="","","Исполнитель"&amp;": ")</f>
        <v/>
      </c>
      <c r="U297" s="62" t="str">
        <f>IFERROR(VLOOKUP(S$13&amp;$B297,Aux!$B:$M,4,0),"")</f>
        <v/>
      </c>
      <c r="V297" s="62"/>
      <c r="W297" s="63" t="str">
        <f>IFERROR(IF(VLOOKUP(S$13&amp;$B295,Aux!$B:$M,8,0)="Да","✔","🕓"),"")</f>
        <v/>
      </c>
      <c r="AA297" s="59"/>
      <c r="AB297" s="15" t="str">
        <f>IF(AB295="","","Исполнитель"&amp;": ")</f>
        <v/>
      </c>
      <c r="AC297" s="62" t="str">
        <f>IFERROR(VLOOKUP(AA$13&amp;$B297,Aux!$B:$M,4,0),"")</f>
        <v/>
      </c>
      <c r="AD297" s="62"/>
      <c r="AE297" s="63" t="str">
        <f>IFERROR(IF(VLOOKUP(AA$13&amp;$B295,Aux!$B:$M,8,0)="Да","✔","🕓"),"")</f>
        <v/>
      </c>
    </row>
    <row r="298" spans="2:31" x14ac:dyDescent="0.25">
      <c r="B298" s="53">
        <f t="shared" si="4"/>
        <v>57</v>
      </c>
      <c r="C298" s="59"/>
      <c r="D298" s="16" t="str">
        <f>IF(D295="","","Срок сдачи"&amp;": ")</f>
        <v/>
      </c>
      <c r="E298" s="64" t="str">
        <f>IFERROR(VLOOKUP(C$13&amp;$B298,Aux!$B:$M,6,0),"")</f>
        <v/>
      </c>
      <c r="F298" s="64"/>
      <c r="G298" s="63"/>
      <c r="K298" s="59"/>
      <c r="L298" s="16" t="str">
        <f>IF(L295="","","Срок сдачи"&amp;": ")</f>
        <v/>
      </c>
      <c r="M298" s="64" t="str">
        <f>IFERROR(VLOOKUP(K$13&amp;$B298,Aux!$B:$M,6,0),"")</f>
        <v/>
      </c>
      <c r="N298" s="64"/>
      <c r="O298" s="63"/>
      <c r="S298" s="59"/>
      <c r="T298" s="16" t="str">
        <f>IF(T295="","","Срок сдачи"&amp;": ")</f>
        <v/>
      </c>
      <c r="U298" s="64" t="str">
        <f>IFERROR(VLOOKUP(S$13&amp;$B298,Aux!$B:$M,6,0),"")</f>
        <v/>
      </c>
      <c r="V298" s="64"/>
      <c r="W298" s="63"/>
      <c r="AA298" s="59"/>
      <c r="AB298" s="16" t="str">
        <f>IF(AB295="","","Срок сдачи"&amp;": ")</f>
        <v/>
      </c>
      <c r="AC298" s="64" t="str">
        <f>IFERROR(VLOOKUP(AA$13&amp;$B298,Aux!$B:$M,6,0),"")</f>
        <v/>
      </c>
      <c r="AD298" s="64"/>
      <c r="AE298" s="63"/>
    </row>
    <row r="299" spans="2:31" x14ac:dyDescent="0.25">
      <c r="B299" s="53">
        <f t="shared" si="4"/>
        <v>57</v>
      </c>
      <c r="C299" s="7"/>
      <c r="D299" s="17"/>
      <c r="E299" s="7"/>
      <c r="F299" s="18"/>
      <c r="G299" s="18"/>
      <c r="K299" s="13"/>
      <c r="L299" s="17"/>
      <c r="M299" s="13"/>
      <c r="N299" s="14"/>
      <c r="O299" s="14"/>
      <c r="S299" s="13"/>
      <c r="T299" s="17"/>
      <c r="U299" s="13"/>
      <c r="V299" s="14"/>
      <c r="W299" s="14"/>
      <c r="AA299" s="13"/>
      <c r="AB299" s="17"/>
      <c r="AC299" s="13"/>
      <c r="AD299" s="14"/>
      <c r="AE299" s="30"/>
    </row>
    <row r="300" spans="2:31" x14ac:dyDescent="0.25">
      <c r="B300" s="53">
        <f t="shared" si="4"/>
        <v>58</v>
      </c>
      <c r="C300" s="59" t="str">
        <f>IFERROR(VLOOKUP(C$13&amp;$B304,Aux!$B:$M,5,0),"")</f>
        <v/>
      </c>
      <c r="D300" s="60" t="str">
        <f>IFERROR(VLOOKUP(C$13&amp;$B300,Aux!$B:$M,3,0),"")</f>
        <v/>
      </c>
      <c r="E300" s="60"/>
      <c r="F300" s="60"/>
      <c r="G300" s="61" t="str">
        <f>IFERROR(VLOOKUP(C$13&amp;$B300,Aux!$B:$M,9,0),"")</f>
        <v/>
      </c>
      <c r="K300" s="59" t="str">
        <f>IFERROR(VLOOKUP(K$13&amp;$B304,Aux!$B:$M,5,0),"")</f>
        <v/>
      </c>
      <c r="L300" s="60" t="str">
        <f>IFERROR(VLOOKUP(K$13&amp;$B300,Aux!$B:$M,3,0),"")</f>
        <v/>
      </c>
      <c r="M300" s="60"/>
      <c r="N300" s="60"/>
      <c r="O300" s="61" t="str">
        <f>IFERROR(VLOOKUP(K$13&amp;$B300,Aux!$B:$M,9,0),"")</f>
        <v/>
      </c>
      <c r="S300" s="59" t="str">
        <f>IFERROR(VLOOKUP(S$13&amp;$B304,Aux!$B:$M,5,0),"")</f>
        <v/>
      </c>
      <c r="T300" s="60" t="str">
        <f>IFERROR(VLOOKUP(S$13&amp;$B300,Aux!$B:$M,3,0),"")</f>
        <v/>
      </c>
      <c r="U300" s="60"/>
      <c r="V300" s="60"/>
      <c r="W300" s="61" t="str">
        <f>IFERROR(VLOOKUP(S$13&amp;$B300,Aux!$B:$M,9,0),"")</f>
        <v/>
      </c>
      <c r="AA300" s="59" t="str">
        <f>IFERROR(VLOOKUP(AA$13&amp;$B304,Aux!$B:$M,5,0),"")</f>
        <v/>
      </c>
      <c r="AB300" s="60" t="str">
        <f>IFERROR(VLOOKUP(AA$13&amp;$B300,Aux!$B:$M,3,0),"")</f>
        <v/>
      </c>
      <c r="AC300" s="60"/>
      <c r="AD300" s="60"/>
      <c r="AE300" s="61" t="str">
        <f>IFERROR(VLOOKUP(AA$13&amp;$B300,Aux!$B:$M,9,0),"")</f>
        <v/>
      </c>
    </row>
    <row r="301" spans="2:31" x14ac:dyDescent="0.25">
      <c r="B301" s="53">
        <f t="shared" si="4"/>
        <v>58</v>
      </c>
      <c r="C301" s="59"/>
      <c r="D301" s="60"/>
      <c r="E301" s="60"/>
      <c r="F301" s="60"/>
      <c r="G301" s="61"/>
      <c r="K301" s="59"/>
      <c r="L301" s="60"/>
      <c r="M301" s="60"/>
      <c r="N301" s="60"/>
      <c r="O301" s="61"/>
      <c r="S301" s="59"/>
      <c r="T301" s="60"/>
      <c r="U301" s="60"/>
      <c r="V301" s="60"/>
      <c r="W301" s="61"/>
      <c r="AA301" s="59"/>
      <c r="AB301" s="60"/>
      <c r="AC301" s="60"/>
      <c r="AD301" s="60"/>
      <c r="AE301" s="61"/>
    </row>
    <row r="302" spans="2:31" x14ac:dyDescent="0.25">
      <c r="B302" s="53">
        <f t="shared" si="4"/>
        <v>58</v>
      </c>
      <c r="C302" s="59"/>
      <c r="D302" s="15" t="str">
        <f>IF(D300="","","Исполнитель"&amp;": ")</f>
        <v/>
      </c>
      <c r="E302" s="62" t="str">
        <f>IFERROR(VLOOKUP(C$13&amp;$B302,Aux!$B:$M,4,0),"")</f>
        <v/>
      </c>
      <c r="F302" s="62"/>
      <c r="G302" s="63" t="str">
        <f>IFERROR(IF(VLOOKUP(C$13&amp;$B300,Aux!$B:$M,8,0)="Да","✔","🕓"),"")</f>
        <v/>
      </c>
      <c r="K302" s="59"/>
      <c r="L302" s="15" t="str">
        <f>IF(L300="","","Исполнитель"&amp;": ")</f>
        <v/>
      </c>
      <c r="M302" s="62" t="str">
        <f>IFERROR(VLOOKUP(K$13&amp;$B302,Aux!$B:$M,4,0),"")</f>
        <v/>
      </c>
      <c r="N302" s="62"/>
      <c r="O302" s="63" t="str">
        <f>IFERROR(IF(VLOOKUP(K$13&amp;$B300,Aux!$B:$M,8,0)="Да","✔","🕓"),"")</f>
        <v/>
      </c>
      <c r="S302" s="59"/>
      <c r="T302" s="15" t="str">
        <f>IF(T300="","","Исполнитель"&amp;": ")</f>
        <v/>
      </c>
      <c r="U302" s="62" t="str">
        <f>IFERROR(VLOOKUP(S$13&amp;$B302,Aux!$B:$M,4,0),"")</f>
        <v/>
      </c>
      <c r="V302" s="62"/>
      <c r="W302" s="63" t="str">
        <f>IFERROR(IF(VLOOKUP(S$13&amp;$B300,Aux!$B:$M,8,0)="Да","✔","🕓"),"")</f>
        <v/>
      </c>
      <c r="AA302" s="59"/>
      <c r="AB302" s="15" t="str">
        <f>IF(AB300="","","Исполнитель"&amp;": ")</f>
        <v/>
      </c>
      <c r="AC302" s="62" t="str">
        <f>IFERROR(VLOOKUP(AA$13&amp;$B302,Aux!$B:$M,4,0),"")</f>
        <v/>
      </c>
      <c r="AD302" s="62"/>
      <c r="AE302" s="63" t="str">
        <f>IFERROR(IF(VLOOKUP(AA$13&amp;$B300,Aux!$B:$M,8,0)="Да","✔","🕓"),"")</f>
        <v/>
      </c>
    </row>
    <row r="303" spans="2:31" x14ac:dyDescent="0.25">
      <c r="B303" s="53">
        <f t="shared" si="4"/>
        <v>58</v>
      </c>
      <c r="C303" s="59"/>
      <c r="D303" s="16" t="str">
        <f>IF(D300="","","Срок сдачи"&amp;": ")</f>
        <v/>
      </c>
      <c r="E303" s="64" t="str">
        <f>IFERROR(VLOOKUP(C$13&amp;$B303,Aux!$B:$M,6,0),"")</f>
        <v/>
      </c>
      <c r="F303" s="64"/>
      <c r="G303" s="63"/>
      <c r="K303" s="59"/>
      <c r="L303" s="16" t="str">
        <f>IF(L300="","","Срок сдачи"&amp;": ")</f>
        <v/>
      </c>
      <c r="M303" s="64" t="str">
        <f>IFERROR(VLOOKUP(K$13&amp;$B303,Aux!$B:$M,6,0),"")</f>
        <v/>
      </c>
      <c r="N303" s="64"/>
      <c r="O303" s="63"/>
      <c r="S303" s="59"/>
      <c r="T303" s="16" t="str">
        <f>IF(T300="","","Срок сдачи"&amp;": ")</f>
        <v/>
      </c>
      <c r="U303" s="64" t="str">
        <f>IFERROR(VLOOKUP(S$13&amp;$B303,Aux!$B:$M,6,0),"")</f>
        <v/>
      </c>
      <c r="V303" s="64"/>
      <c r="W303" s="63"/>
      <c r="AA303" s="59"/>
      <c r="AB303" s="16" t="str">
        <f>IF(AB300="","","Срок сдачи"&amp;": ")</f>
        <v/>
      </c>
      <c r="AC303" s="64" t="str">
        <f>IFERROR(VLOOKUP(AA$13&amp;$B303,Aux!$B:$M,6,0),"")</f>
        <v/>
      </c>
      <c r="AD303" s="64"/>
      <c r="AE303" s="63"/>
    </row>
    <row r="304" spans="2:31" x14ac:dyDescent="0.25">
      <c r="B304" s="53">
        <f t="shared" si="4"/>
        <v>58</v>
      </c>
      <c r="C304" s="7"/>
      <c r="D304" s="17"/>
      <c r="E304" s="7"/>
      <c r="F304" s="18"/>
      <c r="G304" s="18"/>
      <c r="K304" s="13"/>
      <c r="L304" s="17"/>
      <c r="M304" s="13"/>
      <c r="N304" s="14"/>
      <c r="O304" s="14"/>
      <c r="S304" s="13"/>
      <c r="T304" s="17"/>
      <c r="U304" s="13"/>
      <c r="V304" s="14"/>
      <c r="W304" s="14"/>
      <c r="AA304" s="13"/>
      <c r="AB304" s="17"/>
      <c r="AC304" s="13"/>
      <c r="AD304" s="14"/>
      <c r="AE304" s="30"/>
    </row>
    <row r="305" spans="2:31" x14ac:dyDescent="0.25">
      <c r="B305" s="53">
        <f t="shared" si="4"/>
        <v>59</v>
      </c>
      <c r="C305" s="59" t="str">
        <f>IFERROR(VLOOKUP(C$13&amp;$B309,Aux!$B:$M,5,0),"")</f>
        <v/>
      </c>
      <c r="D305" s="60" t="str">
        <f>IFERROR(VLOOKUP(C$13&amp;$B305,Aux!$B:$M,3,0),"")</f>
        <v/>
      </c>
      <c r="E305" s="60"/>
      <c r="F305" s="60"/>
      <c r="G305" s="61" t="str">
        <f>IFERROR(VLOOKUP(C$13&amp;$B305,Aux!$B:$M,9,0),"")</f>
        <v/>
      </c>
      <c r="K305" s="59" t="str">
        <f>IFERROR(VLOOKUP(K$13&amp;$B309,Aux!$B:$M,5,0),"")</f>
        <v/>
      </c>
      <c r="L305" s="60" t="str">
        <f>IFERROR(VLOOKUP(K$13&amp;$B305,Aux!$B:$M,3,0),"")</f>
        <v/>
      </c>
      <c r="M305" s="60"/>
      <c r="N305" s="60"/>
      <c r="O305" s="61" t="str">
        <f>IFERROR(VLOOKUP(K$13&amp;$B305,Aux!$B:$M,9,0),"")</f>
        <v/>
      </c>
      <c r="S305" s="59" t="str">
        <f>IFERROR(VLOOKUP(S$13&amp;$B309,Aux!$B:$M,5,0),"")</f>
        <v/>
      </c>
      <c r="T305" s="60" t="str">
        <f>IFERROR(VLOOKUP(S$13&amp;$B305,Aux!$B:$M,3,0),"")</f>
        <v/>
      </c>
      <c r="U305" s="60"/>
      <c r="V305" s="60"/>
      <c r="W305" s="61" t="str">
        <f>IFERROR(VLOOKUP(S$13&amp;$B305,Aux!$B:$M,9,0),"")</f>
        <v/>
      </c>
      <c r="AA305" s="59" t="str">
        <f>IFERROR(VLOOKUP(AA$13&amp;$B309,Aux!$B:$M,5,0),"")</f>
        <v/>
      </c>
      <c r="AB305" s="60" t="str">
        <f>IFERROR(VLOOKUP(AA$13&amp;$B305,Aux!$B:$M,3,0),"")</f>
        <v/>
      </c>
      <c r="AC305" s="60"/>
      <c r="AD305" s="60"/>
      <c r="AE305" s="61" t="str">
        <f>IFERROR(VLOOKUP(AA$13&amp;$B305,Aux!$B:$M,9,0),"")</f>
        <v/>
      </c>
    </row>
    <row r="306" spans="2:31" x14ac:dyDescent="0.25">
      <c r="B306" s="53">
        <f t="shared" si="4"/>
        <v>59</v>
      </c>
      <c r="C306" s="59"/>
      <c r="D306" s="60"/>
      <c r="E306" s="60"/>
      <c r="F306" s="60"/>
      <c r="G306" s="61"/>
      <c r="K306" s="59"/>
      <c r="L306" s="60"/>
      <c r="M306" s="60"/>
      <c r="N306" s="60"/>
      <c r="O306" s="61"/>
      <c r="S306" s="59"/>
      <c r="T306" s="60"/>
      <c r="U306" s="60"/>
      <c r="V306" s="60"/>
      <c r="W306" s="61"/>
      <c r="AA306" s="59"/>
      <c r="AB306" s="60"/>
      <c r="AC306" s="60"/>
      <c r="AD306" s="60"/>
      <c r="AE306" s="61"/>
    </row>
    <row r="307" spans="2:31" x14ac:dyDescent="0.25">
      <c r="B307" s="53">
        <f t="shared" si="4"/>
        <v>59</v>
      </c>
      <c r="C307" s="59"/>
      <c r="D307" s="15" t="str">
        <f>IF(D305="","","Исполнитель"&amp;": ")</f>
        <v/>
      </c>
      <c r="E307" s="62" t="str">
        <f>IFERROR(VLOOKUP(C$13&amp;$B307,Aux!$B:$M,4,0),"")</f>
        <v/>
      </c>
      <c r="F307" s="62"/>
      <c r="G307" s="63" t="str">
        <f>IFERROR(IF(VLOOKUP(C$13&amp;$B305,Aux!$B:$M,8,0)="Да","✔","🕓"),"")</f>
        <v/>
      </c>
      <c r="K307" s="59"/>
      <c r="L307" s="15" t="str">
        <f>IF(L305="","","Исполнитель"&amp;": ")</f>
        <v/>
      </c>
      <c r="M307" s="62" t="str">
        <f>IFERROR(VLOOKUP(K$13&amp;$B307,Aux!$B:$M,4,0),"")</f>
        <v/>
      </c>
      <c r="N307" s="62"/>
      <c r="O307" s="63" t="str">
        <f>IFERROR(IF(VLOOKUP(K$13&amp;$B305,Aux!$B:$M,8,0)="Да","✔","🕓"),"")</f>
        <v/>
      </c>
      <c r="S307" s="59"/>
      <c r="T307" s="15" t="str">
        <f>IF(T305="","","Исполнитель"&amp;": ")</f>
        <v/>
      </c>
      <c r="U307" s="62" t="str">
        <f>IFERROR(VLOOKUP(S$13&amp;$B307,Aux!$B:$M,4,0),"")</f>
        <v/>
      </c>
      <c r="V307" s="62"/>
      <c r="W307" s="63" t="str">
        <f>IFERROR(IF(VLOOKUP(S$13&amp;$B305,Aux!$B:$M,8,0)="Да","✔","🕓"),"")</f>
        <v/>
      </c>
      <c r="AA307" s="59"/>
      <c r="AB307" s="15" t="str">
        <f>IF(AB305="","","Исполнитель"&amp;": ")</f>
        <v/>
      </c>
      <c r="AC307" s="62" t="str">
        <f>IFERROR(VLOOKUP(AA$13&amp;$B307,Aux!$B:$M,4,0),"")</f>
        <v/>
      </c>
      <c r="AD307" s="62"/>
      <c r="AE307" s="63" t="str">
        <f>IFERROR(IF(VLOOKUP(AA$13&amp;$B305,Aux!$B:$M,8,0)="Да","✔","🕓"),"")</f>
        <v/>
      </c>
    </row>
    <row r="308" spans="2:31" x14ac:dyDescent="0.25">
      <c r="B308" s="53">
        <f t="shared" si="4"/>
        <v>59</v>
      </c>
      <c r="C308" s="59"/>
      <c r="D308" s="16" t="str">
        <f>IF(D305="","","Срок сдачи"&amp;": ")</f>
        <v/>
      </c>
      <c r="E308" s="64" t="str">
        <f>IFERROR(VLOOKUP(C$13&amp;$B308,Aux!$B:$M,6,0),"")</f>
        <v/>
      </c>
      <c r="F308" s="64"/>
      <c r="G308" s="63"/>
      <c r="K308" s="59"/>
      <c r="L308" s="16" t="str">
        <f>IF(L305="","","Срок сдачи"&amp;": ")</f>
        <v/>
      </c>
      <c r="M308" s="64" t="str">
        <f>IFERROR(VLOOKUP(K$13&amp;$B308,Aux!$B:$M,6,0),"")</f>
        <v/>
      </c>
      <c r="N308" s="64"/>
      <c r="O308" s="63"/>
      <c r="S308" s="59"/>
      <c r="T308" s="16" t="str">
        <f>IF(T305="","","Срок сдачи"&amp;": ")</f>
        <v/>
      </c>
      <c r="U308" s="64" t="str">
        <f>IFERROR(VLOOKUP(S$13&amp;$B308,Aux!$B:$M,6,0),"")</f>
        <v/>
      </c>
      <c r="V308" s="64"/>
      <c r="W308" s="63"/>
      <c r="AA308" s="59"/>
      <c r="AB308" s="16" t="str">
        <f>IF(AB305="","","Срок сдачи"&amp;": ")</f>
        <v/>
      </c>
      <c r="AC308" s="64" t="str">
        <f>IFERROR(VLOOKUP(AA$13&amp;$B308,Aux!$B:$M,6,0),"")</f>
        <v/>
      </c>
      <c r="AD308" s="64"/>
      <c r="AE308" s="63"/>
    </row>
    <row r="309" spans="2:31" x14ac:dyDescent="0.25">
      <c r="B309" s="53">
        <f t="shared" si="4"/>
        <v>59</v>
      </c>
      <c r="C309" s="7"/>
      <c r="D309" s="17"/>
      <c r="E309" s="7"/>
      <c r="F309" s="18"/>
      <c r="G309" s="18"/>
      <c r="K309" s="13"/>
      <c r="L309" s="17"/>
      <c r="M309" s="13"/>
      <c r="N309" s="14"/>
      <c r="O309" s="14"/>
      <c r="S309" s="13"/>
      <c r="T309" s="17"/>
      <c r="U309" s="13"/>
      <c r="V309" s="14"/>
      <c r="W309" s="14"/>
      <c r="AA309" s="13"/>
      <c r="AB309" s="17"/>
      <c r="AC309" s="13"/>
      <c r="AD309" s="14"/>
      <c r="AE309" s="30"/>
    </row>
    <row r="310" spans="2:31" x14ac:dyDescent="0.25">
      <c r="B310" s="53">
        <f t="shared" si="4"/>
        <v>60</v>
      </c>
      <c r="C310" s="59" t="str">
        <f>IFERROR(VLOOKUP(C$13&amp;$B314,Aux!$B:$M,5,0),"")</f>
        <v/>
      </c>
      <c r="D310" s="60" t="str">
        <f>IFERROR(VLOOKUP(C$13&amp;$B310,Aux!$B:$M,3,0),"")</f>
        <v/>
      </c>
      <c r="E310" s="60"/>
      <c r="F310" s="60"/>
      <c r="G310" s="61" t="str">
        <f>IFERROR(VLOOKUP(C$13&amp;$B310,Aux!$B:$M,9,0),"")</f>
        <v/>
      </c>
      <c r="K310" s="59" t="str">
        <f>IFERROR(VLOOKUP(K$13&amp;$B314,Aux!$B:$M,5,0),"")</f>
        <v/>
      </c>
      <c r="L310" s="60" t="str">
        <f>IFERROR(VLOOKUP(K$13&amp;$B310,Aux!$B:$M,3,0),"")</f>
        <v/>
      </c>
      <c r="M310" s="60"/>
      <c r="N310" s="60"/>
      <c r="O310" s="61" t="str">
        <f>IFERROR(VLOOKUP(K$13&amp;$B310,Aux!$B:$M,9,0),"")</f>
        <v/>
      </c>
      <c r="S310" s="59" t="str">
        <f>IFERROR(VLOOKUP(S$13&amp;$B314,Aux!$B:$M,5,0),"")</f>
        <v/>
      </c>
      <c r="T310" s="60" t="str">
        <f>IFERROR(VLOOKUP(S$13&amp;$B310,Aux!$B:$M,3,0),"")</f>
        <v/>
      </c>
      <c r="U310" s="60"/>
      <c r="V310" s="60"/>
      <c r="W310" s="61" t="str">
        <f>IFERROR(VLOOKUP(S$13&amp;$B310,Aux!$B:$M,9,0),"")</f>
        <v/>
      </c>
      <c r="AA310" s="59" t="str">
        <f>IFERROR(VLOOKUP(AA$13&amp;$B314,Aux!$B:$M,5,0),"")</f>
        <v/>
      </c>
      <c r="AB310" s="60" t="str">
        <f>IFERROR(VLOOKUP(AA$13&amp;$B310,Aux!$B:$M,3,0),"")</f>
        <v/>
      </c>
      <c r="AC310" s="60"/>
      <c r="AD310" s="60"/>
      <c r="AE310" s="61" t="str">
        <f>IFERROR(VLOOKUP(AA$13&amp;$B310,Aux!$B:$M,9,0),"")</f>
        <v/>
      </c>
    </row>
    <row r="311" spans="2:31" x14ac:dyDescent="0.25">
      <c r="B311" s="53">
        <f t="shared" si="4"/>
        <v>60</v>
      </c>
      <c r="C311" s="59"/>
      <c r="D311" s="60"/>
      <c r="E311" s="60"/>
      <c r="F311" s="60"/>
      <c r="G311" s="61"/>
      <c r="K311" s="59"/>
      <c r="L311" s="60"/>
      <c r="M311" s="60"/>
      <c r="N311" s="60"/>
      <c r="O311" s="61"/>
      <c r="S311" s="59"/>
      <c r="T311" s="60"/>
      <c r="U311" s="60"/>
      <c r="V311" s="60"/>
      <c r="W311" s="61"/>
      <c r="AA311" s="59"/>
      <c r="AB311" s="60"/>
      <c r="AC311" s="60"/>
      <c r="AD311" s="60"/>
      <c r="AE311" s="61"/>
    </row>
    <row r="312" spans="2:31" x14ac:dyDescent="0.25">
      <c r="B312" s="53">
        <f t="shared" si="4"/>
        <v>60</v>
      </c>
      <c r="C312" s="59"/>
      <c r="D312" s="15" t="str">
        <f>IF(D310="","","Исполнитель"&amp;": ")</f>
        <v/>
      </c>
      <c r="E312" s="62" t="str">
        <f>IFERROR(VLOOKUP(C$13&amp;$B312,Aux!$B:$M,4,0),"")</f>
        <v/>
      </c>
      <c r="F312" s="62"/>
      <c r="G312" s="63" t="str">
        <f>IFERROR(IF(VLOOKUP(C$13&amp;$B310,Aux!$B:$M,8,0)="Да","✔","🕓"),"")</f>
        <v/>
      </c>
      <c r="K312" s="59"/>
      <c r="L312" s="15" t="str">
        <f>IF(L310="","","Исполнитель"&amp;": ")</f>
        <v/>
      </c>
      <c r="M312" s="62" t="str">
        <f>IFERROR(VLOOKUP(K$13&amp;$B312,Aux!$B:$M,4,0),"")</f>
        <v/>
      </c>
      <c r="N312" s="62"/>
      <c r="O312" s="63" t="str">
        <f>IFERROR(IF(VLOOKUP(K$13&amp;$B310,Aux!$B:$M,8,0)="Да","✔","🕓"),"")</f>
        <v/>
      </c>
      <c r="S312" s="59"/>
      <c r="T312" s="15" t="str">
        <f>IF(T310="","","Исполнитель"&amp;": ")</f>
        <v/>
      </c>
      <c r="U312" s="62" t="str">
        <f>IFERROR(VLOOKUP(S$13&amp;$B312,Aux!$B:$M,4,0),"")</f>
        <v/>
      </c>
      <c r="V312" s="62"/>
      <c r="W312" s="63" t="str">
        <f>IFERROR(IF(VLOOKUP(S$13&amp;$B310,Aux!$B:$M,8,0)="Да","✔","🕓"),"")</f>
        <v/>
      </c>
      <c r="AA312" s="59"/>
      <c r="AB312" s="15" t="str">
        <f>IF(AB310="","","Исполнитель"&amp;": ")</f>
        <v/>
      </c>
      <c r="AC312" s="62" t="str">
        <f>IFERROR(VLOOKUP(AA$13&amp;$B312,Aux!$B:$M,4,0),"")</f>
        <v/>
      </c>
      <c r="AD312" s="62"/>
      <c r="AE312" s="63" t="str">
        <f>IFERROR(IF(VLOOKUP(AA$13&amp;$B310,Aux!$B:$M,8,0)="Да","✔","🕓"),"")</f>
        <v/>
      </c>
    </row>
    <row r="313" spans="2:31" x14ac:dyDescent="0.25">
      <c r="B313" s="53">
        <f t="shared" si="4"/>
        <v>60</v>
      </c>
      <c r="C313" s="59"/>
      <c r="D313" s="16" t="str">
        <f>IF(D310="","","Срок сдачи"&amp;": ")</f>
        <v/>
      </c>
      <c r="E313" s="64" t="str">
        <f>IFERROR(VLOOKUP(C$13&amp;$B313,Aux!$B:$M,6,0),"")</f>
        <v/>
      </c>
      <c r="F313" s="64"/>
      <c r="G313" s="63"/>
      <c r="K313" s="59"/>
      <c r="L313" s="16" t="str">
        <f>IF(L310="","","Срок сдачи"&amp;": ")</f>
        <v/>
      </c>
      <c r="M313" s="64" t="str">
        <f>IFERROR(VLOOKUP(K$13&amp;$B313,Aux!$B:$M,6,0),"")</f>
        <v/>
      </c>
      <c r="N313" s="64"/>
      <c r="O313" s="63"/>
      <c r="S313" s="59"/>
      <c r="T313" s="16" t="str">
        <f>IF(T310="","","Срок сдачи"&amp;": ")</f>
        <v/>
      </c>
      <c r="U313" s="64" t="str">
        <f>IFERROR(VLOOKUP(S$13&amp;$B313,Aux!$B:$M,6,0),"")</f>
        <v/>
      </c>
      <c r="V313" s="64"/>
      <c r="W313" s="63"/>
      <c r="AA313" s="59"/>
      <c r="AB313" s="16" t="str">
        <f>IF(AB310="","","Срок сдачи"&amp;": ")</f>
        <v/>
      </c>
      <c r="AC313" s="64" t="str">
        <f>IFERROR(VLOOKUP(AA$13&amp;$B313,Aux!$B:$M,6,0),"")</f>
        <v/>
      </c>
      <c r="AD313" s="64"/>
      <c r="AE313" s="63"/>
    </row>
    <row r="314" spans="2:31" x14ac:dyDescent="0.25">
      <c r="B314" s="53">
        <f t="shared" si="4"/>
        <v>60</v>
      </c>
      <c r="C314" s="7"/>
      <c r="D314" s="17"/>
      <c r="E314" s="7"/>
      <c r="F314" s="18"/>
      <c r="G314" s="18"/>
      <c r="K314" s="13"/>
      <c r="L314" s="17"/>
      <c r="M314" s="13"/>
      <c r="N314" s="14"/>
      <c r="O314" s="14"/>
      <c r="S314" s="13"/>
      <c r="T314" s="17"/>
      <c r="U314" s="13"/>
      <c r="V314" s="14"/>
      <c r="W314" s="14"/>
      <c r="AA314" s="13"/>
      <c r="AB314" s="17"/>
      <c r="AC314" s="13"/>
      <c r="AD314" s="14"/>
      <c r="AE314" s="30"/>
    </row>
    <row r="315" spans="2:31" x14ac:dyDescent="0.25">
      <c r="B315" s="53">
        <f t="shared" si="4"/>
        <v>61</v>
      </c>
      <c r="C315" s="59" t="str">
        <f>IFERROR(VLOOKUP(C$13&amp;$B319,Aux!$B:$M,5,0),"")</f>
        <v/>
      </c>
      <c r="D315" s="60" t="str">
        <f>IFERROR(VLOOKUP(C$13&amp;$B315,Aux!$B:$M,3,0),"")</f>
        <v/>
      </c>
      <c r="E315" s="60"/>
      <c r="F315" s="60"/>
      <c r="G315" s="61" t="str">
        <f>IFERROR(VLOOKUP(C$13&amp;$B315,Aux!$B:$M,9,0),"")</f>
        <v/>
      </c>
      <c r="K315" s="59" t="str">
        <f>IFERROR(VLOOKUP(K$13&amp;$B319,Aux!$B:$M,5,0),"")</f>
        <v/>
      </c>
      <c r="L315" s="60" t="str">
        <f>IFERROR(VLOOKUP(K$13&amp;$B315,Aux!$B:$M,3,0),"")</f>
        <v/>
      </c>
      <c r="M315" s="60"/>
      <c r="N315" s="60"/>
      <c r="O315" s="61" t="str">
        <f>IFERROR(VLOOKUP(K$13&amp;$B315,Aux!$B:$M,9,0),"")</f>
        <v/>
      </c>
      <c r="S315" s="59" t="str">
        <f>IFERROR(VLOOKUP(S$13&amp;$B319,Aux!$B:$M,5,0),"")</f>
        <v/>
      </c>
      <c r="T315" s="60" t="str">
        <f>IFERROR(VLOOKUP(S$13&amp;$B315,Aux!$B:$M,3,0),"")</f>
        <v/>
      </c>
      <c r="U315" s="60"/>
      <c r="V315" s="60"/>
      <c r="W315" s="61" t="str">
        <f>IFERROR(VLOOKUP(S$13&amp;$B315,Aux!$B:$M,9,0),"")</f>
        <v/>
      </c>
      <c r="AA315" s="59" t="str">
        <f>IFERROR(VLOOKUP(AA$13&amp;$B319,Aux!$B:$M,5,0),"")</f>
        <v/>
      </c>
      <c r="AB315" s="60" t="str">
        <f>IFERROR(VLOOKUP(AA$13&amp;$B315,Aux!$B:$M,3,0),"")</f>
        <v/>
      </c>
      <c r="AC315" s="60"/>
      <c r="AD315" s="60"/>
      <c r="AE315" s="61" t="str">
        <f>IFERROR(VLOOKUP(AA$13&amp;$B315,Aux!$B:$M,9,0),"")</f>
        <v/>
      </c>
    </row>
    <row r="316" spans="2:31" x14ac:dyDescent="0.25">
      <c r="B316" s="53">
        <f t="shared" si="4"/>
        <v>61</v>
      </c>
      <c r="C316" s="59"/>
      <c r="D316" s="60"/>
      <c r="E316" s="60"/>
      <c r="F316" s="60"/>
      <c r="G316" s="61"/>
      <c r="K316" s="59"/>
      <c r="L316" s="60"/>
      <c r="M316" s="60"/>
      <c r="N316" s="60"/>
      <c r="O316" s="61"/>
      <c r="S316" s="59"/>
      <c r="T316" s="60"/>
      <c r="U316" s="60"/>
      <c r="V316" s="60"/>
      <c r="W316" s="61"/>
      <c r="AA316" s="59"/>
      <c r="AB316" s="60"/>
      <c r="AC316" s="60"/>
      <c r="AD316" s="60"/>
      <c r="AE316" s="61"/>
    </row>
    <row r="317" spans="2:31" x14ac:dyDescent="0.25">
      <c r="B317" s="53">
        <f t="shared" si="4"/>
        <v>61</v>
      </c>
      <c r="C317" s="59"/>
      <c r="D317" s="15" t="str">
        <f>IF(D315="","","Исполнитель"&amp;": ")</f>
        <v/>
      </c>
      <c r="E317" s="62" t="str">
        <f>IFERROR(VLOOKUP(C$13&amp;$B317,Aux!$B:$M,4,0),"")</f>
        <v/>
      </c>
      <c r="F317" s="62"/>
      <c r="G317" s="63" t="str">
        <f>IFERROR(IF(VLOOKUP(C$13&amp;$B315,Aux!$B:$M,8,0)="Да","✔","🕓"),"")</f>
        <v/>
      </c>
      <c r="K317" s="59"/>
      <c r="L317" s="15" t="str">
        <f>IF(L315="","","Исполнитель"&amp;": ")</f>
        <v/>
      </c>
      <c r="M317" s="62" t="str">
        <f>IFERROR(VLOOKUP(K$13&amp;$B317,Aux!$B:$M,4,0),"")</f>
        <v/>
      </c>
      <c r="N317" s="62"/>
      <c r="O317" s="63" t="str">
        <f>IFERROR(IF(VLOOKUP(K$13&amp;$B315,Aux!$B:$M,8,0)="Да","✔","🕓"),"")</f>
        <v/>
      </c>
      <c r="S317" s="59"/>
      <c r="T317" s="15" t="str">
        <f>IF(T315="","","Исполнитель"&amp;": ")</f>
        <v/>
      </c>
      <c r="U317" s="62" t="str">
        <f>IFERROR(VLOOKUP(S$13&amp;$B317,Aux!$B:$M,4,0),"")</f>
        <v/>
      </c>
      <c r="V317" s="62"/>
      <c r="W317" s="63" t="str">
        <f>IFERROR(IF(VLOOKUP(S$13&amp;$B315,Aux!$B:$M,8,0)="Да","✔","🕓"),"")</f>
        <v/>
      </c>
      <c r="AA317" s="59"/>
      <c r="AB317" s="15" t="str">
        <f>IF(AB315="","","Исполнитель"&amp;": ")</f>
        <v/>
      </c>
      <c r="AC317" s="62" t="str">
        <f>IFERROR(VLOOKUP(AA$13&amp;$B317,Aux!$B:$M,4,0),"")</f>
        <v/>
      </c>
      <c r="AD317" s="62"/>
      <c r="AE317" s="63" t="str">
        <f>IFERROR(IF(VLOOKUP(AA$13&amp;$B315,Aux!$B:$M,8,0)="Да","✔","🕓"),"")</f>
        <v/>
      </c>
    </row>
    <row r="318" spans="2:31" x14ac:dyDescent="0.25">
      <c r="B318" s="53">
        <f t="shared" si="4"/>
        <v>61</v>
      </c>
      <c r="C318" s="59"/>
      <c r="D318" s="16" t="str">
        <f>IF(D315="","","Срок сдачи"&amp;": ")</f>
        <v/>
      </c>
      <c r="E318" s="64" t="str">
        <f>IFERROR(VLOOKUP(C$13&amp;$B318,Aux!$B:$M,6,0),"")</f>
        <v/>
      </c>
      <c r="F318" s="64"/>
      <c r="G318" s="63"/>
      <c r="K318" s="59"/>
      <c r="L318" s="16" t="str">
        <f>IF(L315="","","Срок сдачи"&amp;": ")</f>
        <v/>
      </c>
      <c r="M318" s="64" t="str">
        <f>IFERROR(VLOOKUP(K$13&amp;$B318,Aux!$B:$M,6,0),"")</f>
        <v/>
      </c>
      <c r="N318" s="64"/>
      <c r="O318" s="63"/>
      <c r="S318" s="59"/>
      <c r="T318" s="16" t="str">
        <f>IF(T315="","","Срок сдачи"&amp;": ")</f>
        <v/>
      </c>
      <c r="U318" s="64" t="str">
        <f>IFERROR(VLOOKUP(S$13&amp;$B318,Aux!$B:$M,6,0),"")</f>
        <v/>
      </c>
      <c r="V318" s="64"/>
      <c r="W318" s="63"/>
      <c r="AA318" s="59"/>
      <c r="AB318" s="16" t="str">
        <f>IF(AB315="","","Срок сдачи"&amp;": ")</f>
        <v/>
      </c>
      <c r="AC318" s="64" t="str">
        <f>IFERROR(VLOOKUP(AA$13&amp;$B318,Aux!$B:$M,6,0),"")</f>
        <v/>
      </c>
      <c r="AD318" s="64"/>
      <c r="AE318" s="63"/>
    </row>
    <row r="319" spans="2:31" x14ac:dyDescent="0.25">
      <c r="B319" s="53">
        <f t="shared" si="4"/>
        <v>61</v>
      </c>
      <c r="C319" s="7"/>
      <c r="D319" s="17"/>
      <c r="E319" s="7"/>
      <c r="F319" s="18"/>
      <c r="G319" s="18"/>
      <c r="K319" s="13"/>
      <c r="L319" s="17"/>
      <c r="M319" s="13"/>
      <c r="N319" s="14"/>
      <c r="O319" s="14"/>
      <c r="S319" s="13"/>
      <c r="T319" s="17"/>
      <c r="U319" s="13"/>
      <c r="V319" s="14"/>
      <c r="W319" s="14"/>
      <c r="AA319" s="13"/>
      <c r="AB319" s="17"/>
      <c r="AC319" s="13"/>
      <c r="AD319" s="14"/>
      <c r="AE319" s="30"/>
    </row>
    <row r="320" spans="2:31" x14ac:dyDescent="0.25">
      <c r="B320" s="53">
        <f t="shared" si="4"/>
        <v>62</v>
      </c>
      <c r="C320" s="59" t="str">
        <f>IFERROR(VLOOKUP(C$13&amp;$B324,Aux!$B:$M,5,0),"")</f>
        <v/>
      </c>
      <c r="D320" s="60" t="str">
        <f>IFERROR(VLOOKUP(C$13&amp;$B320,Aux!$B:$M,3,0),"")</f>
        <v/>
      </c>
      <c r="E320" s="60"/>
      <c r="F320" s="60"/>
      <c r="G320" s="61" t="str">
        <f>IFERROR(VLOOKUP(C$13&amp;$B320,Aux!$B:$M,9,0),"")</f>
        <v/>
      </c>
      <c r="K320" s="59" t="str">
        <f>IFERROR(VLOOKUP(K$13&amp;$B324,Aux!$B:$M,5,0),"")</f>
        <v/>
      </c>
      <c r="L320" s="60" t="str">
        <f>IFERROR(VLOOKUP(K$13&amp;$B320,Aux!$B:$M,3,0),"")</f>
        <v/>
      </c>
      <c r="M320" s="60"/>
      <c r="N320" s="60"/>
      <c r="O320" s="61" t="str">
        <f>IFERROR(VLOOKUP(K$13&amp;$B320,Aux!$B:$M,9,0),"")</f>
        <v/>
      </c>
      <c r="S320" s="59" t="str">
        <f>IFERROR(VLOOKUP(S$13&amp;$B324,Aux!$B:$M,5,0),"")</f>
        <v/>
      </c>
      <c r="T320" s="60" t="str">
        <f>IFERROR(VLOOKUP(S$13&amp;$B320,Aux!$B:$M,3,0),"")</f>
        <v/>
      </c>
      <c r="U320" s="60"/>
      <c r="V320" s="60"/>
      <c r="W320" s="61" t="str">
        <f>IFERROR(VLOOKUP(S$13&amp;$B320,Aux!$B:$M,9,0),"")</f>
        <v/>
      </c>
      <c r="AA320" s="59" t="str">
        <f>IFERROR(VLOOKUP(AA$13&amp;$B324,Aux!$B:$M,5,0),"")</f>
        <v/>
      </c>
      <c r="AB320" s="60" t="str">
        <f>IFERROR(VLOOKUP(AA$13&amp;$B320,Aux!$B:$M,3,0),"")</f>
        <v/>
      </c>
      <c r="AC320" s="60"/>
      <c r="AD320" s="60"/>
      <c r="AE320" s="61" t="str">
        <f>IFERROR(VLOOKUP(AA$13&amp;$B320,Aux!$B:$M,9,0),"")</f>
        <v/>
      </c>
    </row>
    <row r="321" spans="2:31" x14ac:dyDescent="0.25">
      <c r="B321" s="53">
        <f t="shared" si="4"/>
        <v>62</v>
      </c>
      <c r="C321" s="59"/>
      <c r="D321" s="60"/>
      <c r="E321" s="60"/>
      <c r="F321" s="60"/>
      <c r="G321" s="61"/>
      <c r="K321" s="59"/>
      <c r="L321" s="60"/>
      <c r="M321" s="60"/>
      <c r="N321" s="60"/>
      <c r="O321" s="61"/>
      <c r="S321" s="59"/>
      <c r="T321" s="60"/>
      <c r="U321" s="60"/>
      <c r="V321" s="60"/>
      <c r="W321" s="61"/>
      <c r="AA321" s="59"/>
      <c r="AB321" s="60"/>
      <c r="AC321" s="60"/>
      <c r="AD321" s="60"/>
      <c r="AE321" s="61"/>
    </row>
    <row r="322" spans="2:31" x14ac:dyDescent="0.25">
      <c r="B322" s="53">
        <f t="shared" si="4"/>
        <v>62</v>
      </c>
      <c r="C322" s="59"/>
      <c r="D322" s="15" t="str">
        <f>IF(D320="","","Исполнитель"&amp;": ")</f>
        <v/>
      </c>
      <c r="E322" s="62" t="str">
        <f>IFERROR(VLOOKUP(C$13&amp;$B322,Aux!$B:$M,4,0),"")</f>
        <v/>
      </c>
      <c r="F322" s="62"/>
      <c r="G322" s="63" t="str">
        <f>IFERROR(IF(VLOOKUP(C$13&amp;$B320,Aux!$B:$M,8,0)="Да","✔","🕓"),"")</f>
        <v/>
      </c>
      <c r="K322" s="59"/>
      <c r="L322" s="15" t="str">
        <f>IF(L320="","","Исполнитель"&amp;": ")</f>
        <v/>
      </c>
      <c r="M322" s="62" t="str">
        <f>IFERROR(VLOOKUP(K$13&amp;$B322,Aux!$B:$M,4,0),"")</f>
        <v/>
      </c>
      <c r="N322" s="62"/>
      <c r="O322" s="63" t="str">
        <f>IFERROR(IF(VLOOKUP(K$13&amp;$B320,Aux!$B:$M,8,0)="Да","✔","🕓"),"")</f>
        <v/>
      </c>
      <c r="S322" s="59"/>
      <c r="T322" s="15" t="str">
        <f>IF(T320="","","Исполнитель"&amp;": ")</f>
        <v/>
      </c>
      <c r="U322" s="62" t="str">
        <f>IFERROR(VLOOKUP(S$13&amp;$B322,Aux!$B:$M,4,0),"")</f>
        <v/>
      </c>
      <c r="V322" s="62"/>
      <c r="W322" s="63" t="str">
        <f>IFERROR(IF(VLOOKUP(S$13&amp;$B320,Aux!$B:$M,8,0)="Да","✔","🕓"),"")</f>
        <v/>
      </c>
      <c r="AA322" s="59"/>
      <c r="AB322" s="15" t="str">
        <f>IF(AB320="","","Исполнитель"&amp;": ")</f>
        <v/>
      </c>
      <c r="AC322" s="62" t="str">
        <f>IFERROR(VLOOKUP(AA$13&amp;$B322,Aux!$B:$M,4,0),"")</f>
        <v/>
      </c>
      <c r="AD322" s="62"/>
      <c r="AE322" s="63" t="str">
        <f>IFERROR(IF(VLOOKUP(AA$13&amp;$B320,Aux!$B:$M,8,0)="Да","✔","🕓"),"")</f>
        <v/>
      </c>
    </row>
    <row r="323" spans="2:31" x14ac:dyDescent="0.25">
      <c r="B323" s="53">
        <f t="shared" si="4"/>
        <v>62</v>
      </c>
      <c r="C323" s="59"/>
      <c r="D323" s="16" t="str">
        <f>IF(D320="","","Срок сдачи"&amp;": ")</f>
        <v/>
      </c>
      <c r="E323" s="64" t="str">
        <f>IFERROR(VLOOKUP(C$13&amp;$B323,Aux!$B:$M,6,0),"")</f>
        <v/>
      </c>
      <c r="F323" s="64"/>
      <c r="G323" s="63"/>
      <c r="K323" s="59"/>
      <c r="L323" s="16" t="str">
        <f>IF(L320="","","Срок сдачи"&amp;": ")</f>
        <v/>
      </c>
      <c r="M323" s="64" t="str">
        <f>IFERROR(VLOOKUP(K$13&amp;$B323,Aux!$B:$M,6,0),"")</f>
        <v/>
      </c>
      <c r="N323" s="64"/>
      <c r="O323" s="63"/>
      <c r="S323" s="59"/>
      <c r="T323" s="16" t="str">
        <f>IF(T320="","","Срок сдачи"&amp;": ")</f>
        <v/>
      </c>
      <c r="U323" s="64" t="str">
        <f>IFERROR(VLOOKUP(S$13&amp;$B323,Aux!$B:$M,6,0),"")</f>
        <v/>
      </c>
      <c r="V323" s="64"/>
      <c r="W323" s="63"/>
      <c r="AA323" s="59"/>
      <c r="AB323" s="16" t="str">
        <f>IF(AB320="","","Срок сдачи"&amp;": ")</f>
        <v/>
      </c>
      <c r="AC323" s="64" t="str">
        <f>IFERROR(VLOOKUP(AA$13&amp;$B323,Aux!$B:$M,6,0),"")</f>
        <v/>
      </c>
      <c r="AD323" s="64"/>
      <c r="AE323" s="63"/>
    </row>
    <row r="324" spans="2:31" x14ac:dyDescent="0.25">
      <c r="B324" s="53">
        <f t="shared" si="4"/>
        <v>62</v>
      </c>
      <c r="C324" s="7"/>
      <c r="D324" s="17"/>
      <c r="E324" s="7"/>
      <c r="F324" s="18"/>
      <c r="G324" s="18"/>
      <c r="K324" s="13"/>
      <c r="L324" s="17"/>
      <c r="M324" s="13"/>
      <c r="N324" s="14"/>
      <c r="O324" s="14"/>
      <c r="S324" s="13"/>
      <c r="T324" s="17"/>
      <c r="U324" s="13"/>
      <c r="V324" s="14"/>
      <c r="W324" s="14"/>
      <c r="AA324" s="13"/>
      <c r="AB324" s="17"/>
      <c r="AC324" s="13"/>
      <c r="AD324" s="14"/>
      <c r="AE324" s="30"/>
    </row>
    <row r="325" spans="2:31" x14ac:dyDescent="0.25">
      <c r="B325" s="53">
        <f t="shared" si="4"/>
        <v>63</v>
      </c>
      <c r="C325" s="59" t="str">
        <f>IFERROR(VLOOKUP(C$13&amp;$B329,Aux!$B:$M,5,0),"")</f>
        <v/>
      </c>
      <c r="D325" s="60" t="str">
        <f>IFERROR(VLOOKUP(C$13&amp;$B325,Aux!$B:$M,3,0),"")</f>
        <v/>
      </c>
      <c r="E325" s="60"/>
      <c r="F325" s="60"/>
      <c r="G325" s="61" t="str">
        <f>IFERROR(VLOOKUP(C$13&amp;$B325,Aux!$B:$M,9,0),"")</f>
        <v/>
      </c>
      <c r="K325" s="59" t="str">
        <f>IFERROR(VLOOKUP(K$13&amp;$B329,Aux!$B:$M,5,0),"")</f>
        <v/>
      </c>
      <c r="L325" s="60" t="str">
        <f>IFERROR(VLOOKUP(K$13&amp;$B325,Aux!$B:$M,3,0),"")</f>
        <v/>
      </c>
      <c r="M325" s="60"/>
      <c r="N325" s="60"/>
      <c r="O325" s="61" t="str">
        <f>IFERROR(VLOOKUP(K$13&amp;$B325,Aux!$B:$M,9,0),"")</f>
        <v/>
      </c>
      <c r="S325" s="59" t="str">
        <f>IFERROR(VLOOKUP(S$13&amp;$B329,Aux!$B:$M,5,0),"")</f>
        <v/>
      </c>
      <c r="T325" s="60" t="str">
        <f>IFERROR(VLOOKUP(S$13&amp;$B325,Aux!$B:$M,3,0),"")</f>
        <v/>
      </c>
      <c r="U325" s="60"/>
      <c r="V325" s="60"/>
      <c r="W325" s="61" t="str">
        <f>IFERROR(VLOOKUP(S$13&amp;$B325,Aux!$B:$M,9,0),"")</f>
        <v/>
      </c>
      <c r="AA325" s="59" t="str">
        <f>IFERROR(VLOOKUP(AA$13&amp;$B329,Aux!$B:$M,5,0),"")</f>
        <v/>
      </c>
      <c r="AB325" s="60" t="str">
        <f>IFERROR(VLOOKUP(AA$13&amp;$B325,Aux!$B:$M,3,0),"")</f>
        <v/>
      </c>
      <c r="AC325" s="60"/>
      <c r="AD325" s="60"/>
      <c r="AE325" s="61" t="str">
        <f>IFERROR(VLOOKUP(AA$13&amp;$B325,Aux!$B:$M,9,0),"")</f>
        <v/>
      </c>
    </row>
    <row r="326" spans="2:31" x14ac:dyDescent="0.25">
      <c r="B326" s="53">
        <f t="shared" si="4"/>
        <v>63</v>
      </c>
      <c r="C326" s="59"/>
      <c r="D326" s="60"/>
      <c r="E326" s="60"/>
      <c r="F326" s="60"/>
      <c r="G326" s="61"/>
      <c r="K326" s="59"/>
      <c r="L326" s="60"/>
      <c r="M326" s="60"/>
      <c r="N326" s="60"/>
      <c r="O326" s="61"/>
      <c r="S326" s="59"/>
      <c r="T326" s="60"/>
      <c r="U326" s="60"/>
      <c r="V326" s="60"/>
      <c r="W326" s="61"/>
      <c r="AA326" s="59"/>
      <c r="AB326" s="60"/>
      <c r="AC326" s="60"/>
      <c r="AD326" s="60"/>
      <c r="AE326" s="61"/>
    </row>
    <row r="327" spans="2:31" x14ac:dyDescent="0.25">
      <c r="B327" s="53">
        <f t="shared" si="4"/>
        <v>63</v>
      </c>
      <c r="C327" s="59"/>
      <c r="D327" s="15" t="str">
        <f>IF(D325="","","Исполнитель"&amp;": ")</f>
        <v/>
      </c>
      <c r="E327" s="62" t="str">
        <f>IFERROR(VLOOKUP(C$13&amp;$B327,Aux!$B:$M,4,0),"")</f>
        <v/>
      </c>
      <c r="F327" s="62"/>
      <c r="G327" s="63" t="str">
        <f>IFERROR(IF(VLOOKUP(C$13&amp;$B325,Aux!$B:$M,8,0)="Да","✔","🕓"),"")</f>
        <v/>
      </c>
      <c r="K327" s="59"/>
      <c r="L327" s="15" t="str">
        <f>IF(L325="","","Исполнитель"&amp;": ")</f>
        <v/>
      </c>
      <c r="M327" s="62" t="str">
        <f>IFERROR(VLOOKUP(K$13&amp;$B327,Aux!$B:$M,4,0),"")</f>
        <v/>
      </c>
      <c r="N327" s="62"/>
      <c r="O327" s="63" t="str">
        <f>IFERROR(IF(VLOOKUP(K$13&amp;$B325,Aux!$B:$M,8,0)="Да","✔","🕓"),"")</f>
        <v/>
      </c>
      <c r="S327" s="59"/>
      <c r="T327" s="15" t="str">
        <f>IF(T325="","","Исполнитель"&amp;": ")</f>
        <v/>
      </c>
      <c r="U327" s="62" t="str">
        <f>IFERROR(VLOOKUP(S$13&amp;$B327,Aux!$B:$M,4,0),"")</f>
        <v/>
      </c>
      <c r="V327" s="62"/>
      <c r="W327" s="63" t="str">
        <f>IFERROR(IF(VLOOKUP(S$13&amp;$B325,Aux!$B:$M,8,0)="Да","✔","🕓"),"")</f>
        <v/>
      </c>
      <c r="AA327" s="59"/>
      <c r="AB327" s="15" t="str">
        <f>IF(AB325="","","Исполнитель"&amp;": ")</f>
        <v/>
      </c>
      <c r="AC327" s="62" t="str">
        <f>IFERROR(VLOOKUP(AA$13&amp;$B327,Aux!$B:$M,4,0),"")</f>
        <v/>
      </c>
      <c r="AD327" s="62"/>
      <c r="AE327" s="63" t="str">
        <f>IFERROR(IF(VLOOKUP(AA$13&amp;$B325,Aux!$B:$M,8,0)="Да","✔","🕓"),"")</f>
        <v/>
      </c>
    </row>
    <row r="328" spans="2:31" x14ac:dyDescent="0.25">
      <c r="B328" s="53">
        <f t="shared" si="4"/>
        <v>63</v>
      </c>
      <c r="C328" s="59"/>
      <c r="D328" s="16" t="str">
        <f>IF(D325="","","Срок сдачи"&amp;": ")</f>
        <v/>
      </c>
      <c r="E328" s="64" t="str">
        <f>IFERROR(VLOOKUP(C$13&amp;$B328,Aux!$B:$M,6,0),"")</f>
        <v/>
      </c>
      <c r="F328" s="64"/>
      <c r="G328" s="63"/>
      <c r="K328" s="59"/>
      <c r="L328" s="16" t="str">
        <f>IF(L325="","","Срок сдачи"&amp;": ")</f>
        <v/>
      </c>
      <c r="M328" s="64" t="str">
        <f>IFERROR(VLOOKUP(K$13&amp;$B328,Aux!$B:$M,6,0),"")</f>
        <v/>
      </c>
      <c r="N328" s="64"/>
      <c r="O328" s="63"/>
      <c r="S328" s="59"/>
      <c r="T328" s="16" t="str">
        <f>IF(T325="","","Срок сдачи"&amp;": ")</f>
        <v/>
      </c>
      <c r="U328" s="64" t="str">
        <f>IFERROR(VLOOKUP(S$13&amp;$B328,Aux!$B:$M,6,0),"")</f>
        <v/>
      </c>
      <c r="V328" s="64"/>
      <c r="W328" s="63"/>
      <c r="AA328" s="59"/>
      <c r="AB328" s="16" t="str">
        <f>IF(AB325="","","Срок сдачи"&amp;": ")</f>
        <v/>
      </c>
      <c r="AC328" s="64" t="str">
        <f>IFERROR(VLOOKUP(AA$13&amp;$B328,Aux!$B:$M,6,0),"")</f>
        <v/>
      </c>
      <c r="AD328" s="64"/>
      <c r="AE328" s="63"/>
    </row>
    <row r="329" spans="2:31" x14ac:dyDescent="0.25">
      <c r="B329" s="53">
        <f t="shared" si="4"/>
        <v>63</v>
      </c>
      <c r="C329" s="7"/>
      <c r="D329" s="17"/>
      <c r="E329" s="7"/>
      <c r="F329" s="18"/>
      <c r="G329" s="18"/>
      <c r="K329" s="13"/>
      <c r="L329" s="17"/>
      <c r="M329" s="13"/>
      <c r="N329" s="14"/>
      <c r="O329" s="14"/>
      <c r="S329" s="13"/>
      <c r="T329" s="17"/>
      <c r="U329" s="13"/>
      <c r="V329" s="14"/>
      <c r="W329" s="14"/>
      <c r="AA329" s="13"/>
      <c r="AB329" s="17"/>
      <c r="AC329" s="13"/>
      <c r="AD329" s="14"/>
      <c r="AE329" s="30"/>
    </row>
    <row r="330" spans="2:31" x14ac:dyDescent="0.25">
      <c r="B330" s="53">
        <f t="shared" si="4"/>
        <v>64</v>
      </c>
      <c r="C330" s="59" t="str">
        <f>IFERROR(VLOOKUP(C$13&amp;$B334,Aux!$B:$M,5,0),"")</f>
        <v/>
      </c>
      <c r="D330" s="60" t="str">
        <f>IFERROR(VLOOKUP(C$13&amp;$B330,Aux!$B:$M,3,0),"")</f>
        <v/>
      </c>
      <c r="E330" s="60"/>
      <c r="F330" s="60"/>
      <c r="G330" s="61" t="str">
        <f>IFERROR(VLOOKUP(C$13&amp;$B330,Aux!$B:$M,9,0),"")</f>
        <v/>
      </c>
      <c r="K330" s="59" t="str">
        <f>IFERROR(VLOOKUP(K$13&amp;$B334,Aux!$B:$M,5,0),"")</f>
        <v/>
      </c>
      <c r="L330" s="60" t="str">
        <f>IFERROR(VLOOKUP(K$13&amp;$B330,Aux!$B:$M,3,0),"")</f>
        <v/>
      </c>
      <c r="M330" s="60"/>
      <c r="N330" s="60"/>
      <c r="O330" s="61" t="str">
        <f>IFERROR(VLOOKUP(K$13&amp;$B330,Aux!$B:$M,9,0),"")</f>
        <v/>
      </c>
      <c r="S330" s="59" t="str">
        <f>IFERROR(VLOOKUP(S$13&amp;$B334,Aux!$B:$M,5,0),"")</f>
        <v/>
      </c>
      <c r="T330" s="60" t="str">
        <f>IFERROR(VLOOKUP(S$13&amp;$B330,Aux!$B:$M,3,0),"")</f>
        <v/>
      </c>
      <c r="U330" s="60"/>
      <c r="V330" s="60"/>
      <c r="W330" s="61" t="str">
        <f>IFERROR(VLOOKUP(S$13&amp;$B330,Aux!$B:$M,9,0),"")</f>
        <v/>
      </c>
      <c r="AA330" s="59" t="str">
        <f>IFERROR(VLOOKUP(AA$13&amp;$B334,Aux!$B:$M,5,0),"")</f>
        <v/>
      </c>
      <c r="AB330" s="60" t="str">
        <f>IFERROR(VLOOKUP(AA$13&amp;$B330,Aux!$B:$M,3,0),"")</f>
        <v/>
      </c>
      <c r="AC330" s="60"/>
      <c r="AD330" s="60"/>
      <c r="AE330" s="61" t="str">
        <f>IFERROR(VLOOKUP(AA$13&amp;$B330,Aux!$B:$M,9,0),"")</f>
        <v/>
      </c>
    </row>
    <row r="331" spans="2:31" x14ac:dyDescent="0.25">
      <c r="B331" s="53">
        <f t="shared" si="4"/>
        <v>64</v>
      </c>
      <c r="C331" s="59"/>
      <c r="D331" s="60"/>
      <c r="E331" s="60"/>
      <c r="F331" s="60"/>
      <c r="G331" s="61"/>
      <c r="K331" s="59"/>
      <c r="L331" s="60"/>
      <c r="M331" s="60"/>
      <c r="N331" s="60"/>
      <c r="O331" s="61"/>
      <c r="S331" s="59"/>
      <c r="T331" s="60"/>
      <c r="U331" s="60"/>
      <c r="V331" s="60"/>
      <c r="W331" s="61"/>
      <c r="AA331" s="59"/>
      <c r="AB331" s="60"/>
      <c r="AC331" s="60"/>
      <c r="AD331" s="60"/>
      <c r="AE331" s="61"/>
    </row>
    <row r="332" spans="2:31" x14ac:dyDescent="0.25">
      <c r="B332" s="53">
        <f t="shared" si="4"/>
        <v>64</v>
      </c>
      <c r="C332" s="59"/>
      <c r="D332" s="15" t="str">
        <f>IF(D330="","","Исполнитель"&amp;": ")</f>
        <v/>
      </c>
      <c r="E332" s="62" t="str">
        <f>IFERROR(VLOOKUP(C$13&amp;$B332,Aux!$B:$M,4,0),"")</f>
        <v/>
      </c>
      <c r="F332" s="62"/>
      <c r="G332" s="63" t="str">
        <f>IFERROR(IF(VLOOKUP(C$13&amp;$B330,Aux!$B:$M,8,0)="Да","✔","🕓"),"")</f>
        <v/>
      </c>
      <c r="K332" s="59"/>
      <c r="L332" s="15" t="str">
        <f>IF(L330="","","Исполнитель"&amp;": ")</f>
        <v/>
      </c>
      <c r="M332" s="62" t="str">
        <f>IFERROR(VLOOKUP(K$13&amp;$B332,Aux!$B:$M,4,0),"")</f>
        <v/>
      </c>
      <c r="N332" s="62"/>
      <c r="O332" s="63" t="str">
        <f>IFERROR(IF(VLOOKUP(K$13&amp;$B330,Aux!$B:$M,8,0)="Да","✔","🕓"),"")</f>
        <v/>
      </c>
      <c r="S332" s="59"/>
      <c r="T332" s="15" t="str">
        <f>IF(T330="","","Исполнитель"&amp;": ")</f>
        <v/>
      </c>
      <c r="U332" s="62" t="str">
        <f>IFERROR(VLOOKUP(S$13&amp;$B332,Aux!$B:$M,4,0),"")</f>
        <v/>
      </c>
      <c r="V332" s="62"/>
      <c r="W332" s="63" t="str">
        <f>IFERROR(IF(VLOOKUP(S$13&amp;$B330,Aux!$B:$M,8,0)="Да","✔","🕓"),"")</f>
        <v/>
      </c>
      <c r="AA332" s="59"/>
      <c r="AB332" s="15" t="str">
        <f>IF(AB330="","","Исполнитель"&amp;": ")</f>
        <v/>
      </c>
      <c r="AC332" s="62" t="str">
        <f>IFERROR(VLOOKUP(AA$13&amp;$B332,Aux!$B:$M,4,0),"")</f>
        <v/>
      </c>
      <c r="AD332" s="62"/>
      <c r="AE332" s="63" t="str">
        <f>IFERROR(IF(VLOOKUP(AA$13&amp;$B330,Aux!$B:$M,8,0)="Да","✔","🕓"),"")</f>
        <v/>
      </c>
    </row>
    <row r="333" spans="2:31" x14ac:dyDescent="0.25">
      <c r="B333" s="53">
        <f t="shared" si="4"/>
        <v>64</v>
      </c>
      <c r="C333" s="59"/>
      <c r="D333" s="16" t="str">
        <f>IF(D330="","","Срок сдачи"&amp;": ")</f>
        <v/>
      </c>
      <c r="E333" s="64" t="str">
        <f>IFERROR(VLOOKUP(C$13&amp;$B333,Aux!$B:$M,6,0),"")</f>
        <v/>
      </c>
      <c r="F333" s="64"/>
      <c r="G333" s="63"/>
      <c r="K333" s="59"/>
      <c r="L333" s="16" t="str">
        <f>IF(L330="","","Срок сдачи"&amp;": ")</f>
        <v/>
      </c>
      <c r="M333" s="64" t="str">
        <f>IFERROR(VLOOKUP(K$13&amp;$B333,Aux!$B:$M,6,0),"")</f>
        <v/>
      </c>
      <c r="N333" s="64"/>
      <c r="O333" s="63"/>
      <c r="S333" s="59"/>
      <c r="T333" s="16" t="str">
        <f>IF(T330="","","Срок сдачи"&amp;": ")</f>
        <v/>
      </c>
      <c r="U333" s="64" t="str">
        <f>IFERROR(VLOOKUP(S$13&amp;$B333,Aux!$B:$M,6,0),"")</f>
        <v/>
      </c>
      <c r="V333" s="64"/>
      <c r="W333" s="63"/>
      <c r="AA333" s="59"/>
      <c r="AB333" s="16" t="str">
        <f>IF(AB330="","","Срок сдачи"&amp;": ")</f>
        <v/>
      </c>
      <c r="AC333" s="64" t="str">
        <f>IFERROR(VLOOKUP(AA$13&amp;$B333,Aux!$B:$M,6,0),"")</f>
        <v/>
      </c>
      <c r="AD333" s="64"/>
      <c r="AE333" s="63"/>
    </row>
    <row r="334" spans="2:31" x14ac:dyDescent="0.25">
      <c r="B334" s="53">
        <f t="shared" si="4"/>
        <v>64</v>
      </c>
      <c r="C334" s="7"/>
      <c r="D334" s="17"/>
      <c r="E334" s="7"/>
      <c r="F334" s="18"/>
      <c r="G334" s="18"/>
      <c r="K334" s="13"/>
      <c r="L334" s="17"/>
      <c r="M334" s="13"/>
      <c r="N334" s="14"/>
      <c r="O334" s="14"/>
      <c r="S334" s="13"/>
      <c r="T334" s="17"/>
      <c r="U334" s="13"/>
      <c r="V334" s="14"/>
      <c r="W334" s="14"/>
      <c r="AA334" s="13"/>
      <c r="AB334" s="17"/>
      <c r="AC334" s="13"/>
      <c r="AD334" s="14"/>
      <c r="AE334" s="30"/>
    </row>
    <row r="335" spans="2:31" x14ac:dyDescent="0.25">
      <c r="B335" s="53">
        <f t="shared" si="4"/>
        <v>65</v>
      </c>
      <c r="C335" s="59" t="str">
        <f>IFERROR(VLOOKUP(C$13&amp;$B339,Aux!$B:$M,5,0),"")</f>
        <v/>
      </c>
      <c r="D335" s="60" t="str">
        <f>IFERROR(VLOOKUP(C$13&amp;$B335,Aux!$B:$M,3,0),"")</f>
        <v/>
      </c>
      <c r="E335" s="60"/>
      <c r="F335" s="60"/>
      <c r="G335" s="61" t="str">
        <f>IFERROR(VLOOKUP(C$13&amp;$B335,Aux!$B:$M,9,0),"")</f>
        <v/>
      </c>
      <c r="K335" s="59" t="str">
        <f>IFERROR(VLOOKUP(K$13&amp;$B339,Aux!$B:$M,5,0),"")</f>
        <v/>
      </c>
      <c r="L335" s="60" t="str">
        <f>IFERROR(VLOOKUP(K$13&amp;$B335,Aux!$B:$M,3,0),"")</f>
        <v/>
      </c>
      <c r="M335" s="60"/>
      <c r="N335" s="60"/>
      <c r="O335" s="61" t="str">
        <f>IFERROR(VLOOKUP(K$13&amp;$B335,Aux!$B:$M,9,0),"")</f>
        <v/>
      </c>
      <c r="S335" s="59" t="str">
        <f>IFERROR(VLOOKUP(S$13&amp;$B339,Aux!$B:$M,5,0),"")</f>
        <v/>
      </c>
      <c r="T335" s="60" t="str">
        <f>IFERROR(VLOOKUP(S$13&amp;$B335,Aux!$B:$M,3,0),"")</f>
        <v/>
      </c>
      <c r="U335" s="60"/>
      <c r="V335" s="60"/>
      <c r="W335" s="61" t="str">
        <f>IFERROR(VLOOKUP(S$13&amp;$B335,Aux!$B:$M,9,0),"")</f>
        <v/>
      </c>
      <c r="AA335" s="59" t="str">
        <f>IFERROR(VLOOKUP(AA$13&amp;$B339,Aux!$B:$M,5,0),"")</f>
        <v/>
      </c>
      <c r="AB335" s="60" t="str">
        <f>IFERROR(VLOOKUP(AA$13&amp;$B335,Aux!$B:$M,3,0),"")</f>
        <v/>
      </c>
      <c r="AC335" s="60"/>
      <c r="AD335" s="60"/>
      <c r="AE335" s="61" t="str">
        <f>IFERROR(VLOOKUP(AA$13&amp;$B335,Aux!$B:$M,9,0),"")</f>
        <v/>
      </c>
    </row>
    <row r="336" spans="2:31" x14ac:dyDescent="0.25">
      <c r="B336" s="53">
        <f t="shared" si="4"/>
        <v>65</v>
      </c>
      <c r="C336" s="59"/>
      <c r="D336" s="60"/>
      <c r="E336" s="60"/>
      <c r="F336" s="60"/>
      <c r="G336" s="61"/>
      <c r="K336" s="59"/>
      <c r="L336" s="60"/>
      <c r="M336" s="60"/>
      <c r="N336" s="60"/>
      <c r="O336" s="61"/>
      <c r="S336" s="59"/>
      <c r="T336" s="60"/>
      <c r="U336" s="60"/>
      <c r="V336" s="60"/>
      <c r="W336" s="61"/>
      <c r="AA336" s="59"/>
      <c r="AB336" s="60"/>
      <c r="AC336" s="60"/>
      <c r="AD336" s="60"/>
      <c r="AE336" s="61"/>
    </row>
    <row r="337" spans="2:31" x14ac:dyDescent="0.25">
      <c r="B337" s="53">
        <f t="shared" si="4"/>
        <v>65</v>
      </c>
      <c r="C337" s="59"/>
      <c r="D337" s="15" t="str">
        <f>IF(D335="","","Исполнитель"&amp;": ")</f>
        <v/>
      </c>
      <c r="E337" s="62" t="str">
        <f>IFERROR(VLOOKUP(C$13&amp;$B337,Aux!$B:$M,4,0),"")</f>
        <v/>
      </c>
      <c r="F337" s="62"/>
      <c r="G337" s="63" t="str">
        <f>IFERROR(IF(VLOOKUP(C$13&amp;$B335,Aux!$B:$M,8,0)="Да","✔","🕓"),"")</f>
        <v/>
      </c>
      <c r="K337" s="59"/>
      <c r="L337" s="15" t="str">
        <f>IF(L335="","","Исполнитель"&amp;": ")</f>
        <v/>
      </c>
      <c r="M337" s="62" t="str">
        <f>IFERROR(VLOOKUP(K$13&amp;$B337,Aux!$B:$M,4,0),"")</f>
        <v/>
      </c>
      <c r="N337" s="62"/>
      <c r="O337" s="63" t="str">
        <f>IFERROR(IF(VLOOKUP(K$13&amp;$B335,Aux!$B:$M,8,0)="Да","✔","🕓"),"")</f>
        <v/>
      </c>
      <c r="S337" s="59"/>
      <c r="T337" s="15" t="str">
        <f>IF(T335="","","Исполнитель"&amp;": ")</f>
        <v/>
      </c>
      <c r="U337" s="62" t="str">
        <f>IFERROR(VLOOKUP(S$13&amp;$B337,Aux!$B:$M,4,0),"")</f>
        <v/>
      </c>
      <c r="V337" s="62"/>
      <c r="W337" s="63" t="str">
        <f>IFERROR(IF(VLOOKUP(S$13&amp;$B335,Aux!$B:$M,8,0)="Да","✔","🕓"),"")</f>
        <v/>
      </c>
      <c r="AA337" s="59"/>
      <c r="AB337" s="15" t="str">
        <f>IF(AB335="","","Исполнитель"&amp;": ")</f>
        <v/>
      </c>
      <c r="AC337" s="62" t="str">
        <f>IFERROR(VLOOKUP(AA$13&amp;$B337,Aux!$B:$M,4,0),"")</f>
        <v/>
      </c>
      <c r="AD337" s="62"/>
      <c r="AE337" s="63" t="str">
        <f>IFERROR(IF(VLOOKUP(AA$13&amp;$B335,Aux!$B:$M,8,0)="Да","✔","🕓"),"")</f>
        <v/>
      </c>
    </row>
    <row r="338" spans="2:31" x14ac:dyDescent="0.25">
      <c r="B338" s="53">
        <f t="shared" si="4"/>
        <v>65</v>
      </c>
      <c r="C338" s="59"/>
      <c r="D338" s="16" t="str">
        <f>IF(D335="","","Срок сдачи"&amp;": ")</f>
        <v/>
      </c>
      <c r="E338" s="64" t="str">
        <f>IFERROR(VLOOKUP(C$13&amp;$B338,Aux!$B:$M,6,0),"")</f>
        <v/>
      </c>
      <c r="F338" s="64"/>
      <c r="G338" s="63"/>
      <c r="K338" s="59"/>
      <c r="L338" s="16" t="str">
        <f>IF(L335="","","Срок сдачи"&amp;": ")</f>
        <v/>
      </c>
      <c r="M338" s="64" t="str">
        <f>IFERROR(VLOOKUP(K$13&amp;$B338,Aux!$B:$M,6,0),"")</f>
        <v/>
      </c>
      <c r="N338" s="64"/>
      <c r="O338" s="63"/>
      <c r="S338" s="59"/>
      <c r="T338" s="16" t="str">
        <f>IF(T335="","","Срок сдачи"&amp;": ")</f>
        <v/>
      </c>
      <c r="U338" s="64" t="str">
        <f>IFERROR(VLOOKUP(S$13&amp;$B338,Aux!$B:$M,6,0),"")</f>
        <v/>
      </c>
      <c r="V338" s="64"/>
      <c r="W338" s="63"/>
      <c r="AA338" s="59"/>
      <c r="AB338" s="16" t="str">
        <f>IF(AB335="","","Срок сдачи"&amp;": ")</f>
        <v/>
      </c>
      <c r="AC338" s="64" t="str">
        <f>IFERROR(VLOOKUP(AA$13&amp;$B338,Aux!$B:$M,6,0),"")</f>
        <v/>
      </c>
      <c r="AD338" s="64"/>
      <c r="AE338" s="63"/>
    </row>
    <row r="339" spans="2:31" x14ac:dyDescent="0.25">
      <c r="B339" s="53">
        <f t="shared" si="4"/>
        <v>65</v>
      </c>
      <c r="C339" s="7"/>
      <c r="D339" s="17"/>
      <c r="E339" s="7"/>
      <c r="F339" s="18"/>
      <c r="G339" s="18"/>
      <c r="K339" s="13"/>
      <c r="L339" s="17"/>
      <c r="M339" s="13"/>
      <c r="N339" s="14"/>
      <c r="O339" s="14"/>
      <c r="S339" s="13"/>
      <c r="T339" s="17"/>
      <c r="U339" s="13"/>
      <c r="V339" s="14"/>
      <c r="W339" s="14"/>
      <c r="AA339" s="13"/>
      <c r="AB339" s="17"/>
      <c r="AC339" s="13"/>
      <c r="AD339" s="14"/>
      <c r="AE339" s="30"/>
    </row>
    <row r="340" spans="2:31" x14ac:dyDescent="0.25">
      <c r="B340" s="53">
        <f t="shared" si="4"/>
        <v>66</v>
      </c>
      <c r="C340" s="59" t="str">
        <f>IFERROR(VLOOKUP(C$13&amp;$B344,Aux!$B:$M,5,0),"")</f>
        <v/>
      </c>
      <c r="D340" s="60" t="str">
        <f>IFERROR(VLOOKUP(C$13&amp;$B340,Aux!$B:$M,3,0),"")</f>
        <v/>
      </c>
      <c r="E340" s="60"/>
      <c r="F340" s="60"/>
      <c r="G340" s="61" t="str">
        <f>IFERROR(VLOOKUP(C$13&amp;$B340,Aux!$B:$M,9,0),"")</f>
        <v/>
      </c>
      <c r="K340" s="59" t="str">
        <f>IFERROR(VLOOKUP(K$13&amp;$B344,Aux!$B:$M,5,0),"")</f>
        <v/>
      </c>
      <c r="L340" s="60" t="str">
        <f>IFERROR(VLOOKUP(K$13&amp;$B340,Aux!$B:$M,3,0),"")</f>
        <v/>
      </c>
      <c r="M340" s="60"/>
      <c r="N340" s="60"/>
      <c r="O340" s="61" t="str">
        <f>IFERROR(VLOOKUP(K$13&amp;$B340,Aux!$B:$M,9,0),"")</f>
        <v/>
      </c>
      <c r="S340" s="59" t="str">
        <f>IFERROR(VLOOKUP(S$13&amp;$B344,Aux!$B:$M,5,0),"")</f>
        <v/>
      </c>
      <c r="T340" s="60" t="str">
        <f>IFERROR(VLOOKUP(S$13&amp;$B340,Aux!$B:$M,3,0),"")</f>
        <v/>
      </c>
      <c r="U340" s="60"/>
      <c r="V340" s="60"/>
      <c r="W340" s="61" t="str">
        <f>IFERROR(VLOOKUP(S$13&amp;$B340,Aux!$B:$M,9,0),"")</f>
        <v/>
      </c>
      <c r="AA340" s="59" t="str">
        <f>IFERROR(VLOOKUP(AA$13&amp;$B344,Aux!$B:$M,5,0),"")</f>
        <v/>
      </c>
      <c r="AB340" s="60" t="str">
        <f>IFERROR(VLOOKUP(AA$13&amp;$B340,Aux!$B:$M,3,0),"")</f>
        <v/>
      </c>
      <c r="AC340" s="60"/>
      <c r="AD340" s="60"/>
      <c r="AE340" s="61" t="str">
        <f>IFERROR(VLOOKUP(AA$13&amp;$B340,Aux!$B:$M,9,0),"")</f>
        <v/>
      </c>
    </row>
    <row r="341" spans="2:31" x14ac:dyDescent="0.25">
      <c r="B341" s="53">
        <f t="shared" ref="B341:B404" si="5">B336+1</f>
        <v>66</v>
      </c>
      <c r="C341" s="59"/>
      <c r="D341" s="60"/>
      <c r="E341" s="60"/>
      <c r="F341" s="60"/>
      <c r="G341" s="61"/>
      <c r="K341" s="59"/>
      <c r="L341" s="60"/>
      <c r="M341" s="60"/>
      <c r="N341" s="60"/>
      <c r="O341" s="61"/>
      <c r="S341" s="59"/>
      <c r="T341" s="60"/>
      <c r="U341" s="60"/>
      <c r="V341" s="60"/>
      <c r="W341" s="61"/>
      <c r="AA341" s="59"/>
      <c r="AB341" s="60"/>
      <c r="AC341" s="60"/>
      <c r="AD341" s="60"/>
      <c r="AE341" s="61"/>
    </row>
    <row r="342" spans="2:31" x14ac:dyDescent="0.25">
      <c r="B342" s="53">
        <f t="shared" si="5"/>
        <v>66</v>
      </c>
      <c r="C342" s="59"/>
      <c r="D342" s="15" t="str">
        <f>IF(D340="","","Исполнитель"&amp;": ")</f>
        <v/>
      </c>
      <c r="E342" s="62" t="str">
        <f>IFERROR(VLOOKUP(C$13&amp;$B342,Aux!$B:$M,4,0),"")</f>
        <v/>
      </c>
      <c r="F342" s="62"/>
      <c r="G342" s="63" t="str">
        <f>IFERROR(IF(VLOOKUP(C$13&amp;$B340,Aux!$B:$M,8,0)="Да","✔","🕓"),"")</f>
        <v/>
      </c>
      <c r="K342" s="59"/>
      <c r="L342" s="15" t="str">
        <f>IF(L340="","","Исполнитель"&amp;": ")</f>
        <v/>
      </c>
      <c r="M342" s="62" t="str">
        <f>IFERROR(VLOOKUP(K$13&amp;$B342,Aux!$B:$M,4,0),"")</f>
        <v/>
      </c>
      <c r="N342" s="62"/>
      <c r="O342" s="63" t="str">
        <f>IFERROR(IF(VLOOKUP(K$13&amp;$B340,Aux!$B:$M,8,0)="Да","✔","🕓"),"")</f>
        <v/>
      </c>
      <c r="S342" s="59"/>
      <c r="T342" s="15" t="str">
        <f>IF(T340="","","Исполнитель"&amp;": ")</f>
        <v/>
      </c>
      <c r="U342" s="62" t="str">
        <f>IFERROR(VLOOKUP(S$13&amp;$B342,Aux!$B:$M,4,0),"")</f>
        <v/>
      </c>
      <c r="V342" s="62"/>
      <c r="W342" s="63" t="str">
        <f>IFERROR(IF(VLOOKUP(S$13&amp;$B340,Aux!$B:$M,8,0)="Да","✔","🕓"),"")</f>
        <v/>
      </c>
      <c r="AA342" s="59"/>
      <c r="AB342" s="15" t="str">
        <f>IF(AB340="","","Исполнитель"&amp;": ")</f>
        <v/>
      </c>
      <c r="AC342" s="62" t="str">
        <f>IFERROR(VLOOKUP(AA$13&amp;$B342,Aux!$B:$M,4,0),"")</f>
        <v/>
      </c>
      <c r="AD342" s="62"/>
      <c r="AE342" s="63" t="str">
        <f>IFERROR(IF(VLOOKUP(AA$13&amp;$B340,Aux!$B:$M,8,0)="Да","✔","🕓"),"")</f>
        <v/>
      </c>
    </row>
    <row r="343" spans="2:31" x14ac:dyDescent="0.25">
      <c r="B343" s="53">
        <f t="shared" si="5"/>
        <v>66</v>
      </c>
      <c r="C343" s="59"/>
      <c r="D343" s="16" t="str">
        <f>IF(D340="","","Срок сдачи"&amp;": ")</f>
        <v/>
      </c>
      <c r="E343" s="64" t="str">
        <f>IFERROR(VLOOKUP(C$13&amp;$B343,Aux!$B:$M,6,0),"")</f>
        <v/>
      </c>
      <c r="F343" s="64"/>
      <c r="G343" s="63"/>
      <c r="K343" s="59"/>
      <c r="L343" s="16" t="str">
        <f>IF(L340="","","Срок сдачи"&amp;": ")</f>
        <v/>
      </c>
      <c r="M343" s="64" t="str">
        <f>IFERROR(VLOOKUP(K$13&amp;$B343,Aux!$B:$M,6,0),"")</f>
        <v/>
      </c>
      <c r="N343" s="64"/>
      <c r="O343" s="63"/>
      <c r="S343" s="59"/>
      <c r="T343" s="16" t="str">
        <f>IF(T340="","","Срок сдачи"&amp;": ")</f>
        <v/>
      </c>
      <c r="U343" s="64" t="str">
        <f>IFERROR(VLOOKUP(S$13&amp;$B343,Aux!$B:$M,6,0),"")</f>
        <v/>
      </c>
      <c r="V343" s="64"/>
      <c r="W343" s="63"/>
      <c r="AA343" s="59"/>
      <c r="AB343" s="16" t="str">
        <f>IF(AB340="","","Срок сдачи"&amp;": ")</f>
        <v/>
      </c>
      <c r="AC343" s="64" t="str">
        <f>IFERROR(VLOOKUP(AA$13&amp;$B343,Aux!$B:$M,6,0),"")</f>
        <v/>
      </c>
      <c r="AD343" s="64"/>
      <c r="AE343" s="63"/>
    </row>
    <row r="344" spans="2:31" x14ac:dyDescent="0.25">
      <c r="B344" s="53">
        <f t="shared" si="5"/>
        <v>66</v>
      </c>
      <c r="C344" s="7"/>
      <c r="D344" s="17"/>
      <c r="E344" s="7"/>
      <c r="F344" s="18"/>
      <c r="G344" s="18"/>
      <c r="K344" s="13"/>
      <c r="L344" s="17"/>
      <c r="M344" s="13"/>
      <c r="N344" s="14"/>
      <c r="O344" s="14"/>
      <c r="S344" s="13"/>
      <c r="T344" s="17"/>
      <c r="U344" s="13"/>
      <c r="V344" s="14"/>
      <c r="W344" s="14"/>
      <c r="AA344" s="13"/>
      <c r="AB344" s="17"/>
      <c r="AC344" s="13"/>
      <c r="AD344" s="14"/>
      <c r="AE344" s="30"/>
    </row>
    <row r="345" spans="2:31" x14ac:dyDescent="0.25">
      <c r="B345" s="53">
        <f t="shared" si="5"/>
        <v>67</v>
      </c>
      <c r="C345" s="59" t="str">
        <f>IFERROR(VLOOKUP(C$13&amp;$B349,Aux!$B:$M,5,0),"")</f>
        <v/>
      </c>
      <c r="D345" s="60" t="str">
        <f>IFERROR(VLOOKUP(C$13&amp;$B345,Aux!$B:$M,3,0),"")</f>
        <v/>
      </c>
      <c r="E345" s="60"/>
      <c r="F345" s="60"/>
      <c r="G345" s="61" t="str">
        <f>IFERROR(VLOOKUP(C$13&amp;$B345,Aux!$B:$M,9,0),"")</f>
        <v/>
      </c>
      <c r="K345" s="59" t="str">
        <f>IFERROR(VLOOKUP(K$13&amp;$B349,Aux!$B:$M,5,0),"")</f>
        <v/>
      </c>
      <c r="L345" s="60" t="str">
        <f>IFERROR(VLOOKUP(K$13&amp;$B345,Aux!$B:$M,3,0),"")</f>
        <v/>
      </c>
      <c r="M345" s="60"/>
      <c r="N345" s="60"/>
      <c r="O345" s="61" t="str">
        <f>IFERROR(VLOOKUP(K$13&amp;$B345,Aux!$B:$M,9,0),"")</f>
        <v/>
      </c>
      <c r="S345" s="59" t="str">
        <f>IFERROR(VLOOKUP(S$13&amp;$B349,Aux!$B:$M,5,0),"")</f>
        <v/>
      </c>
      <c r="T345" s="60" t="str">
        <f>IFERROR(VLOOKUP(S$13&amp;$B345,Aux!$B:$M,3,0),"")</f>
        <v/>
      </c>
      <c r="U345" s="60"/>
      <c r="V345" s="60"/>
      <c r="W345" s="61" t="str">
        <f>IFERROR(VLOOKUP(S$13&amp;$B345,Aux!$B:$M,9,0),"")</f>
        <v/>
      </c>
      <c r="AA345" s="59" t="str">
        <f>IFERROR(VLOOKUP(AA$13&amp;$B349,Aux!$B:$M,5,0),"")</f>
        <v/>
      </c>
      <c r="AB345" s="60" t="str">
        <f>IFERROR(VLOOKUP(AA$13&amp;$B345,Aux!$B:$M,3,0),"")</f>
        <v/>
      </c>
      <c r="AC345" s="60"/>
      <c r="AD345" s="60"/>
      <c r="AE345" s="61" t="str">
        <f>IFERROR(VLOOKUP(AA$13&amp;$B345,Aux!$B:$M,9,0),"")</f>
        <v/>
      </c>
    </row>
    <row r="346" spans="2:31" x14ac:dyDescent="0.25">
      <c r="B346" s="53">
        <f t="shared" si="5"/>
        <v>67</v>
      </c>
      <c r="C346" s="59"/>
      <c r="D346" s="60"/>
      <c r="E346" s="60"/>
      <c r="F346" s="60"/>
      <c r="G346" s="61"/>
      <c r="K346" s="59"/>
      <c r="L346" s="60"/>
      <c r="M346" s="60"/>
      <c r="N346" s="60"/>
      <c r="O346" s="61"/>
      <c r="S346" s="59"/>
      <c r="T346" s="60"/>
      <c r="U346" s="60"/>
      <c r="V346" s="60"/>
      <c r="W346" s="61"/>
      <c r="AA346" s="59"/>
      <c r="AB346" s="60"/>
      <c r="AC346" s="60"/>
      <c r="AD346" s="60"/>
      <c r="AE346" s="61"/>
    </row>
    <row r="347" spans="2:31" x14ac:dyDescent="0.25">
      <c r="B347" s="53">
        <f t="shared" si="5"/>
        <v>67</v>
      </c>
      <c r="C347" s="59"/>
      <c r="D347" s="15" t="str">
        <f>IF(D345="","","Исполнитель"&amp;": ")</f>
        <v/>
      </c>
      <c r="E347" s="62" t="str">
        <f>IFERROR(VLOOKUP(C$13&amp;$B347,Aux!$B:$M,4,0),"")</f>
        <v/>
      </c>
      <c r="F347" s="62"/>
      <c r="G347" s="63" t="str">
        <f>IFERROR(IF(VLOOKUP(C$13&amp;$B345,Aux!$B:$M,8,0)="Да","✔","🕓"),"")</f>
        <v/>
      </c>
      <c r="K347" s="59"/>
      <c r="L347" s="15" t="str">
        <f>IF(L345="","","Исполнитель"&amp;": ")</f>
        <v/>
      </c>
      <c r="M347" s="62" t="str">
        <f>IFERROR(VLOOKUP(K$13&amp;$B347,Aux!$B:$M,4,0),"")</f>
        <v/>
      </c>
      <c r="N347" s="62"/>
      <c r="O347" s="63" t="str">
        <f>IFERROR(IF(VLOOKUP(K$13&amp;$B345,Aux!$B:$M,8,0)="Да","✔","🕓"),"")</f>
        <v/>
      </c>
      <c r="S347" s="59"/>
      <c r="T347" s="15" t="str">
        <f>IF(T345="","","Исполнитель"&amp;": ")</f>
        <v/>
      </c>
      <c r="U347" s="62" t="str">
        <f>IFERROR(VLOOKUP(S$13&amp;$B347,Aux!$B:$M,4,0),"")</f>
        <v/>
      </c>
      <c r="V347" s="62"/>
      <c r="W347" s="63" t="str">
        <f>IFERROR(IF(VLOOKUP(S$13&amp;$B345,Aux!$B:$M,8,0)="Да","✔","🕓"),"")</f>
        <v/>
      </c>
      <c r="AA347" s="59"/>
      <c r="AB347" s="15" t="str">
        <f>IF(AB345="","","Исполнитель"&amp;": ")</f>
        <v/>
      </c>
      <c r="AC347" s="62" t="str">
        <f>IFERROR(VLOOKUP(AA$13&amp;$B347,Aux!$B:$M,4,0),"")</f>
        <v/>
      </c>
      <c r="AD347" s="62"/>
      <c r="AE347" s="63" t="str">
        <f>IFERROR(IF(VLOOKUP(AA$13&amp;$B345,Aux!$B:$M,8,0)="Да","✔","🕓"),"")</f>
        <v/>
      </c>
    </row>
    <row r="348" spans="2:31" x14ac:dyDescent="0.25">
      <c r="B348" s="53">
        <f t="shared" si="5"/>
        <v>67</v>
      </c>
      <c r="C348" s="59"/>
      <c r="D348" s="16" t="str">
        <f>IF(D345="","","Срок сдачи"&amp;": ")</f>
        <v/>
      </c>
      <c r="E348" s="64" t="str">
        <f>IFERROR(VLOOKUP(C$13&amp;$B348,Aux!$B:$M,6,0),"")</f>
        <v/>
      </c>
      <c r="F348" s="64"/>
      <c r="G348" s="63"/>
      <c r="K348" s="59"/>
      <c r="L348" s="16" t="str">
        <f>IF(L345="","","Срок сдачи"&amp;": ")</f>
        <v/>
      </c>
      <c r="M348" s="64" t="str">
        <f>IFERROR(VLOOKUP(K$13&amp;$B348,Aux!$B:$M,6,0),"")</f>
        <v/>
      </c>
      <c r="N348" s="64"/>
      <c r="O348" s="63"/>
      <c r="S348" s="59"/>
      <c r="T348" s="16" t="str">
        <f>IF(T345="","","Срок сдачи"&amp;": ")</f>
        <v/>
      </c>
      <c r="U348" s="64" t="str">
        <f>IFERROR(VLOOKUP(S$13&amp;$B348,Aux!$B:$M,6,0),"")</f>
        <v/>
      </c>
      <c r="V348" s="64"/>
      <c r="W348" s="63"/>
      <c r="AA348" s="59"/>
      <c r="AB348" s="16" t="str">
        <f>IF(AB345="","","Срок сдачи"&amp;": ")</f>
        <v/>
      </c>
      <c r="AC348" s="64" t="str">
        <f>IFERROR(VLOOKUP(AA$13&amp;$B348,Aux!$B:$M,6,0),"")</f>
        <v/>
      </c>
      <c r="AD348" s="64"/>
      <c r="AE348" s="63"/>
    </row>
    <row r="349" spans="2:31" x14ac:dyDescent="0.25">
      <c r="B349" s="53">
        <f t="shared" si="5"/>
        <v>67</v>
      </c>
      <c r="C349" s="7"/>
      <c r="D349" s="17"/>
      <c r="E349" s="7"/>
      <c r="F349" s="18"/>
      <c r="G349" s="18"/>
      <c r="K349" s="13"/>
      <c r="L349" s="17"/>
      <c r="M349" s="13"/>
      <c r="N349" s="14"/>
      <c r="O349" s="14"/>
      <c r="S349" s="13"/>
      <c r="T349" s="17"/>
      <c r="U349" s="13"/>
      <c r="V349" s="14"/>
      <c r="W349" s="14"/>
      <c r="AA349" s="13"/>
      <c r="AB349" s="17"/>
      <c r="AC349" s="13"/>
      <c r="AD349" s="14"/>
      <c r="AE349" s="30"/>
    </row>
    <row r="350" spans="2:31" x14ac:dyDescent="0.25">
      <c r="B350" s="53">
        <f t="shared" si="5"/>
        <v>68</v>
      </c>
      <c r="C350" s="59" t="str">
        <f>IFERROR(VLOOKUP(C$13&amp;$B354,Aux!$B:$M,5,0),"")</f>
        <v/>
      </c>
      <c r="D350" s="60" t="str">
        <f>IFERROR(VLOOKUP(C$13&amp;$B350,Aux!$B:$M,3,0),"")</f>
        <v/>
      </c>
      <c r="E350" s="60"/>
      <c r="F350" s="60"/>
      <c r="G350" s="61" t="str">
        <f>IFERROR(VLOOKUP(C$13&amp;$B350,Aux!$B:$M,9,0),"")</f>
        <v/>
      </c>
      <c r="K350" s="59" t="str">
        <f>IFERROR(VLOOKUP(K$13&amp;$B354,Aux!$B:$M,5,0),"")</f>
        <v/>
      </c>
      <c r="L350" s="60" t="str">
        <f>IFERROR(VLOOKUP(K$13&amp;$B350,Aux!$B:$M,3,0),"")</f>
        <v/>
      </c>
      <c r="M350" s="60"/>
      <c r="N350" s="60"/>
      <c r="O350" s="61" t="str">
        <f>IFERROR(VLOOKUP(K$13&amp;$B350,Aux!$B:$M,9,0),"")</f>
        <v/>
      </c>
      <c r="S350" s="59" t="str">
        <f>IFERROR(VLOOKUP(S$13&amp;$B354,Aux!$B:$M,5,0),"")</f>
        <v/>
      </c>
      <c r="T350" s="60" t="str">
        <f>IFERROR(VLOOKUP(S$13&amp;$B350,Aux!$B:$M,3,0),"")</f>
        <v/>
      </c>
      <c r="U350" s="60"/>
      <c r="V350" s="60"/>
      <c r="W350" s="61" t="str">
        <f>IFERROR(VLOOKUP(S$13&amp;$B350,Aux!$B:$M,9,0),"")</f>
        <v/>
      </c>
      <c r="AA350" s="59" t="str">
        <f>IFERROR(VLOOKUP(AA$13&amp;$B354,Aux!$B:$M,5,0),"")</f>
        <v/>
      </c>
      <c r="AB350" s="60" t="str">
        <f>IFERROR(VLOOKUP(AA$13&amp;$B350,Aux!$B:$M,3,0),"")</f>
        <v/>
      </c>
      <c r="AC350" s="60"/>
      <c r="AD350" s="60"/>
      <c r="AE350" s="61" t="str">
        <f>IFERROR(VLOOKUP(AA$13&amp;$B350,Aux!$B:$M,9,0),"")</f>
        <v/>
      </c>
    </row>
    <row r="351" spans="2:31" x14ac:dyDescent="0.25">
      <c r="B351" s="53">
        <f t="shared" si="5"/>
        <v>68</v>
      </c>
      <c r="C351" s="59"/>
      <c r="D351" s="60"/>
      <c r="E351" s="60"/>
      <c r="F351" s="60"/>
      <c r="G351" s="61"/>
      <c r="K351" s="59"/>
      <c r="L351" s="60"/>
      <c r="M351" s="60"/>
      <c r="N351" s="60"/>
      <c r="O351" s="61"/>
      <c r="S351" s="59"/>
      <c r="T351" s="60"/>
      <c r="U351" s="60"/>
      <c r="V351" s="60"/>
      <c r="W351" s="61"/>
      <c r="AA351" s="59"/>
      <c r="AB351" s="60"/>
      <c r="AC351" s="60"/>
      <c r="AD351" s="60"/>
      <c r="AE351" s="61"/>
    </row>
    <row r="352" spans="2:31" x14ac:dyDescent="0.25">
      <c r="B352" s="53">
        <f t="shared" si="5"/>
        <v>68</v>
      </c>
      <c r="C352" s="59"/>
      <c r="D352" s="15" t="str">
        <f>IF(D350="","","Исполнитель"&amp;": ")</f>
        <v/>
      </c>
      <c r="E352" s="62" t="str">
        <f>IFERROR(VLOOKUP(C$13&amp;$B352,Aux!$B:$M,4,0),"")</f>
        <v/>
      </c>
      <c r="F352" s="62"/>
      <c r="G352" s="63" t="str">
        <f>IFERROR(IF(VLOOKUP(C$13&amp;$B350,Aux!$B:$M,8,0)="Да","✔","🕓"),"")</f>
        <v/>
      </c>
      <c r="K352" s="59"/>
      <c r="L352" s="15" t="str">
        <f>IF(L350="","","Исполнитель"&amp;": ")</f>
        <v/>
      </c>
      <c r="M352" s="62" t="str">
        <f>IFERROR(VLOOKUP(K$13&amp;$B352,Aux!$B:$M,4,0),"")</f>
        <v/>
      </c>
      <c r="N352" s="62"/>
      <c r="O352" s="63" t="str">
        <f>IFERROR(IF(VLOOKUP(K$13&amp;$B350,Aux!$B:$M,8,0)="Да","✔","🕓"),"")</f>
        <v/>
      </c>
      <c r="S352" s="59"/>
      <c r="T352" s="15" t="str">
        <f>IF(T350="","","Исполнитель"&amp;": ")</f>
        <v/>
      </c>
      <c r="U352" s="62" t="str">
        <f>IFERROR(VLOOKUP(S$13&amp;$B352,Aux!$B:$M,4,0),"")</f>
        <v/>
      </c>
      <c r="V352" s="62"/>
      <c r="W352" s="63" t="str">
        <f>IFERROR(IF(VLOOKUP(S$13&amp;$B350,Aux!$B:$M,8,0)="Да","✔","🕓"),"")</f>
        <v/>
      </c>
      <c r="AA352" s="59"/>
      <c r="AB352" s="15" t="str">
        <f>IF(AB350="","","Исполнитель"&amp;": ")</f>
        <v/>
      </c>
      <c r="AC352" s="62" t="str">
        <f>IFERROR(VLOOKUP(AA$13&amp;$B352,Aux!$B:$M,4,0),"")</f>
        <v/>
      </c>
      <c r="AD352" s="62"/>
      <c r="AE352" s="63" t="str">
        <f>IFERROR(IF(VLOOKUP(AA$13&amp;$B350,Aux!$B:$M,8,0)="Да","✔","🕓"),"")</f>
        <v/>
      </c>
    </row>
    <row r="353" spans="2:31" x14ac:dyDescent="0.25">
      <c r="B353" s="53">
        <f t="shared" si="5"/>
        <v>68</v>
      </c>
      <c r="C353" s="59"/>
      <c r="D353" s="16" t="str">
        <f>IF(D350="","","Срок сдачи"&amp;": ")</f>
        <v/>
      </c>
      <c r="E353" s="64" t="str">
        <f>IFERROR(VLOOKUP(C$13&amp;$B353,Aux!$B:$M,6,0),"")</f>
        <v/>
      </c>
      <c r="F353" s="64"/>
      <c r="G353" s="63"/>
      <c r="K353" s="59"/>
      <c r="L353" s="16" t="str">
        <f>IF(L350="","","Срок сдачи"&amp;": ")</f>
        <v/>
      </c>
      <c r="M353" s="64" t="str">
        <f>IFERROR(VLOOKUP(K$13&amp;$B353,Aux!$B:$M,6,0),"")</f>
        <v/>
      </c>
      <c r="N353" s="64"/>
      <c r="O353" s="63"/>
      <c r="S353" s="59"/>
      <c r="T353" s="16" t="str">
        <f>IF(T350="","","Срок сдачи"&amp;": ")</f>
        <v/>
      </c>
      <c r="U353" s="64" t="str">
        <f>IFERROR(VLOOKUP(S$13&amp;$B353,Aux!$B:$M,6,0),"")</f>
        <v/>
      </c>
      <c r="V353" s="64"/>
      <c r="W353" s="63"/>
      <c r="AA353" s="59"/>
      <c r="AB353" s="16" t="str">
        <f>IF(AB350="","","Срок сдачи"&amp;": ")</f>
        <v/>
      </c>
      <c r="AC353" s="64" t="str">
        <f>IFERROR(VLOOKUP(AA$13&amp;$B353,Aux!$B:$M,6,0),"")</f>
        <v/>
      </c>
      <c r="AD353" s="64"/>
      <c r="AE353" s="63"/>
    </row>
    <row r="354" spans="2:31" x14ac:dyDescent="0.25">
      <c r="B354" s="53">
        <f t="shared" si="5"/>
        <v>68</v>
      </c>
      <c r="C354" s="7"/>
      <c r="D354" s="17"/>
      <c r="E354" s="7"/>
      <c r="F354" s="18"/>
      <c r="G354" s="18"/>
      <c r="K354" s="13"/>
      <c r="L354" s="17"/>
      <c r="M354" s="13"/>
      <c r="N354" s="14"/>
      <c r="O354" s="14"/>
      <c r="S354" s="13"/>
      <c r="T354" s="17"/>
      <c r="U354" s="13"/>
      <c r="V354" s="14"/>
      <c r="W354" s="14"/>
      <c r="AA354" s="13"/>
      <c r="AB354" s="17"/>
      <c r="AC354" s="13"/>
      <c r="AD354" s="14"/>
      <c r="AE354" s="30"/>
    </row>
    <row r="355" spans="2:31" x14ac:dyDescent="0.25">
      <c r="B355" s="53">
        <f t="shared" si="5"/>
        <v>69</v>
      </c>
      <c r="C355" s="59" t="str">
        <f>IFERROR(VLOOKUP(C$13&amp;$B359,Aux!$B:$M,5,0),"")</f>
        <v/>
      </c>
      <c r="D355" s="60" t="str">
        <f>IFERROR(VLOOKUP(C$13&amp;$B355,Aux!$B:$M,3,0),"")</f>
        <v/>
      </c>
      <c r="E355" s="60"/>
      <c r="F355" s="60"/>
      <c r="G355" s="61" t="str">
        <f>IFERROR(VLOOKUP(C$13&amp;$B355,Aux!$B:$M,9,0),"")</f>
        <v/>
      </c>
      <c r="K355" s="59" t="str">
        <f>IFERROR(VLOOKUP(K$13&amp;$B359,Aux!$B:$M,5,0),"")</f>
        <v/>
      </c>
      <c r="L355" s="60" t="str">
        <f>IFERROR(VLOOKUP(K$13&amp;$B355,Aux!$B:$M,3,0),"")</f>
        <v/>
      </c>
      <c r="M355" s="60"/>
      <c r="N355" s="60"/>
      <c r="O355" s="61" t="str">
        <f>IFERROR(VLOOKUP(K$13&amp;$B355,Aux!$B:$M,9,0),"")</f>
        <v/>
      </c>
      <c r="S355" s="59" t="str">
        <f>IFERROR(VLOOKUP(S$13&amp;$B359,Aux!$B:$M,5,0),"")</f>
        <v/>
      </c>
      <c r="T355" s="60" t="str">
        <f>IFERROR(VLOOKUP(S$13&amp;$B355,Aux!$B:$M,3,0),"")</f>
        <v/>
      </c>
      <c r="U355" s="60"/>
      <c r="V355" s="60"/>
      <c r="W355" s="61" t="str">
        <f>IFERROR(VLOOKUP(S$13&amp;$B355,Aux!$B:$M,9,0),"")</f>
        <v/>
      </c>
      <c r="AA355" s="59" t="str">
        <f>IFERROR(VLOOKUP(AA$13&amp;$B359,Aux!$B:$M,5,0),"")</f>
        <v/>
      </c>
      <c r="AB355" s="60" t="str">
        <f>IFERROR(VLOOKUP(AA$13&amp;$B355,Aux!$B:$M,3,0),"")</f>
        <v/>
      </c>
      <c r="AC355" s="60"/>
      <c r="AD355" s="60"/>
      <c r="AE355" s="61" t="str">
        <f>IFERROR(VLOOKUP(AA$13&amp;$B355,Aux!$B:$M,9,0),"")</f>
        <v/>
      </c>
    </row>
    <row r="356" spans="2:31" x14ac:dyDescent="0.25">
      <c r="B356" s="53">
        <f t="shared" si="5"/>
        <v>69</v>
      </c>
      <c r="C356" s="59"/>
      <c r="D356" s="60"/>
      <c r="E356" s="60"/>
      <c r="F356" s="60"/>
      <c r="G356" s="61"/>
      <c r="K356" s="59"/>
      <c r="L356" s="60"/>
      <c r="M356" s="60"/>
      <c r="N356" s="60"/>
      <c r="O356" s="61"/>
      <c r="S356" s="59"/>
      <c r="T356" s="60"/>
      <c r="U356" s="60"/>
      <c r="V356" s="60"/>
      <c r="W356" s="61"/>
      <c r="AA356" s="59"/>
      <c r="AB356" s="60"/>
      <c r="AC356" s="60"/>
      <c r="AD356" s="60"/>
      <c r="AE356" s="61"/>
    </row>
    <row r="357" spans="2:31" x14ac:dyDescent="0.25">
      <c r="B357" s="53">
        <f t="shared" si="5"/>
        <v>69</v>
      </c>
      <c r="C357" s="59"/>
      <c r="D357" s="15" t="str">
        <f>IF(D355="","","Исполнитель"&amp;": ")</f>
        <v/>
      </c>
      <c r="E357" s="62" t="str">
        <f>IFERROR(VLOOKUP(C$13&amp;$B357,Aux!$B:$M,4,0),"")</f>
        <v/>
      </c>
      <c r="F357" s="62"/>
      <c r="G357" s="63" t="str">
        <f>IFERROR(IF(VLOOKUP(C$13&amp;$B355,Aux!$B:$M,8,0)="Да","✔","🕓"),"")</f>
        <v/>
      </c>
      <c r="K357" s="59"/>
      <c r="L357" s="15" t="str">
        <f>IF(L355="","","Исполнитель"&amp;": ")</f>
        <v/>
      </c>
      <c r="M357" s="62" t="str">
        <f>IFERROR(VLOOKUP(K$13&amp;$B357,Aux!$B:$M,4,0),"")</f>
        <v/>
      </c>
      <c r="N357" s="62"/>
      <c r="O357" s="63" t="str">
        <f>IFERROR(IF(VLOOKUP(K$13&amp;$B355,Aux!$B:$M,8,0)="Да","✔","🕓"),"")</f>
        <v/>
      </c>
      <c r="S357" s="59"/>
      <c r="T357" s="15" t="str">
        <f>IF(T355="","","Исполнитель"&amp;": ")</f>
        <v/>
      </c>
      <c r="U357" s="62" t="str">
        <f>IFERROR(VLOOKUP(S$13&amp;$B357,Aux!$B:$M,4,0),"")</f>
        <v/>
      </c>
      <c r="V357" s="62"/>
      <c r="W357" s="63" t="str">
        <f>IFERROR(IF(VLOOKUP(S$13&amp;$B355,Aux!$B:$M,8,0)="Да","✔","🕓"),"")</f>
        <v/>
      </c>
      <c r="AA357" s="59"/>
      <c r="AB357" s="15" t="str">
        <f>IF(AB355="","","Исполнитель"&amp;": ")</f>
        <v/>
      </c>
      <c r="AC357" s="62" t="str">
        <f>IFERROR(VLOOKUP(AA$13&amp;$B357,Aux!$B:$M,4,0),"")</f>
        <v/>
      </c>
      <c r="AD357" s="62"/>
      <c r="AE357" s="63" t="str">
        <f>IFERROR(IF(VLOOKUP(AA$13&amp;$B355,Aux!$B:$M,8,0)="Да","✔","🕓"),"")</f>
        <v/>
      </c>
    </row>
    <row r="358" spans="2:31" x14ac:dyDescent="0.25">
      <c r="B358" s="53">
        <f t="shared" si="5"/>
        <v>69</v>
      </c>
      <c r="C358" s="59"/>
      <c r="D358" s="16" t="str">
        <f>IF(D355="","","Срок сдачи"&amp;": ")</f>
        <v/>
      </c>
      <c r="E358" s="64" t="str">
        <f>IFERROR(VLOOKUP(C$13&amp;$B358,Aux!$B:$M,6,0),"")</f>
        <v/>
      </c>
      <c r="F358" s="64"/>
      <c r="G358" s="63"/>
      <c r="K358" s="59"/>
      <c r="L358" s="16" t="str">
        <f>IF(L355="","","Срок сдачи"&amp;": ")</f>
        <v/>
      </c>
      <c r="M358" s="64" t="str">
        <f>IFERROR(VLOOKUP(K$13&amp;$B358,Aux!$B:$M,6,0),"")</f>
        <v/>
      </c>
      <c r="N358" s="64"/>
      <c r="O358" s="63"/>
      <c r="S358" s="59"/>
      <c r="T358" s="16" t="str">
        <f>IF(T355="","","Срок сдачи"&amp;": ")</f>
        <v/>
      </c>
      <c r="U358" s="64" t="str">
        <f>IFERROR(VLOOKUP(S$13&amp;$B358,Aux!$B:$M,6,0),"")</f>
        <v/>
      </c>
      <c r="V358" s="64"/>
      <c r="W358" s="63"/>
      <c r="AA358" s="59"/>
      <c r="AB358" s="16" t="str">
        <f>IF(AB355="","","Срок сдачи"&amp;": ")</f>
        <v/>
      </c>
      <c r="AC358" s="64" t="str">
        <f>IFERROR(VLOOKUP(AA$13&amp;$B358,Aux!$B:$M,6,0),"")</f>
        <v/>
      </c>
      <c r="AD358" s="64"/>
      <c r="AE358" s="63"/>
    </row>
    <row r="359" spans="2:31" x14ac:dyDescent="0.25">
      <c r="B359" s="53">
        <f t="shared" si="5"/>
        <v>69</v>
      </c>
      <c r="C359" s="7"/>
      <c r="D359" s="17"/>
      <c r="E359" s="7"/>
      <c r="F359" s="18"/>
      <c r="G359" s="18"/>
      <c r="K359" s="13"/>
      <c r="L359" s="17"/>
      <c r="M359" s="13"/>
      <c r="N359" s="14"/>
      <c r="O359" s="14"/>
      <c r="S359" s="13"/>
      <c r="T359" s="17"/>
      <c r="U359" s="13"/>
      <c r="V359" s="14"/>
      <c r="W359" s="14"/>
      <c r="AA359" s="13"/>
      <c r="AB359" s="17"/>
      <c r="AC359" s="13"/>
      <c r="AD359" s="14"/>
      <c r="AE359" s="30"/>
    </row>
    <row r="360" spans="2:31" x14ac:dyDescent="0.25">
      <c r="B360" s="53">
        <f t="shared" si="5"/>
        <v>70</v>
      </c>
      <c r="C360" s="59" t="str">
        <f>IFERROR(VLOOKUP(C$13&amp;$B364,Aux!$B:$M,5,0),"")</f>
        <v/>
      </c>
      <c r="D360" s="60" t="str">
        <f>IFERROR(VLOOKUP(C$13&amp;$B360,Aux!$B:$M,3,0),"")</f>
        <v/>
      </c>
      <c r="E360" s="60"/>
      <c r="F360" s="60"/>
      <c r="G360" s="61" t="str">
        <f>IFERROR(VLOOKUP(C$13&amp;$B360,Aux!$B:$M,9,0),"")</f>
        <v/>
      </c>
      <c r="K360" s="59" t="str">
        <f>IFERROR(VLOOKUP(K$13&amp;$B364,Aux!$B:$M,5,0),"")</f>
        <v/>
      </c>
      <c r="L360" s="60" t="str">
        <f>IFERROR(VLOOKUP(K$13&amp;$B360,Aux!$B:$M,3,0),"")</f>
        <v/>
      </c>
      <c r="M360" s="60"/>
      <c r="N360" s="60"/>
      <c r="O360" s="61" t="str">
        <f>IFERROR(VLOOKUP(K$13&amp;$B360,Aux!$B:$M,9,0),"")</f>
        <v/>
      </c>
      <c r="S360" s="59" t="str">
        <f>IFERROR(VLOOKUP(S$13&amp;$B364,Aux!$B:$M,5,0),"")</f>
        <v/>
      </c>
      <c r="T360" s="60" t="str">
        <f>IFERROR(VLOOKUP(S$13&amp;$B360,Aux!$B:$M,3,0),"")</f>
        <v/>
      </c>
      <c r="U360" s="60"/>
      <c r="V360" s="60"/>
      <c r="W360" s="61" t="str">
        <f>IFERROR(VLOOKUP(S$13&amp;$B360,Aux!$B:$M,9,0),"")</f>
        <v/>
      </c>
      <c r="AA360" s="59" t="str">
        <f>IFERROR(VLOOKUP(AA$13&amp;$B364,Aux!$B:$M,5,0),"")</f>
        <v/>
      </c>
      <c r="AB360" s="60" t="str">
        <f>IFERROR(VLOOKUP(AA$13&amp;$B360,Aux!$B:$M,3,0),"")</f>
        <v/>
      </c>
      <c r="AC360" s="60"/>
      <c r="AD360" s="60"/>
      <c r="AE360" s="61" t="str">
        <f>IFERROR(VLOOKUP(AA$13&amp;$B360,Aux!$B:$M,9,0),"")</f>
        <v/>
      </c>
    </row>
    <row r="361" spans="2:31" x14ac:dyDescent="0.25">
      <c r="B361" s="53">
        <f t="shared" si="5"/>
        <v>70</v>
      </c>
      <c r="C361" s="59"/>
      <c r="D361" s="60"/>
      <c r="E361" s="60"/>
      <c r="F361" s="60"/>
      <c r="G361" s="61"/>
      <c r="K361" s="59"/>
      <c r="L361" s="60"/>
      <c r="M361" s="60"/>
      <c r="N361" s="60"/>
      <c r="O361" s="61"/>
      <c r="S361" s="59"/>
      <c r="T361" s="60"/>
      <c r="U361" s="60"/>
      <c r="V361" s="60"/>
      <c r="W361" s="61"/>
      <c r="AA361" s="59"/>
      <c r="AB361" s="60"/>
      <c r="AC361" s="60"/>
      <c r="AD361" s="60"/>
      <c r="AE361" s="61"/>
    </row>
    <row r="362" spans="2:31" x14ac:dyDescent="0.25">
      <c r="B362" s="53">
        <f t="shared" si="5"/>
        <v>70</v>
      </c>
      <c r="C362" s="59"/>
      <c r="D362" s="15" t="str">
        <f>IF(D360="","","Исполнитель"&amp;": ")</f>
        <v/>
      </c>
      <c r="E362" s="62" t="str">
        <f>IFERROR(VLOOKUP(C$13&amp;$B362,Aux!$B:$M,4,0),"")</f>
        <v/>
      </c>
      <c r="F362" s="62"/>
      <c r="G362" s="63" t="str">
        <f>IFERROR(IF(VLOOKUP(C$13&amp;$B360,Aux!$B:$M,8,0)="Да","✔","🕓"),"")</f>
        <v/>
      </c>
      <c r="K362" s="59"/>
      <c r="L362" s="15" t="str">
        <f>IF(L360="","","Исполнитель"&amp;": ")</f>
        <v/>
      </c>
      <c r="M362" s="62" t="str">
        <f>IFERROR(VLOOKUP(K$13&amp;$B362,Aux!$B:$M,4,0),"")</f>
        <v/>
      </c>
      <c r="N362" s="62"/>
      <c r="O362" s="63" t="str">
        <f>IFERROR(IF(VLOOKUP(K$13&amp;$B360,Aux!$B:$M,8,0)="Да","✔","🕓"),"")</f>
        <v/>
      </c>
      <c r="S362" s="59"/>
      <c r="T362" s="15" t="str">
        <f>IF(T360="","","Исполнитель"&amp;": ")</f>
        <v/>
      </c>
      <c r="U362" s="62" t="str">
        <f>IFERROR(VLOOKUP(S$13&amp;$B362,Aux!$B:$M,4,0),"")</f>
        <v/>
      </c>
      <c r="V362" s="62"/>
      <c r="W362" s="63" t="str">
        <f>IFERROR(IF(VLOOKUP(S$13&amp;$B360,Aux!$B:$M,8,0)="Да","✔","🕓"),"")</f>
        <v/>
      </c>
      <c r="AA362" s="59"/>
      <c r="AB362" s="15" t="str">
        <f>IF(AB360="","","Исполнитель"&amp;": ")</f>
        <v/>
      </c>
      <c r="AC362" s="62" t="str">
        <f>IFERROR(VLOOKUP(AA$13&amp;$B362,Aux!$B:$M,4,0),"")</f>
        <v/>
      </c>
      <c r="AD362" s="62"/>
      <c r="AE362" s="63" t="str">
        <f>IFERROR(IF(VLOOKUP(AA$13&amp;$B360,Aux!$B:$M,8,0)="Да","✔","🕓"),"")</f>
        <v/>
      </c>
    </row>
    <row r="363" spans="2:31" x14ac:dyDescent="0.25">
      <c r="B363" s="53">
        <f t="shared" si="5"/>
        <v>70</v>
      </c>
      <c r="C363" s="59"/>
      <c r="D363" s="16" t="str">
        <f>IF(D360="","","Срок сдачи"&amp;": ")</f>
        <v/>
      </c>
      <c r="E363" s="64" t="str">
        <f>IFERROR(VLOOKUP(C$13&amp;$B363,Aux!$B:$M,6,0),"")</f>
        <v/>
      </c>
      <c r="F363" s="64"/>
      <c r="G363" s="63"/>
      <c r="K363" s="59"/>
      <c r="L363" s="16" t="str">
        <f>IF(L360="","","Срок сдачи"&amp;": ")</f>
        <v/>
      </c>
      <c r="M363" s="64" t="str">
        <f>IFERROR(VLOOKUP(K$13&amp;$B363,Aux!$B:$M,6,0),"")</f>
        <v/>
      </c>
      <c r="N363" s="64"/>
      <c r="O363" s="63"/>
      <c r="S363" s="59"/>
      <c r="T363" s="16" t="str">
        <f>IF(T360="","","Срок сдачи"&amp;": ")</f>
        <v/>
      </c>
      <c r="U363" s="64" t="str">
        <f>IFERROR(VLOOKUP(S$13&amp;$B363,Aux!$B:$M,6,0),"")</f>
        <v/>
      </c>
      <c r="V363" s="64"/>
      <c r="W363" s="63"/>
      <c r="AA363" s="59"/>
      <c r="AB363" s="16" t="str">
        <f>IF(AB360="","","Срок сдачи"&amp;": ")</f>
        <v/>
      </c>
      <c r="AC363" s="64" t="str">
        <f>IFERROR(VLOOKUP(AA$13&amp;$B363,Aux!$B:$M,6,0),"")</f>
        <v/>
      </c>
      <c r="AD363" s="64"/>
      <c r="AE363" s="63"/>
    </row>
    <row r="364" spans="2:31" x14ac:dyDescent="0.25">
      <c r="B364" s="53">
        <f t="shared" si="5"/>
        <v>70</v>
      </c>
      <c r="C364" s="7"/>
      <c r="D364" s="17"/>
      <c r="E364" s="7"/>
      <c r="F364" s="18"/>
      <c r="G364" s="18"/>
      <c r="K364" s="13"/>
      <c r="L364" s="17"/>
      <c r="M364" s="13"/>
      <c r="N364" s="14"/>
      <c r="O364" s="14"/>
      <c r="S364" s="13"/>
      <c r="T364" s="17"/>
      <c r="U364" s="13"/>
      <c r="V364" s="14"/>
      <c r="W364" s="14"/>
      <c r="AA364" s="13"/>
      <c r="AB364" s="17"/>
      <c r="AC364" s="13"/>
      <c r="AD364" s="14"/>
      <c r="AE364" s="30"/>
    </row>
    <row r="365" spans="2:31" x14ac:dyDescent="0.25">
      <c r="B365" s="53">
        <f t="shared" si="5"/>
        <v>71</v>
      </c>
      <c r="C365" s="59" t="str">
        <f>IFERROR(VLOOKUP(C$13&amp;$B369,Aux!$B:$M,5,0),"")</f>
        <v/>
      </c>
      <c r="D365" s="60" t="str">
        <f>IFERROR(VLOOKUP(C$13&amp;$B365,Aux!$B:$M,3,0),"")</f>
        <v/>
      </c>
      <c r="E365" s="60"/>
      <c r="F365" s="60"/>
      <c r="G365" s="61" t="str">
        <f>IFERROR(VLOOKUP(C$13&amp;$B365,Aux!$B:$M,9,0),"")</f>
        <v/>
      </c>
      <c r="K365" s="59" t="str">
        <f>IFERROR(VLOOKUP(K$13&amp;$B369,Aux!$B:$M,5,0),"")</f>
        <v/>
      </c>
      <c r="L365" s="60" t="str">
        <f>IFERROR(VLOOKUP(K$13&amp;$B365,Aux!$B:$M,3,0),"")</f>
        <v/>
      </c>
      <c r="M365" s="60"/>
      <c r="N365" s="60"/>
      <c r="O365" s="61" t="str">
        <f>IFERROR(VLOOKUP(K$13&amp;$B365,Aux!$B:$M,9,0),"")</f>
        <v/>
      </c>
      <c r="S365" s="59" t="str">
        <f>IFERROR(VLOOKUP(S$13&amp;$B369,Aux!$B:$M,5,0),"")</f>
        <v/>
      </c>
      <c r="T365" s="60" t="str">
        <f>IFERROR(VLOOKUP(S$13&amp;$B365,Aux!$B:$M,3,0),"")</f>
        <v/>
      </c>
      <c r="U365" s="60"/>
      <c r="V365" s="60"/>
      <c r="W365" s="61" t="str">
        <f>IFERROR(VLOOKUP(S$13&amp;$B365,Aux!$B:$M,9,0),"")</f>
        <v/>
      </c>
      <c r="AA365" s="59" t="str">
        <f>IFERROR(VLOOKUP(AA$13&amp;$B369,Aux!$B:$M,5,0),"")</f>
        <v/>
      </c>
      <c r="AB365" s="60" t="str">
        <f>IFERROR(VLOOKUP(AA$13&amp;$B365,Aux!$B:$M,3,0),"")</f>
        <v/>
      </c>
      <c r="AC365" s="60"/>
      <c r="AD365" s="60"/>
      <c r="AE365" s="61" t="str">
        <f>IFERROR(VLOOKUP(AA$13&amp;$B365,Aux!$B:$M,9,0),"")</f>
        <v/>
      </c>
    </row>
    <row r="366" spans="2:31" x14ac:dyDescent="0.25">
      <c r="B366" s="53">
        <f t="shared" si="5"/>
        <v>71</v>
      </c>
      <c r="C366" s="59"/>
      <c r="D366" s="60"/>
      <c r="E366" s="60"/>
      <c r="F366" s="60"/>
      <c r="G366" s="61"/>
      <c r="K366" s="59"/>
      <c r="L366" s="60"/>
      <c r="M366" s="60"/>
      <c r="N366" s="60"/>
      <c r="O366" s="61"/>
      <c r="S366" s="59"/>
      <c r="T366" s="60"/>
      <c r="U366" s="60"/>
      <c r="V366" s="60"/>
      <c r="W366" s="61"/>
      <c r="AA366" s="59"/>
      <c r="AB366" s="60"/>
      <c r="AC366" s="60"/>
      <c r="AD366" s="60"/>
      <c r="AE366" s="61"/>
    </row>
    <row r="367" spans="2:31" x14ac:dyDescent="0.25">
      <c r="B367" s="53">
        <f t="shared" si="5"/>
        <v>71</v>
      </c>
      <c r="C367" s="59"/>
      <c r="D367" s="15" t="str">
        <f>IF(D365="","","Исполнитель"&amp;": ")</f>
        <v/>
      </c>
      <c r="E367" s="62" t="str">
        <f>IFERROR(VLOOKUP(C$13&amp;$B367,Aux!$B:$M,4,0),"")</f>
        <v/>
      </c>
      <c r="F367" s="62"/>
      <c r="G367" s="63" t="str">
        <f>IFERROR(IF(VLOOKUP(C$13&amp;$B365,Aux!$B:$M,8,0)="Да","✔","🕓"),"")</f>
        <v/>
      </c>
      <c r="K367" s="59"/>
      <c r="L367" s="15" t="str">
        <f>IF(L365="","","Исполнитель"&amp;": ")</f>
        <v/>
      </c>
      <c r="M367" s="62" t="str">
        <f>IFERROR(VLOOKUP(K$13&amp;$B367,Aux!$B:$M,4,0),"")</f>
        <v/>
      </c>
      <c r="N367" s="62"/>
      <c r="O367" s="63" t="str">
        <f>IFERROR(IF(VLOOKUP(K$13&amp;$B365,Aux!$B:$M,8,0)="Да","✔","🕓"),"")</f>
        <v/>
      </c>
      <c r="S367" s="59"/>
      <c r="T367" s="15" t="str">
        <f>IF(T365="","","Исполнитель"&amp;": ")</f>
        <v/>
      </c>
      <c r="U367" s="62" t="str">
        <f>IFERROR(VLOOKUP(S$13&amp;$B367,Aux!$B:$M,4,0),"")</f>
        <v/>
      </c>
      <c r="V367" s="62"/>
      <c r="W367" s="63" t="str">
        <f>IFERROR(IF(VLOOKUP(S$13&amp;$B365,Aux!$B:$M,8,0)="Да","✔","🕓"),"")</f>
        <v/>
      </c>
      <c r="AA367" s="59"/>
      <c r="AB367" s="15" t="str">
        <f>IF(AB365="","","Исполнитель"&amp;": ")</f>
        <v/>
      </c>
      <c r="AC367" s="62" t="str">
        <f>IFERROR(VLOOKUP(AA$13&amp;$B367,Aux!$B:$M,4,0),"")</f>
        <v/>
      </c>
      <c r="AD367" s="62"/>
      <c r="AE367" s="63" t="str">
        <f>IFERROR(IF(VLOOKUP(AA$13&amp;$B365,Aux!$B:$M,8,0)="Да","✔","🕓"),"")</f>
        <v/>
      </c>
    </row>
    <row r="368" spans="2:31" x14ac:dyDescent="0.25">
      <c r="B368" s="53">
        <f t="shared" si="5"/>
        <v>71</v>
      </c>
      <c r="C368" s="59"/>
      <c r="D368" s="16" t="str">
        <f>IF(D365="","","Срок сдачи"&amp;": ")</f>
        <v/>
      </c>
      <c r="E368" s="64" t="str">
        <f>IFERROR(VLOOKUP(C$13&amp;$B368,Aux!$B:$M,6,0),"")</f>
        <v/>
      </c>
      <c r="F368" s="64"/>
      <c r="G368" s="63"/>
      <c r="K368" s="59"/>
      <c r="L368" s="16" t="str">
        <f>IF(L365="","","Срок сдачи"&amp;": ")</f>
        <v/>
      </c>
      <c r="M368" s="64" t="str">
        <f>IFERROR(VLOOKUP(K$13&amp;$B368,Aux!$B:$M,6,0),"")</f>
        <v/>
      </c>
      <c r="N368" s="64"/>
      <c r="O368" s="63"/>
      <c r="S368" s="59"/>
      <c r="T368" s="16" t="str">
        <f>IF(T365="","","Срок сдачи"&amp;": ")</f>
        <v/>
      </c>
      <c r="U368" s="64" t="str">
        <f>IFERROR(VLOOKUP(S$13&amp;$B368,Aux!$B:$M,6,0),"")</f>
        <v/>
      </c>
      <c r="V368" s="64"/>
      <c r="W368" s="63"/>
      <c r="AA368" s="59"/>
      <c r="AB368" s="16" t="str">
        <f>IF(AB365="","","Срок сдачи"&amp;": ")</f>
        <v/>
      </c>
      <c r="AC368" s="64" t="str">
        <f>IFERROR(VLOOKUP(AA$13&amp;$B368,Aux!$B:$M,6,0),"")</f>
        <v/>
      </c>
      <c r="AD368" s="64"/>
      <c r="AE368" s="63"/>
    </row>
    <row r="369" spans="2:31" x14ac:dyDescent="0.25">
      <c r="B369" s="53">
        <f t="shared" si="5"/>
        <v>71</v>
      </c>
      <c r="C369" s="7"/>
      <c r="D369" s="17"/>
      <c r="E369" s="7"/>
      <c r="F369" s="18"/>
      <c r="G369" s="18"/>
      <c r="K369" s="13"/>
      <c r="L369" s="17"/>
      <c r="M369" s="13"/>
      <c r="N369" s="14"/>
      <c r="O369" s="14"/>
      <c r="S369" s="13"/>
      <c r="T369" s="17"/>
      <c r="U369" s="13"/>
      <c r="V369" s="14"/>
      <c r="W369" s="14"/>
      <c r="AA369" s="13"/>
      <c r="AB369" s="17"/>
      <c r="AC369" s="13"/>
      <c r="AD369" s="14"/>
      <c r="AE369" s="30"/>
    </row>
    <row r="370" spans="2:31" x14ac:dyDescent="0.25">
      <c r="B370" s="53">
        <f t="shared" si="5"/>
        <v>72</v>
      </c>
      <c r="C370" s="59" t="str">
        <f>IFERROR(VLOOKUP(C$13&amp;$B374,Aux!$B:$M,5,0),"")</f>
        <v/>
      </c>
      <c r="D370" s="60" t="str">
        <f>IFERROR(VLOOKUP(C$13&amp;$B370,Aux!$B:$M,3,0),"")</f>
        <v/>
      </c>
      <c r="E370" s="60"/>
      <c r="F370" s="60"/>
      <c r="G370" s="61" t="str">
        <f>IFERROR(VLOOKUP(C$13&amp;$B370,Aux!$B:$M,9,0),"")</f>
        <v/>
      </c>
      <c r="K370" s="59" t="str">
        <f>IFERROR(VLOOKUP(K$13&amp;$B374,Aux!$B:$M,5,0),"")</f>
        <v/>
      </c>
      <c r="L370" s="60" t="str">
        <f>IFERROR(VLOOKUP(K$13&amp;$B370,Aux!$B:$M,3,0),"")</f>
        <v/>
      </c>
      <c r="M370" s="60"/>
      <c r="N370" s="60"/>
      <c r="O370" s="61" t="str">
        <f>IFERROR(VLOOKUP(K$13&amp;$B370,Aux!$B:$M,9,0),"")</f>
        <v/>
      </c>
      <c r="S370" s="59" t="str">
        <f>IFERROR(VLOOKUP(S$13&amp;$B374,Aux!$B:$M,5,0),"")</f>
        <v/>
      </c>
      <c r="T370" s="60" t="str">
        <f>IFERROR(VLOOKUP(S$13&amp;$B370,Aux!$B:$M,3,0),"")</f>
        <v/>
      </c>
      <c r="U370" s="60"/>
      <c r="V370" s="60"/>
      <c r="W370" s="61" t="str">
        <f>IFERROR(VLOOKUP(S$13&amp;$B370,Aux!$B:$M,9,0),"")</f>
        <v/>
      </c>
      <c r="AA370" s="59" t="str">
        <f>IFERROR(VLOOKUP(AA$13&amp;$B374,Aux!$B:$M,5,0),"")</f>
        <v/>
      </c>
      <c r="AB370" s="60" t="str">
        <f>IFERROR(VLOOKUP(AA$13&amp;$B370,Aux!$B:$M,3,0),"")</f>
        <v/>
      </c>
      <c r="AC370" s="60"/>
      <c r="AD370" s="60"/>
      <c r="AE370" s="61" t="str">
        <f>IFERROR(VLOOKUP(AA$13&amp;$B370,Aux!$B:$M,9,0),"")</f>
        <v/>
      </c>
    </row>
    <row r="371" spans="2:31" x14ac:dyDescent="0.25">
      <c r="B371" s="53">
        <f t="shared" si="5"/>
        <v>72</v>
      </c>
      <c r="C371" s="59"/>
      <c r="D371" s="60"/>
      <c r="E371" s="60"/>
      <c r="F371" s="60"/>
      <c r="G371" s="61"/>
      <c r="K371" s="59"/>
      <c r="L371" s="60"/>
      <c r="M371" s="60"/>
      <c r="N371" s="60"/>
      <c r="O371" s="61"/>
      <c r="S371" s="59"/>
      <c r="T371" s="60"/>
      <c r="U371" s="60"/>
      <c r="V371" s="60"/>
      <c r="W371" s="61"/>
      <c r="AA371" s="59"/>
      <c r="AB371" s="60"/>
      <c r="AC371" s="60"/>
      <c r="AD371" s="60"/>
      <c r="AE371" s="61"/>
    </row>
    <row r="372" spans="2:31" x14ac:dyDescent="0.25">
      <c r="B372" s="53">
        <f t="shared" si="5"/>
        <v>72</v>
      </c>
      <c r="C372" s="59"/>
      <c r="D372" s="15" t="str">
        <f>IF(D370="","","Исполнитель"&amp;": ")</f>
        <v/>
      </c>
      <c r="E372" s="62" t="str">
        <f>IFERROR(VLOOKUP(C$13&amp;$B372,Aux!$B:$M,4,0),"")</f>
        <v/>
      </c>
      <c r="F372" s="62"/>
      <c r="G372" s="63" t="str">
        <f>IFERROR(IF(VLOOKUP(C$13&amp;$B370,Aux!$B:$M,8,0)="Да","✔","🕓"),"")</f>
        <v/>
      </c>
      <c r="K372" s="59"/>
      <c r="L372" s="15" t="str">
        <f>IF(L370="","","Исполнитель"&amp;": ")</f>
        <v/>
      </c>
      <c r="M372" s="62" t="str">
        <f>IFERROR(VLOOKUP(K$13&amp;$B372,Aux!$B:$M,4,0),"")</f>
        <v/>
      </c>
      <c r="N372" s="62"/>
      <c r="O372" s="63" t="str">
        <f>IFERROR(IF(VLOOKUP(K$13&amp;$B370,Aux!$B:$M,8,0)="Да","✔","🕓"),"")</f>
        <v/>
      </c>
      <c r="S372" s="59"/>
      <c r="T372" s="15" t="str">
        <f>IF(T370="","","Исполнитель"&amp;": ")</f>
        <v/>
      </c>
      <c r="U372" s="62" t="str">
        <f>IFERROR(VLOOKUP(S$13&amp;$B372,Aux!$B:$M,4,0),"")</f>
        <v/>
      </c>
      <c r="V372" s="62"/>
      <c r="W372" s="63" t="str">
        <f>IFERROR(IF(VLOOKUP(S$13&amp;$B370,Aux!$B:$M,8,0)="Да","✔","🕓"),"")</f>
        <v/>
      </c>
      <c r="AA372" s="59"/>
      <c r="AB372" s="15" t="str">
        <f>IF(AB370="","","Исполнитель"&amp;": ")</f>
        <v/>
      </c>
      <c r="AC372" s="62" t="str">
        <f>IFERROR(VLOOKUP(AA$13&amp;$B372,Aux!$B:$M,4,0),"")</f>
        <v/>
      </c>
      <c r="AD372" s="62"/>
      <c r="AE372" s="63" t="str">
        <f>IFERROR(IF(VLOOKUP(AA$13&amp;$B370,Aux!$B:$M,8,0)="Да","✔","🕓"),"")</f>
        <v/>
      </c>
    </row>
    <row r="373" spans="2:31" x14ac:dyDescent="0.25">
      <c r="B373" s="53">
        <f t="shared" si="5"/>
        <v>72</v>
      </c>
      <c r="C373" s="59"/>
      <c r="D373" s="16" t="str">
        <f>IF(D370="","","Срок сдачи"&amp;": ")</f>
        <v/>
      </c>
      <c r="E373" s="64" t="str">
        <f>IFERROR(VLOOKUP(C$13&amp;$B373,Aux!$B:$M,6,0),"")</f>
        <v/>
      </c>
      <c r="F373" s="64"/>
      <c r="G373" s="63"/>
      <c r="K373" s="59"/>
      <c r="L373" s="16" t="str">
        <f>IF(L370="","","Срок сдачи"&amp;": ")</f>
        <v/>
      </c>
      <c r="M373" s="64" t="str">
        <f>IFERROR(VLOOKUP(K$13&amp;$B373,Aux!$B:$M,6,0),"")</f>
        <v/>
      </c>
      <c r="N373" s="64"/>
      <c r="O373" s="63"/>
      <c r="S373" s="59"/>
      <c r="T373" s="16" t="str">
        <f>IF(T370="","","Срок сдачи"&amp;": ")</f>
        <v/>
      </c>
      <c r="U373" s="64" t="str">
        <f>IFERROR(VLOOKUP(S$13&amp;$B373,Aux!$B:$M,6,0),"")</f>
        <v/>
      </c>
      <c r="V373" s="64"/>
      <c r="W373" s="63"/>
      <c r="AA373" s="59"/>
      <c r="AB373" s="16" t="str">
        <f>IF(AB370="","","Срок сдачи"&amp;": ")</f>
        <v/>
      </c>
      <c r="AC373" s="64" t="str">
        <f>IFERROR(VLOOKUP(AA$13&amp;$B373,Aux!$B:$M,6,0),"")</f>
        <v/>
      </c>
      <c r="AD373" s="64"/>
      <c r="AE373" s="63"/>
    </row>
    <row r="374" spans="2:31" x14ac:dyDescent="0.25">
      <c r="B374" s="53">
        <f t="shared" si="5"/>
        <v>72</v>
      </c>
      <c r="C374" s="7"/>
      <c r="D374" s="17"/>
      <c r="E374" s="7"/>
      <c r="F374" s="18"/>
      <c r="G374" s="18"/>
      <c r="K374" s="13"/>
      <c r="L374" s="17"/>
      <c r="M374" s="13"/>
      <c r="N374" s="14"/>
      <c r="O374" s="14"/>
      <c r="S374" s="13"/>
      <c r="T374" s="17"/>
      <c r="U374" s="13"/>
      <c r="V374" s="14"/>
      <c r="W374" s="14"/>
      <c r="AA374" s="13"/>
      <c r="AB374" s="17"/>
      <c r="AC374" s="13"/>
      <c r="AD374" s="14"/>
      <c r="AE374" s="30"/>
    </row>
    <row r="375" spans="2:31" x14ac:dyDescent="0.25">
      <c r="B375" s="53">
        <f t="shared" si="5"/>
        <v>73</v>
      </c>
      <c r="C375" s="59" t="str">
        <f>IFERROR(VLOOKUP(C$13&amp;$B379,Aux!$B:$M,5,0),"")</f>
        <v/>
      </c>
      <c r="D375" s="60" t="str">
        <f>IFERROR(VLOOKUP(C$13&amp;$B375,Aux!$B:$M,3,0),"")</f>
        <v/>
      </c>
      <c r="E375" s="60"/>
      <c r="F375" s="60"/>
      <c r="G375" s="61" t="str">
        <f>IFERROR(VLOOKUP(C$13&amp;$B375,Aux!$B:$M,9,0),"")</f>
        <v/>
      </c>
      <c r="K375" s="59" t="str">
        <f>IFERROR(VLOOKUP(K$13&amp;$B379,Aux!$B:$M,5,0),"")</f>
        <v/>
      </c>
      <c r="L375" s="60" t="str">
        <f>IFERROR(VLOOKUP(K$13&amp;$B375,Aux!$B:$M,3,0),"")</f>
        <v/>
      </c>
      <c r="M375" s="60"/>
      <c r="N375" s="60"/>
      <c r="O375" s="61" t="str">
        <f>IFERROR(VLOOKUP(K$13&amp;$B375,Aux!$B:$M,9,0),"")</f>
        <v/>
      </c>
      <c r="S375" s="59" t="str">
        <f>IFERROR(VLOOKUP(S$13&amp;$B379,Aux!$B:$M,5,0),"")</f>
        <v/>
      </c>
      <c r="T375" s="60" t="str">
        <f>IFERROR(VLOOKUP(S$13&amp;$B375,Aux!$B:$M,3,0),"")</f>
        <v/>
      </c>
      <c r="U375" s="60"/>
      <c r="V375" s="60"/>
      <c r="W375" s="61" t="str">
        <f>IFERROR(VLOOKUP(S$13&amp;$B375,Aux!$B:$M,9,0),"")</f>
        <v/>
      </c>
      <c r="AA375" s="59" t="str">
        <f>IFERROR(VLOOKUP(AA$13&amp;$B379,Aux!$B:$M,5,0),"")</f>
        <v/>
      </c>
      <c r="AB375" s="60" t="str">
        <f>IFERROR(VLOOKUP(AA$13&amp;$B375,Aux!$B:$M,3,0),"")</f>
        <v/>
      </c>
      <c r="AC375" s="60"/>
      <c r="AD375" s="60"/>
      <c r="AE375" s="61" t="str">
        <f>IFERROR(VLOOKUP(AA$13&amp;$B375,Aux!$B:$M,9,0),"")</f>
        <v/>
      </c>
    </row>
    <row r="376" spans="2:31" x14ac:dyDescent="0.25">
      <c r="B376" s="53">
        <f t="shared" si="5"/>
        <v>73</v>
      </c>
      <c r="C376" s="59"/>
      <c r="D376" s="60"/>
      <c r="E376" s="60"/>
      <c r="F376" s="60"/>
      <c r="G376" s="61"/>
      <c r="K376" s="59"/>
      <c r="L376" s="60"/>
      <c r="M376" s="60"/>
      <c r="N376" s="60"/>
      <c r="O376" s="61"/>
      <c r="S376" s="59"/>
      <c r="T376" s="60"/>
      <c r="U376" s="60"/>
      <c r="V376" s="60"/>
      <c r="W376" s="61"/>
      <c r="AA376" s="59"/>
      <c r="AB376" s="60"/>
      <c r="AC376" s="60"/>
      <c r="AD376" s="60"/>
      <c r="AE376" s="61"/>
    </row>
    <row r="377" spans="2:31" x14ac:dyDescent="0.25">
      <c r="B377" s="53">
        <f t="shared" si="5"/>
        <v>73</v>
      </c>
      <c r="C377" s="59"/>
      <c r="D377" s="15" t="str">
        <f>IF(D375="","","Исполнитель"&amp;": ")</f>
        <v/>
      </c>
      <c r="E377" s="62" t="str">
        <f>IFERROR(VLOOKUP(C$13&amp;$B377,Aux!$B:$M,4,0),"")</f>
        <v/>
      </c>
      <c r="F377" s="62"/>
      <c r="G377" s="63" t="str">
        <f>IFERROR(IF(VLOOKUP(C$13&amp;$B375,Aux!$B:$M,8,0)="Да","✔","🕓"),"")</f>
        <v/>
      </c>
      <c r="K377" s="59"/>
      <c r="L377" s="15" t="str">
        <f>IF(L375="","","Исполнитель"&amp;": ")</f>
        <v/>
      </c>
      <c r="M377" s="62" t="str">
        <f>IFERROR(VLOOKUP(K$13&amp;$B377,Aux!$B:$M,4,0),"")</f>
        <v/>
      </c>
      <c r="N377" s="62"/>
      <c r="O377" s="63" t="str">
        <f>IFERROR(IF(VLOOKUP(K$13&amp;$B375,Aux!$B:$M,8,0)="Да","✔","🕓"),"")</f>
        <v/>
      </c>
      <c r="S377" s="59"/>
      <c r="T377" s="15" t="str">
        <f>IF(T375="","","Исполнитель"&amp;": ")</f>
        <v/>
      </c>
      <c r="U377" s="62" t="str">
        <f>IFERROR(VLOOKUP(S$13&amp;$B377,Aux!$B:$M,4,0),"")</f>
        <v/>
      </c>
      <c r="V377" s="62"/>
      <c r="W377" s="63" t="str">
        <f>IFERROR(IF(VLOOKUP(S$13&amp;$B375,Aux!$B:$M,8,0)="Да","✔","🕓"),"")</f>
        <v/>
      </c>
      <c r="AA377" s="59"/>
      <c r="AB377" s="15" t="str">
        <f>IF(AB375="","","Исполнитель"&amp;": ")</f>
        <v/>
      </c>
      <c r="AC377" s="62" t="str">
        <f>IFERROR(VLOOKUP(AA$13&amp;$B377,Aux!$B:$M,4,0),"")</f>
        <v/>
      </c>
      <c r="AD377" s="62"/>
      <c r="AE377" s="63" t="str">
        <f>IFERROR(IF(VLOOKUP(AA$13&amp;$B375,Aux!$B:$M,8,0)="Да","✔","🕓"),"")</f>
        <v/>
      </c>
    </row>
    <row r="378" spans="2:31" x14ac:dyDescent="0.25">
      <c r="B378" s="53">
        <f t="shared" si="5"/>
        <v>73</v>
      </c>
      <c r="C378" s="59"/>
      <c r="D378" s="16" t="str">
        <f>IF(D375="","","Срок сдачи"&amp;": ")</f>
        <v/>
      </c>
      <c r="E378" s="64" t="str">
        <f>IFERROR(VLOOKUP(C$13&amp;$B378,Aux!$B:$M,6,0),"")</f>
        <v/>
      </c>
      <c r="F378" s="64"/>
      <c r="G378" s="63"/>
      <c r="K378" s="59"/>
      <c r="L378" s="16" t="str">
        <f>IF(L375="","","Срок сдачи"&amp;": ")</f>
        <v/>
      </c>
      <c r="M378" s="64" t="str">
        <f>IFERROR(VLOOKUP(K$13&amp;$B378,Aux!$B:$M,6,0),"")</f>
        <v/>
      </c>
      <c r="N378" s="64"/>
      <c r="O378" s="63"/>
      <c r="S378" s="59"/>
      <c r="T378" s="16" t="str">
        <f>IF(T375="","","Срок сдачи"&amp;": ")</f>
        <v/>
      </c>
      <c r="U378" s="64" t="str">
        <f>IFERROR(VLOOKUP(S$13&amp;$B378,Aux!$B:$M,6,0),"")</f>
        <v/>
      </c>
      <c r="V378" s="64"/>
      <c r="W378" s="63"/>
      <c r="AA378" s="59"/>
      <c r="AB378" s="16" t="str">
        <f>IF(AB375="","","Срок сдачи"&amp;": ")</f>
        <v/>
      </c>
      <c r="AC378" s="64" t="str">
        <f>IFERROR(VLOOKUP(AA$13&amp;$B378,Aux!$B:$M,6,0),"")</f>
        <v/>
      </c>
      <c r="AD378" s="64"/>
      <c r="AE378" s="63"/>
    </row>
    <row r="379" spans="2:31" x14ac:dyDescent="0.25">
      <c r="B379" s="53">
        <f t="shared" si="5"/>
        <v>73</v>
      </c>
      <c r="C379" s="7"/>
      <c r="D379" s="17"/>
      <c r="E379" s="7"/>
      <c r="F379" s="18"/>
      <c r="G379" s="18"/>
      <c r="K379" s="13"/>
      <c r="L379" s="17"/>
      <c r="M379" s="13"/>
      <c r="N379" s="14"/>
      <c r="O379" s="14"/>
      <c r="S379" s="13"/>
      <c r="T379" s="17"/>
      <c r="U379" s="13"/>
      <c r="V379" s="14"/>
      <c r="W379" s="14"/>
      <c r="AA379" s="13"/>
      <c r="AB379" s="17"/>
      <c r="AC379" s="13"/>
      <c r="AD379" s="14"/>
      <c r="AE379" s="30"/>
    </row>
    <row r="380" spans="2:31" x14ac:dyDescent="0.25">
      <c r="B380" s="53">
        <f t="shared" si="5"/>
        <v>74</v>
      </c>
      <c r="C380" s="59" t="str">
        <f>IFERROR(VLOOKUP(C$13&amp;$B384,Aux!$B:$M,5,0),"")</f>
        <v/>
      </c>
      <c r="D380" s="60" t="str">
        <f>IFERROR(VLOOKUP(C$13&amp;$B380,Aux!$B:$M,3,0),"")</f>
        <v/>
      </c>
      <c r="E380" s="60"/>
      <c r="F380" s="60"/>
      <c r="G380" s="61" t="str">
        <f>IFERROR(VLOOKUP(C$13&amp;$B380,Aux!$B:$M,9,0),"")</f>
        <v/>
      </c>
      <c r="K380" s="59" t="str">
        <f>IFERROR(VLOOKUP(K$13&amp;$B384,Aux!$B:$M,5,0),"")</f>
        <v/>
      </c>
      <c r="L380" s="60" t="str">
        <f>IFERROR(VLOOKUP(K$13&amp;$B380,Aux!$B:$M,3,0),"")</f>
        <v/>
      </c>
      <c r="M380" s="60"/>
      <c r="N380" s="60"/>
      <c r="O380" s="61" t="str">
        <f>IFERROR(VLOOKUP(K$13&amp;$B380,Aux!$B:$M,9,0),"")</f>
        <v/>
      </c>
      <c r="S380" s="59" t="str">
        <f>IFERROR(VLOOKUP(S$13&amp;$B384,Aux!$B:$M,5,0),"")</f>
        <v/>
      </c>
      <c r="T380" s="60" t="str">
        <f>IFERROR(VLOOKUP(S$13&amp;$B380,Aux!$B:$M,3,0),"")</f>
        <v/>
      </c>
      <c r="U380" s="60"/>
      <c r="V380" s="60"/>
      <c r="W380" s="61" t="str">
        <f>IFERROR(VLOOKUP(S$13&amp;$B380,Aux!$B:$M,9,0),"")</f>
        <v/>
      </c>
      <c r="AA380" s="59" t="str">
        <f>IFERROR(VLOOKUP(AA$13&amp;$B384,Aux!$B:$M,5,0),"")</f>
        <v/>
      </c>
      <c r="AB380" s="60" t="str">
        <f>IFERROR(VLOOKUP(AA$13&amp;$B380,Aux!$B:$M,3,0),"")</f>
        <v/>
      </c>
      <c r="AC380" s="60"/>
      <c r="AD380" s="60"/>
      <c r="AE380" s="61" t="str">
        <f>IFERROR(VLOOKUP(AA$13&amp;$B380,Aux!$B:$M,9,0),"")</f>
        <v/>
      </c>
    </row>
    <row r="381" spans="2:31" x14ac:dyDescent="0.25">
      <c r="B381" s="53">
        <f t="shared" si="5"/>
        <v>74</v>
      </c>
      <c r="C381" s="59"/>
      <c r="D381" s="60"/>
      <c r="E381" s="60"/>
      <c r="F381" s="60"/>
      <c r="G381" s="61"/>
      <c r="K381" s="59"/>
      <c r="L381" s="60"/>
      <c r="M381" s="60"/>
      <c r="N381" s="60"/>
      <c r="O381" s="61"/>
      <c r="S381" s="59"/>
      <c r="T381" s="60"/>
      <c r="U381" s="60"/>
      <c r="V381" s="60"/>
      <c r="W381" s="61"/>
      <c r="AA381" s="59"/>
      <c r="AB381" s="60"/>
      <c r="AC381" s="60"/>
      <c r="AD381" s="60"/>
      <c r="AE381" s="61"/>
    </row>
    <row r="382" spans="2:31" x14ac:dyDescent="0.25">
      <c r="B382" s="53">
        <f t="shared" si="5"/>
        <v>74</v>
      </c>
      <c r="C382" s="59"/>
      <c r="D382" s="15" t="str">
        <f>IF(D380="","","Исполнитель"&amp;": ")</f>
        <v/>
      </c>
      <c r="E382" s="62" t="str">
        <f>IFERROR(VLOOKUP(C$13&amp;$B382,Aux!$B:$M,4,0),"")</f>
        <v/>
      </c>
      <c r="F382" s="62"/>
      <c r="G382" s="63" t="str">
        <f>IFERROR(IF(VLOOKUP(C$13&amp;$B380,Aux!$B:$M,8,0)="Да","✔","🕓"),"")</f>
        <v/>
      </c>
      <c r="K382" s="59"/>
      <c r="L382" s="15" t="str">
        <f>IF(L380="","","Исполнитель"&amp;": ")</f>
        <v/>
      </c>
      <c r="M382" s="62" t="str">
        <f>IFERROR(VLOOKUP(K$13&amp;$B382,Aux!$B:$M,4,0),"")</f>
        <v/>
      </c>
      <c r="N382" s="62"/>
      <c r="O382" s="63" t="str">
        <f>IFERROR(IF(VLOOKUP(K$13&amp;$B380,Aux!$B:$M,8,0)="Да","✔","🕓"),"")</f>
        <v/>
      </c>
      <c r="S382" s="59"/>
      <c r="T382" s="15" t="str">
        <f>IF(T380="","","Исполнитель"&amp;": ")</f>
        <v/>
      </c>
      <c r="U382" s="62" t="str">
        <f>IFERROR(VLOOKUP(S$13&amp;$B382,Aux!$B:$M,4,0),"")</f>
        <v/>
      </c>
      <c r="V382" s="62"/>
      <c r="W382" s="63" t="str">
        <f>IFERROR(IF(VLOOKUP(S$13&amp;$B380,Aux!$B:$M,8,0)="Да","✔","🕓"),"")</f>
        <v/>
      </c>
      <c r="AA382" s="59"/>
      <c r="AB382" s="15" t="str">
        <f>IF(AB380="","","Исполнитель"&amp;": ")</f>
        <v/>
      </c>
      <c r="AC382" s="62" t="str">
        <f>IFERROR(VLOOKUP(AA$13&amp;$B382,Aux!$B:$M,4,0),"")</f>
        <v/>
      </c>
      <c r="AD382" s="62"/>
      <c r="AE382" s="63" t="str">
        <f>IFERROR(IF(VLOOKUP(AA$13&amp;$B380,Aux!$B:$M,8,0)="Да","✔","🕓"),"")</f>
        <v/>
      </c>
    </row>
    <row r="383" spans="2:31" x14ac:dyDescent="0.25">
      <c r="B383" s="53">
        <f t="shared" si="5"/>
        <v>74</v>
      </c>
      <c r="C383" s="59"/>
      <c r="D383" s="16" t="str">
        <f>IF(D380="","","Срок сдачи"&amp;": ")</f>
        <v/>
      </c>
      <c r="E383" s="64" t="str">
        <f>IFERROR(VLOOKUP(C$13&amp;$B383,Aux!$B:$M,6,0),"")</f>
        <v/>
      </c>
      <c r="F383" s="64"/>
      <c r="G383" s="63"/>
      <c r="K383" s="59"/>
      <c r="L383" s="16" t="str">
        <f>IF(L380="","","Срок сдачи"&amp;": ")</f>
        <v/>
      </c>
      <c r="M383" s="64" t="str">
        <f>IFERROR(VLOOKUP(K$13&amp;$B383,Aux!$B:$M,6,0),"")</f>
        <v/>
      </c>
      <c r="N383" s="64"/>
      <c r="O383" s="63"/>
      <c r="S383" s="59"/>
      <c r="T383" s="16" t="str">
        <f>IF(T380="","","Срок сдачи"&amp;": ")</f>
        <v/>
      </c>
      <c r="U383" s="64" t="str">
        <f>IFERROR(VLOOKUP(S$13&amp;$B383,Aux!$B:$M,6,0),"")</f>
        <v/>
      </c>
      <c r="V383" s="64"/>
      <c r="W383" s="63"/>
      <c r="AA383" s="59"/>
      <c r="AB383" s="16" t="str">
        <f>IF(AB380="","","Срок сдачи"&amp;": ")</f>
        <v/>
      </c>
      <c r="AC383" s="64" t="str">
        <f>IFERROR(VLOOKUP(AA$13&amp;$B383,Aux!$B:$M,6,0),"")</f>
        <v/>
      </c>
      <c r="AD383" s="64"/>
      <c r="AE383" s="63"/>
    </row>
    <row r="384" spans="2:31" x14ac:dyDescent="0.25">
      <c r="B384" s="53">
        <f t="shared" si="5"/>
        <v>74</v>
      </c>
      <c r="C384" s="7"/>
      <c r="D384" s="17"/>
      <c r="E384" s="7"/>
      <c r="F384" s="18"/>
      <c r="G384" s="18"/>
      <c r="K384" s="13"/>
      <c r="L384" s="17"/>
      <c r="M384" s="13"/>
      <c r="N384" s="14"/>
      <c r="O384" s="14"/>
      <c r="S384" s="13"/>
      <c r="T384" s="17"/>
      <c r="U384" s="13"/>
      <c r="V384" s="14"/>
      <c r="W384" s="14"/>
      <c r="AA384" s="13"/>
      <c r="AB384" s="17"/>
      <c r="AC384" s="13"/>
      <c r="AD384" s="14"/>
      <c r="AE384" s="30"/>
    </row>
    <row r="385" spans="2:31" x14ac:dyDescent="0.25">
      <c r="B385" s="53">
        <f t="shared" si="5"/>
        <v>75</v>
      </c>
      <c r="C385" s="59" t="str">
        <f>IFERROR(VLOOKUP(C$13&amp;$B389,Aux!$B:$M,5,0),"")</f>
        <v/>
      </c>
      <c r="D385" s="60" t="str">
        <f>IFERROR(VLOOKUP(C$13&amp;$B385,Aux!$B:$M,3,0),"")</f>
        <v/>
      </c>
      <c r="E385" s="60"/>
      <c r="F385" s="60"/>
      <c r="G385" s="61" t="str">
        <f>IFERROR(VLOOKUP(C$13&amp;$B385,Aux!$B:$M,9,0),"")</f>
        <v/>
      </c>
      <c r="K385" s="59" t="str">
        <f>IFERROR(VLOOKUP(K$13&amp;$B389,Aux!$B:$M,5,0),"")</f>
        <v/>
      </c>
      <c r="L385" s="60" t="str">
        <f>IFERROR(VLOOKUP(K$13&amp;$B385,Aux!$B:$M,3,0),"")</f>
        <v/>
      </c>
      <c r="M385" s="60"/>
      <c r="N385" s="60"/>
      <c r="O385" s="61" t="str">
        <f>IFERROR(VLOOKUP(K$13&amp;$B385,Aux!$B:$M,9,0),"")</f>
        <v/>
      </c>
      <c r="S385" s="59" t="str">
        <f>IFERROR(VLOOKUP(S$13&amp;$B389,Aux!$B:$M,5,0),"")</f>
        <v/>
      </c>
      <c r="T385" s="60" t="str">
        <f>IFERROR(VLOOKUP(S$13&amp;$B385,Aux!$B:$M,3,0),"")</f>
        <v/>
      </c>
      <c r="U385" s="60"/>
      <c r="V385" s="60"/>
      <c r="W385" s="61" t="str">
        <f>IFERROR(VLOOKUP(S$13&amp;$B385,Aux!$B:$M,9,0),"")</f>
        <v/>
      </c>
      <c r="AA385" s="59" t="str">
        <f>IFERROR(VLOOKUP(AA$13&amp;$B389,Aux!$B:$M,5,0),"")</f>
        <v/>
      </c>
      <c r="AB385" s="60" t="str">
        <f>IFERROR(VLOOKUP(AA$13&amp;$B385,Aux!$B:$M,3,0),"")</f>
        <v/>
      </c>
      <c r="AC385" s="60"/>
      <c r="AD385" s="60"/>
      <c r="AE385" s="61" t="str">
        <f>IFERROR(VLOOKUP(AA$13&amp;$B385,Aux!$B:$M,9,0),"")</f>
        <v/>
      </c>
    </row>
    <row r="386" spans="2:31" x14ac:dyDescent="0.25">
      <c r="B386" s="53">
        <f t="shared" si="5"/>
        <v>75</v>
      </c>
      <c r="C386" s="59"/>
      <c r="D386" s="60"/>
      <c r="E386" s="60"/>
      <c r="F386" s="60"/>
      <c r="G386" s="61"/>
      <c r="K386" s="59"/>
      <c r="L386" s="60"/>
      <c r="M386" s="60"/>
      <c r="N386" s="60"/>
      <c r="O386" s="61"/>
      <c r="S386" s="59"/>
      <c r="T386" s="60"/>
      <c r="U386" s="60"/>
      <c r="V386" s="60"/>
      <c r="W386" s="61"/>
      <c r="AA386" s="59"/>
      <c r="AB386" s="60"/>
      <c r="AC386" s="60"/>
      <c r="AD386" s="60"/>
      <c r="AE386" s="61"/>
    </row>
    <row r="387" spans="2:31" x14ac:dyDescent="0.25">
      <c r="B387" s="53">
        <f t="shared" si="5"/>
        <v>75</v>
      </c>
      <c r="C387" s="59"/>
      <c r="D387" s="15" t="str">
        <f>IF(D385="","","Исполнитель"&amp;": ")</f>
        <v/>
      </c>
      <c r="E387" s="62" t="str">
        <f>IFERROR(VLOOKUP(C$13&amp;$B387,Aux!$B:$M,4,0),"")</f>
        <v/>
      </c>
      <c r="F387" s="62"/>
      <c r="G387" s="63" t="str">
        <f>IFERROR(IF(VLOOKUP(C$13&amp;$B385,Aux!$B:$M,8,0)="Да","✔","🕓"),"")</f>
        <v/>
      </c>
      <c r="K387" s="59"/>
      <c r="L387" s="15" t="str">
        <f>IF(L385="","","Исполнитель"&amp;": ")</f>
        <v/>
      </c>
      <c r="M387" s="62" t="str">
        <f>IFERROR(VLOOKUP(K$13&amp;$B387,Aux!$B:$M,4,0),"")</f>
        <v/>
      </c>
      <c r="N387" s="62"/>
      <c r="O387" s="63" t="str">
        <f>IFERROR(IF(VLOOKUP(K$13&amp;$B385,Aux!$B:$M,8,0)="Да","✔","🕓"),"")</f>
        <v/>
      </c>
      <c r="S387" s="59"/>
      <c r="T387" s="15" t="str">
        <f>IF(T385="","","Исполнитель"&amp;": ")</f>
        <v/>
      </c>
      <c r="U387" s="62" t="str">
        <f>IFERROR(VLOOKUP(S$13&amp;$B387,Aux!$B:$M,4,0),"")</f>
        <v/>
      </c>
      <c r="V387" s="62"/>
      <c r="W387" s="63" t="str">
        <f>IFERROR(IF(VLOOKUP(S$13&amp;$B385,Aux!$B:$M,8,0)="Да","✔","🕓"),"")</f>
        <v/>
      </c>
      <c r="AA387" s="59"/>
      <c r="AB387" s="15" t="str">
        <f>IF(AB385="","","Исполнитель"&amp;": ")</f>
        <v/>
      </c>
      <c r="AC387" s="62" t="str">
        <f>IFERROR(VLOOKUP(AA$13&amp;$B387,Aux!$B:$M,4,0),"")</f>
        <v/>
      </c>
      <c r="AD387" s="62"/>
      <c r="AE387" s="63" t="str">
        <f>IFERROR(IF(VLOOKUP(AA$13&amp;$B385,Aux!$B:$M,8,0)="Да","✔","🕓"),"")</f>
        <v/>
      </c>
    </row>
    <row r="388" spans="2:31" x14ac:dyDescent="0.25">
      <c r="B388" s="53">
        <f t="shared" si="5"/>
        <v>75</v>
      </c>
      <c r="C388" s="59"/>
      <c r="D388" s="16" t="str">
        <f>IF(D385="","","Срок сдачи"&amp;": ")</f>
        <v/>
      </c>
      <c r="E388" s="64" t="str">
        <f>IFERROR(VLOOKUP(C$13&amp;$B388,Aux!$B:$M,6,0),"")</f>
        <v/>
      </c>
      <c r="F388" s="64"/>
      <c r="G388" s="63"/>
      <c r="K388" s="59"/>
      <c r="L388" s="16" t="str">
        <f>IF(L385="","","Срок сдачи"&amp;": ")</f>
        <v/>
      </c>
      <c r="M388" s="64" t="str">
        <f>IFERROR(VLOOKUP(K$13&amp;$B388,Aux!$B:$M,6,0),"")</f>
        <v/>
      </c>
      <c r="N388" s="64"/>
      <c r="O388" s="63"/>
      <c r="S388" s="59"/>
      <c r="T388" s="16" t="str">
        <f>IF(T385="","","Срок сдачи"&amp;": ")</f>
        <v/>
      </c>
      <c r="U388" s="64" t="str">
        <f>IFERROR(VLOOKUP(S$13&amp;$B388,Aux!$B:$M,6,0),"")</f>
        <v/>
      </c>
      <c r="V388" s="64"/>
      <c r="W388" s="63"/>
      <c r="AA388" s="59"/>
      <c r="AB388" s="16" t="str">
        <f>IF(AB385="","","Срок сдачи"&amp;": ")</f>
        <v/>
      </c>
      <c r="AC388" s="64" t="str">
        <f>IFERROR(VLOOKUP(AA$13&amp;$B388,Aux!$B:$M,6,0),"")</f>
        <v/>
      </c>
      <c r="AD388" s="64"/>
      <c r="AE388" s="63"/>
    </row>
    <row r="389" spans="2:31" x14ac:dyDescent="0.25">
      <c r="B389" s="53">
        <f t="shared" si="5"/>
        <v>75</v>
      </c>
      <c r="C389" s="7"/>
      <c r="D389" s="17"/>
      <c r="E389" s="7"/>
      <c r="F389" s="18"/>
      <c r="G389" s="18"/>
      <c r="K389" s="13"/>
      <c r="L389" s="17"/>
      <c r="M389" s="13"/>
      <c r="N389" s="14"/>
      <c r="O389" s="14"/>
      <c r="S389" s="13"/>
      <c r="T389" s="17"/>
      <c r="U389" s="13"/>
      <c r="V389" s="14"/>
      <c r="W389" s="14"/>
      <c r="AA389" s="13"/>
      <c r="AB389" s="17"/>
      <c r="AC389" s="13"/>
      <c r="AD389" s="14"/>
      <c r="AE389" s="30"/>
    </row>
    <row r="390" spans="2:31" x14ac:dyDescent="0.25">
      <c r="B390" s="53">
        <f t="shared" si="5"/>
        <v>76</v>
      </c>
      <c r="C390" s="59" t="str">
        <f>IFERROR(VLOOKUP(C$13&amp;$B394,Aux!$B:$M,5,0),"")</f>
        <v/>
      </c>
      <c r="D390" s="60" t="str">
        <f>IFERROR(VLOOKUP(C$13&amp;$B390,Aux!$B:$M,3,0),"")</f>
        <v/>
      </c>
      <c r="E390" s="60"/>
      <c r="F390" s="60"/>
      <c r="G390" s="61" t="str">
        <f>IFERROR(VLOOKUP(C$13&amp;$B390,Aux!$B:$M,9,0),"")</f>
        <v/>
      </c>
      <c r="K390" s="59" t="str">
        <f>IFERROR(VLOOKUP(K$13&amp;$B394,Aux!$B:$M,5,0),"")</f>
        <v/>
      </c>
      <c r="L390" s="60" t="str">
        <f>IFERROR(VLOOKUP(K$13&amp;$B390,Aux!$B:$M,3,0),"")</f>
        <v/>
      </c>
      <c r="M390" s="60"/>
      <c r="N390" s="60"/>
      <c r="O390" s="61" t="str">
        <f>IFERROR(VLOOKUP(K$13&amp;$B390,Aux!$B:$M,9,0),"")</f>
        <v/>
      </c>
      <c r="S390" s="59" t="str">
        <f>IFERROR(VLOOKUP(S$13&amp;$B394,Aux!$B:$M,5,0),"")</f>
        <v/>
      </c>
      <c r="T390" s="60" t="str">
        <f>IFERROR(VLOOKUP(S$13&amp;$B390,Aux!$B:$M,3,0),"")</f>
        <v/>
      </c>
      <c r="U390" s="60"/>
      <c r="V390" s="60"/>
      <c r="W390" s="61" t="str">
        <f>IFERROR(VLOOKUP(S$13&amp;$B390,Aux!$B:$M,9,0),"")</f>
        <v/>
      </c>
      <c r="AA390" s="59" t="str">
        <f>IFERROR(VLOOKUP(AA$13&amp;$B394,Aux!$B:$M,5,0),"")</f>
        <v/>
      </c>
      <c r="AB390" s="60" t="str">
        <f>IFERROR(VLOOKUP(AA$13&amp;$B390,Aux!$B:$M,3,0),"")</f>
        <v/>
      </c>
      <c r="AC390" s="60"/>
      <c r="AD390" s="60"/>
      <c r="AE390" s="61" t="str">
        <f>IFERROR(VLOOKUP(AA$13&amp;$B390,Aux!$B:$M,9,0),"")</f>
        <v/>
      </c>
    </row>
    <row r="391" spans="2:31" x14ac:dyDescent="0.25">
      <c r="B391" s="53">
        <f t="shared" si="5"/>
        <v>76</v>
      </c>
      <c r="C391" s="59"/>
      <c r="D391" s="60"/>
      <c r="E391" s="60"/>
      <c r="F391" s="60"/>
      <c r="G391" s="61"/>
      <c r="K391" s="59"/>
      <c r="L391" s="60"/>
      <c r="M391" s="60"/>
      <c r="N391" s="60"/>
      <c r="O391" s="61"/>
      <c r="S391" s="59"/>
      <c r="T391" s="60"/>
      <c r="U391" s="60"/>
      <c r="V391" s="60"/>
      <c r="W391" s="61"/>
      <c r="AA391" s="59"/>
      <c r="AB391" s="60"/>
      <c r="AC391" s="60"/>
      <c r="AD391" s="60"/>
      <c r="AE391" s="61"/>
    </row>
    <row r="392" spans="2:31" x14ac:dyDescent="0.25">
      <c r="B392" s="53">
        <f t="shared" si="5"/>
        <v>76</v>
      </c>
      <c r="C392" s="59"/>
      <c r="D392" s="15" t="str">
        <f>IF(D390="","","Исполнитель"&amp;": ")</f>
        <v/>
      </c>
      <c r="E392" s="62" t="str">
        <f>IFERROR(VLOOKUP(C$13&amp;$B392,Aux!$B:$M,4,0),"")</f>
        <v/>
      </c>
      <c r="F392" s="62"/>
      <c r="G392" s="63" t="str">
        <f>IFERROR(IF(VLOOKUP(C$13&amp;$B390,Aux!$B:$M,8,0)="Да","✔","🕓"),"")</f>
        <v/>
      </c>
      <c r="K392" s="59"/>
      <c r="L392" s="15" t="str">
        <f>IF(L390="","","Исполнитель"&amp;": ")</f>
        <v/>
      </c>
      <c r="M392" s="62" t="str">
        <f>IFERROR(VLOOKUP(K$13&amp;$B392,Aux!$B:$M,4,0),"")</f>
        <v/>
      </c>
      <c r="N392" s="62"/>
      <c r="O392" s="63" t="str">
        <f>IFERROR(IF(VLOOKUP(K$13&amp;$B390,Aux!$B:$M,8,0)="Да","✔","🕓"),"")</f>
        <v/>
      </c>
      <c r="S392" s="59"/>
      <c r="T392" s="15" t="str">
        <f>IF(T390="","","Исполнитель"&amp;": ")</f>
        <v/>
      </c>
      <c r="U392" s="62" t="str">
        <f>IFERROR(VLOOKUP(S$13&amp;$B392,Aux!$B:$M,4,0),"")</f>
        <v/>
      </c>
      <c r="V392" s="62"/>
      <c r="W392" s="63" t="str">
        <f>IFERROR(IF(VLOOKUP(S$13&amp;$B390,Aux!$B:$M,8,0)="Да","✔","🕓"),"")</f>
        <v/>
      </c>
      <c r="AA392" s="59"/>
      <c r="AB392" s="15" t="str">
        <f>IF(AB390="","","Исполнитель"&amp;": ")</f>
        <v/>
      </c>
      <c r="AC392" s="62" t="str">
        <f>IFERROR(VLOOKUP(AA$13&amp;$B392,Aux!$B:$M,4,0),"")</f>
        <v/>
      </c>
      <c r="AD392" s="62"/>
      <c r="AE392" s="63" t="str">
        <f>IFERROR(IF(VLOOKUP(AA$13&amp;$B390,Aux!$B:$M,8,0)="Да","✔","🕓"),"")</f>
        <v/>
      </c>
    </row>
    <row r="393" spans="2:31" x14ac:dyDescent="0.25">
      <c r="B393" s="53">
        <f t="shared" si="5"/>
        <v>76</v>
      </c>
      <c r="C393" s="59"/>
      <c r="D393" s="16" t="str">
        <f>IF(D390="","","Срок сдачи"&amp;": ")</f>
        <v/>
      </c>
      <c r="E393" s="64" t="str">
        <f>IFERROR(VLOOKUP(C$13&amp;$B393,Aux!$B:$M,6,0),"")</f>
        <v/>
      </c>
      <c r="F393" s="64"/>
      <c r="G393" s="63"/>
      <c r="K393" s="59"/>
      <c r="L393" s="16" t="str">
        <f>IF(L390="","","Срок сдачи"&amp;": ")</f>
        <v/>
      </c>
      <c r="M393" s="64" t="str">
        <f>IFERROR(VLOOKUP(K$13&amp;$B393,Aux!$B:$M,6,0),"")</f>
        <v/>
      </c>
      <c r="N393" s="64"/>
      <c r="O393" s="63"/>
      <c r="S393" s="59"/>
      <c r="T393" s="16" t="str">
        <f>IF(T390="","","Срок сдачи"&amp;": ")</f>
        <v/>
      </c>
      <c r="U393" s="64" t="str">
        <f>IFERROR(VLOOKUP(S$13&amp;$B393,Aux!$B:$M,6,0),"")</f>
        <v/>
      </c>
      <c r="V393" s="64"/>
      <c r="W393" s="63"/>
      <c r="AA393" s="59"/>
      <c r="AB393" s="16" t="str">
        <f>IF(AB390="","","Срок сдачи"&amp;": ")</f>
        <v/>
      </c>
      <c r="AC393" s="64" t="str">
        <f>IFERROR(VLOOKUP(AA$13&amp;$B393,Aux!$B:$M,6,0),"")</f>
        <v/>
      </c>
      <c r="AD393" s="64"/>
      <c r="AE393" s="63"/>
    </row>
    <row r="394" spans="2:31" x14ac:dyDescent="0.25">
      <c r="B394" s="53">
        <f t="shared" si="5"/>
        <v>76</v>
      </c>
      <c r="C394" s="7"/>
      <c r="D394" s="17"/>
      <c r="E394" s="7"/>
      <c r="F394" s="18"/>
      <c r="G394" s="18"/>
      <c r="K394" s="13"/>
      <c r="L394" s="17"/>
      <c r="M394" s="13"/>
      <c r="N394" s="14"/>
      <c r="O394" s="14"/>
      <c r="S394" s="13"/>
      <c r="T394" s="17"/>
      <c r="U394" s="13"/>
      <c r="V394" s="14"/>
      <c r="W394" s="14"/>
      <c r="AA394" s="13"/>
      <c r="AB394" s="17"/>
      <c r="AC394" s="13"/>
      <c r="AD394" s="14"/>
      <c r="AE394" s="30"/>
    </row>
    <row r="395" spans="2:31" x14ac:dyDescent="0.25">
      <c r="B395" s="53">
        <f t="shared" si="5"/>
        <v>77</v>
      </c>
      <c r="C395" s="59" t="str">
        <f>IFERROR(VLOOKUP(C$13&amp;$B399,Aux!$B:$M,5,0),"")</f>
        <v/>
      </c>
      <c r="D395" s="60" t="str">
        <f>IFERROR(VLOOKUP(C$13&amp;$B395,Aux!$B:$M,3,0),"")</f>
        <v/>
      </c>
      <c r="E395" s="60"/>
      <c r="F395" s="60"/>
      <c r="G395" s="61" t="str">
        <f>IFERROR(VLOOKUP(C$13&amp;$B395,Aux!$B:$M,9,0),"")</f>
        <v/>
      </c>
      <c r="K395" s="59" t="str">
        <f>IFERROR(VLOOKUP(K$13&amp;$B399,Aux!$B:$M,5,0),"")</f>
        <v/>
      </c>
      <c r="L395" s="60" t="str">
        <f>IFERROR(VLOOKUP(K$13&amp;$B395,Aux!$B:$M,3,0),"")</f>
        <v/>
      </c>
      <c r="M395" s="60"/>
      <c r="N395" s="60"/>
      <c r="O395" s="61" t="str">
        <f>IFERROR(VLOOKUP(K$13&amp;$B395,Aux!$B:$M,9,0),"")</f>
        <v/>
      </c>
      <c r="S395" s="59" t="str">
        <f>IFERROR(VLOOKUP(S$13&amp;$B399,Aux!$B:$M,5,0),"")</f>
        <v/>
      </c>
      <c r="T395" s="60" t="str">
        <f>IFERROR(VLOOKUP(S$13&amp;$B395,Aux!$B:$M,3,0),"")</f>
        <v/>
      </c>
      <c r="U395" s="60"/>
      <c r="V395" s="60"/>
      <c r="W395" s="61" t="str">
        <f>IFERROR(VLOOKUP(S$13&amp;$B395,Aux!$B:$M,9,0),"")</f>
        <v/>
      </c>
      <c r="AA395" s="59" t="str">
        <f>IFERROR(VLOOKUP(AA$13&amp;$B399,Aux!$B:$M,5,0),"")</f>
        <v/>
      </c>
      <c r="AB395" s="60" t="str">
        <f>IFERROR(VLOOKUP(AA$13&amp;$B395,Aux!$B:$M,3,0),"")</f>
        <v/>
      </c>
      <c r="AC395" s="60"/>
      <c r="AD395" s="60"/>
      <c r="AE395" s="61" t="str">
        <f>IFERROR(VLOOKUP(AA$13&amp;$B395,Aux!$B:$M,9,0),"")</f>
        <v/>
      </c>
    </row>
    <row r="396" spans="2:31" x14ac:dyDescent="0.25">
      <c r="B396" s="53">
        <f t="shared" si="5"/>
        <v>77</v>
      </c>
      <c r="C396" s="59"/>
      <c r="D396" s="60"/>
      <c r="E396" s="60"/>
      <c r="F396" s="60"/>
      <c r="G396" s="61"/>
      <c r="K396" s="59"/>
      <c r="L396" s="60"/>
      <c r="M396" s="60"/>
      <c r="N396" s="60"/>
      <c r="O396" s="61"/>
      <c r="S396" s="59"/>
      <c r="T396" s="60"/>
      <c r="U396" s="60"/>
      <c r="V396" s="60"/>
      <c r="W396" s="61"/>
      <c r="AA396" s="59"/>
      <c r="AB396" s="60"/>
      <c r="AC396" s="60"/>
      <c r="AD396" s="60"/>
      <c r="AE396" s="61"/>
    </row>
    <row r="397" spans="2:31" x14ac:dyDescent="0.25">
      <c r="B397" s="53">
        <f t="shared" si="5"/>
        <v>77</v>
      </c>
      <c r="C397" s="59"/>
      <c r="D397" s="15" t="str">
        <f>IF(D395="","","Исполнитель"&amp;": ")</f>
        <v/>
      </c>
      <c r="E397" s="62" t="str">
        <f>IFERROR(VLOOKUP(C$13&amp;$B397,Aux!$B:$M,4,0),"")</f>
        <v/>
      </c>
      <c r="F397" s="62"/>
      <c r="G397" s="63" t="str">
        <f>IFERROR(IF(VLOOKUP(C$13&amp;$B395,Aux!$B:$M,8,0)="Да","✔","🕓"),"")</f>
        <v/>
      </c>
      <c r="K397" s="59"/>
      <c r="L397" s="15" t="str">
        <f>IF(L395="","","Исполнитель"&amp;": ")</f>
        <v/>
      </c>
      <c r="M397" s="62" t="str">
        <f>IFERROR(VLOOKUP(K$13&amp;$B397,Aux!$B:$M,4,0),"")</f>
        <v/>
      </c>
      <c r="N397" s="62"/>
      <c r="O397" s="63" t="str">
        <f>IFERROR(IF(VLOOKUP(K$13&amp;$B395,Aux!$B:$M,8,0)="Да","✔","🕓"),"")</f>
        <v/>
      </c>
      <c r="S397" s="59"/>
      <c r="T397" s="15" t="str">
        <f>IF(T395="","","Исполнитель"&amp;": ")</f>
        <v/>
      </c>
      <c r="U397" s="62" t="str">
        <f>IFERROR(VLOOKUP(S$13&amp;$B397,Aux!$B:$M,4,0),"")</f>
        <v/>
      </c>
      <c r="V397" s="62"/>
      <c r="W397" s="63" t="str">
        <f>IFERROR(IF(VLOOKUP(S$13&amp;$B395,Aux!$B:$M,8,0)="Да","✔","🕓"),"")</f>
        <v/>
      </c>
      <c r="AA397" s="59"/>
      <c r="AB397" s="15" t="str">
        <f>IF(AB395="","","Исполнитель"&amp;": ")</f>
        <v/>
      </c>
      <c r="AC397" s="62" t="str">
        <f>IFERROR(VLOOKUP(AA$13&amp;$B397,Aux!$B:$M,4,0),"")</f>
        <v/>
      </c>
      <c r="AD397" s="62"/>
      <c r="AE397" s="63" t="str">
        <f>IFERROR(IF(VLOOKUP(AA$13&amp;$B395,Aux!$B:$M,8,0)="Да","✔","🕓"),"")</f>
        <v/>
      </c>
    </row>
    <row r="398" spans="2:31" x14ac:dyDescent="0.25">
      <c r="B398" s="53">
        <f t="shared" si="5"/>
        <v>77</v>
      </c>
      <c r="C398" s="59"/>
      <c r="D398" s="16" t="str">
        <f>IF(D395="","","Срок сдачи"&amp;": ")</f>
        <v/>
      </c>
      <c r="E398" s="64" t="str">
        <f>IFERROR(VLOOKUP(C$13&amp;$B398,Aux!$B:$M,6,0),"")</f>
        <v/>
      </c>
      <c r="F398" s="64"/>
      <c r="G398" s="63"/>
      <c r="K398" s="59"/>
      <c r="L398" s="16" t="str">
        <f>IF(L395="","","Срок сдачи"&amp;": ")</f>
        <v/>
      </c>
      <c r="M398" s="64" t="str">
        <f>IFERROR(VLOOKUP(K$13&amp;$B398,Aux!$B:$M,6,0),"")</f>
        <v/>
      </c>
      <c r="N398" s="64"/>
      <c r="O398" s="63"/>
      <c r="S398" s="59"/>
      <c r="T398" s="16" t="str">
        <f>IF(T395="","","Срок сдачи"&amp;": ")</f>
        <v/>
      </c>
      <c r="U398" s="64" t="str">
        <f>IFERROR(VLOOKUP(S$13&amp;$B398,Aux!$B:$M,6,0),"")</f>
        <v/>
      </c>
      <c r="V398" s="64"/>
      <c r="W398" s="63"/>
      <c r="AA398" s="59"/>
      <c r="AB398" s="16" t="str">
        <f>IF(AB395="","","Срок сдачи"&amp;": ")</f>
        <v/>
      </c>
      <c r="AC398" s="64" t="str">
        <f>IFERROR(VLOOKUP(AA$13&amp;$B398,Aux!$B:$M,6,0),"")</f>
        <v/>
      </c>
      <c r="AD398" s="64"/>
      <c r="AE398" s="63"/>
    </row>
    <row r="399" spans="2:31" x14ac:dyDescent="0.25">
      <c r="B399" s="53">
        <f t="shared" si="5"/>
        <v>77</v>
      </c>
      <c r="C399" s="7"/>
      <c r="D399" s="17"/>
      <c r="E399" s="7"/>
      <c r="F399" s="18"/>
      <c r="G399" s="18"/>
      <c r="K399" s="13"/>
      <c r="L399" s="17"/>
      <c r="M399" s="13"/>
      <c r="N399" s="14"/>
      <c r="O399" s="14"/>
      <c r="S399" s="13"/>
      <c r="T399" s="17"/>
      <c r="U399" s="13"/>
      <c r="V399" s="14"/>
      <c r="W399" s="14"/>
      <c r="AA399" s="13"/>
      <c r="AB399" s="17"/>
      <c r="AC399" s="13"/>
      <c r="AD399" s="14"/>
      <c r="AE399" s="30"/>
    </row>
    <row r="400" spans="2:31" x14ac:dyDescent="0.25">
      <c r="B400" s="53">
        <f t="shared" si="5"/>
        <v>78</v>
      </c>
      <c r="C400" s="59" t="str">
        <f>IFERROR(VLOOKUP(C$13&amp;$B404,Aux!$B:$M,5,0),"")</f>
        <v/>
      </c>
      <c r="D400" s="60" t="str">
        <f>IFERROR(VLOOKUP(C$13&amp;$B400,Aux!$B:$M,3,0),"")</f>
        <v/>
      </c>
      <c r="E400" s="60"/>
      <c r="F400" s="60"/>
      <c r="G400" s="61" t="str">
        <f>IFERROR(VLOOKUP(C$13&amp;$B400,Aux!$B:$M,9,0),"")</f>
        <v/>
      </c>
      <c r="K400" s="59" t="str">
        <f>IFERROR(VLOOKUP(K$13&amp;$B404,Aux!$B:$M,5,0),"")</f>
        <v/>
      </c>
      <c r="L400" s="60" t="str">
        <f>IFERROR(VLOOKUP(K$13&amp;$B400,Aux!$B:$M,3,0),"")</f>
        <v/>
      </c>
      <c r="M400" s="60"/>
      <c r="N400" s="60"/>
      <c r="O400" s="61" t="str">
        <f>IFERROR(VLOOKUP(K$13&amp;$B400,Aux!$B:$M,9,0),"")</f>
        <v/>
      </c>
      <c r="S400" s="59" t="str">
        <f>IFERROR(VLOOKUP(S$13&amp;$B404,Aux!$B:$M,5,0),"")</f>
        <v/>
      </c>
      <c r="T400" s="60" t="str">
        <f>IFERROR(VLOOKUP(S$13&amp;$B400,Aux!$B:$M,3,0),"")</f>
        <v/>
      </c>
      <c r="U400" s="60"/>
      <c r="V400" s="60"/>
      <c r="W400" s="61" t="str">
        <f>IFERROR(VLOOKUP(S$13&amp;$B400,Aux!$B:$M,9,0),"")</f>
        <v/>
      </c>
      <c r="AA400" s="59" t="str">
        <f>IFERROR(VLOOKUP(AA$13&amp;$B404,Aux!$B:$M,5,0),"")</f>
        <v/>
      </c>
      <c r="AB400" s="60" t="str">
        <f>IFERROR(VLOOKUP(AA$13&amp;$B400,Aux!$B:$M,3,0),"")</f>
        <v/>
      </c>
      <c r="AC400" s="60"/>
      <c r="AD400" s="60"/>
      <c r="AE400" s="61" t="str">
        <f>IFERROR(VLOOKUP(AA$13&amp;$B400,Aux!$B:$M,9,0),"")</f>
        <v/>
      </c>
    </row>
    <row r="401" spans="2:31" x14ac:dyDescent="0.25">
      <c r="B401" s="53">
        <f t="shared" si="5"/>
        <v>78</v>
      </c>
      <c r="C401" s="59"/>
      <c r="D401" s="60"/>
      <c r="E401" s="60"/>
      <c r="F401" s="60"/>
      <c r="G401" s="61"/>
      <c r="K401" s="59"/>
      <c r="L401" s="60"/>
      <c r="M401" s="60"/>
      <c r="N401" s="60"/>
      <c r="O401" s="61"/>
      <c r="S401" s="59"/>
      <c r="T401" s="60"/>
      <c r="U401" s="60"/>
      <c r="V401" s="60"/>
      <c r="W401" s="61"/>
      <c r="AA401" s="59"/>
      <c r="AB401" s="60"/>
      <c r="AC401" s="60"/>
      <c r="AD401" s="60"/>
      <c r="AE401" s="61"/>
    </row>
    <row r="402" spans="2:31" x14ac:dyDescent="0.25">
      <c r="B402" s="53">
        <f t="shared" si="5"/>
        <v>78</v>
      </c>
      <c r="C402" s="59"/>
      <c r="D402" s="15" t="str">
        <f>IF(D400="","","Исполнитель"&amp;": ")</f>
        <v/>
      </c>
      <c r="E402" s="62" t="str">
        <f>IFERROR(VLOOKUP(C$13&amp;$B402,Aux!$B:$M,4,0),"")</f>
        <v/>
      </c>
      <c r="F402" s="62"/>
      <c r="G402" s="63" t="str">
        <f>IFERROR(IF(VLOOKUP(C$13&amp;$B400,Aux!$B:$M,8,0)="Да","✔","🕓"),"")</f>
        <v/>
      </c>
      <c r="K402" s="59"/>
      <c r="L402" s="15" t="str">
        <f>IF(L400="","","Исполнитель"&amp;": ")</f>
        <v/>
      </c>
      <c r="M402" s="62" t="str">
        <f>IFERROR(VLOOKUP(K$13&amp;$B402,Aux!$B:$M,4,0),"")</f>
        <v/>
      </c>
      <c r="N402" s="62"/>
      <c r="O402" s="63" t="str">
        <f>IFERROR(IF(VLOOKUP(K$13&amp;$B400,Aux!$B:$M,8,0)="Да","✔","🕓"),"")</f>
        <v/>
      </c>
      <c r="S402" s="59"/>
      <c r="T402" s="15" t="str">
        <f>IF(T400="","","Исполнитель"&amp;": ")</f>
        <v/>
      </c>
      <c r="U402" s="62" t="str">
        <f>IFERROR(VLOOKUP(S$13&amp;$B402,Aux!$B:$M,4,0),"")</f>
        <v/>
      </c>
      <c r="V402" s="62"/>
      <c r="W402" s="63" t="str">
        <f>IFERROR(IF(VLOOKUP(S$13&amp;$B400,Aux!$B:$M,8,0)="Да","✔","🕓"),"")</f>
        <v/>
      </c>
      <c r="AA402" s="59"/>
      <c r="AB402" s="15" t="str">
        <f>IF(AB400="","","Исполнитель"&amp;": ")</f>
        <v/>
      </c>
      <c r="AC402" s="62" t="str">
        <f>IFERROR(VLOOKUP(AA$13&amp;$B402,Aux!$B:$M,4,0),"")</f>
        <v/>
      </c>
      <c r="AD402" s="62"/>
      <c r="AE402" s="63" t="str">
        <f>IFERROR(IF(VLOOKUP(AA$13&amp;$B400,Aux!$B:$M,8,0)="Да","✔","🕓"),"")</f>
        <v/>
      </c>
    </row>
    <row r="403" spans="2:31" x14ac:dyDescent="0.25">
      <c r="B403" s="53">
        <f t="shared" si="5"/>
        <v>78</v>
      </c>
      <c r="C403" s="59"/>
      <c r="D403" s="16" t="str">
        <f>IF(D400="","","Срок сдачи"&amp;": ")</f>
        <v/>
      </c>
      <c r="E403" s="64" t="str">
        <f>IFERROR(VLOOKUP(C$13&amp;$B403,Aux!$B:$M,6,0),"")</f>
        <v/>
      </c>
      <c r="F403" s="64"/>
      <c r="G403" s="63"/>
      <c r="K403" s="59"/>
      <c r="L403" s="16" t="str">
        <f>IF(L400="","","Срок сдачи"&amp;": ")</f>
        <v/>
      </c>
      <c r="M403" s="64" t="str">
        <f>IFERROR(VLOOKUP(K$13&amp;$B403,Aux!$B:$M,6,0),"")</f>
        <v/>
      </c>
      <c r="N403" s="64"/>
      <c r="O403" s="63"/>
      <c r="S403" s="59"/>
      <c r="T403" s="16" t="str">
        <f>IF(T400="","","Срок сдачи"&amp;": ")</f>
        <v/>
      </c>
      <c r="U403" s="64" t="str">
        <f>IFERROR(VLOOKUP(S$13&amp;$B403,Aux!$B:$M,6,0),"")</f>
        <v/>
      </c>
      <c r="V403" s="64"/>
      <c r="W403" s="63"/>
      <c r="AA403" s="59"/>
      <c r="AB403" s="16" t="str">
        <f>IF(AB400="","","Срок сдачи"&amp;": ")</f>
        <v/>
      </c>
      <c r="AC403" s="64" t="str">
        <f>IFERROR(VLOOKUP(AA$13&amp;$B403,Aux!$B:$M,6,0),"")</f>
        <v/>
      </c>
      <c r="AD403" s="64"/>
      <c r="AE403" s="63"/>
    </row>
    <row r="404" spans="2:31" x14ac:dyDescent="0.25">
      <c r="B404" s="53">
        <f t="shared" si="5"/>
        <v>78</v>
      </c>
      <c r="C404" s="7"/>
      <c r="D404" s="17"/>
      <c r="E404" s="7"/>
      <c r="F404" s="18"/>
      <c r="G404" s="18"/>
      <c r="K404" s="13"/>
      <c r="L404" s="17"/>
      <c r="M404" s="13"/>
      <c r="N404" s="14"/>
      <c r="O404" s="14"/>
      <c r="S404" s="13"/>
      <c r="T404" s="17"/>
      <c r="U404" s="13"/>
      <c r="V404" s="14"/>
      <c r="W404" s="14"/>
      <c r="AA404" s="13"/>
      <c r="AB404" s="17"/>
      <c r="AC404" s="13"/>
      <c r="AD404" s="14"/>
      <c r="AE404" s="30"/>
    </row>
    <row r="405" spans="2:31" x14ac:dyDescent="0.25">
      <c r="B405" s="53">
        <f t="shared" ref="B405:B468" si="6">B400+1</f>
        <v>79</v>
      </c>
      <c r="C405" s="59" t="str">
        <f>IFERROR(VLOOKUP(C$13&amp;$B409,Aux!$B:$M,5,0),"")</f>
        <v/>
      </c>
      <c r="D405" s="60" t="str">
        <f>IFERROR(VLOOKUP(C$13&amp;$B405,Aux!$B:$M,3,0),"")</f>
        <v/>
      </c>
      <c r="E405" s="60"/>
      <c r="F405" s="60"/>
      <c r="G405" s="61" t="str">
        <f>IFERROR(VLOOKUP(C$13&amp;$B405,Aux!$B:$M,9,0),"")</f>
        <v/>
      </c>
      <c r="K405" s="59" t="str">
        <f>IFERROR(VLOOKUP(K$13&amp;$B409,Aux!$B:$M,5,0),"")</f>
        <v/>
      </c>
      <c r="L405" s="60" t="str">
        <f>IFERROR(VLOOKUP(K$13&amp;$B405,Aux!$B:$M,3,0),"")</f>
        <v/>
      </c>
      <c r="M405" s="60"/>
      <c r="N405" s="60"/>
      <c r="O405" s="61" t="str">
        <f>IFERROR(VLOOKUP(K$13&amp;$B405,Aux!$B:$M,9,0),"")</f>
        <v/>
      </c>
      <c r="S405" s="59" t="str">
        <f>IFERROR(VLOOKUP(S$13&amp;$B409,Aux!$B:$M,5,0),"")</f>
        <v/>
      </c>
      <c r="T405" s="60" t="str">
        <f>IFERROR(VLOOKUP(S$13&amp;$B405,Aux!$B:$M,3,0),"")</f>
        <v/>
      </c>
      <c r="U405" s="60"/>
      <c r="V405" s="60"/>
      <c r="W405" s="61" t="str">
        <f>IFERROR(VLOOKUP(S$13&amp;$B405,Aux!$B:$M,9,0),"")</f>
        <v/>
      </c>
      <c r="AA405" s="59" t="str">
        <f>IFERROR(VLOOKUP(AA$13&amp;$B409,Aux!$B:$M,5,0),"")</f>
        <v/>
      </c>
      <c r="AB405" s="60" t="str">
        <f>IFERROR(VLOOKUP(AA$13&amp;$B405,Aux!$B:$M,3,0),"")</f>
        <v/>
      </c>
      <c r="AC405" s="60"/>
      <c r="AD405" s="60"/>
      <c r="AE405" s="61" t="str">
        <f>IFERROR(VLOOKUP(AA$13&amp;$B405,Aux!$B:$M,9,0),"")</f>
        <v/>
      </c>
    </row>
    <row r="406" spans="2:31" x14ac:dyDescent="0.25">
      <c r="B406" s="53">
        <f t="shared" si="6"/>
        <v>79</v>
      </c>
      <c r="C406" s="59"/>
      <c r="D406" s="60"/>
      <c r="E406" s="60"/>
      <c r="F406" s="60"/>
      <c r="G406" s="61"/>
      <c r="K406" s="59"/>
      <c r="L406" s="60"/>
      <c r="M406" s="60"/>
      <c r="N406" s="60"/>
      <c r="O406" s="61"/>
      <c r="S406" s="59"/>
      <c r="T406" s="60"/>
      <c r="U406" s="60"/>
      <c r="V406" s="60"/>
      <c r="W406" s="61"/>
      <c r="AA406" s="59"/>
      <c r="AB406" s="60"/>
      <c r="AC406" s="60"/>
      <c r="AD406" s="60"/>
      <c r="AE406" s="61"/>
    </row>
    <row r="407" spans="2:31" x14ac:dyDescent="0.25">
      <c r="B407" s="53">
        <f t="shared" si="6"/>
        <v>79</v>
      </c>
      <c r="C407" s="59"/>
      <c r="D407" s="15" t="str">
        <f>IF(D405="","","Исполнитель"&amp;": ")</f>
        <v/>
      </c>
      <c r="E407" s="62" t="str">
        <f>IFERROR(VLOOKUP(C$13&amp;$B407,Aux!$B:$M,4,0),"")</f>
        <v/>
      </c>
      <c r="F407" s="62"/>
      <c r="G407" s="63" t="str">
        <f>IFERROR(IF(VLOOKUP(C$13&amp;$B405,Aux!$B:$M,8,0)="Да","✔","🕓"),"")</f>
        <v/>
      </c>
      <c r="K407" s="59"/>
      <c r="L407" s="15" t="str">
        <f>IF(L405="","","Исполнитель"&amp;": ")</f>
        <v/>
      </c>
      <c r="M407" s="62" t="str">
        <f>IFERROR(VLOOKUP(K$13&amp;$B407,Aux!$B:$M,4,0),"")</f>
        <v/>
      </c>
      <c r="N407" s="62"/>
      <c r="O407" s="63" t="str">
        <f>IFERROR(IF(VLOOKUP(K$13&amp;$B405,Aux!$B:$M,8,0)="Да","✔","🕓"),"")</f>
        <v/>
      </c>
      <c r="S407" s="59"/>
      <c r="T407" s="15" t="str">
        <f>IF(T405="","","Исполнитель"&amp;": ")</f>
        <v/>
      </c>
      <c r="U407" s="62" t="str">
        <f>IFERROR(VLOOKUP(S$13&amp;$B407,Aux!$B:$M,4,0),"")</f>
        <v/>
      </c>
      <c r="V407" s="62"/>
      <c r="W407" s="63" t="str">
        <f>IFERROR(IF(VLOOKUP(S$13&amp;$B405,Aux!$B:$M,8,0)="Да","✔","🕓"),"")</f>
        <v/>
      </c>
      <c r="AA407" s="59"/>
      <c r="AB407" s="15" t="str">
        <f>IF(AB405="","","Исполнитель"&amp;": ")</f>
        <v/>
      </c>
      <c r="AC407" s="62" t="str">
        <f>IFERROR(VLOOKUP(AA$13&amp;$B407,Aux!$B:$M,4,0),"")</f>
        <v/>
      </c>
      <c r="AD407" s="62"/>
      <c r="AE407" s="63" t="str">
        <f>IFERROR(IF(VLOOKUP(AA$13&amp;$B405,Aux!$B:$M,8,0)="Да","✔","🕓"),"")</f>
        <v/>
      </c>
    </row>
    <row r="408" spans="2:31" x14ac:dyDescent="0.25">
      <c r="B408" s="53">
        <f t="shared" si="6"/>
        <v>79</v>
      </c>
      <c r="C408" s="59"/>
      <c r="D408" s="16" t="str">
        <f>IF(D405="","","Срок сдачи"&amp;": ")</f>
        <v/>
      </c>
      <c r="E408" s="64" t="str">
        <f>IFERROR(VLOOKUP(C$13&amp;$B408,Aux!$B:$M,6,0),"")</f>
        <v/>
      </c>
      <c r="F408" s="64"/>
      <c r="G408" s="63"/>
      <c r="K408" s="59"/>
      <c r="L408" s="16" t="str">
        <f>IF(L405="","","Срок сдачи"&amp;": ")</f>
        <v/>
      </c>
      <c r="M408" s="64" t="str">
        <f>IFERROR(VLOOKUP(K$13&amp;$B408,Aux!$B:$M,6,0),"")</f>
        <v/>
      </c>
      <c r="N408" s="64"/>
      <c r="O408" s="63"/>
      <c r="S408" s="59"/>
      <c r="T408" s="16" t="str">
        <f>IF(T405="","","Срок сдачи"&amp;": ")</f>
        <v/>
      </c>
      <c r="U408" s="64" t="str">
        <f>IFERROR(VLOOKUP(S$13&amp;$B408,Aux!$B:$M,6,0),"")</f>
        <v/>
      </c>
      <c r="V408" s="64"/>
      <c r="W408" s="63"/>
      <c r="AA408" s="59"/>
      <c r="AB408" s="16" t="str">
        <f>IF(AB405="","","Срок сдачи"&amp;": ")</f>
        <v/>
      </c>
      <c r="AC408" s="64" t="str">
        <f>IFERROR(VLOOKUP(AA$13&amp;$B408,Aux!$B:$M,6,0),"")</f>
        <v/>
      </c>
      <c r="AD408" s="64"/>
      <c r="AE408" s="63"/>
    </row>
    <row r="409" spans="2:31" x14ac:dyDescent="0.25">
      <c r="B409" s="53">
        <f t="shared" si="6"/>
        <v>79</v>
      </c>
      <c r="C409" s="7"/>
      <c r="D409" s="17"/>
      <c r="E409" s="7"/>
      <c r="F409" s="18"/>
      <c r="G409" s="18"/>
      <c r="K409" s="13"/>
      <c r="L409" s="17"/>
      <c r="M409" s="13"/>
      <c r="N409" s="14"/>
      <c r="O409" s="14"/>
      <c r="S409" s="13"/>
      <c r="T409" s="17"/>
      <c r="U409" s="13"/>
      <c r="V409" s="14"/>
      <c r="W409" s="14"/>
      <c r="AA409" s="13"/>
      <c r="AB409" s="17"/>
      <c r="AC409" s="13"/>
      <c r="AD409" s="14"/>
      <c r="AE409" s="30"/>
    </row>
    <row r="410" spans="2:31" x14ac:dyDescent="0.25">
      <c r="B410" s="53">
        <f t="shared" si="6"/>
        <v>80</v>
      </c>
      <c r="C410" s="59" t="str">
        <f>IFERROR(VLOOKUP(C$13&amp;$B414,Aux!$B:$M,5,0),"")</f>
        <v/>
      </c>
      <c r="D410" s="60" t="str">
        <f>IFERROR(VLOOKUP(C$13&amp;$B410,Aux!$B:$M,3,0),"")</f>
        <v/>
      </c>
      <c r="E410" s="60"/>
      <c r="F410" s="60"/>
      <c r="G410" s="61" t="str">
        <f>IFERROR(VLOOKUP(C$13&amp;$B410,Aux!$B:$M,9,0),"")</f>
        <v/>
      </c>
      <c r="K410" s="59" t="str">
        <f>IFERROR(VLOOKUP(K$13&amp;$B414,Aux!$B:$M,5,0),"")</f>
        <v/>
      </c>
      <c r="L410" s="60" t="str">
        <f>IFERROR(VLOOKUP(K$13&amp;$B410,Aux!$B:$M,3,0),"")</f>
        <v/>
      </c>
      <c r="M410" s="60"/>
      <c r="N410" s="60"/>
      <c r="O410" s="61" t="str">
        <f>IFERROR(VLOOKUP(K$13&amp;$B410,Aux!$B:$M,9,0),"")</f>
        <v/>
      </c>
      <c r="S410" s="59" t="str">
        <f>IFERROR(VLOOKUP(S$13&amp;$B414,Aux!$B:$M,5,0),"")</f>
        <v/>
      </c>
      <c r="T410" s="60" t="str">
        <f>IFERROR(VLOOKUP(S$13&amp;$B410,Aux!$B:$M,3,0),"")</f>
        <v/>
      </c>
      <c r="U410" s="60"/>
      <c r="V410" s="60"/>
      <c r="W410" s="61" t="str">
        <f>IFERROR(VLOOKUP(S$13&amp;$B410,Aux!$B:$M,9,0),"")</f>
        <v/>
      </c>
      <c r="AA410" s="59" t="str">
        <f>IFERROR(VLOOKUP(AA$13&amp;$B414,Aux!$B:$M,5,0),"")</f>
        <v/>
      </c>
      <c r="AB410" s="60" t="str">
        <f>IFERROR(VLOOKUP(AA$13&amp;$B410,Aux!$B:$M,3,0),"")</f>
        <v/>
      </c>
      <c r="AC410" s="60"/>
      <c r="AD410" s="60"/>
      <c r="AE410" s="61" t="str">
        <f>IFERROR(VLOOKUP(AA$13&amp;$B410,Aux!$B:$M,9,0),"")</f>
        <v/>
      </c>
    </row>
    <row r="411" spans="2:31" x14ac:dyDescent="0.25">
      <c r="B411" s="53">
        <f t="shared" si="6"/>
        <v>80</v>
      </c>
      <c r="C411" s="59"/>
      <c r="D411" s="60"/>
      <c r="E411" s="60"/>
      <c r="F411" s="60"/>
      <c r="G411" s="61"/>
      <c r="K411" s="59"/>
      <c r="L411" s="60"/>
      <c r="M411" s="60"/>
      <c r="N411" s="60"/>
      <c r="O411" s="61"/>
      <c r="S411" s="59"/>
      <c r="T411" s="60"/>
      <c r="U411" s="60"/>
      <c r="V411" s="60"/>
      <c r="W411" s="61"/>
      <c r="AA411" s="59"/>
      <c r="AB411" s="60"/>
      <c r="AC411" s="60"/>
      <c r="AD411" s="60"/>
      <c r="AE411" s="61"/>
    </row>
    <row r="412" spans="2:31" x14ac:dyDescent="0.25">
      <c r="B412" s="53">
        <f t="shared" si="6"/>
        <v>80</v>
      </c>
      <c r="C412" s="59"/>
      <c r="D412" s="15" t="str">
        <f>IF(D410="","","Исполнитель"&amp;": ")</f>
        <v/>
      </c>
      <c r="E412" s="62" t="str">
        <f>IFERROR(VLOOKUP(C$13&amp;$B412,Aux!$B:$M,4,0),"")</f>
        <v/>
      </c>
      <c r="F412" s="62"/>
      <c r="G412" s="63" t="str">
        <f>IFERROR(IF(VLOOKUP(C$13&amp;$B410,Aux!$B:$M,8,0)="Да","✔","🕓"),"")</f>
        <v/>
      </c>
      <c r="K412" s="59"/>
      <c r="L412" s="15" t="str">
        <f>IF(L410="","","Исполнитель"&amp;": ")</f>
        <v/>
      </c>
      <c r="M412" s="62" t="str">
        <f>IFERROR(VLOOKUP(K$13&amp;$B412,Aux!$B:$M,4,0),"")</f>
        <v/>
      </c>
      <c r="N412" s="62"/>
      <c r="O412" s="63" t="str">
        <f>IFERROR(IF(VLOOKUP(K$13&amp;$B410,Aux!$B:$M,8,0)="Да","✔","🕓"),"")</f>
        <v/>
      </c>
      <c r="S412" s="59"/>
      <c r="T412" s="15" t="str">
        <f>IF(T410="","","Исполнитель"&amp;": ")</f>
        <v/>
      </c>
      <c r="U412" s="62" t="str">
        <f>IFERROR(VLOOKUP(S$13&amp;$B412,Aux!$B:$M,4,0),"")</f>
        <v/>
      </c>
      <c r="V412" s="62"/>
      <c r="W412" s="63" t="str">
        <f>IFERROR(IF(VLOOKUP(S$13&amp;$B410,Aux!$B:$M,8,0)="Да","✔","🕓"),"")</f>
        <v/>
      </c>
      <c r="AA412" s="59"/>
      <c r="AB412" s="15" t="str">
        <f>IF(AB410="","","Исполнитель"&amp;": ")</f>
        <v/>
      </c>
      <c r="AC412" s="62" t="str">
        <f>IFERROR(VLOOKUP(AA$13&amp;$B412,Aux!$B:$M,4,0),"")</f>
        <v/>
      </c>
      <c r="AD412" s="62"/>
      <c r="AE412" s="63" t="str">
        <f>IFERROR(IF(VLOOKUP(AA$13&amp;$B410,Aux!$B:$M,8,0)="Да","✔","🕓"),"")</f>
        <v/>
      </c>
    </row>
    <row r="413" spans="2:31" x14ac:dyDescent="0.25">
      <c r="B413" s="53">
        <f t="shared" si="6"/>
        <v>80</v>
      </c>
      <c r="C413" s="59"/>
      <c r="D413" s="16" t="str">
        <f>IF(D410="","","Срок сдачи"&amp;": ")</f>
        <v/>
      </c>
      <c r="E413" s="64" t="str">
        <f>IFERROR(VLOOKUP(C$13&amp;$B413,Aux!$B:$M,6,0),"")</f>
        <v/>
      </c>
      <c r="F413" s="64"/>
      <c r="G413" s="63"/>
      <c r="K413" s="59"/>
      <c r="L413" s="16" t="str">
        <f>IF(L410="","","Срок сдачи"&amp;": ")</f>
        <v/>
      </c>
      <c r="M413" s="64" t="str">
        <f>IFERROR(VLOOKUP(K$13&amp;$B413,Aux!$B:$M,6,0),"")</f>
        <v/>
      </c>
      <c r="N413" s="64"/>
      <c r="O413" s="63"/>
      <c r="S413" s="59"/>
      <c r="T413" s="16" t="str">
        <f>IF(T410="","","Срок сдачи"&amp;": ")</f>
        <v/>
      </c>
      <c r="U413" s="64" t="str">
        <f>IFERROR(VLOOKUP(S$13&amp;$B413,Aux!$B:$M,6,0),"")</f>
        <v/>
      </c>
      <c r="V413" s="64"/>
      <c r="W413" s="63"/>
      <c r="AA413" s="59"/>
      <c r="AB413" s="16" t="str">
        <f>IF(AB410="","","Срок сдачи"&amp;": ")</f>
        <v/>
      </c>
      <c r="AC413" s="64" t="str">
        <f>IFERROR(VLOOKUP(AA$13&amp;$B413,Aux!$B:$M,6,0),"")</f>
        <v/>
      </c>
      <c r="AD413" s="64"/>
      <c r="AE413" s="63"/>
    </row>
    <row r="414" spans="2:31" x14ac:dyDescent="0.25">
      <c r="B414" s="53">
        <f t="shared" si="6"/>
        <v>80</v>
      </c>
      <c r="C414" s="7"/>
      <c r="D414" s="17"/>
      <c r="E414" s="7"/>
      <c r="F414" s="18"/>
      <c r="G414" s="18"/>
      <c r="K414" s="13"/>
      <c r="L414" s="17"/>
      <c r="M414" s="13"/>
      <c r="N414" s="14"/>
      <c r="O414" s="14"/>
      <c r="S414" s="13"/>
      <c r="T414" s="17"/>
      <c r="U414" s="13"/>
      <c r="V414" s="14"/>
      <c r="W414" s="14"/>
      <c r="AA414" s="13"/>
      <c r="AB414" s="17"/>
      <c r="AC414" s="13"/>
      <c r="AD414" s="14"/>
      <c r="AE414" s="30"/>
    </row>
    <row r="415" spans="2:31" x14ac:dyDescent="0.25">
      <c r="B415" s="53">
        <f t="shared" si="6"/>
        <v>81</v>
      </c>
      <c r="C415" s="59" t="str">
        <f>IFERROR(VLOOKUP(C$13&amp;$B419,Aux!$B:$M,5,0),"")</f>
        <v/>
      </c>
      <c r="D415" s="60" t="str">
        <f>IFERROR(VLOOKUP(C$13&amp;$B415,Aux!$B:$M,3,0),"")</f>
        <v/>
      </c>
      <c r="E415" s="60"/>
      <c r="F415" s="60"/>
      <c r="G415" s="61" t="str">
        <f>IFERROR(VLOOKUP(C$13&amp;$B415,Aux!$B:$M,9,0),"")</f>
        <v/>
      </c>
      <c r="K415" s="59" t="str">
        <f>IFERROR(VLOOKUP(K$13&amp;$B419,Aux!$B:$M,5,0),"")</f>
        <v/>
      </c>
      <c r="L415" s="60" t="str">
        <f>IFERROR(VLOOKUP(K$13&amp;$B415,Aux!$B:$M,3,0),"")</f>
        <v/>
      </c>
      <c r="M415" s="60"/>
      <c r="N415" s="60"/>
      <c r="O415" s="61" t="str">
        <f>IFERROR(VLOOKUP(K$13&amp;$B415,Aux!$B:$M,9,0),"")</f>
        <v/>
      </c>
      <c r="S415" s="59" t="str">
        <f>IFERROR(VLOOKUP(S$13&amp;$B419,Aux!$B:$M,5,0),"")</f>
        <v/>
      </c>
      <c r="T415" s="60" t="str">
        <f>IFERROR(VLOOKUP(S$13&amp;$B415,Aux!$B:$M,3,0),"")</f>
        <v/>
      </c>
      <c r="U415" s="60"/>
      <c r="V415" s="60"/>
      <c r="W415" s="61" t="str">
        <f>IFERROR(VLOOKUP(S$13&amp;$B415,Aux!$B:$M,9,0),"")</f>
        <v/>
      </c>
      <c r="AA415" s="59" t="str">
        <f>IFERROR(VLOOKUP(AA$13&amp;$B419,Aux!$B:$M,5,0),"")</f>
        <v/>
      </c>
      <c r="AB415" s="60" t="str">
        <f>IFERROR(VLOOKUP(AA$13&amp;$B415,Aux!$B:$M,3,0),"")</f>
        <v/>
      </c>
      <c r="AC415" s="60"/>
      <c r="AD415" s="60"/>
      <c r="AE415" s="61" t="str">
        <f>IFERROR(VLOOKUP(AA$13&amp;$B415,Aux!$B:$M,9,0),"")</f>
        <v/>
      </c>
    </row>
    <row r="416" spans="2:31" x14ac:dyDescent="0.25">
      <c r="B416" s="53">
        <f t="shared" si="6"/>
        <v>81</v>
      </c>
      <c r="C416" s="59"/>
      <c r="D416" s="60"/>
      <c r="E416" s="60"/>
      <c r="F416" s="60"/>
      <c r="G416" s="61"/>
      <c r="K416" s="59"/>
      <c r="L416" s="60"/>
      <c r="M416" s="60"/>
      <c r="N416" s="60"/>
      <c r="O416" s="61"/>
      <c r="S416" s="59"/>
      <c r="T416" s="60"/>
      <c r="U416" s="60"/>
      <c r="V416" s="60"/>
      <c r="W416" s="61"/>
      <c r="AA416" s="59"/>
      <c r="AB416" s="60"/>
      <c r="AC416" s="60"/>
      <c r="AD416" s="60"/>
      <c r="AE416" s="61"/>
    </row>
    <row r="417" spans="2:31" x14ac:dyDescent="0.25">
      <c r="B417" s="53">
        <f t="shared" si="6"/>
        <v>81</v>
      </c>
      <c r="C417" s="59"/>
      <c r="D417" s="15" t="str">
        <f>IF(D415="","","Исполнитель"&amp;": ")</f>
        <v/>
      </c>
      <c r="E417" s="62" t="str">
        <f>IFERROR(VLOOKUP(C$13&amp;$B417,Aux!$B:$M,4,0),"")</f>
        <v/>
      </c>
      <c r="F417" s="62"/>
      <c r="G417" s="63" t="str">
        <f>IFERROR(IF(VLOOKUP(C$13&amp;$B415,Aux!$B:$M,8,0)="Да","✔","🕓"),"")</f>
        <v/>
      </c>
      <c r="K417" s="59"/>
      <c r="L417" s="15" t="str">
        <f>IF(L415="","","Исполнитель"&amp;": ")</f>
        <v/>
      </c>
      <c r="M417" s="62" t="str">
        <f>IFERROR(VLOOKUP(K$13&amp;$B417,Aux!$B:$M,4,0),"")</f>
        <v/>
      </c>
      <c r="N417" s="62"/>
      <c r="O417" s="63" t="str">
        <f>IFERROR(IF(VLOOKUP(K$13&amp;$B415,Aux!$B:$M,8,0)="Да","✔","🕓"),"")</f>
        <v/>
      </c>
      <c r="S417" s="59"/>
      <c r="T417" s="15" t="str">
        <f>IF(T415="","","Исполнитель"&amp;": ")</f>
        <v/>
      </c>
      <c r="U417" s="62" t="str">
        <f>IFERROR(VLOOKUP(S$13&amp;$B417,Aux!$B:$M,4,0),"")</f>
        <v/>
      </c>
      <c r="V417" s="62"/>
      <c r="W417" s="63" t="str">
        <f>IFERROR(IF(VLOOKUP(S$13&amp;$B415,Aux!$B:$M,8,0)="Да","✔","🕓"),"")</f>
        <v/>
      </c>
      <c r="AA417" s="59"/>
      <c r="AB417" s="15" t="str">
        <f>IF(AB415="","","Исполнитель"&amp;": ")</f>
        <v/>
      </c>
      <c r="AC417" s="62" t="str">
        <f>IFERROR(VLOOKUP(AA$13&amp;$B417,Aux!$B:$M,4,0),"")</f>
        <v/>
      </c>
      <c r="AD417" s="62"/>
      <c r="AE417" s="63" t="str">
        <f>IFERROR(IF(VLOOKUP(AA$13&amp;$B415,Aux!$B:$M,8,0)="Да","✔","🕓"),"")</f>
        <v/>
      </c>
    </row>
    <row r="418" spans="2:31" x14ac:dyDescent="0.25">
      <c r="B418" s="53">
        <f t="shared" si="6"/>
        <v>81</v>
      </c>
      <c r="C418" s="59"/>
      <c r="D418" s="16" t="str">
        <f>IF(D415="","","Срок сдачи"&amp;": ")</f>
        <v/>
      </c>
      <c r="E418" s="64" t="str">
        <f>IFERROR(VLOOKUP(C$13&amp;$B418,Aux!$B:$M,6,0),"")</f>
        <v/>
      </c>
      <c r="F418" s="64"/>
      <c r="G418" s="63"/>
      <c r="K418" s="59"/>
      <c r="L418" s="16" t="str">
        <f>IF(L415="","","Срок сдачи"&amp;": ")</f>
        <v/>
      </c>
      <c r="M418" s="64" t="str">
        <f>IFERROR(VLOOKUP(K$13&amp;$B418,Aux!$B:$M,6,0),"")</f>
        <v/>
      </c>
      <c r="N418" s="64"/>
      <c r="O418" s="63"/>
      <c r="S418" s="59"/>
      <c r="T418" s="16" t="str">
        <f>IF(T415="","","Срок сдачи"&amp;": ")</f>
        <v/>
      </c>
      <c r="U418" s="64" t="str">
        <f>IFERROR(VLOOKUP(S$13&amp;$B418,Aux!$B:$M,6,0),"")</f>
        <v/>
      </c>
      <c r="V418" s="64"/>
      <c r="W418" s="63"/>
      <c r="AA418" s="59"/>
      <c r="AB418" s="16" t="str">
        <f>IF(AB415="","","Срок сдачи"&amp;": ")</f>
        <v/>
      </c>
      <c r="AC418" s="64" t="str">
        <f>IFERROR(VLOOKUP(AA$13&amp;$B418,Aux!$B:$M,6,0),"")</f>
        <v/>
      </c>
      <c r="AD418" s="64"/>
      <c r="AE418" s="63"/>
    </row>
    <row r="419" spans="2:31" x14ac:dyDescent="0.25">
      <c r="B419" s="53">
        <f t="shared" si="6"/>
        <v>81</v>
      </c>
      <c r="C419" s="7"/>
      <c r="D419" s="17"/>
      <c r="E419" s="7"/>
      <c r="F419" s="18"/>
      <c r="G419" s="18"/>
      <c r="K419" s="13"/>
      <c r="L419" s="17"/>
      <c r="M419" s="13"/>
      <c r="N419" s="14"/>
      <c r="O419" s="14"/>
      <c r="S419" s="13"/>
      <c r="T419" s="17"/>
      <c r="U419" s="13"/>
      <c r="V419" s="14"/>
      <c r="W419" s="14"/>
      <c r="AA419" s="13"/>
      <c r="AB419" s="17"/>
      <c r="AC419" s="13"/>
      <c r="AD419" s="14"/>
      <c r="AE419" s="30"/>
    </row>
    <row r="420" spans="2:31" x14ac:dyDescent="0.25">
      <c r="B420" s="53">
        <f t="shared" si="6"/>
        <v>82</v>
      </c>
      <c r="C420" s="59" t="str">
        <f>IFERROR(VLOOKUP(C$13&amp;$B424,Aux!$B:$M,5,0),"")</f>
        <v/>
      </c>
      <c r="D420" s="60" t="str">
        <f>IFERROR(VLOOKUP(C$13&amp;$B420,Aux!$B:$M,3,0),"")</f>
        <v/>
      </c>
      <c r="E420" s="60"/>
      <c r="F420" s="60"/>
      <c r="G420" s="61" t="str">
        <f>IFERROR(VLOOKUP(C$13&amp;$B420,Aux!$B:$M,9,0),"")</f>
        <v/>
      </c>
      <c r="K420" s="59" t="str">
        <f>IFERROR(VLOOKUP(K$13&amp;$B424,Aux!$B:$M,5,0),"")</f>
        <v/>
      </c>
      <c r="L420" s="60" t="str">
        <f>IFERROR(VLOOKUP(K$13&amp;$B420,Aux!$B:$M,3,0),"")</f>
        <v/>
      </c>
      <c r="M420" s="60"/>
      <c r="N420" s="60"/>
      <c r="O420" s="61" t="str">
        <f>IFERROR(VLOOKUP(K$13&amp;$B420,Aux!$B:$M,9,0),"")</f>
        <v/>
      </c>
      <c r="S420" s="59" t="str">
        <f>IFERROR(VLOOKUP(S$13&amp;$B424,Aux!$B:$M,5,0),"")</f>
        <v/>
      </c>
      <c r="T420" s="60" t="str">
        <f>IFERROR(VLOOKUP(S$13&amp;$B420,Aux!$B:$M,3,0),"")</f>
        <v/>
      </c>
      <c r="U420" s="60"/>
      <c r="V420" s="60"/>
      <c r="W420" s="61" t="str">
        <f>IFERROR(VLOOKUP(S$13&amp;$B420,Aux!$B:$M,9,0),"")</f>
        <v/>
      </c>
      <c r="AA420" s="59" t="str">
        <f>IFERROR(VLOOKUP(AA$13&amp;$B424,Aux!$B:$M,5,0),"")</f>
        <v/>
      </c>
      <c r="AB420" s="60" t="str">
        <f>IFERROR(VLOOKUP(AA$13&amp;$B420,Aux!$B:$M,3,0),"")</f>
        <v/>
      </c>
      <c r="AC420" s="60"/>
      <c r="AD420" s="60"/>
      <c r="AE420" s="61" t="str">
        <f>IFERROR(VLOOKUP(AA$13&amp;$B420,Aux!$B:$M,9,0),"")</f>
        <v/>
      </c>
    </row>
    <row r="421" spans="2:31" x14ac:dyDescent="0.25">
      <c r="B421" s="53">
        <f t="shared" si="6"/>
        <v>82</v>
      </c>
      <c r="C421" s="59"/>
      <c r="D421" s="60"/>
      <c r="E421" s="60"/>
      <c r="F421" s="60"/>
      <c r="G421" s="61"/>
      <c r="K421" s="59"/>
      <c r="L421" s="60"/>
      <c r="M421" s="60"/>
      <c r="N421" s="60"/>
      <c r="O421" s="61"/>
      <c r="S421" s="59"/>
      <c r="T421" s="60"/>
      <c r="U421" s="60"/>
      <c r="V421" s="60"/>
      <c r="W421" s="61"/>
      <c r="AA421" s="59"/>
      <c r="AB421" s="60"/>
      <c r="AC421" s="60"/>
      <c r="AD421" s="60"/>
      <c r="AE421" s="61"/>
    </row>
    <row r="422" spans="2:31" x14ac:dyDescent="0.25">
      <c r="B422" s="53">
        <f t="shared" si="6"/>
        <v>82</v>
      </c>
      <c r="C422" s="59"/>
      <c r="D422" s="15" t="str">
        <f>IF(D420="","","Исполнитель"&amp;": ")</f>
        <v/>
      </c>
      <c r="E422" s="62" t="str">
        <f>IFERROR(VLOOKUP(C$13&amp;$B422,Aux!$B:$M,4,0),"")</f>
        <v/>
      </c>
      <c r="F422" s="62"/>
      <c r="G422" s="63" t="str">
        <f>IFERROR(IF(VLOOKUP(C$13&amp;$B420,Aux!$B:$M,8,0)="Да","✔","🕓"),"")</f>
        <v/>
      </c>
      <c r="K422" s="59"/>
      <c r="L422" s="15" t="str">
        <f>IF(L420="","","Исполнитель"&amp;": ")</f>
        <v/>
      </c>
      <c r="M422" s="62" t="str">
        <f>IFERROR(VLOOKUP(K$13&amp;$B422,Aux!$B:$M,4,0),"")</f>
        <v/>
      </c>
      <c r="N422" s="62"/>
      <c r="O422" s="63" t="str">
        <f>IFERROR(IF(VLOOKUP(K$13&amp;$B420,Aux!$B:$M,8,0)="Да","✔","🕓"),"")</f>
        <v/>
      </c>
      <c r="S422" s="59"/>
      <c r="T422" s="15" t="str">
        <f>IF(T420="","","Исполнитель"&amp;": ")</f>
        <v/>
      </c>
      <c r="U422" s="62" t="str">
        <f>IFERROR(VLOOKUP(S$13&amp;$B422,Aux!$B:$M,4,0),"")</f>
        <v/>
      </c>
      <c r="V422" s="62"/>
      <c r="W422" s="63" t="str">
        <f>IFERROR(IF(VLOOKUP(S$13&amp;$B420,Aux!$B:$M,8,0)="Да","✔","🕓"),"")</f>
        <v/>
      </c>
      <c r="AA422" s="59"/>
      <c r="AB422" s="15" t="str">
        <f>IF(AB420="","","Исполнитель"&amp;": ")</f>
        <v/>
      </c>
      <c r="AC422" s="62" t="str">
        <f>IFERROR(VLOOKUP(AA$13&amp;$B422,Aux!$B:$M,4,0),"")</f>
        <v/>
      </c>
      <c r="AD422" s="62"/>
      <c r="AE422" s="63" t="str">
        <f>IFERROR(IF(VLOOKUP(AA$13&amp;$B420,Aux!$B:$M,8,0)="Да","✔","🕓"),"")</f>
        <v/>
      </c>
    </row>
    <row r="423" spans="2:31" x14ac:dyDescent="0.25">
      <c r="B423" s="53">
        <f t="shared" si="6"/>
        <v>82</v>
      </c>
      <c r="C423" s="59"/>
      <c r="D423" s="16" t="str">
        <f>IF(D420="","","Срок сдачи"&amp;": ")</f>
        <v/>
      </c>
      <c r="E423" s="64" t="str">
        <f>IFERROR(VLOOKUP(C$13&amp;$B423,Aux!$B:$M,6,0),"")</f>
        <v/>
      </c>
      <c r="F423" s="64"/>
      <c r="G423" s="63"/>
      <c r="K423" s="59"/>
      <c r="L423" s="16" t="str">
        <f>IF(L420="","","Срок сдачи"&amp;": ")</f>
        <v/>
      </c>
      <c r="M423" s="64" t="str">
        <f>IFERROR(VLOOKUP(K$13&amp;$B423,Aux!$B:$M,6,0),"")</f>
        <v/>
      </c>
      <c r="N423" s="64"/>
      <c r="O423" s="63"/>
      <c r="S423" s="59"/>
      <c r="T423" s="16" t="str">
        <f>IF(T420="","","Срок сдачи"&amp;": ")</f>
        <v/>
      </c>
      <c r="U423" s="64" t="str">
        <f>IFERROR(VLOOKUP(S$13&amp;$B423,Aux!$B:$M,6,0),"")</f>
        <v/>
      </c>
      <c r="V423" s="64"/>
      <c r="W423" s="63"/>
      <c r="AA423" s="59"/>
      <c r="AB423" s="16" t="str">
        <f>IF(AB420="","","Срок сдачи"&amp;": ")</f>
        <v/>
      </c>
      <c r="AC423" s="64" t="str">
        <f>IFERROR(VLOOKUP(AA$13&amp;$B423,Aux!$B:$M,6,0),"")</f>
        <v/>
      </c>
      <c r="AD423" s="64"/>
      <c r="AE423" s="63"/>
    </row>
    <row r="424" spans="2:31" x14ac:dyDescent="0.25">
      <c r="B424" s="53">
        <f t="shared" si="6"/>
        <v>82</v>
      </c>
      <c r="C424" s="7"/>
      <c r="D424" s="17"/>
      <c r="E424" s="7"/>
      <c r="F424" s="18"/>
      <c r="G424" s="18"/>
      <c r="K424" s="13"/>
      <c r="L424" s="17"/>
      <c r="M424" s="13"/>
      <c r="N424" s="14"/>
      <c r="O424" s="14"/>
      <c r="S424" s="13"/>
      <c r="T424" s="17"/>
      <c r="U424" s="13"/>
      <c r="V424" s="14"/>
      <c r="W424" s="14"/>
      <c r="AA424" s="13"/>
      <c r="AB424" s="17"/>
      <c r="AC424" s="13"/>
      <c r="AD424" s="14"/>
      <c r="AE424" s="30"/>
    </row>
    <row r="425" spans="2:31" x14ac:dyDescent="0.25">
      <c r="B425" s="53">
        <f t="shared" si="6"/>
        <v>83</v>
      </c>
      <c r="C425" s="59" t="str">
        <f>IFERROR(VLOOKUP(C$13&amp;$B429,Aux!$B:$M,5,0),"")</f>
        <v/>
      </c>
      <c r="D425" s="60" t="str">
        <f>IFERROR(VLOOKUP(C$13&amp;$B425,Aux!$B:$M,3,0),"")</f>
        <v/>
      </c>
      <c r="E425" s="60"/>
      <c r="F425" s="60"/>
      <c r="G425" s="61" t="str">
        <f>IFERROR(VLOOKUP(C$13&amp;$B425,Aux!$B:$M,9,0),"")</f>
        <v/>
      </c>
      <c r="K425" s="59" t="str">
        <f>IFERROR(VLOOKUP(K$13&amp;$B429,Aux!$B:$M,5,0),"")</f>
        <v/>
      </c>
      <c r="L425" s="60" t="str">
        <f>IFERROR(VLOOKUP(K$13&amp;$B425,Aux!$B:$M,3,0),"")</f>
        <v/>
      </c>
      <c r="M425" s="60"/>
      <c r="N425" s="60"/>
      <c r="O425" s="61" t="str">
        <f>IFERROR(VLOOKUP(K$13&amp;$B425,Aux!$B:$M,9,0),"")</f>
        <v/>
      </c>
      <c r="S425" s="59" t="str">
        <f>IFERROR(VLOOKUP(S$13&amp;$B429,Aux!$B:$M,5,0),"")</f>
        <v/>
      </c>
      <c r="T425" s="60" t="str">
        <f>IFERROR(VLOOKUP(S$13&amp;$B425,Aux!$B:$M,3,0),"")</f>
        <v/>
      </c>
      <c r="U425" s="60"/>
      <c r="V425" s="60"/>
      <c r="W425" s="61" t="str">
        <f>IFERROR(VLOOKUP(S$13&amp;$B425,Aux!$B:$M,9,0),"")</f>
        <v/>
      </c>
      <c r="AA425" s="59" t="str">
        <f>IFERROR(VLOOKUP(AA$13&amp;$B429,Aux!$B:$M,5,0),"")</f>
        <v/>
      </c>
      <c r="AB425" s="60" t="str">
        <f>IFERROR(VLOOKUP(AA$13&amp;$B425,Aux!$B:$M,3,0),"")</f>
        <v/>
      </c>
      <c r="AC425" s="60"/>
      <c r="AD425" s="60"/>
      <c r="AE425" s="61" t="str">
        <f>IFERROR(VLOOKUP(AA$13&amp;$B425,Aux!$B:$M,9,0),"")</f>
        <v/>
      </c>
    </row>
    <row r="426" spans="2:31" x14ac:dyDescent="0.25">
      <c r="B426" s="53">
        <f t="shared" si="6"/>
        <v>83</v>
      </c>
      <c r="C426" s="59"/>
      <c r="D426" s="60"/>
      <c r="E426" s="60"/>
      <c r="F426" s="60"/>
      <c r="G426" s="61"/>
      <c r="K426" s="59"/>
      <c r="L426" s="60"/>
      <c r="M426" s="60"/>
      <c r="N426" s="60"/>
      <c r="O426" s="61"/>
      <c r="S426" s="59"/>
      <c r="T426" s="60"/>
      <c r="U426" s="60"/>
      <c r="V426" s="60"/>
      <c r="W426" s="61"/>
      <c r="AA426" s="59"/>
      <c r="AB426" s="60"/>
      <c r="AC426" s="60"/>
      <c r="AD426" s="60"/>
      <c r="AE426" s="61"/>
    </row>
    <row r="427" spans="2:31" x14ac:dyDescent="0.25">
      <c r="B427" s="53">
        <f t="shared" si="6"/>
        <v>83</v>
      </c>
      <c r="C427" s="59"/>
      <c r="D427" s="15" t="str">
        <f>IF(D425="","","Исполнитель"&amp;": ")</f>
        <v/>
      </c>
      <c r="E427" s="62" t="str">
        <f>IFERROR(VLOOKUP(C$13&amp;$B427,Aux!$B:$M,4,0),"")</f>
        <v/>
      </c>
      <c r="F427" s="62"/>
      <c r="G427" s="63" t="str">
        <f>IFERROR(IF(VLOOKUP(C$13&amp;$B425,Aux!$B:$M,8,0)="Да","✔","🕓"),"")</f>
        <v/>
      </c>
      <c r="K427" s="59"/>
      <c r="L427" s="15" t="str">
        <f>IF(L425="","","Исполнитель"&amp;": ")</f>
        <v/>
      </c>
      <c r="M427" s="62" t="str">
        <f>IFERROR(VLOOKUP(K$13&amp;$B427,Aux!$B:$M,4,0),"")</f>
        <v/>
      </c>
      <c r="N427" s="62"/>
      <c r="O427" s="63" t="str">
        <f>IFERROR(IF(VLOOKUP(K$13&amp;$B425,Aux!$B:$M,8,0)="Да","✔","🕓"),"")</f>
        <v/>
      </c>
      <c r="S427" s="59"/>
      <c r="T427" s="15" t="str">
        <f>IF(T425="","","Исполнитель"&amp;": ")</f>
        <v/>
      </c>
      <c r="U427" s="62" t="str">
        <f>IFERROR(VLOOKUP(S$13&amp;$B427,Aux!$B:$M,4,0),"")</f>
        <v/>
      </c>
      <c r="V427" s="62"/>
      <c r="W427" s="63" t="str">
        <f>IFERROR(IF(VLOOKUP(S$13&amp;$B425,Aux!$B:$M,8,0)="Да","✔","🕓"),"")</f>
        <v/>
      </c>
      <c r="AA427" s="59"/>
      <c r="AB427" s="15" t="str">
        <f>IF(AB425="","","Исполнитель"&amp;": ")</f>
        <v/>
      </c>
      <c r="AC427" s="62" t="str">
        <f>IFERROR(VLOOKUP(AA$13&amp;$B427,Aux!$B:$M,4,0),"")</f>
        <v/>
      </c>
      <c r="AD427" s="62"/>
      <c r="AE427" s="63" t="str">
        <f>IFERROR(IF(VLOOKUP(AA$13&amp;$B425,Aux!$B:$M,8,0)="Да","✔","🕓"),"")</f>
        <v/>
      </c>
    </row>
    <row r="428" spans="2:31" x14ac:dyDescent="0.25">
      <c r="B428" s="53">
        <f t="shared" si="6"/>
        <v>83</v>
      </c>
      <c r="C428" s="59"/>
      <c r="D428" s="16" t="str">
        <f>IF(D425="","","Срок сдачи"&amp;": ")</f>
        <v/>
      </c>
      <c r="E428" s="64" t="str">
        <f>IFERROR(VLOOKUP(C$13&amp;$B428,Aux!$B:$M,6,0),"")</f>
        <v/>
      </c>
      <c r="F428" s="64"/>
      <c r="G428" s="63"/>
      <c r="K428" s="59"/>
      <c r="L428" s="16" t="str">
        <f>IF(L425="","","Срок сдачи"&amp;": ")</f>
        <v/>
      </c>
      <c r="M428" s="64" t="str">
        <f>IFERROR(VLOOKUP(K$13&amp;$B428,Aux!$B:$M,6,0),"")</f>
        <v/>
      </c>
      <c r="N428" s="64"/>
      <c r="O428" s="63"/>
      <c r="S428" s="59"/>
      <c r="T428" s="16" t="str">
        <f>IF(T425="","","Срок сдачи"&amp;": ")</f>
        <v/>
      </c>
      <c r="U428" s="64" t="str">
        <f>IFERROR(VLOOKUP(S$13&amp;$B428,Aux!$B:$M,6,0),"")</f>
        <v/>
      </c>
      <c r="V428" s="64"/>
      <c r="W428" s="63"/>
      <c r="AA428" s="59"/>
      <c r="AB428" s="16" t="str">
        <f>IF(AB425="","","Срок сдачи"&amp;": ")</f>
        <v/>
      </c>
      <c r="AC428" s="64" t="str">
        <f>IFERROR(VLOOKUP(AA$13&amp;$B428,Aux!$B:$M,6,0),"")</f>
        <v/>
      </c>
      <c r="AD428" s="64"/>
      <c r="AE428" s="63"/>
    </row>
    <row r="429" spans="2:31" x14ac:dyDescent="0.25">
      <c r="B429" s="53">
        <f t="shared" si="6"/>
        <v>83</v>
      </c>
      <c r="C429" s="7"/>
      <c r="D429" s="17"/>
      <c r="E429" s="7"/>
      <c r="F429" s="18"/>
      <c r="G429" s="18"/>
      <c r="K429" s="13"/>
      <c r="L429" s="17"/>
      <c r="M429" s="13"/>
      <c r="N429" s="14"/>
      <c r="O429" s="14"/>
      <c r="S429" s="13"/>
      <c r="T429" s="17"/>
      <c r="U429" s="13"/>
      <c r="V429" s="14"/>
      <c r="W429" s="14"/>
      <c r="AA429" s="13"/>
      <c r="AB429" s="17"/>
      <c r="AC429" s="13"/>
      <c r="AD429" s="14"/>
      <c r="AE429" s="30"/>
    </row>
    <row r="430" spans="2:31" x14ac:dyDescent="0.25">
      <c r="B430" s="53">
        <f t="shared" si="6"/>
        <v>84</v>
      </c>
      <c r="C430" s="59" t="str">
        <f>IFERROR(VLOOKUP(C$13&amp;$B434,Aux!$B:$M,5,0),"")</f>
        <v/>
      </c>
      <c r="D430" s="60" t="str">
        <f>IFERROR(VLOOKUP(C$13&amp;$B430,Aux!$B:$M,3,0),"")</f>
        <v/>
      </c>
      <c r="E430" s="60"/>
      <c r="F430" s="60"/>
      <c r="G430" s="61" t="str">
        <f>IFERROR(VLOOKUP(C$13&amp;$B430,Aux!$B:$M,9,0),"")</f>
        <v/>
      </c>
      <c r="K430" s="59" t="str">
        <f>IFERROR(VLOOKUP(K$13&amp;$B434,Aux!$B:$M,5,0),"")</f>
        <v/>
      </c>
      <c r="L430" s="60" t="str">
        <f>IFERROR(VLOOKUP(K$13&amp;$B430,Aux!$B:$M,3,0),"")</f>
        <v/>
      </c>
      <c r="M430" s="60"/>
      <c r="N430" s="60"/>
      <c r="O430" s="61" t="str">
        <f>IFERROR(VLOOKUP(K$13&amp;$B430,Aux!$B:$M,9,0),"")</f>
        <v/>
      </c>
      <c r="S430" s="59" t="str">
        <f>IFERROR(VLOOKUP(S$13&amp;$B434,Aux!$B:$M,5,0),"")</f>
        <v/>
      </c>
      <c r="T430" s="60" t="str">
        <f>IFERROR(VLOOKUP(S$13&amp;$B430,Aux!$B:$M,3,0),"")</f>
        <v/>
      </c>
      <c r="U430" s="60"/>
      <c r="V430" s="60"/>
      <c r="W430" s="61" t="str">
        <f>IFERROR(VLOOKUP(S$13&amp;$B430,Aux!$B:$M,9,0),"")</f>
        <v/>
      </c>
      <c r="AA430" s="59" t="str">
        <f>IFERROR(VLOOKUP(AA$13&amp;$B434,Aux!$B:$M,5,0),"")</f>
        <v/>
      </c>
      <c r="AB430" s="60" t="str">
        <f>IFERROR(VLOOKUP(AA$13&amp;$B430,Aux!$B:$M,3,0),"")</f>
        <v/>
      </c>
      <c r="AC430" s="60"/>
      <c r="AD430" s="60"/>
      <c r="AE430" s="61" t="str">
        <f>IFERROR(VLOOKUP(AA$13&amp;$B430,Aux!$B:$M,9,0),"")</f>
        <v/>
      </c>
    </row>
    <row r="431" spans="2:31" x14ac:dyDescent="0.25">
      <c r="B431" s="53">
        <f t="shared" si="6"/>
        <v>84</v>
      </c>
      <c r="C431" s="59"/>
      <c r="D431" s="60"/>
      <c r="E431" s="60"/>
      <c r="F431" s="60"/>
      <c r="G431" s="61"/>
      <c r="K431" s="59"/>
      <c r="L431" s="60"/>
      <c r="M431" s="60"/>
      <c r="N431" s="60"/>
      <c r="O431" s="61"/>
      <c r="S431" s="59"/>
      <c r="T431" s="60"/>
      <c r="U431" s="60"/>
      <c r="V431" s="60"/>
      <c r="W431" s="61"/>
      <c r="AA431" s="59"/>
      <c r="AB431" s="60"/>
      <c r="AC431" s="60"/>
      <c r="AD431" s="60"/>
      <c r="AE431" s="61"/>
    </row>
    <row r="432" spans="2:31" x14ac:dyDescent="0.25">
      <c r="B432" s="53">
        <f t="shared" si="6"/>
        <v>84</v>
      </c>
      <c r="C432" s="59"/>
      <c r="D432" s="15" t="str">
        <f>IF(D430="","","Исполнитель"&amp;": ")</f>
        <v/>
      </c>
      <c r="E432" s="62" t="str">
        <f>IFERROR(VLOOKUP(C$13&amp;$B432,Aux!$B:$M,4,0),"")</f>
        <v/>
      </c>
      <c r="F432" s="62"/>
      <c r="G432" s="63" t="str">
        <f>IFERROR(IF(VLOOKUP(C$13&amp;$B430,Aux!$B:$M,8,0)="Да","✔","🕓"),"")</f>
        <v/>
      </c>
      <c r="K432" s="59"/>
      <c r="L432" s="15" t="str">
        <f>IF(L430="","","Исполнитель"&amp;": ")</f>
        <v/>
      </c>
      <c r="M432" s="62" t="str">
        <f>IFERROR(VLOOKUP(K$13&amp;$B432,Aux!$B:$M,4,0),"")</f>
        <v/>
      </c>
      <c r="N432" s="62"/>
      <c r="O432" s="63" t="str">
        <f>IFERROR(IF(VLOOKUP(K$13&amp;$B430,Aux!$B:$M,8,0)="Да","✔","🕓"),"")</f>
        <v/>
      </c>
      <c r="S432" s="59"/>
      <c r="T432" s="15" t="str">
        <f>IF(T430="","","Исполнитель"&amp;": ")</f>
        <v/>
      </c>
      <c r="U432" s="62" t="str">
        <f>IFERROR(VLOOKUP(S$13&amp;$B432,Aux!$B:$M,4,0),"")</f>
        <v/>
      </c>
      <c r="V432" s="62"/>
      <c r="W432" s="63" t="str">
        <f>IFERROR(IF(VLOOKUP(S$13&amp;$B430,Aux!$B:$M,8,0)="Да","✔","🕓"),"")</f>
        <v/>
      </c>
      <c r="AA432" s="59"/>
      <c r="AB432" s="15" t="str">
        <f>IF(AB430="","","Исполнитель"&amp;": ")</f>
        <v/>
      </c>
      <c r="AC432" s="62" t="str">
        <f>IFERROR(VLOOKUP(AA$13&amp;$B432,Aux!$B:$M,4,0),"")</f>
        <v/>
      </c>
      <c r="AD432" s="62"/>
      <c r="AE432" s="63" t="str">
        <f>IFERROR(IF(VLOOKUP(AA$13&amp;$B430,Aux!$B:$M,8,0)="Да","✔","🕓"),"")</f>
        <v/>
      </c>
    </row>
    <row r="433" spans="2:31" x14ac:dyDescent="0.25">
      <c r="B433" s="53">
        <f t="shared" si="6"/>
        <v>84</v>
      </c>
      <c r="C433" s="59"/>
      <c r="D433" s="16" t="str">
        <f>IF(D430="","","Срок сдачи"&amp;": ")</f>
        <v/>
      </c>
      <c r="E433" s="64" t="str">
        <f>IFERROR(VLOOKUP(C$13&amp;$B433,Aux!$B:$M,6,0),"")</f>
        <v/>
      </c>
      <c r="F433" s="64"/>
      <c r="G433" s="63"/>
      <c r="K433" s="59"/>
      <c r="L433" s="16" t="str">
        <f>IF(L430="","","Срок сдачи"&amp;": ")</f>
        <v/>
      </c>
      <c r="M433" s="64" t="str">
        <f>IFERROR(VLOOKUP(K$13&amp;$B433,Aux!$B:$M,6,0),"")</f>
        <v/>
      </c>
      <c r="N433" s="64"/>
      <c r="O433" s="63"/>
      <c r="S433" s="59"/>
      <c r="T433" s="16" t="str">
        <f>IF(T430="","","Срок сдачи"&amp;": ")</f>
        <v/>
      </c>
      <c r="U433" s="64" t="str">
        <f>IFERROR(VLOOKUP(S$13&amp;$B433,Aux!$B:$M,6,0),"")</f>
        <v/>
      </c>
      <c r="V433" s="64"/>
      <c r="W433" s="63"/>
      <c r="AA433" s="59"/>
      <c r="AB433" s="16" t="str">
        <f>IF(AB430="","","Срок сдачи"&amp;": ")</f>
        <v/>
      </c>
      <c r="AC433" s="64" t="str">
        <f>IFERROR(VLOOKUP(AA$13&amp;$B433,Aux!$B:$M,6,0),"")</f>
        <v/>
      </c>
      <c r="AD433" s="64"/>
      <c r="AE433" s="63"/>
    </row>
    <row r="434" spans="2:31" x14ac:dyDescent="0.25">
      <c r="B434" s="53">
        <f t="shared" si="6"/>
        <v>84</v>
      </c>
      <c r="C434" s="7"/>
      <c r="D434" s="17"/>
      <c r="E434" s="7"/>
      <c r="F434" s="18"/>
      <c r="G434" s="18"/>
      <c r="K434" s="13"/>
      <c r="L434" s="17"/>
      <c r="M434" s="13"/>
      <c r="N434" s="14"/>
      <c r="O434" s="14"/>
      <c r="S434" s="13"/>
      <c r="T434" s="17"/>
      <c r="U434" s="13"/>
      <c r="V434" s="14"/>
      <c r="W434" s="14"/>
      <c r="AA434" s="13"/>
      <c r="AB434" s="17"/>
      <c r="AC434" s="13"/>
      <c r="AD434" s="14"/>
      <c r="AE434" s="30"/>
    </row>
    <row r="435" spans="2:31" x14ac:dyDescent="0.25">
      <c r="B435" s="53">
        <f t="shared" si="6"/>
        <v>85</v>
      </c>
      <c r="C435" s="59" t="str">
        <f>IFERROR(VLOOKUP(C$13&amp;$B439,Aux!$B:$M,5,0),"")</f>
        <v/>
      </c>
      <c r="D435" s="60" t="str">
        <f>IFERROR(VLOOKUP(C$13&amp;$B435,Aux!$B:$M,3,0),"")</f>
        <v/>
      </c>
      <c r="E435" s="60"/>
      <c r="F435" s="60"/>
      <c r="G435" s="61" t="str">
        <f>IFERROR(VLOOKUP(C$13&amp;$B435,Aux!$B:$M,9,0),"")</f>
        <v/>
      </c>
      <c r="K435" s="59" t="str">
        <f>IFERROR(VLOOKUP(K$13&amp;$B439,Aux!$B:$M,5,0),"")</f>
        <v/>
      </c>
      <c r="L435" s="60" t="str">
        <f>IFERROR(VLOOKUP(K$13&amp;$B435,Aux!$B:$M,3,0),"")</f>
        <v/>
      </c>
      <c r="M435" s="60"/>
      <c r="N435" s="60"/>
      <c r="O435" s="61" t="str">
        <f>IFERROR(VLOOKUP(K$13&amp;$B435,Aux!$B:$M,9,0),"")</f>
        <v/>
      </c>
      <c r="S435" s="59" t="str">
        <f>IFERROR(VLOOKUP(S$13&amp;$B439,Aux!$B:$M,5,0),"")</f>
        <v/>
      </c>
      <c r="T435" s="60" t="str">
        <f>IFERROR(VLOOKUP(S$13&amp;$B435,Aux!$B:$M,3,0),"")</f>
        <v/>
      </c>
      <c r="U435" s="60"/>
      <c r="V435" s="60"/>
      <c r="W435" s="61" t="str">
        <f>IFERROR(VLOOKUP(S$13&amp;$B435,Aux!$B:$M,9,0),"")</f>
        <v/>
      </c>
      <c r="AA435" s="59" t="str">
        <f>IFERROR(VLOOKUP(AA$13&amp;$B439,Aux!$B:$M,5,0),"")</f>
        <v/>
      </c>
      <c r="AB435" s="60" t="str">
        <f>IFERROR(VLOOKUP(AA$13&amp;$B435,Aux!$B:$M,3,0),"")</f>
        <v/>
      </c>
      <c r="AC435" s="60"/>
      <c r="AD435" s="60"/>
      <c r="AE435" s="61" t="str">
        <f>IFERROR(VLOOKUP(AA$13&amp;$B435,Aux!$B:$M,9,0),"")</f>
        <v/>
      </c>
    </row>
    <row r="436" spans="2:31" x14ac:dyDescent="0.25">
      <c r="B436" s="53">
        <f t="shared" si="6"/>
        <v>85</v>
      </c>
      <c r="C436" s="59"/>
      <c r="D436" s="60"/>
      <c r="E436" s="60"/>
      <c r="F436" s="60"/>
      <c r="G436" s="61"/>
      <c r="K436" s="59"/>
      <c r="L436" s="60"/>
      <c r="M436" s="60"/>
      <c r="N436" s="60"/>
      <c r="O436" s="61"/>
      <c r="S436" s="59"/>
      <c r="T436" s="60"/>
      <c r="U436" s="60"/>
      <c r="V436" s="60"/>
      <c r="W436" s="61"/>
      <c r="AA436" s="59"/>
      <c r="AB436" s="60"/>
      <c r="AC436" s="60"/>
      <c r="AD436" s="60"/>
      <c r="AE436" s="61"/>
    </row>
    <row r="437" spans="2:31" x14ac:dyDescent="0.25">
      <c r="B437" s="53">
        <f t="shared" si="6"/>
        <v>85</v>
      </c>
      <c r="C437" s="59"/>
      <c r="D437" s="15" t="str">
        <f>IF(D435="","","Исполнитель"&amp;": ")</f>
        <v/>
      </c>
      <c r="E437" s="62" t="str">
        <f>IFERROR(VLOOKUP(C$13&amp;$B437,Aux!$B:$M,4,0),"")</f>
        <v/>
      </c>
      <c r="F437" s="62"/>
      <c r="G437" s="63" t="str">
        <f>IFERROR(IF(VLOOKUP(C$13&amp;$B435,Aux!$B:$M,8,0)="Да","✔","🕓"),"")</f>
        <v/>
      </c>
      <c r="K437" s="59"/>
      <c r="L437" s="15" t="str">
        <f>IF(L435="","","Исполнитель"&amp;": ")</f>
        <v/>
      </c>
      <c r="M437" s="62" t="str">
        <f>IFERROR(VLOOKUP(K$13&amp;$B437,Aux!$B:$M,4,0),"")</f>
        <v/>
      </c>
      <c r="N437" s="62"/>
      <c r="O437" s="63" t="str">
        <f>IFERROR(IF(VLOOKUP(K$13&amp;$B435,Aux!$B:$M,8,0)="Да","✔","🕓"),"")</f>
        <v/>
      </c>
      <c r="S437" s="59"/>
      <c r="T437" s="15" t="str">
        <f>IF(T435="","","Исполнитель"&amp;": ")</f>
        <v/>
      </c>
      <c r="U437" s="62" t="str">
        <f>IFERROR(VLOOKUP(S$13&amp;$B437,Aux!$B:$M,4,0),"")</f>
        <v/>
      </c>
      <c r="V437" s="62"/>
      <c r="W437" s="63" t="str">
        <f>IFERROR(IF(VLOOKUP(S$13&amp;$B435,Aux!$B:$M,8,0)="Да","✔","🕓"),"")</f>
        <v/>
      </c>
      <c r="AA437" s="59"/>
      <c r="AB437" s="15" t="str">
        <f>IF(AB435="","","Исполнитель"&amp;": ")</f>
        <v/>
      </c>
      <c r="AC437" s="62" t="str">
        <f>IFERROR(VLOOKUP(AA$13&amp;$B437,Aux!$B:$M,4,0),"")</f>
        <v/>
      </c>
      <c r="AD437" s="62"/>
      <c r="AE437" s="63" t="str">
        <f>IFERROR(IF(VLOOKUP(AA$13&amp;$B435,Aux!$B:$M,8,0)="Да","✔","🕓"),"")</f>
        <v/>
      </c>
    </row>
    <row r="438" spans="2:31" x14ac:dyDescent="0.25">
      <c r="B438" s="53">
        <f t="shared" si="6"/>
        <v>85</v>
      </c>
      <c r="C438" s="59"/>
      <c r="D438" s="16" t="str">
        <f>IF(D435="","","Срок сдачи"&amp;": ")</f>
        <v/>
      </c>
      <c r="E438" s="64" t="str">
        <f>IFERROR(VLOOKUP(C$13&amp;$B438,Aux!$B:$M,6,0),"")</f>
        <v/>
      </c>
      <c r="F438" s="64"/>
      <c r="G438" s="63"/>
      <c r="K438" s="59"/>
      <c r="L438" s="16" t="str">
        <f>IF(L435="","","Срок сдачи"&amp;": ")</f>
        <v/>
      </c>
      <c r="M438" s="64" t="str">
        <f>IFERROR(VLOOKUP(K$13&amp;$B438,Aux!$B:$M,6,0),"")</f>
        <v/>
      </c>
      <c r="N438" s="64"/>
      <c r="O438" s="63"/>
      <c r="S438" s="59"/>
      <c r="T438" s="16" t="str">
        <f>IF(T435="","","Срок сдачи"&amp;": ")</f>
        <v/>
      </c>
      <c r="U438" s="64" t="str">
        <f>IFERROR(VLOOKUP(S$13&amp;$B438,Aux!$B:$M,6,0),"")</f>
        <v/>
      </c>
      <c r="V438" s="64"/>
      <c r="W438" s="63"/>
      <c r="AA438" s="59"/>
      <c r="AB438" s="16" t="str">
        <f>IF(AB435="","","Срок сдачи"&amp;": ")</f>
        <v/>
      </c>
      <c r="AC438" s="64" t="str">
        <f>IFERROR(VLOOKUP(AA$13&amp;$B438,Aux!$B:$M,6,0),"")</f>
        <v/>
      </c>
      <c r="AD438" s="64"/>
      <c r="AE438" s="63"/>
    </row>
    <row r="439" spans="2:31" x14ac:dyDescent="0.25">
      <c r="B439" s="53">
        <f t="shared" si="6"/>
        <v>85</v>
      </c>
      <c r="C439" s="7"/>
      <c r="D439" s="17"/>
      <c r="E439" s="7"/>
      <c r="F439" s="18"/>
      <c r="G439" s="18"/>
      <c r="K439" s="13"/>
      <c r="L439" s="17"/>
      <c r="M439" s="13"/>
      <c r="N439" s="14"/>
      <c r="O439" s="14"/>
      <c r="S439" s="13"/>
      <c r="T439" s="17"/>
      <c r="U439" s="13"/>
      <c r="V439" s="14"/>
      <c r="W439" s="14"/>
      <c r="AA439" s="13"/>
      <c r="AB439" s="17"/>
      <c r="AC439" s="13"/>
      <c r="AD439" s="14"/>
      <c r="AE439" s="30"/>
    </row>
    <row r="440" spans="2:31" x14ac:dyDescent="0.25">
      <c r="B440" s="53">
        <f t="shared" si="6"/>
        <v>86</v>
      </c>
      <c r="C440" s="59" t="str">
        <f>IFERROR(VLOOKUP(C$13&amp;$B444,Aux!$B:$M,5,0),"")</f>
        <v/>
      </c>
      <c r="D440" s="60" t="str">
        <f>IFERROR(VLOOKUP(C$13&amp;$B440,Aux!$B:$M,3,0),"")</f>
        <v/>
      </c>
      <c r="E440" s="60"/>
      <c r="F440" s="60"/>
      <c r="G440" s="61" t="str">
        <f>IFERROR(VLOOKUP(C$13&amp;$B440,Aux!$B:$M,9,0),"")</f>
        <v/>
      </c>
      <c r="K440" s="59" t="str">
        <f>IFERROR(VLOOKUP(K$13&amp;$B444,Aux!$B:$M,5,0),"")</f>
        <v/>
      </c>
      <c r="L440" s="60" t="str">
        <f>IFERROR(VLOOKUP(K$13&amp;$B440,Aux!$B:$M,3,0),"")</f>
        <v/>
      </c>
      <c r="M440" s="60"/>
      <c r="N440" s="60"/>
      <c r="O440" s="61" t="str">
        <f>IFERROR(VLOOKUP(K$13&amp;$B440,Aux!$B:$M,9,0),"")</f>
        <v/>
      </c>
      <c r="S440" s="59" t="str">
        <f>IFERROR(VLOOKUP(S$13&amp;$B444,Aux!$B:$M,5,0),"")</f>
        <v/>
      </c>
      <c r="T440" s="60" t="str">
        <f>IFERROR(VLOOKUP(S$13&amp;$B440,Aux!$B:$M,3,0),"")</f>
        <v/>
      </c>
      <c r="U440" s="60"/>
      <c r="V440" s="60"/>
      <c r="W440" s="61" t="str">
        <f>IFERROR(VLOOKUP(S$13&amp;$B440,Aux!$B:$M,9,0),"")</f>
        <v/>
      </c>
      <c r="AA440" s="59" t="str">
        <f>IFERROR(VLOOKUP(AA$13&amp;$B444,Aux!$B:$M,5,0),"")</f>
        <v/>
      </c>
      <c r="AB440" s="60" t="str">
        <f>IFERROR(VLOOKUP(AA$13&amp;$B440,Aux!$B:$M,3,0),"")</f>
        <v/>
      </c>
      <c r="AC440" s="60"/>
      <c r="AD440" s="60"/>
      <c r="AE440" s="61" t="str">
        <f>IFERROR(VLOOKUP(AA$13&amp;$B440,Aux!$B:$M,9,0),"")</f>
        <v/>
      </c>
    </row>
    <row r="441" spans="2:31" x14ac:dyDescent="0.25">
      <c r="B441" s="53">
        <f t="shared" si="6"/>
        <v>86</v>
      </c>
      <c r="C441" s="59"/>
      <c r="D441" s="60"/>
      <c r="E441" s="60"/>
      <c r="F441" s="60"/>
      <c r="G441" s="61"/>
      <c r="K441" s="59"/>
      <c r="L441" s="60"/>
      <c r="M441" s="60"/>
      <c r="N441" s="60"/>
      <c r="O441" s="61"/>
      <c r="S441" s="59"/>
      <c r="T441" s="60"/>
      <c r="U441" s="60"/>
      <c r="V441" s="60"/>
      <c r="W441" s="61"/>
      <c r="AA441" s="59"/>
      <c r="AB441" s="60"/>
      <c r="AC441" s="60"/>
      <c r="AD441" s="60"/>
      <c r="AE441" s="61"/>
    </row>
    <row r="442" spans="2:31" x14ac:dyDescent="0.25">
      <c r="B442" s="53">
        <f t="shared" si="6"/>
        <v>86</v>
      </c>
      <c r="C442" s="59"/>
      <c r="D442" s="15" t="str">
        <f>IF(D440="","","Исполнитель"&amp;": ")</f>
        <v/>
      </c>
      <c r="E442" s="62" t="str">
        <f>IFERROR(VLOOKUP(C$13&amp;$B442,Aux!$B:$M,4,0),"")</f>
        <v/>
      </c>
      <c r="F442" s="62"/>
      <c r="G442" s="63" t="str">
        <f>IFERROR(IF(VLOOKUP(C$13&amp;$B440,Aux!$B:$M,8,0)="Да","✔","🕓"),"")</f>
        <v/>
      </c>
      <c r="K442" s="59"/>
      <c r="L442" s="15" t="str">
        <f>IF(L440="","","Исполнитель"&amp;": ")</f>
        <v/>
      </c>
      <c r="M442" s="62" t="str">
        <f>IFERROR(VLOOKUP(K$13&amp;$B442,Aux!$B:$M,4,0),"")</f>
        <v/>
      </c>
      <c r="N442" s="62"/>
      <c r="O442" s="63" t="str">
        <f>IFERROR(IF(VLOOKUP(K$13&amp;$B440,Aux!$B:$M,8,0)="Да","✔","🕓"),"")</f>
        <v/>
      </c>
      <c r="S442" s="59"/>
      <c r="T442" s="15" t="str">
        <f>IF(T440="","","Исполнитель"&amp;": ")</f>
        <v/>
      </c>
      <c r="U442" s="62" t="str">
        <f>IFERROR(VLOOKUP(S$13&amp;$B442,Aux!$B:$M,4,0),"")</f>
        <v/>
      </c>
      <c r="V442" s="62"/>
      <c r="W442" s="63" t="str">
        <f>IFERROR(IF(VLOOKUP(S$13&amp;$B440,Aux!$B:$M,8,0)="Да","✔","🕓"),"")</f>
        <v/>
      </c>
      <c r="AA442" s="59"/>
      <c r="AB442" s="15" t="str">
        <f>IF(AB440="","","Исполнитель"&amp;": ")</f>
        <v/>
      </c>
      <c r="AC442" s="62" t="str">
        <f>IFERROR(VLOOKUP(AA$13&amp;$B442,Aux!$B:$M,4,0),"")</f>
        <v/>
      </c>
      <c r="AD442" s="62"/>
      <c r="AE442" s="63" t="str">
        <f>IFERROR(IF(VLOOKUP(AA$13&amp;$B440,Aux!$B:$M,8,0)="Да","✔","🕓"),"")</f>
        <v/>
      </c>
    </row>
    <row r="443" spans="2:31" x14ac:dyDescent="0.25">
      <c r="B443" s="53">
        <f t="shared" si="6"/>
        <v>86</v>
      </c>
      <c r="C443" s="59"/>
      <c r="D443" s="16" t="str">
        <f>IF(D440="","","Срок сдачи"&amp;": ")</f>
        <v/>
      </c>
      <c r="E443" s="64" t="str">
        <f>IFERROR(VLOOKUP(C$13&amp;$B443,Aux!$B:$M,6,0),"")</f>
        <v/>
      </c>
      <c r="F443" s="64"/>
      <c r="G443" s="63"/>
      <c r="K443" s="59"/>
      <c r="L443" s="16" t="str">
        <f>IF(L440="","","Срок сдачи"&amp;": ")</f>
        <v/>
      </c>
      <c r="M443" s="64" t="str">
        <f>IFERROR(VLOOKUP(K$13&amp;$B443,Aux!$B:$M,6,0),"")</f>
        <v/>
      </c>
      <c r="N443" s="64"/>
      <c r="O443" s="63"/>
      <c r="S443" s="59"/>
      <c r="T443" s="16" t="str">
        <f>IF(T440="","","Срок сдачи"&amp;": ")</f>
        <v/>
      </c>
      <c r="U443" s="64" t="str">
        <f>IFERROR(VLOOKUP(S$13&amp;$B443,Aux!$B:$M,6,0),"")</f>
        <v/>
      </c>
      <c r="V443" s="64"/>
      <c r="W443" s="63"/>
      <c r="AA443" s="59"/>
      <c r="AB443" s="16" t="str">
        <f>IF(AB440="","","Срок сдачи"&amp;": ")</f>
        <v/>
      </c>
      <c r="AC443" s="64" t="str">
        <f>IFERROR(VLOOKUP(AA$13&amp;$B443,Aux!$B:$M,6,0),"")</f>
        <v/>
      </c>
      <c r="AD443" s="64"/>
      <c r="AE443" s="63"/>
    </row>
    <row r="444" spans="2:31" x14ac:dyDescent="0.25">
      <c r="B444" s="53">
        <f t="shared" si="6"/>
        <v>86</v>
      </c>
      <c r="C444" s="7"/>
      <c r="D444" s="17"/>
      <c r="E444" s="7"/>
      <c r="F444" s="18"/>
      <c r="G444" s="18"/>
      <c r="K444" s="13"/>
      <c r="L444" s="17"/>
      <c r="M444" s="13"/>
      <c r="N444" s="14"/>
      <c r="O444" s="14"/>
      <c r="S444" s="13"/>
      <c r="T444" s="17"/>
      <c r="U444" s="13"/>
      <c r="V444" s="14"/>
      <c r="W444" s="14"/>
      <c r="AA444" s="13"/>
      <c r="AB444" s="17"/>
      <c r="AC444" s="13"/>
      <c r="AD444" s="14"/>
      <c r="AE444" s="30"/>
    </row>
    <row r="445" spans="2:31" x14ac:dyDescent="0.25">
      <c r="B445" s="53">
        <f t="shared" si="6"/>
        <v>87</v>
      </c>
      <c r="C445" s="59" t="str">
        <f>IFERROR(VLOOKUP(C$13&amp;$B449,Aux!$B:$M,5,0),"")</f>
        <v/>
      </c>
      <c r="D445" s="60" t="str">
        <f>IFERROR(VLOOKUP(C$13&amp;$B445,Aux!$B:$M,3,0),"")</f>
        <v/>
      </c>
      <c r="E445" s="60"/>
      <c r="F445" s="60"/>
      <c r="G445" s="61" t="str">
        <f>IFERROR(VLOOKUP(C$13&amp;$B445,Aux!$B:$M,9,0),"")</f>
        <v/>
      </c>
      <c r="K445" s="59" t="str">
        <f>IFERROR(VLOOKUP(K$13&amp;$B449,Aux!$B:$M,5,0),"")</f>
        <v/>
      </c>
      <c r="L445" s="60" t="str">
        <f>IFERROR(VLOOKUP(K$13&amp;$B445,Aux!$B:$M,3,0),"")</f>
        <v/>
      </c>
      <c r="M445" s="60"/>
      <c r="N445" s="60"/>
      <c r="O445" s="61" t="str">
        <f>IFERROR(VLOOKUP(K$13&amp;$B445,Aux!$B:$M,9,0),"")</f>
        <v/>
      </c>
      <c r="S445" s="59" t="str">
        <f>IFERROR(VLOOKUP(S$13&amp;$B449,Aux!$B:$M,5,0),"")</f>
        <v/>
      </c>
      <c r="T445" s="60" t="str">
        <f>IFERROR(VLOOKUP(S$13&amp;$B445,Aux!$B:$M,3,0),"")</f>
        <v/>
      </c>
      <c r="U445" s="60"/>
      <c r="V445" s="60"/>
      <c r="W445" s="61" t="str">
        <f>IFERROR(VLOOKUP(S$13&amp;$B445,Aux!$B:$M,9,0),"")</f>
        <v/>
      </c>
      <c r="AA445" s="59" t="str">
        <f>IFERROR(VLOOKUP(AA$13&amp;$B449,Aux!$B:$M,5,0),"")</f>
        <v/>
      </c>
      <c r="AB445" s="60" t="str">
        <f>IFERROR(VLOOKUP(AA$13&amp;$B445,Aux!$B:$M,3,0),"")</f>
        <v/>
      </c>
      <c r="AC445" s="60"/>
      <c r="AD445" s="60"/>
      <c r="AE445" s="61" t="str">
        <f>IFERROR(VLOOKUP(AA$13&amp;$B445,Aux!$B:$M,9,0),"")</f>
        <v/>
      </c>
    </row>
    <row r="446" spans="2:31" x14ac:dyDescent="0.25">
      <c r="B446" s="53">
        <f t="shared" si="6"/>
        <v>87</v>
      </c>
      <c r="C446" s="59"/>
      <c r="D446" s="60"/>
      <c r="E446" s="60"/>
      <c r="F446" s="60"/>
      <c r="G446" s="61"/>
      <c r="K446" s="59"/>
      <c r="L446" s="60"/>
      <c r="M446" s="60"/>
      <c r="N446" s="60"/>
      <c r="O446" s="61"/>
      <c r="S446" s="59"/>
      <c r="T446" s="60"/>
      <c r="U446" s="60"/>
      <c r="V446" s="60"/>
      <c r="W446" s="61"/>
      <c r="AA446" s="59"/>
      <c r="AB446" s="60"/>
      <c r="AC446" s="60"/>
      <c r="AD446" s="60"/>
      <c r="AE446" s="61"/>
    </row>
    <row r="447" spans="2:31" x14ac:dyDescent="0.25">
      <c r="B447" s="53">
        <f t="shared" si="6"/>
        <v>87</v>
      </c>
      <c r="C447" s="59"/>
      <c r="D447" s="15" t="str">
        <f>IF(D445="","","Исполнитель"&amp;": ")</f>
        <v/>
      </c>
      <c r="E447" s="62" t="str">
        <f>IFERROR(VLOOKUP(C$13&amp;$B447,Aux!$B:$M,4,0),"")</f>
        <v/>
      </c>
      <c r="F447" s="62"/>
      <c r="G447" s="63" t="str">
        <f>IFERROR(IF(VLOOKUP(C$13&amp;$B445,Aux!$B:$M,8,0)="Да","✔","🕓"),"")</f>
        <v/>
      </c>
      <c r="K447" s="59"/>
      <c r="L447" s="15" t="str">
        <f>IF(L445="","","Исполнитель"&amp;": ")</f>
        <v/>
      </c>
      <c r="M447" s="62" t="str">
        <f>IFERROR(VLOOKUP(K$13&amp;$B447,Aux!$B:$M,4,0),"")</f>
        <v/>
      </c>
      <c r="N447" s="62"/>
      <c r="O447" s="63" t="str">
        <f>IFERROR(IF(VLOOKUP(K$13&amp;$B445,Aux!$B:$M,8,0)="Да","✔","🕓"),"")</f>
        <v/>
      </c>
      <c r="S447" s="59"/>
      <c r="T447" s="15" t="str">
        <f>IF(T445="","","Исполнитель"&amp;": ")</f>
        <v/>
      </c>
      <c r="U447" s="62" t="str">
        <f>IFERROR(VLOOKUP(S$13&amp;$B447,Aux!$B:$M,4,0),"")</f>
        <v/>
      </c>
      <c r="V447" s="62"/>
      <c r="W447" s="63" t="str">
        <f>IFERROR(IF(VLOOKUP(S$13&amp;$B445,Aux!$B:$M,8,0)="Да","✔","🕓"),"")</f>
        <v/>
      </c>
      <c r="AA447" s="59"/>
      <c r="AB447" s="15" t="str">
        <f>IF(AB445="","","Исполнитель"&amp;": ")</f>
        <v/>
      </c>
      <c r="AC447" s="62" t="str">
        <f>IFERROR(VLOOKUP(AA$13&amp;$B447,Aux!$B:$M,4,0),"")</f>
        <v/>
      </c>
      <c r="AD447" s="62"/>
      <c r="AE447" s="63" t="str">
        <f>IFERROR(IF(VLOOKUP(AA$13&amp;$B445,Aux!$B:$M,8,0)="Да","✔","🕓"),"")</f>
        <v/>
      </c>
    </row>
    <row r="448" spans="2:31" x14ac:dyDescent="0.25">
      <c r="B448" s="53">
        <f t="shared" si="6"/>
        <v>87</v>
      </c>
      <c r="C448" s="59"/>
      <c r="D448" s="16" t="str">
        <f>IF(D445="","","Срок сдачи"&amp;": ")</f>
        <v/>
      </c>
      <c r="E448" s="64" t="str">
        <f>IFERROR(VLOOKUP(C$13&amp;$B448,Aux!$B:$M,6,0),"")</f>
        <v/>
      </c>
      <c r="F448" s="64"/>
      <c r="G448" s="63"/>
      <c r="K448" s="59"/>
      <c r="L448" s="16" t="str">
        <f>IF(L445="","","Срок сдачи"&amp;": ")</f>
        <v/>
      </c>
      <c r="M448" s="64" t="str">
        <f>IFERROR(VLOOKUP(K$13&amp;$B448,Aux!$B:$M,6,0),"")</f>
        <v/>
      </c>
      <c r="N448" s="64"/>
      <c r="O448" s="63"/>
      <c r="S448" s="59"/>
      <c r="T448" s="16" t="str">
        <f>IF(T445="","","Срок сдачи"&amp;": ")</f>
        <v/>
      </c>
      <c r="U448" s="64" t="str">
        <f>IFERROR(VLOOKUP(S$13&amp;$B448,Aux!$B:$M,6,0),"")</f>
        <v/>
      </c>
      <c r="V448" s="64"/>
      <c r="W448" s="63"/>
      <c r="AA448" s="59"/>
      <c r="AB448" s="16" t="str">
        <f>IF(AB445="","","Срок сдачи"&amp;": ")</f>
        <v/>
      </c>
      <c r="AC448" s="64" t="str">
        <f>IFERROR(VLOOKUP(AA$13&amp;$B448,Aux!$B:$M,6,0),"")</f>
        <v/>
      </c>
      <c r="AD448" s="64"/>
      <c r="AE448" s="63"/>
    </row>
    <row r="449" spans="2:31" x14ac:dyDescent="0.25">
      <c r="B449" s="53">
        <f t="shared" si="6"/>
        <v>87</v>
      </c>
      <c r="C449" s="7"/>
      <c r="D449" s="17"/>
      <c r="E449" s="7"/>
      <c r="F449" s="18"/>
      <c r="G449" s="18"/>
      <c r="K449" s="13"/>
      <c r="L449" s="17"/>
      <c r="M449" s="13"/>
      <c r="N449" s="14"/>
      <c r="O449" s="14"/>
      <c r="S449" s="13"/>
      <c r="T449" s="17"/>
      <c r="U449" s="13"/>
      <c r="V449" s="14"/>
      <c r="W449" s="14"/>
      <c r="AA449" s="13"/>
      <c r="AB449" s="17"/>
      <c r="AC449" s="13"/>
      <c r="AD449" s="14"/>
      <c r="AE449" s="30"/>
    </row>
    <row r="450" spans="2:31" x14ac:dyDescent="0.25">
      <c r="B450" s="53">
        <f t="shared" si="6"/>
        <v>88</v>
      </c>
      <c r="C450" s="59" t="str">
        <f>IFERROR(VLOOKUP(C$13&amp;$B454,Aux!$B:$M,5,0),"")</f>
        <v/>
      </c>
      <c r="D450" s="60" t="str">
        <f>IFERROR(VLOOKUP(C$13&amp;$B450,Aux!$B:$M,3,0),"")</f>
        <v/>
      </c>
      <c r="E450" s="60"/>
      <c r="F450" s="60"/>
      <c r="G450" s="61" t="str">
        <f>IFERROR(VLOOKUP(C$13&amp;$B450,Aux!$B:$M,9,0),"")</f>
        <v/>
      </c>
      <c r="K450" s="59" t="str">
        <f>IFERROR(VLOOKUP(K$13&amp;$B454,Aux!$B:$M,5,0),"")</f>
        <v/>
      </c>
      <c r="L450" s="60" t="str">
        <f>IFERROR(VLOOKUP(K$13&amp;$B450,Aux!$B:$M,3,0),"")</f>
        <v/>
      </c>
      <c r="M450" s="60"/>
      <c r="N450" s="60"/>
      <c r="O450" s="61" t="str">
        <f>IFERROR(VLOOKUP(K$13&amp;$B450,Aux!$B:$M,9,0),"")</f>
        <v/>
      </c>
      <c r="S450" s="59" t="str">
        <f>IFERROR(VLOOKUP(S$13&amp;$B454,Aux!$B:$M,5,0),"")</f>
        <v/>
      </c>
      <c r="T450" s="60" t="str">
        <f>IFERROR(VLOOKUP(S$13&amp;$B450,Aux!$B:$M,3,0),"")</f>
        <v/>
      </c>
      <c r="U450" s="60"/>
      <c r="V450" s="60"/>
      <c r="W450" s="61" t="str">
        <f>IFERROR(VLOOKUP(S$13&amp;$B450,Aux!$B:$M,9,0),"")</f>
        <v/>
      </c>
      <c r="AA450" s="59" t="str">
        <f>IFERROR(VLOOKUP(AA$13&amp;$B454,Aux!$B:$M,5,0),"")</f>
        <v/>
      </c>
      <c r="AB450" s="60" t="str">
        <f>IFERROR(VLOOKUP(AA$13&amp;$B450,Aux!$B:$M,3,0),"")</f>
        <v/>
      </c>
      <c r="AC450" s="60"/>
      <c r="AD450" s="60"/>
      <c r="AE450" s="61" t="str">
        <f>IFERROR(VLOOKUP(AA$13&amp;$B450,Aux!$B:$M,9,0),"")</f>
        <v/>
      </c>
    </row>
    <row r="451" spans="2:31" x14ac:dyDescent="0.25">
      <c r="B451" s="53">
        <f t="shared" si="6"/>
        <v>88</v>
      </c>
      <c r="C451" s="59"/>
      <c r="D451" s="60"/>
      <c r="E451" s="60"/>
      <c r="F451" s="60"/>
      <c r="G451" s="61"/>
      <c r="K451" s="59"/>
      <c r="L451" s="60"/>
      <c r="M451" s="60"/>
      <c r="N451" s="60"/>
      <c r="O451" s="61"/>
      <c r="S451" s="59"/>
      <c r="T451" s="60"/>
      <c r="U451" s="60"/>
      <c r="V451" s="60"/>
      <c r="W451" s="61"/>
      <c r="AA451" s="59"/>
      <c r="AB451" s="60"/>
      <c r="AC451" s="60"/>
      <c r="AD451" s="60"/>
      <c r="AE451" s="61"/>
    </row>
    <row r="452" spans="2:31" x14ac:dyDescent="0.25">
      <c r="B452" s="53">
        <f t="shared" si="6"/>
        <v>88</v>
      </c>
      <c r="C452" s="59"/>
      <c r="D452" s="15" t="str">
        <f>IF(D450="","","Исполнитель"&amp;": ")</f>
        <v/>
      </c>
      <c r="E452" s="62" t="str">
        <f>IFERROR(VLOOKUP(C$13&amp;$B452,Aux!$B:$M,4,0),"")</f>
        <v/>
      </c>
      <c r="F452" s="62"/>
      <c r="G452" s="63" t="str">
        <f>IFERROR(IF(VLOOKUP(C$13&amp;$B450,Aux!$B:$M,8,0)="Да","✔","🕓"),"")</f>
        <v/>
      </c>
      <c r="K452" s="59"/>
      <c r="L452" s="15" t="str">
        <f>IF(L450="","","Исполнитель"&amp;": ")</f>
        <v/>
      </c>
      <c r="M452" s="62" t="str">
        <f>IFERROR(VLOOKUP(K$13&amp;$B452,Aux!$B:$M,4,0),"")</f>
        <v/>
      </c>
      <c r="N452" s="62"/>
      <c r="O452" s="63" t="str">
        <f>IFERROR(IF(VLOOKUP(K$13&amp;$B450,Aux!$B:$M,8,0)="Да","✔","🕓"),"")</f>
        <v/>
      </c>
      <c r="S452" s="59"/>
      <c r="T452" s="15" t="str">
        <f>IF(T450="","","Исполнитель"&amp;": ")</f>
        <v/>
      </c>
      <c r="U452" s="62" t="str">
        <f>IFERROR(VLOOKUP(S$13&amp;$B452,Aux!$B:$M,4,0),"")</f>
        <v/>
      </c>
      <c r="V452" s="62"/>
      <c r="W452" s="63" t="str">
        <f>IFERROR(IF(VLOOKUP(S$13&amp;$B450,Aux!$B:$M,8,0)="Да","✔","🕓"),"")</f>
        <v/>
      </c>
      <c r="AA452" s="59"/>
      <c r="AB452" s="15" t="str">
        <f>IF(AB450="","","Исполнитель"&amp;": ")</f>
        <v/>
      </c>
      <c r="AC452" s="62" t="str">
        <f>IFERROR(VLOOKUP(AA$13&amp;$B452,Aux!$B:$M,4,0),"")</f>
        <v/>
      </c>
      <c r="AD452" s="62"/>
      <c r="AE452" s="63" t="str">
        <f>IFERROR(IF(VLOOKUP(AA$13&amp;$B450,Aux!$B:$M,8,0)="Да","✔","🕓"),"")</f>
        <v/>
      </c>
    </row>
    <row r="453" spans="2:31" x14ac:dyDescent="0.25">
      <c r="B453" s="53">
        <f t="shared" si="6"/>
        <v>88</v>
      </c>
      <c r="C453" s="59"/>
      <c r="D453" s="16" t="str">
        <f>IF(D450="","","Срок сдачи"&amp;": ")</f>
        <v/>
      </c>
      <c r="E453" s="64" t="str">
        <f>IFERROR(VLOOKUP(C$13&amp;$B453,Aux!$B:$M,6,0),"")</f>
        <v/>
      </c>
      <c r="F453" s="64"/>
      <c r="G453" s="63"/>
      <c r="K453" s="59"/>
      <c r="L453" s="16" t="str">
        <f>IF(L450="","","Срок сдачи"&amp;": ")</f>
        <v/>
      </c>
      <c r="M453" s="64" t="str">
        <f>IFERROR(VLOOKUP(K$13&amp;$B453,Aux!$B:$M,6,0),"")</f>
        <v/>
      </c>
      <c r="N453" s="64"/>
      <c r="O453" s="63"/>
      <c r="S453" s="59"/>
      <c r="T453" s="16" t="str">
        <f>IF(T450="","","Срок сдачи"&amp;": ")</f>
        <v/>
      </c>
      <c r="U453" s="64" t="str">
        <f>IFERROR(VLOOKUP(S$13&amp;$B453,Aux!$B:$M,6,0),"")</f>
        <v/>
      </c>
      <c r="V453" s="64"/>
      <c r="W453" s="63"/>
      <c r="AA453" s="59"/>
      <c r="AB453" s="16" t="str">
        <f>IF(AB450="","","Срок сдачи"&amp;": ")</f>
        <v/>
      </c>
      <c r="AC453" s="64" t="str">
        <f>IFERROR(VLOOKUP(AA$13&amp;$B453,Aux!$B:$M,6,0),"")</f>
        <v/>
      </c>
      <c r="AD453" s="64"/>
      <c r="AE453" s="63"/>
    </row>
    <row r="454" spans="2:31" x14ac:dyDescent="0.25">
      <c r="B454" s="53">
        <f t="shared" si="6"/>
        <v>88</v>
      </c>
      <c r="C454" s="7"/>
      <c r="D454" s="17"/>
      <c r="E454" s="7"/>
      <c r="F454" s="18"/>
      <c r="G454" s="18"/>
      <c r="K454" s="13"/>
      <c r="L454" s="17"/>
      <c r="M454" s="13"/>
      <c r="N454" s="14"/>
      <c r="O454" s="14"/>
      <c r="S454" s="13"/>
      <c r="T454" s="17"/>
      <c r="U454" s="13"/>
      <c r="V454" s="14"/>
      <c r="W454" s="14"/>
      <c r="AA454" s="13"/>
      <c r="AB454" s="17"/>
      <c r="AC454" s="13"/>
      <c r="AD454" s="14"/>
      <c r="AE454" s="30"/>
    </row>
    <row r="455" spans="2:31" x14ac:dyDescent="0.25">
      <c r="B455" s="53">
        <f t="shared" si="6"/>
        <v>89</v>
      </c>
      <c r="C455" s="59" t="str">
        <f>IFERROR(VLOOKUP(C$13&amp;$B459,Aux!$B:$M,5,0),"")</f>
        <v/>
      </c>
      <c r="D455" s="60" t="str">
        <f>IFERROR(VLOOKUP(C$13&amp;$B455,Aux!$B:$M,3,0),"")</f>
        <v/>
      </c>
      <c r="E455" s="60"/>
      <c r="F455" s="60"/>
      <c r="G455" s="61" t="str">
        <f>IFERROR(VLOOKUP(C$13&amp;$B455,Aux!$B:$M,9,0),"")</f>
        <v/>
      </c>
      <c r="K455" s="59" t="str">
        <f>IFERROR(VLOOKUP(K$13&amp;$B459,Aux!$B:$M,5,0),"")</f>
        <v/>
      </c>
      <c r="L455" s="60" t="str">
        <f>IFERROR(VLOOKUP(K$13&amp;$B455,Aux!$B:$M,3,0),"")</f>
        <v/>
      </c>
      <c r="M455" s="60"/>
      <c r="N455" s="60"/>
      <c r="O455" s="61" t="str">
        <f>IFERROR(VLOOKUP(K$13&amp;$B455,Aux!$B:$M,9,0),"")</f>
        <v/>
      </c>
      <c r="S455" s="59" t="str">
        <f>IFERROR(VLOOKUP(S$13&amp;$B459,Aux!$B:$M,5,0),"")</f>
        <v/>
      </c>
      <c r="T455" s="60" t="str">
        <f>IFERROR(VLOOKUP(S$13&amp;$B455,Aux!$B:$M,3,0),"")</f>
        <v/>
      </c>
      <c r="U455" s="60"/>
      <c r="V455" s="60"/>
      <c r="W455" s="61" t="str">
        <f>IFERROR(VLOOKUP(S$13&amp;$B455,Aux!$B:$M,9,0),"")</f>
        <v/>
      </c>
      <c r="AA455" s="59" t="str">
        <f>IFERROR(VLOOKUP(AA$13&amp;$B459,Aux!$B:$M,5,0),"")</f>
        <v/>
      </c>
      <c r="AB455" s="60" t="str">
        <f>IFERROR(VLOOKUP(AA$13&amp;$B455,Aux!$B:$M,3,0),"")</f>
        <v/>
      </c>
      <c r="AC455" s="60"/>
      <c r="AD455" s="60"/>
      <c r="AE455" s="61" t="str">
        <f>IFERROR(VLOOKUP(AA$13&amp;$B455,Aux!$B:$M,9,0),"")</f>
        <v/>
      </c>
    </row>
    <row r="456" spans="2:31" x14ac:dyDescent="0.25">
      <c r="B456" s="53">
        <f t="shared" si="6"/>
        <v>89</v>
      </c>
      <c r="C456" s="59"/>
      <c r="D456" s="60"/>
      <c r="E456" s="60"/>
      <c r="F456" s="60"/>
      <c r="G456" s="61"/>
      <c r="K456" s="59"/>
      <c r="L456" s="60"/>
      <c r="M456" s="60"/>
      <c r="N456" s="60"/>
      <c r="O456" s="61"/>
      <c r="S456" s="59"/>
      <c r="T456" s="60"/>
      <c r="U456" s="60"/>
      <c r="V456" s="60"/>
      <c r="W456" s="61"/>
      <c r="AA456" s="59"/>
      <c r="AB456" s="60"/>
      <c r="AC456" s="60"/>
      <c r="AD456" s="60"/>
      <c r="AE456" s="61"/>
    </row>
    <row r="457" spans="2:31" x14ac:dyDescent="0.25">
      <c r="B457" s="53">
        <f t="shared" si="6"/>
        <v>89</v>
      </c>
      <c r="C457" s="59"/>
      <c r="D457" s="15" t="str">
        <f>IF(D455="","","Исполнитель"&amp;": ")</f>
        <v/>
      </c>
      <c r="E457" s="62" t="str">
        <f>IFERROR(VLOOKUP(C$13&amp;$B457,Aux!$B:$M,4,0),"")</f>
        <v/>
      </c>
      <c r="F457" s="62"/>
      <c r="G457" s="63" t="str">
        <f>IFERROR(IF(VLOOKUP(C$13&amp;$B455,Aux!$B:$M,8,0)="Да","✔","🕓"),"")</f>
        <v/>
      </c>
      <c r="K457" s="59"/>
      <c r="L457" s="15" t="str">
        <f>IF(L455="","","Исполнитель"&amp;": ")</f>
        <v/>
      </c>
      <c r="M457" s="62" t="str">
        <f>IFERROR(VLOOKUP(K$13&amp;$B457,Aux!$B:$M,4,0),"")</f>
        <v/>
      </c>
      <c r="N457" s="62"/>
      <c r="O457" s="63" t="str">
        <f>IFERROR(IF(VLOOKUP(K$13&amp;$B455,Aux!$B:$M,8,0)="Да","✔","🕓"),"")</f>
        <v/>
      </c>
      <c r="S457" s="59"/>
      <c r="T457" s="15" t="str">
        <f>IF(T455="","","Исполнитель"&amp;": ")</f>
        <v/>
      </c>
      <c r="U457" s="62" t="str">
        <f>IFERROR(VLOOKUP(S$13&amp;$B457,Aux!$B:$M,4,0),"")</f>
        <v/>
      </c>
      <c r="V457" s="62"/>
      <c r="W457" s="63" t="str">
        <f>IFERROR(IF(VLOOKUP(S$13&amp;$B455,Aux!$B:$M,8,0)="Да","✔","🕓"),"")</f>
        <v/>
      </c>
      <c r="AA457" s="59"/>
      <c r="AB457" s="15" t="str">
        <f>IF(AB455="","","Исполнитель"&amp;": ")</f>
        <v/>
      </c>
      <c r="AC457" s="62" t="str">
        <f>IFERROR(VLOOKUP(AA$13&amp;$B457,Aux!$B:$M,4,0),"")</f>
        <v/>
      </c>
      <c r="AD457" s="62"/>
      <c r="AE457" s="63" t="str">
        <f>IFERROR(IF(VLOOKUP(AA$13&amp;$B455,Aux!$B:$M,8,0)="Да","✔","🕓"),"")</f>
        <v/>
      </c>
    </row>
    <row r="458" spans="2:31" x14ac:dyDescent="0.25">
      <c r="B458" s="53">
        <f t="shared" si="6"/>
        <v>89</v>
      </c>
      <c r="C458" s="59"/>
      <c r="D458" s="16" t="str">
        <f>IF(D455="","","Срок сдачи"&amp;": ")</f>
        <v/>
      </c>
      <c r="E458" s="64" t="str">
        <f>IFERROR(VLOOKUP(C$13&amp;$B458,Aux!$B:$M,6,0),"")</f>
        <v/>
      </c>
      <c r="F458" s="64"/>
      <c r="G458" s="63"/>
      <c r="K458" s="59"/>
      <c r="L458" s="16" t="str">
        <f>IF(L455="","","Срок сдачи"&amp;": ")</f>
        <v/>
      </c>
      <c r="M458" s="64" t="str">
        <f>IFERROR(VLOOKUP(K$13&amp;$B458,Aux!$B:$M,6,0),"")</f>
        <v/>
      </c>
      <c r="N458" s="64"/>
      <c r="O458" s="63"/>
      <c r="S458" s="59"/>
      <c r="T458" s="16" t="str">
        <f>IF(T455="","","Срок сдачи"&amp;": ")</f>
        <v/>
      </c>
      <c r="U458" s="64" t="str">
        <f>IFERROR(VLOOKUP(S$13&amp;$B458,Aux!$B:$M,6,0),"")</f>
        <v/>
      </c>
      <c r="V458" s="64"/>
      <c r="W458" s="63"/>
      <c r="AA458" s="59"/>
      <c r="AB458" s="16" t="str">
        <f>IF(AB455="","","Срок сдачи"&amp;": ")</f>
        <v/>
      </c>
      <c r="AC458" s="64" t="str">
        <f>IFERROR(VLOOKUP(AA$13&amp;$B458,Aux!$B:$M,6,0),"")</f>
        <v/>
      </c>
      <c r="AD458" s="64"/>
      <c r="AE458" s="63"/>
    </row>
    <row r="459" spans="2:31" x14ac:dyDescent="0.25">
      <c r="B459" s="53">
        <f t="shared" si="6"/>
        <v>89</v>
      </c>
      <c r="C459" s="7"/>
      <c r="D459" s="17"/>
      <c r="E459" s="7"/>
      <c r="F459" s="18"/>
      <c r="G459" s="18"/>
      <c r="K459" s="13"/>
      <c r="L459" s="17"/>
      <c r="M459" s="13"/>
      <c r="N459" s="14"/>
      <c r="O459" s="14"/>
      <c r="S459" s="13"/>
      <c r="T459" s="17"/>
      <c r="U459" s="13"/>
      <c r="V459" s="14"/>
      <c r="W459" s="14"/>
      <c r="AA459" s="13"/>
      <c r="AB459" s="17"/>
      <c r="AC459" s="13"/>
      <c r="AD459" s="14"/>
      <c r="AE459" s="30"/>
    </row>
    <row r="460" spans="2:31" x14ac:dyDescent="0.25">
      <c r="B460" s="53">
        <f t="shared" si="6"/>
        <v>90</v>
      </c>
      <c r="C460" s="59" t="str">
        <f>IFERROR(VLOOKUP(C$13&amp;$B464,Aux!$B:$M,5,0),"")</f>
        <v/>
      </c>
      <c r="D460" s="60" t="str">
        <f>IFERROR(VLOOKUP(C$13&amp;$B460,Aux!$B:$M,3,0),"")</f>
        <v/>
      </c>
      <c r="E460" s="60"/>
      <c r="F460" s="60"/>
      <c r="G460" s="61" t="str">
        <f>IFERROR(VLOOKUP(C$13&amp;$B460,Aux!$B:$M,9,0),"")</f>
        <v/>
      </c>
      <c r="K460" s="59" t="str">
        <f>IFERROR(VLOOKUP(K$13&amp;$B464,Aux!$B:$M,5,0),"")</f>
        <v/>
      </c>
      <c r="L460" s="60" t="str">
        <f>IFERROR(VLOOKUP(K$13&amp;$B460,Aux!$B:$M,3,0),"")</f>
        <v/>
      </c>
      <c r="M460" s="60"/>
      <c r="N460" s="60"/>
      <c r="O460" s="61" t="str">
        <f>IFERROR(VLOOKUP(K$13&amp;$B460,Aux!$B:$M,9,0),"")</f>
        <v/>
      </c>
      <c r="S460" s="59" t="str">
        <f>IFERROR(VLOOKUP(S$13&amp;$B464,Aux!$B:$M,5,0),"")</f>
        <v/>
      </c>
      <c r="T460" s="60" t="str">
        <f>IFERROR(VLOOKUP(S$13&amp;$B460,Aux!$B:$M,3,0),"")</f>
        <v/>
      </c>
      <c r="U460" s="60"/>
      <c r="V460" s="60"/>
      <c r="W460" s="61" t="str">
        <f>IFERROR(VLOOKUP(S$13&amp;$B460,Aux!$B:$M,9,0),"")</f>
        <v/>
      </c>
      <c r="AA460" s="59" t="str">
        <f>IFERROR(VLOOKUP(AA$13&amp;$B464,Aux!$B:$M,5,0),"")</f>
        <v/>
      </c>
      <c r="AB460" s="60" t="str">
        <f>IFERROR(VLOOKUP(AA$13&amp;$B460,Aux!$B:$M,3,0),"")</f>
        <v/>
      </c>
      <c r="AC460" s="60"/>
      <c r="AD460" s="60"/>
      <c r="AE460" s="61" t="str">
        <f>IFERROR(VLOOKUP(AA$13&amp;$B460,Aux!$B:$M,9,0),"")</f>
        <v/>
      </c>
    </row>
    <row r="461" spans="2:31" x14ac:dyDescent="0.25">
      <c r="B461" s="53">
        <f t="shared" si="6"/>
        <v>90</v>
      </c>
      <c r="C461" s="59"/>
      <c r="D461" s="60"/>
      <c r="E461" s="60"/>
      <c r="F461" s="60"/>
      <c r="G461" s="61"/>
      <c r="K461" s="59"/>
      <c r="L461" s="60"/>
      <c r="M461" s="60"/>
      <c r="N461" s="60"/>
      <c r="O461" s="61"/>
      <c r="S461" s="59"/>
      <c r="T461" s="60"/>
      <c r="U461" s="60"/>
      <c r="V461" s="60"/>
      <c r="W461" s="61"/>
      <c r="AA461" s="59"/>
      <c r="AB461" s="60"/>
      <c r="AC461" s="60"/>
      <c r="AD461" s="60"/>
      <c r="AE461" s="61"/>
    </row>
    <row r="462" spans="2:31" x14ac:dyDescent="0.25">
      <c r="B462" s="53">
        <f t="shared" si="6"/>
        <v>90</v>
      </c>
      <c r="C462" s="59"/>
      <c r="D462" s="15" t="str">
        <f>IF(D460="","","Исполнитель"&amp;": ")</f>
        <v/>
      </c>
      <c r="E462" s="62" t="str">
        <f>IFERROR(VLOOKUP(C$13&amp;$B462,Aux!$B:$M,4,0),"")</f>
        <v/>
      </c>
      <c r="F462" s="62"/>
      <c r="G462" s="63" t="str">
        <f>IFERROR(IF(VLOOKUP(C$13&amp;$B460,Aux!$B:$M,8,0)="Да","✔","🕓"),"")</f>
        <v/>
      </c>
      <c r="K462" s="59"/>
      <c r="L462" s="15" t="str">
        <f>IF(L460="","","Исполнитель"&amp;": ")</f>
        <v/>
      </c>
      <c r="M462" s="62" t="str">
        <f>IFERROR(VLOOKUP(K$13&amp;$B462,Aux!$B:$M,4,0),"")</f>
        <v/>
      </c>
      <c r="N462" s="62"/>
      <c r="O462" s="63" t="str">
        <f>IFERROR(IF(VLOOKUP(K$13&amp;$B460,Aux!$B:$M,8,0)="Да","✔","🕓"),"")</f>
        <v/>
      </c>
      <c r="S462" s="59"/>
      <c r="T462" s="15" t="str">
        <f>IF(T460="","","Исполнитель"&amp;": ")</f>
        <v/>
      </c>
      <c r="U462" s="62" t="str">
        <f>IFERROR(VLOOKUP(S$13&amp;$B462,Aux!$B:$M,4,0),"")</f>
        <v/>
      </c>
      <c r="V462" s="62"/>
      <c r="W462" s="63" t="str">
        <f>IFERROR(IF(VLOOKUP(S$13&amp;$B460,Aux!$B:$M,8,0)="Да","✔","🕓"),"")</f>
        <v/>
      </c>
      <c r="AA462" s="59"/>
      <c r="AB462" s="15" t="str">
        <f>IF(AB460="","","Исполнитель"&amp;": ")</f>
        <v/>
      </c>
      <c r="AC462" s="62" t="str">
        <f>IFERROR(VLOOKUP(AA$13&amp;$B462,Aux!$B:$M,4,0),"")</f>
        <v/>
      </c>
      <c r="AD462" s="62"/>
      <c r="AE462" s="63" t="str">
        <f>IFERROR(IF(VLOOKUP(AA$13&amp;$B460,Aux!$B:$M,8,0)="Да","✔","🕓"),"")</f>
        <v/>
      </c>
    </row>
    <row r="463" spans="2:31" x14ac:dyDescent="0.25">
      <c r="B463" s="53">
        <f t="shared" si="6"/>
        <v>90</v>
      </c>
      <c r="C463" s="59"/>
      <c r="D463" s="16" t="str">
        <f>IF(D460="","","Срок сдачи"&amp;": ")</f>
        <v/>
      </c>
      <c r="E463" s="64" t="str">
        <f>IFERROR(VLOOKUP(C$13&amp;$B463,Aux!$B:$M,6,0),"")</f>
        <v/>
      </c>
      <c r="F463" s="64"/>
      <c r="G463" s="63"/>
      <c r="K463" s="59"/>
      <c r="L463" s="16" t="str">
        <f>IF(L460="","","Срок сдачи"&amp;": ")</f>
        <v/>
      </c>
      <c r="M463" s="64" t="str">
        <f>IFERROR(VLOOKUP(K$13&amp;$B463,Aux!$B:$M,6,0),"")</f>
        <v/>
      </c>
      <c r="N463" s="64"/>
      <c r="O463" s="63"/>
      <c r="S463" s="59"/>
      <c r="T463" s="16" t="str">
        <f>IF(T460="","","Срок сдачи"&amp;": ")</f>
        <v/>
      </c>
      <c r="U463" s="64" t="str">
        <f>IFERROR(VLOOKUP(S$13&amp;$B463,Aux!$B:$M,6,0),"")</f>
        <v/>
      </c>
      <c r="V463" s="64"/>
      <c r="W463" s="63"/>
      <c r="AA463" s="59"/>
      <c r="AB463" s="16" t="str">
        <f>IF(AB460="","","Срок сдачи"&amp;": ")</f>
        <v/>
      </c>
      <c r="AC463" s="64" t="str">
        <f>IFERROR(VLOOKUP(AA$13&amp;$B463,Aux!$B:$M,6,0),"")</f>
        <v/>
      </c>
      <c r="AD463" s="64"/>
      <c r="AE463" s="63"/>
    </row>
    <row r="464" spans="2:31" x14ac:dyDescent="0.25">
      <c r="B464" s="53">
        <f t="shared" si="6"/>
        <v>90</v>
      </c>
      <c r="C464" s="7"/>
      <c r="D464" s="17"/>
      <c r="E464" s="7"/>
      <c r="F464" s="18"/>
      <c r="G464" s="18"/>
      <c r="K464" s="13"/>
      <c r="L464" s="17"/>
      <c r="M464" s="13"/>
      <c r="N464" s="14"/>
      <c r="O464" s="14"/>
      <c r="S464" s="13"/>
      <c r="T464" s="17"/>
      <c r="U464" s="13"/>
      <c r="V464" s="14"/>
      <c r="W464" s="14"/>
      <c r="AA464" s="13"/>
      <c r="AB464" s="17"/>
      <c r="AC464" s="13"/>
      <c r="AD464" s="14"/>
      <c r="AE464" s="30"/>
    </row>
    <row r="465" spans="2:31" x14ac:dyDescent="0.25">
      <c r="B465" s="53">
        <f t="shared" si="6"/>
        <v>91</v>
      </c>
      <c r="C465" s="59" t="str">
        <f>IFERROR(VLOOKUP(C$13&amp;$B469,Aux!$B:$M,5,0),"")</f>
        <v/>
      </c>
      <c r="D465" s="60" t="str">
        <f>IFERROR(VLOOKUP(C$13&amp;$B465,Aux!$B:$M,3,0),"")</f>
        <v/>
      </c>
      <c r="E465" s="60"/>
      <c r="F465" s="60"/>
      <c r="G465" s="61" t="str">
        <f>IFERROR(VLOOKUP(C$13&amp;$B465,Aux!$B:$M,9,0),"")</f>
        <v/>
      </c>
      <c r="K465" s="59" t="str">
        <f>IFERROR(VLOOKUP(K$13&amp;$B469,Aux!$B:$M,5,0),"")</f>
        <v/>
      </c>
      <c r="L465" s="60" t="str">
        <f>IFERROR(VLOOKUP(K$13&amp;$B465,Aux!$B:$M,3,0),"")</f>
        <v/>
      </c>
      <c r="M465" s="60"/>
      <c r="N465" s="60"/>
      <c r="O465" s="61" t="str">
        <f>IFERROR(VLOOKUP(K$13&amp;$B465,Aux!$B:$M,9,0),"")</f>
        <v/>
      </c>
      <c r="S465" s="59" t="str">
        <f>IFERROR(VLOOKUP(S$13&amp;$B469,Aux!$B:$M,5,0),"")</f>
        <v/>
      </c>
      <c r="T465" s="60" t="str">
        <f>IFERROR(VLOOKUP(S$13&amp;$B465,Aux!$B:$M,3,0),"")</f>
        <v/>
      </c>
      <c r="U465" s="60"/>
      <c r="V465" s="60"/>
      <c r="W465" s="61" t="str">
        <f>IFERROR(VLOOKUP(S$13&amp;$B465,Aux!$B:$M,9,0),"")</f>
        <v/>
      </c>
      <c r="AA465" s="59" t="str">
        <f>IFERROR(VLOOKUP(AA$13&amp;$B469,Aux!$B:$M,5,0),"")</f>
        <v/>
      </c>
      <c r="AB465" s="60" t="str">
        <f>IFERROR(VLOOKUP(AA$13&amp;$B465,Aux!$B:$M,3,0),"")</f>
        <v/>
      </c>
      <c r="AC465" s="60"/>
      <c r="AD465" s="60"/>
      <c r="AE465" s="61" t="str">
        <f>IFERROR(VLOOKUP(AA$13&amp;$B465,Aux!$B:$M,9,0),"")</f>
        <v/>
      </c>
    </row>
    <row r="466" spans="2:31" x14ac:dyDescent="0.25">
      <c r="B466" s="53">
        <f t="shared" si="6"/>
        <v>91</v>
      </c>
      <c r="C466" s="59"/>
      <c r="D466" s="60"/>
      <c r="E466" s="60"/>
      <c r="F466" s="60"/>
      <c r="G466" s="61"/>
      <c r="K466" s="59"/>
      <c r="L466" s="60"/>
      <c r="M466" s="60"/>
      <c r="N466" s="60"/>
      <c r="O466" s="61"/>
      <c r="S466" s="59"/>
      <c r="T466" s="60"/>
      <c r="U466" s="60"/>
      <c r="V466" s="60"/>
      <c r="W466" s="61"/>
      <c r="AA466" s="59"/>
      <c r="AB466" s="60"/>
      <c r="AC466" s="60"/>
      <c r="AD466" s="60"/>
      <c r="AE466" s="61"/>
    </row>
    <row r="467" spans="2:31" x14ac:dyDescent="0.25">
      <c r="B467" s="53">
        <f t="shared" si="6"/>
        <v>91</v>
      </c>
      <c r="C467" s="59"/>
      <c r="D467" s="15" t="str">
        <f>IF(D465="","","Исполнитель"&amp;": ")</f>
        <v/>
      </c>
      <c r="E467" s="62" t="str">
        <f>IFERROR(VLOOKUP(C$13&amp;$B467,Aux!$B:$M,4,0),"")</f>
        <v/>
      </c>
      <c r="F467" s="62"/>
      <c r="G467" s="63" t="str">
        <f>IFERROR(IF(VLOOKUP(C$13&amp;$B465,Aux!$B:$M,8,0)="Да","✔","🕓"),"")</f>
        <v/>
      </c>
      <c r="K467" s="59"/>
      <c r="L467" s="15" t="str">
        <f>IF(L465="","","Исполнитель"&amp;": ")</f>
        <v/>
      </c>
      <c r="M467" s="62" t="str">
        <f>IFERROR(VLOOKUP(K$13&amp;$B467,Aux!$B:$M,4,0),"")</f>
        <v/>
      </c>
      <c r="N467" s="62"/>
      <c r="O467" s="63" t="str">
        <f>IFERROR(IF(VLOOKUP(K$13&amp;$B465,Aux!$B:$M,8,0)="Да","✔","🕓"),"")</f>
        <v/>
      </c>
      <c r="S467" s="59"/>
      <c r="T467" s="15" t="str">
        <f>IF(T465="","","Исполнитель"&amp;": ")</f>
        <v/>
      </c>
      <c r="U467" s="62" t="str">
        <f>IFERROR(VLOOKUP(S$13&amp;$B467,Aux!$B:$M,4,0),"")</f>
        <v/>
      </c>
      <c r="V467" s="62"/>
      <c r="W467" s="63" t="str">
        <f>IFERROR(IF(VLOOKUP(S$13&amp;$B465,Aux!$B:$M,8,0)="Да","✔","🕓"),"")</f>
        <v/>
      </c>
      <c r="AA467" s="59"/>
      <c r="AB467" s="15" t="str">
        <f>IF(AB465="","","Исполнитель"&amp;": ")</f>
        <v/>
      </c>
      <c r="AC467" s="62" t="str">
        <f>IFERROR(VLOOKUP(AA$13&amp;$B467,Aux!$B:$M,4,0),"")</f>
        <v/>
      </c>
      <c r="AD467" s="62"/>
      <c r="AE467" s="63" t="str">
        <f>IFERROR(IF(VLOOKUP(AA$13&amp;$B465,Aux!$B:$M,8,0)="Да","✔","🕓"),"")</f>
        <v/>
      </c>
    </row>
    <row r="468" spans="2:31" x14ac:dyDescent="0.25">
      <c r="B468" s="53">
        <f t="shared" si="6"/>
        <v>91</v>
      </c>
      <c r="C468" s="59"/>
      <c r="D468" s="16" t="str">
        <f>IF(D465="","","Срок сдачи"&amp;": ")</f>
        <v/>
      </c>
      <c r="E468" s="64" t="str">
        <f>IFERROR(VLOOKUP(C$13&amp;$B468,Aux!$B:$M,6,0),"")</f>
        <v/>
      </c>
      <c r="F468" s="64"/>
      <c r="G468" s="63"/>
      <c r="K468" s="59"/>
      <c r="L468" s="16" t="str">
        <f>IF(L465="","","Срок сдачи"&amp;": ")</f>
        <v/>
      </c>
      <c r="M468" s="64" t="str">
        <f>IFERROR(VLOOKUP(K$13&amp;$B468,Aux!$B:$M,6,0),"")</f>
        <v/>
      </c>
      <c r="N468" s="64"/>
      <c r="O468" s="63"/>
      <c r="S468" s="59"/>
      <c r="T468" s="16" t="str">
        <f>IF(T465="","","Срок сдачи"&amp;": ")</f>
        <v/>
      </c>
      <c r="U468" s="64" t="str">
        <f>IFERROR(VLOOKUP(S$13&amp;$B468,Aux!$B:$M,6,0),"")</f>
        <v/>
      </c>
      <c r="V468" s="64"/>
      <c r="W468" s="63"/>
      <c r="AA468" s="59"/>
      <c r="AB468" s="16" t="str">
        <f>IF(AB465="","","Срок сдачи"&amp;": ")</f>
        <v/>
      </c>
      <c r="AC468" s="64" t="str">
        <f>IFERROR(VLOOKUP(AA$13&amp;$B468,Aux!$B:$M,6,0),"")</f>
        <v/>
      </c>
      <c r="AD468" s="64"/>
      <c r="AE468" s="63"/>
    </row>
    <row r="469" spans="2:31" x14ac:dyDescent="0.25">
      <c r="B469" s="53">
        <f t="shared" ref="B469:B532" si="7">B464+1</f>
        <v>91</v>
      </c>
      <c r="C469" s="7"/>
      <c r="D469" s="17"/>
      <c r="E469" s="7"/>
      <c r="F469" s="18"/>
      <c r="G469" s="18"/>
      <c r="K469" s="13"/>
      <c r="L469" s="17"/>
      <c r="M469" s="13"/>
      <c r="N469" s="14"/>
      <c r="O469" s="14"/>
      <c r="S469" s="13"/>
      <c r="T469" s="17"/>
      <c r="U469" s="13"/>
      <c r="V469" s="14"/>
      <c r="W469" s="14"/>
      <c r="AA469" s="13"/>
      <c r="AB469" s="17"/>
      <c r="AC469" s="13"/>
      <c r="AD469" s="14"/>
      <c r="AE469" s="30"/>
    </row>
    <row r="470" spans="2:31" x14ac:dyDescent="0.25">
      <c r="B470" s="53">
        <f t="shared" si="7"/>
        <v>92</v>
      </c>
      <c r="C470" s="59" t="str">
        <f>IFERROR(VLOOKUP(C$13&amp;$B474,Aux!$B:$M,5,0),"")</f>
        <v/>
      </c>
      <c r="D470" s="60" t="str">
        <f>IFERROR(VLOOKUP(C$13&amp;$B470,Aux!$B:$M,3,0),"")</f>
        <v/>
      </c>
      <c r="E470" s="60"/>
      <c r="F470" s="60"/>
      <c r="G470" s="61" t="str">
        <f>IFERROR(VLOOKUP(C$13&amp;$B470,Aux!$B:$M,9,0),"")</f>
        <v/>
      </c>
      <c r="K470" s="59" t="str">
        <f>IFERROR(VLOOKUP(K$13&amp;$B474,Aux!$B:$M,5,0),"")</f>
        <v/>
      </c>
      <c r="L470" s="60" t="str">
        <f>IFERROR(VLOOKUP(K$13&amp;$B470,Aux!$B:$M,3,0),"")</f>
        <v/>
      </c>
      <c r="M470" s="60"/>
      <c r="N470" s="60"/>
      <c r="O470" s="61" t="str">
        <f>IFERROR(VLOOKUP(K$13&amp;$B470,Aux!$B:$M,9,0),"")</f>
        <v/>
      </c>
      <c r="S470" s="59" t="str">
        <f>IFERROR(VLOOKUP(S$13&amp;$B474,Aux!$B:$M,5,0),"")</f>
        <v/>
      </c>
      <c r="T470" s="60" t="str">
        <f>IFERROR(VLOOKUP(S$13&amp;$B470,Aux!$B:$M,3,0),"")</f>
        <v/>
      </c>
      <c r="U470" s="60"/>
      <c r="V470" s="60"/>
      <c r="W470" s="61" t="str">
        <f>IFERROR(VLOOKUP(S$13&amp;$B470,Aux!$B:$M,9,0),"")</f>
        <v/>
      </c>
      <c r="AA470" s="59" t="str">
        <f>IFERROR(VLOOKUP(AA$13&amp;$B474,Aux!$B:$M,5,0),"")</f>
        <v/>
      </c>
      <c r="AB470" s="60" t="str">
        <f>IFERROR(VLOOKUP(AA$13&amp;$B470,Aux!$B:$M,3,0),"")</f>
        <v/>
      </c>
      <c r="AC470" s="60"/>
      <c r="AD470" s="60"/>
      <c r="AE470" s="61" t="str">
        <f>IFERROR(VLOOKUP(AA$13&amp;$B470,Aux!$B:$M,9,0),"")</f>
        <v/>
      </c>
    </row>
    <row r="471" spans="2:31" x14ac:dyDescent="0.25">
      <c r="B471" s="53">
        <f t="shared" si="7"/>
        <v>92</v>
      </c>
      <c r="C471" s="59"/>
      <c r="D471" s="60"/>
      <c r="E471" s="60"/>
      <c r="F471" s="60"/>
      <c r="G471" s="61"/>
      <c r="K471" s="59"/>
      <c r="L471" s="60"/>
      <c r="M471" s="60"/>
      <c r="N471" s="60"/>
      <c r="O471" s="61"/>
      <c r="S471" s="59"/>
      <c r="T471" s="60"/>
      <c r="U471" s="60"/>
      <c r="V471" s="60"/>
      <c r="W471" s="61"/>
      <c r="AA471" s="59"/>
      <c r="AB471" s="60"/>
      <c r="AC471" s="60"/>
      <c r="AD471" s="60"/>
      <c r="AE471" s="61"/>
    </row>
    <row r="472" spans="2:31" x14ac:dyDescent="0.25">
      <c r="B472" s="53">
        <f t="shared" si="7"/>
        <v>92</v>
      </c>
      <c r="C472" s="59"/>
      <c r="D472" s="15" t="str">
        <f>IF(D470="","","Исполнитель"&amp;": ")</f>
        <v/>
      </c>
      <c r="E472" s="62" t="str">
        <f>IFERROR(VLOOKUP(C$13&amp;$B472,Aux!$B:$M,4,0),"")</f>
        <v/>
      </c>
      <c r="F472" s="62"/>
      <c r="G472" s="63" t="str">
        <f>IFERROR(IF(VLOOKUP(C$13&amp;$B470,Aux!$B:$M,8,0)="Да","✔","🕓"),"")</f>
        <v/>
      </c>
      <c r="K472" s="59"/>
      <c r="L472" s="15" t="str">
        <f>IF(L470="","","Исполнитель"&amp;": ")</f>
        <v/>
      </c>
      <c r="M472" s="62" t="str">
        <f>IFERROR(VLOOKUP(K$13&amp;$B472,Aux!$B:$M,4,0),"")</f>
        <v/>
      </c>
      <c r="N472" s="62"/>
      <c r="O472" s="63" t="str">
        <f>IFERROR(IF(VLOOKUP(K$13&amp;$B470,Aux!$B:$M,8,0)="Да","✔","🕓"),"")</f>
        <v/>
      </c>
      <c r="S472" s="59"/>
      <c r="T472" s="15" t="str">
        <f>IF(T470="","","Исполнитель"&amp;": ")</f>
        <v/>
      </c>
      <c r="U472" s="62" t="str">
        <f>IFERROR(VLOOKUP(S$13&amp;$B472,Aux!$B:$M,4,0),"")</f>
        <v/>
      </c>
      <c r="V472" s="62"/>
      <c r="W472" s="63" t="str">
        <f>IFERROR(IF(VLOOKUP(S$13&amp;$B470,Aux!$B:$M,8,0)="Да","✔","🕓"),"")</f>
        <v/>
      </c>
      <c r="AA472" s="59"/>
      <c r="AB472" s="15" t="str">
        <f>IF(AB470="","","Исполнитель"&amp;": ")</f>
        <v/>
      </c>
      <c r="AC472" s="62" t="str">
        <f>IFERROR(VLOOKUP(AA$13&amp;$B472,Aux!$B:$M,4,0),"")</f>
        <v/>
      </c>
      <c r="AD472" s="62"/>
      <c r="AE472" s="63" t="str">
        <f>IFERROR(IF(VLOOKUP(AA$13&amp;$B470,Aux!$B:$M,8,0)="Да","✔","🕓"),"")</f>
        <v/>
      </c>
    </row>
    <row r="473" spans="2:31" x14ac:dyDescent="0.25">
      <c r="B473" s="53">
        <f t="shared" si="7"/>
        <v>92</v>
      </c>
      <c r="C473" s="59"/>
      <c r="D473" s="16" t="str">
        <f>IF(D470="","","Срок сдачи"&amp;": ")</f>
        <v/>
      </c>
      <c r="E473" s="64" t="str">
        <f>IFERROR(VLOOKUP(C$13&amp;$B473,Aux!$B:$M,6,0),"")</f>
        <v/>
      </c>
      <c r="F473" s="64"/>
      <c r="G473" s="63"/>
      <c r="K473" s="59"/>
      <c r="L473" s="16" t="str">
        <f>IF(L470="","","Срок сдачи"&amp;": ")</f>
        <v/>
      </c>
      <c r="M473" s="64" t="str">
        <f>IFERROR(VLOOKUP(K$13&amp;$B473,Aux!$B:$M,6,0),"")</f>
        <v/>
      </c>
      <c r="N473" s="64"/>
      <c r="O473" s="63"/>
      <c r="S473" s="59"/>
      <c r="T473" s="16" t="str">
        <f>IF(T470="","","Срок сдачи"&amp;": ")</f>
        <v/>
      </c>
      <c r="U473" s="64" t="str">
        <f>IFERROR(VLOOKUP(S$13&amp;$B473,Aux!$B:$M,6,0),"")</f>
        <v/>
      </c>
      <c r="V473" s="64"/>
      <c r="W473" s="63"/>
      <c r="AA473" s="59"/>
      <c r="AB473" s="16" t="str">
        <f>IF(AB470="","","Срок сдачи"&amp;": ")</f>
        <v/>
      </c>
      <c r="AC473" s="64" t="str">
        <f>IFERROR(VLOOKUP(AA$13&amp;$B473,Aux!$B:$M,6,0),"")</f>
        <v/>
      </c>
      <c r="AD473" s="64"/>
      <c r="AE473" s="63"/>
    </row>
    <row r="474" spans="2:31" x14ac:dyDescent="0.25">
      <c r="B474" s="53">
        <f t="shared" si="7"/>
        <v>92</v>
      </c>
      <c r="C474" s="7"/>
      <c r="D474" s="17"/>
      <c r="E474" s="7"/>
      <c r="F474" s="18"/>
      <c r="G474" s="18"/>
      <c r="K474" s="13"/>
      <c r="L474" s="17"/>
      <c r="M474" s="13"/>
      <c r="N474" s="14"/>
      <c r="O474" s="14"/>
      <c r="S474" s="13"/>
      <c r="T474" s="17"/>
      <c r="U474" s="13"/>
      <c r="V474" s="14"/>
      <c r="W474" s="14"/>
      <c r="AA474" s="13"/>
      <c r="AB474" s="17"/>
      <c r="AC474" s="13"/>
      <c r="AD474" s="14"/>
      <c r="AE474" s="30"/>
    </row>
    <row r="475" spans="2:31" x14ac:dyDescent="0.25">
      <c r="B475" s="53">
        <f t="shared" si="7"/>
        <v>93</v>
      </c>
      <c r="C475" s="59" t="str">
        <f>IFERROR(VLOOKUP(C$13&amp;$B479,Aux!$B:$M,5,0),"")</f>
        <v/>
      </c>
      <c r="D475" s="60" t="str">
        <f>IFERROR(VLOOKUP(C$13&amp;$B475,Aux!$B:$M,3,0),"")</f>
        <v/>
      </c>
      <c r="E475" s="60"/>
      <c r="F475" s="60"/>
      <c r="G475" s="61" t="str">
        <f>IFERROR(VLOOKUP(C$13&amp;$B475,Aux!$B:$M,9,0),"")</f>
        <v/>
      </c>
      <c r="K475" s="59" t="str">
        <f>IFERROR(VLOOKUP(K$13&amp;$B479,Aux!$B:$M,5,0),"")</f>
        <v/>
      </c>
      <c r="L475" s="60" t="str">
        <f>IFERROR(VLOOKUP(K$13&amp;$B475,Aux!$B:$M,3,0),"")</f>
        <v/>
      </c>
      <c r="M475" s="60"/>
      <c r="N475" s="60"/>
      <c r="O475" s="61" t="str">
        <f>IFERROR(VLOOKUP(K$13&amp;$B475,Aux!$B:$M,9,0),"")</f>
        <v/>
      </c>
      <c r="S475" s="59" t="str">
        <f>IFERROR(VLOOKUP(S$13&amp;$B479,Aux!$B:$M,5,0),"")</f>
        <v/>
      </c>
      <c r="T475" s="60" t="str">
        <f>IFERROR(VLOOKUP(S$13&amp;$B475,Aux!$B:$M,3,0),"")</f>
        <v/>
      </c>
      <c r="U475" s="60"/>
      <c r="V475" s="60"/>
      <c r="W475" s="61" t="str">
        <f>IFERROR(VLOOKUP(S$13&amp;$B475,Aux!$B:$M,9,0),"")</f>
        <v/>
      </c>
      <c r="AA475" s="59" t="str">
        <f>IFERROR(VLOOKUP(AA$13&amp;$B479,Aux!$B:$M,5,0),"")</f>
        <v/>
      </c>
      <c r="AB475" s="60" t="str">
        <f>IFERROR(VLOOKUP(AA$13&amp;$B475,Aux!$B:$M,3,0),"")</f>
        <v/>
      </c>
      <c r="AC475" s="60"/>
      <c r="AD475" s="60"/>
      <c r="AE475" s="61" t="str">
        <f>IFERROR(VLOOKUP(AA$13&amp;$B475,Aux!$B:$M,9,0),"")</f>
        <v/>
      </c>
    </row>
    <row r="476" spans="2:31" x14ac:dyDescent="0.25">
      <c r="B476" s="53">
        <f t="shared" si="7"/>
        <v>93</v>
      </c>
      <c r="C476" s="59"/>
      <c r="D476" s="60"/>
      <c r="E476" s="60"/>
      <c r="F476" s="60"/>
      <c r="G476" s="61"/>
      <c r="K476" s="59"/>
      <c r="L476" s="60"/>
      <c r="M476" s="60"/>
      <c r="N476" s="60"/>
      <c r="O476" s="61"/>
      <c r="S476" s="59"/>
      <c r="T476" s="60"/>
      <c r="U476" s="60"/>
      <c r="V476" s="60"/>
      <c r="W476" s="61"/>
      <c r="AA476" s="59"/>
      <c r="AB476" s="60"/>
      <c r="AC476" s="60"/>
      <c r="AD476" s="60"/>
      <c r="AE476" s="61"/>
    </row>
    <row r="477" spans="2:31" x14ac:dyDescent="0.25">
      <c r="B477" s="53">
        <f t="shared" si="7"/>
        <v>93</v>
      </c>
      <c r="C477" s="59"/>
      <c r="D477" s="15" t="str">
        <f>IF(D475="","","Исполнитель"&amp;": ")</f>
        <v/>
      </c>
      <c r="E477" s="62" t="str">
        <f>IFERROR(VLOOKUP(C$13&amp;$B477,Aux!$B:$M,4,0),"")</f>
        <v/>
      </c>
      <c r="F477" s="62"/>
      <c r="G477" s="63" t="str">
        <f>IFERROR(IF(VLOOKUP(C$13&amp;$B475,Aux!$B:$M,8,0)="Да","✔","🕓"),"")</f>
        <v/>
      </c>
      <c r="K477" s="59"/>
      <c r="L477" s="15" t="str">
        <f>IF(L475="","","Исполнитель"&amp;": ")</f>
        <v/>
      </c>
      <c r="M477" s="62" t="str">
        <f>IFERROR(VLOOKUP(K$13&amp;$B477,Aux!$B:$M,4,0),"")</f>
        <v/>
      </c>
      <c r="N477" s="62"/>
      <c r="O477" s="63" t="str">
        <f>IFERROR(IF(VLOOKUP(K$13&amp;$B475,Aux!$B:$M,8,0)="Да","✔","🕓"),"")</f>
        <v/>
      </c>
      <c r="S477" s="59"/>
      <c r="T477" s="15" t="str">
        <f>IF(T475="","","Исполнитель"&amp;": ")</f>
        <v/>
      </c>
      <c r="U477" s="62" t="str">
        <f>IFERROR(VLOOKUP(S$13&amp;$B477,Aux!$B:$M,4,0),"")</f>
        <v/>
      </c>
      <c r="V477" s="62"/>
      <c r="W477" s="63" t="str">
        <f>IFERROR(IF(VLOOKUP(S$13&amp;$B475,Aux!$B:$M,8,0)="Да","✔","🕓"),"")</f>
        <v/>
      </c>
      <c r="AA477" s="59"/>
      <c r="AB477" s="15" t="str">
        <f>IF(AB475="","","Исполнитель"&amp;": ")</f>
        <v/>
      </c>
      <c r="AC477" s="62" t="str">
        <f>IFERROR(VLOOKUP(AA$13&amp;$B477,Aux!$B:$M,4,0),"")</f>
        <v/>
      </c>
      <c r="AD477" s="62"/>
      <c r="AE477" s="63" t="str">
        <f>IFERROR(IF(VLOOKUP(AA$13&amp;$B475,Aux!$B:$M,8,0)="Да","✔","🕓"),"")</f>
        <v/>
      </c>
    </row>
    <row r="478" spans="2:31" x14ac:dyDescent="0.25">
      <c r="B478" s="53">
        <f t="shared" si="7"/>
        <v>93</v>
      </c>
      <c r="C478" s="59"/>
      <c r="D478" s="16" t="str">
        <f>IF(D475="","","Срок сдачи"&amp;": ")</f>
        <v/>
      </c>
      <c r="E478" s="64" t="str">
        <f>IFERROR(VLOOKUP(C$13&amp;$B478,Aux!$B:$M,6,0),"")</f>
        <v/>
      </c>
      <c r="F478" s="64"/>
      <c r="G478" s="63"/>
      <c r="K478" s="59"/>
      <c r="L478" s="16" t="str">
        <f>IF(L475="","","Срок сдачи"&amp;": ")</f>
        <v/>
      </c>
      <c r="M478" s="64" t="str">
        <f>IFERROR(VLOOKUP(K$13&amp;$B478,Aux!$B:$M,6,0),"")</f>
        <v/>
      </c>
      <c r="N478" s="64"/>
      <c r="O478" s="63"/>
      <c r="S478" s="59"/>
      <c r="T478" s="16" t="str">
        <f>IF(T475="","","Срок сдачи"&amp;": ")</f>
        <v/>
      </c>
      <c r="U478" s="64" t="str">
        <f>IFERROR(VLOOKUP(S$13&amp;$B478,Aux!$B:$M,6,0),"")</f>
        <v/>
      </c>
      <c r="V478" s="64"/>
      <c r="W478" s="63"/>
      <c r="AA478" s="59"/>
      <c r="AB478" s="16" t="str">
        <f>IF(AB475="","","Срок сдачи"&amp;": ")</f>
        <v/>
      </c>
      <c r="AC478" s="64" t="str">
        <f>IFERROR(VLOOKUP(AA$13&amp;$B478,Aux!$B:$M,6,0),"")</f>
        <v/>
      </c>
      <c r="AD478" s="64"/>
      <c r="AE478" s="63"/>
    </row>
    <row r="479" spans="2:31" x14ac:dyDescent="0.25">
      <c r="B479" s="53">
        <f t="shared" si="7"/>
        <v>93</v>
      </c>
      <c r="C479" s="7"/>
      <c r="D479" s="17"/>
      <c r="E479" s="7"/>
      <c r="F479" s="18"/>
      <c r="G479" s="18"/>
      <c r="K479" s="13"/>
      <c r="L479" s="17"/>
      <c r="M479" s="13"/>
      <c r="N479" s="14"/>
      <c r="O479" s="14"/>
      <c r="S479" s="13"/>
      <c r="T479" s="17"/>
      <c r="U479" s="13"/>
      <c r="V479" s="14"/>
      <c r="W479" s="14"/>
      <c r="AA479" s="13"/>
      <c r="AB479" s="17"/>
      <c r="AC479" s="13"/>
      <c r="AD479" s="14"/>
      <c r="AE479" s="30"/>
    </row>
    <row r="480" spans="2:31" x14ac:dyDescent="0.25">
      <c r="B480" s="53">
        <f t="shared" si="7"/>
        <v>94</v>
      </c>
      <c r="C480" s="59" t="str">
        <f>IFERROR(VLOOKUP(C$13&amp;$B484,Aux!$B:$M,5,0),"")</f>
        <v/>
      </c>
      <c r="D480" s="60" t="str">
        <f>IFERROR(VLOOKUP(C$13&amp;$B480,Aux!$B:$M,3,0),"")</f>
        <v/>
      </c>
      <c r="E480" s="60"/>
      <c r="F480" s="60"/>
      <c r="G480" s="61" t="str">
        <f>IFERROR(VLOOKUP(C$13&amp;$B480,Aux!$B:$M,9,0),"")</f>
        <v/>
      </c>
      <c r="K480" s="59" t="str">
        <f>IFERROR(VLOOKUP(K$13&amp;$B484,Aux!$B:$M,5,0),"")</f>
        <v/>
      </c>
      <c r="L480" s="60" t="str">
        <f>IFERROR(VLOOKUP(K$13&amp;$B480,Aux!$B:$M,3,0),"")</f>
        <v/>
      </c>
      <c r="M480" s="60"/>
      <c r="N480" s="60"/>
      <c r="O480" s="61" t="str">
        <f>IFERROR(VLOOKUP(K$13&amp;$B480,Aux!$B:$M,9,0),"")</f>
        <v/>
      </c>
      <c r="S480" s="59" t="str">
        <f>IFERROR(VLOOKUP(S$13&amp;$B484,Aux!$B:$M,5,0),"")</f>
        <v/>
      </c>
      <c r="T480" s="60" t="str">
        <f>IFERROR(VLOOKUP(S$13&amp;$B480,Aux!$B:$M,3,0),"")</f>
        <v/>
      </c>
      <c r="U480" s="60"/>
      <c r="V480" s="60"/>
      <c r="W480" s="61" t="str">
        <f>IFERROR(VLOOKUP(S$13&amp;$B480,Aux!$B:$M,9,0),"")</f>
        <v/>
      </c>
      <c r="AA480" s="59" t="str">
        <f>IFERROR(VLOOKUP(AA$13&amp;$B484,Aux!$B:$M,5,0),"")</f>
        <v/>
      </c>
      <c r="AB480" s="60" t="str">
        <f>IFERROR(VLOOKUP(AA$13&amp;$B480,Aux!$B:$M,3,0),"")</f>
        <v/>
      </c>
      <c r="AC480" s="60"/>
      <c r="AD480" s="60"/>
      <c r="AE480" s="61" t="str">
        <f>IFERROR(VLOOKUP(AA$13&amp;$B480,Aux!$B:$M,9,0),"")</f>
        <v/>
      </c>
    </row>
    <row r="481" spans="2:31" x14ac:dyDescent="0.25">
      <c r="B481" s="53">
        <f t="shared" si="7"/>
        <v>94</v>
      </c>
      <c r="C481" s="59"/>
      <c r="D481" s="60"/>
      <c r="E481" s="60"/>
      <c r="F481" s="60"/>
      <c r="G481" s="61"/>
      <c r="K481" s="59"/>
      <c r="L481" s="60"/>
      <c r="M481" s="60"/>
      <c r="N481" s="60"/>
      <c r="O481" s="61"/>
      <c r="S481" s="59"/>
      <c r="T481" s="60"/>
      <c r="U481" s="60"/>
      <c r="V481" s="60"/>
      <c r="W481" s="61"/>
      <c r="AA481" s="59"/>
      <c r="AB481" s="60"/>
      <c r="AC481" s="60"/>
      <c r="AD481" s="60"/>
      <c r="AE481" s="61"/>
    </row>
    <row r="482" spans="2:31" x14ac:dyDescent="0.25">
      <c r="B482" s="53">
        <f t="shared" si="7"/>
        <v>94</v>
      </c>
      <c r="C482" s="59"/>
      <c r="D482" s="15" t="str">
        <f>IF(D480="","","Исполнитель"&amp;": ")</f>
        <v/>
      </c>
      <c r="E482" s="62" t="str">
        <f>IFERROR(VLOOKUP(C$13&amp;$B482,Aux!$B:$M,4,0),"")</f>
        <v/>
      </c>
      <c r="F482" s="62"/>
      <c r="G482" s="63" t="str">
        <f>IFERROR(IF(VLOOKUP(C$13&amp;$B480,Aux!$B:$M,8,0)="Да","✔","🕓"),"")</f>
        <v/>
      </c>
      <c r="K482" s="59"/>
      <c r="L482" s="15" t="str">
        <f>IF(L480="","","Исполнитель"&amp;": ")</f>
        <v/>
      </c>
      <c r="M482" s="62" t="str">
        <f>IFERROR(VLOOKUP(K$13&amp;$B482,Aux!$B:$M,4,0),"")</f>
        <v/>
      </c>
      <c r="N482" s="62"/>
      <c r="O482" s="63" t="str">
        <f>IFERROR(IF(VLOOKUP(K$13&amp;$B480,Aux!$B:$M,8,0)="Да","✔","🕓"),"")</f>
        <v/>
      </c>
      <c r="S482" s="59"/>
      <c r="T482" s="15" t="str">
        <f>IF(T480="","","Исполнитель"&amp;": ")</f>
        <v/>
      </c>
      <c r="U482" s="62" t="str">
        <f>IFERROR(VLOOKUP(S$13&amp;$B482,Aux!$B:$M,4,0),"")</f>
        <v/>
      </c>
      <c r="V482" s="62"/>
      <c r="W482" s="63" t="str">
        <f>IFERROR(IF(VLOOKUP(S$13&amp;$B480,Aux!$B:$M,8,0)="Да","✔","🕓"),"")</f>
        <v/>
      </c>
      <c r="AA482" s="59"/>
      <c r="AB482" s="15" t="str">
        <f>IF(AB480="","","Исполнитель"&amp;": ")</f>
        <v/>
      </c>
      <c r="AC482" s="62" t="str">
        <f>IFERROR(VLOOKUP(AA$13&amp;$B482,Aux!$B:$M,4,0),"")</f>
        <v/>
      </c>
      <c r="AD482" s="62"/>
      <c r="AE482" s="63" t="str">
        <f>IFERROR(IF(VLOOKUP(AA$13&amp;$B480,Aux!$B:$M,8,0)="Да","✔","🕓"),"")</f>
        <v/>
      </c>
    </row>
    <row r="483" spans="2:31" x14ac:dyDescent="0.25">
      <c r="B483" s="53">
        <f t="shared" si="7"/>
        <v>94</v>
      </c>
      <c r="C483" s="59"/>
      <c r="D483" s="16" t="str">
        <f>IF(D480="","","Срок сдачи"&amp;": ")</f>
        <v/>
      </c>
      <c r="E483" s="64" t="str">
        <f>IFERROR(VLOOKUP(C$13&amp;$B483,Aux!$B:$M,6,0),"")</f>
        <v/>
      </c>
      <c r="F483" s="64"/>
      <c r="G483" s="63"/>
      <c r="K483" s="59"/>
      <c r="L483" s="16" t="str">
        <f>IF(L480="","","Срок сдачи"&amp;": ")</f>
        <v/>
      </c>
      <c r="M483" s="64" t="str">
        <f>IFERROR(VLOOKUP(K$13&amp;$B483,Aux!$B:$M,6,0),"")</f>
        <v/>
      </c>
      <c r="N483" s="64"/>
      <c r="O483" s="63"/>
      <c r="S483" s="59"/>
      <c r="T483" s="16" t="str">
        <f>IF(T480="","","Срок сдачи"&amp;": ")</f>
        <v/>
      </c>
      <c r="U483" s="64" t="str">
        <f>IFERROR(VLOOKUP(S$13&amp;$B483,Aux!$B:$M,6,0),"")</f>
        <v/>
      </c>
      <c r="V483" s="64"/>
      <c r="W483" s="63"/>
      <c r="AA483" s="59"/>
      <c r="AB483" s="16" t="str">
        <f>IF(AB480="","","Срок сдачи"&amp;": ")</f>
        <v/>
      </c>
      <c r="AC483" s="64" t="str">
        <f>IFERROR(VLOOKUP(AA$13&amp;$B483,Aux!$B:$M,6,0),"")</f>
        <v/>
      </c>
      <c r="AD483" s="64"/>
      <c r="AE483" s="63"/>
    </row>
    <row r="484" spans="2:31" x14ac:dyDescent="0.25">
      <c r="B484" s="53">
        <f t="shared" si="7"/>
        <v>94</v>
      </c>
      <c r="C484" s="7"/>
      <c r="D484" s="17"/>
      <c r="E484" s="7"/>
      <c r="F484" s="18"/>
      <c r="G484" s="18"/>
      <c r="K484" s="13"/>
      <c r="L484" s="17"/>
      <c r="M484" s="13"/>
      <c r="N484" s="14"/>
      <c r="O484" s="14"/>
      <c r="S484" s="13"/>
      <c r="T484" s="17"/>
      <c r="U484" s="13"/>
      <c r="V484" s="14"/>
      <c r="W484" s="14"/>
      <c r="AA484" s="13"/>
      <c r="AB484" s="17"/>
      <c r="AC484" s="13"/>
      <c r="AD484" s="14"/>
      <c r="AE484" s="30"/>
    </row>
    <row r="485" spans="2:31" x14ac:dyDescent="0.25">
      <c r="B485" s="53">
        <f t="shared" si="7"/>
        <v>95</v>
      </c>
      <c r="C485" s="59" t="str">
        <f>IFERROR(VLOOKUP(C$13&amp;$B489,Aux!$B:$M,5,0),"")</f>
        <v/>
      </c>
      <c r="D485" s="60" t="str">
        <f>IFERROR(VLOOKUP(C$13&amp;$B485,Aux!$B:$M,3,0),"")</f>
        <v/>
      </c>
      <c r="E485" s="60"/>
      <c r="F485" s="60"/>
      <c r="G485" s="61" t="str">
        <f>IFERROR(VLOOKUP(C$13&amp;$B485,Aux!$B:$M,9,0),"")</f>
        <v/>
      </c>
      <c r="K485" s="59" t="str">
        <f>IFERROR(VLOOKUP(K$13&amp;$B489,Aux!$B:$M,5,0),"")</f>
        <v/>
      </c>
      <c r="L485" s="60" t="str">
        <f>IFERROR(VLOOKUP(K$13&amp;$B485,Aux!$B:$M,3,0),"")</f>
        <v/>
      </c>
      <c r="M485" s="60"/>
      <c r="N485" s="60"/>
      <c r="O485" s="61" t="str">
        <f>IFERROR(VLOOKUP(K$13&amp;$B485,Aux!$B:$M,9,0),"")</f>
        <v/>
      </c>
      <c r="S485" s="59" t="str">
        <f>IFERROR(VLOOKUP(S$13&amp;$B489,Aux!$B:$M,5,0),"")</f>
        <v/>
      </c>
      <c r="T485" s="60" t="str">
        <f>IFERROR(VLOOKUP(S$13&amp;$B485,Aux!$B:$M,3,0),"")</f>
        <v/>
      </c>
      <c r="U485" s="60"/>
      <c r="V485" s="60"/>
      <c r="W485" s="61" t="str">
        <f>IFERROR(VLOOKUP(S$13&amp;$B485,Aux!$B:$M,9,0),"")</f>
        <v/>
      </c>
      <c r="AA485" s="59" t="str">
        <f>IFERROR(VLOOKUP(AA$13&amp;$B489,Aux!$B:$M,5,0),"")</f>
        <v/>
      </c>
      <c r="AB485" s="60" t="str">
        <f>IFERROR(VLOOKUP(AA$13&amp;$B485,Aux!$B:$M,3,0),"")</f>
        <v/>
      </c>
      <c r="AC485" s="60"/>
      <c r="AD485" s="60"/>
      <c r="AE485" s="61" t="str">
        <f>IFERROR(VLOOKUP(AA$13&amp;$B485,Aux!$B:$M,9,0),"")</f>
        <v/>
      </c>
    </row>
    <row r="486" spans="2:31" x14ac:dyDescent="0.25">
      <c r="B486" s="53">
        <f t="shared" si="7"/>
        <v>95</v>
      </c>
      <c r="C486" s="59"/>
      <c r="D486" s="60"/>
      <c r="E486" s="60"/>
      <c r="F486" s="60"/>
      <c r="G486" s="61"/>
      <c r="K486" s="59"/>
      <c r="L486" s="60"/>
      <c r="M486" s="60"/>
      <c r="N486" s="60"/>
      <c r="O486" s="61"/>
      <c r="S486" s="59"/>
      <c r="T486" s="60"/>
      <c r="U486" s="60"/>
      <c r="V486" s="60"/>
      <c r="W486" s="61"/>
      <c r="AA486" s="59"/>
      <c r="AB486" s="60"/>
      <c r="AC486" s="60"/>
      <c r="AD486" s="60"/>
      <c r="AE486" s="61"/>
    </row>
    <row r="487" spans="2:31" x14ac:dyDescent="0.25">
      <c r="B487" s="53">
        <f t="shared" si="7"/>
        <v>95</v>
      </c>
      <c r="C487" s="59"/>
      <c r="D487" s="15" t="str">
        <f>IF(D485="","","Исполнитель"&amp;": ")</f>
        <v/>
      </c>
      <c r="E487" s="62" t="str">
        <f>IFERROR(VLOOKUP(C$13&amp;$B487,Aux!$B:$M,4,0),"")</f>
        <v/>
      </c>
      <c r="F487" s="62"/>
      <c r="G487" s="63" t="str">
        <f>IFERROR(IF(VLOOKUP(C$13&amp;$B485,Aux!$B:$M,8,0)="Да","✔","🕓"),"")</f>
        <v/>
      </c>
      <c r="K487" s="59"/>
      <c r="L487" s="15" t="str">
        <f>IF(L485="","","Исполнитель"&amp;": ")</f>
        <v/>
      </c>
      <c r="M487" s="62" t="str">
        <f>IFERROR(VLOOKUP(K$13&amp;$B487,Aux!$B:$M,4,0),"")</f>
        <v/>
      </c>
      <c r="N487" s="62"/>
      <c r="O487" s="63" t="str">
        <f>IFERROR(IF(VLOOKUP(K$13&amp;$B485,Aux!$B:$M,8,0)="Да","✔","🕓"),"")</f>
        <v/>
      </c>
      <c r="S487" s="59"/>
      <c r="T487" s="15" t="str">
        <f>IF(T485="","","Исполнитель"&amp;": ")</f>
        <v/>
      </c>
      <c r="U487" s="62" t="str">
        <f>IFERROR(VLOOKUP(S$13&amp;$B487,Aux!$B:$M,4,0),"")</f>
        <v/>
      </c>
      <c r="V487" s="62"/>
      <c r="W487" s="63" t="str">
        <f>IFERROR(IF(VLOOKUP(S$13&amp;$B485,Aux!$B:$M,8,0)="Да","✔","🕓"),"")</f>
        <v/>
      </c>
      <c r="AA487" s="59"/>
      <c r="AB487" s="15" t="str">
        <f>IF(AB485="","","Исполнитель"&amp;": ")</f>
        <v/>
      </c>
      <c r="AC487" s="62" t="str">
        <f>IFERROR(VLOOKUP(AA$13&amp;$B487,Aux!$B:$M,4,0),"")</f>
        <v/>
      </c>
      <c r="AD487" s="62"/>
      <c r="AE487" s="63" t="str">
        <f>IFERROR(IF(VLOOKUP(AA$13&amp;$B485,Aux!$B:$M,8,0)="Да","✔","🕓"),"")</f>
        <v/>
      </c>
    </row>
    <row r="488" spans="2:31" x14ac:dyDescent="0.25">
      <c r="B488" s="53">
        <f t="shared" si="7"/>
        <v>95</v>
      </c>
      <c r="C488" s="59"/>
      <c r="D488" s="16" t="str">
        <f>IF(D485="","","Срок сдачи"&amp;": ")</f>
        <v/>
      </c>
      <c r="E488" s="64" t="str">
        <f>IFERROR(VLOOKUP(C$13&amp;$B488,Aux!$B:$M,6,0),"")</f>
        <v/>
      </c>
      <c r="F488" s="64"/>
      <c r="G488" s="63"/>
      <c r="K488" s="59"/>
      <c r="L488" s="16" t="str">
        <f>IF(L485="","","Срок сдачи"&amp;": ")</f>
        <v/>
      </c>
      <c r="M488" s="64" t="str">
        <f>IFERROR(VLOOKUP(K$13&amp;$B488,Aux!$B:$M,6,0),"")</f>
        <v/>
      </c>
      <c r="N488" s="64"/>
      <c r="O488" s="63"/>
      <c r="S488" s="59"/>
      <c r="T488" s="16" t="str">
        <f>IF(T485="","","Срок сдачи"&amp;": ")</f>
        <v/>
      </c>
      <c r="U488" s="64" t="str">
        <f>IFERROR(VLOOKUP(S$13&amp;$B488,Aux!$B:$M,6,0),"")</f>
        <v/>
      </c>
      <c r="V488" s="64"/>
      <c r="W488" s="63"/>
      <c r="AA488" s="59"/>
      <c r="AB488" s="16" t="str">
        <f>IF(AB485="","","Срок сдачи"&amp;": ")</f>
        <v/>
      </c>
      <c r="AC488" s="64" t="str">
        <f>IFERROR(VLOOKUP(AA$13&amp;$B488,Aux!$B:$M,6,0),"")</f>
        <v/>
      </c>
      <c r="AD488" s="64"/>
      <c r="AE488" s="63"/>
    </row>
    <row r="489" spans="2:31" x14ac:dyDescent="0.25">
      <c r="B489" s="53">
        <f t="shared" si="7"/>
        <v>95</v>
      </c>
      <c r="C489" s="7"/>
      <c r="D489" s="17"/>
      <c r="E489" s="7"/>
      <c r="F489" s="18"/>
      <c r="G489" s="18"/>
      <c r="K489" s="13"/>
      <c r="L489" s="17"/>
      <c r="M489" s="13"/>
      <c r="N489" s="14"/>
      <c r="O489" s="14"/>
      <c r="S489" s="13"/>
      <c r="T489" s="17"/>
      <c r="U489" s="13"/>
      <c r="V489" s="14"/>
      <c r="W489" s="14"/>
      <c r="AA489" s="13"/>
      <c r="AB489" s="17"/>
      <c r="AC489" s="13"/>
      <c r="AD489" s="14"/>
      <c r="AE489" s="30"/>
    </row>
    <row r="490" spans="2:31" x14ac:dyDescent="0.25">
      <c r="B490" s="53">
        <f t="shared" si="7"/>
        <v>96</v>
      </c>
      <c r="C490" s="59" t="str">
        <f>IFERROR(VLOOKUP(C$13&amp;$B494,Aux!$B:$M,5,0),"")</f>
        <v/>
      </c>
      <c r="D490" s="60" t="str">
        <f>IFERROR(VLOOKUP(C$13&amp;$B490,Aux!$B:$M,3,0),"")</f>
        <v/>
      </c>
      <c r="E490" s="60"/>
      <c r="F490" s="60"/>
      <c r="G490" s="61" t="str">
        <f>IFERROR(VLOOKUP(C$13&amp;$B490,Aux!$B:$M,9,0),"")</f>
        <v/>
      </c>
      <c r="K490" s="59" t="str">
        <f>IFERROR(VLOOKUP(K$13&amp;$B494,Aux!$B:$M,5,0),"")</f>
        <v/>
      </c>
      <c r="L490" s="60" t="str">
        <f>IFERROR(VLOOKUP(K$13&amp;$B490,Aux!$B:$M,3,0),"")</f>
        <v/>
      </c>
      <c r="M490" s="60"/>
      <c r="N490" s="60"/>
      <c r="O490" s="61" t="str">
        <f>IFERROR(VLOOKUP(K$13&amp;$B490,Aux!$B:$M,9,0),"")</f>
        <v/>
      </c>
      <c r="S490" s="59" t="str">
        <f>IFERROR(VLOOKUP(S$13&amp;$B494,Aux!$B:$M,5,0),"")</f>
        <v/>
      </c>
      <c r="T490" s="60" t="str">
        <f>IFERROR(VLOOKUP(S$13&amp;$B490,Aux!$B:$M,3,0),"")</f>
        <v/>
      </c>
      <c r="U490" s="60"/>
      <c r="V490" s="60"/>
      <c r="W490" s="61" t="str">
        <f>IFERROR(VLOOKUP(S$13&amp;$B490,Aux!$B:$M,9,0),"")</f>
        <v/>
      </c>
      <c r="AA490" s="59" t="str">
        <f>IFERROR(VLOOKUP(AA$13&amp;$B494,Aux!$B:$M,5,0),"")</f>
        <v/>
      </c>
      <c r="AB490" s="60" t="str">
        <f>IFERROR(VLOOKUP(AA$13&amp;$B490,Aux!$B:$M,3,0),"")</f>
        <v/>
      </c>
      <c r="AC490" s="60"/>
      <c r="AD490" s="60"/>
      <c r="AE490" s="61" t="str">
        <f>IFERROR(VLOOKUP(AA$13&amp;$B490,Aux!$B:$M,9,0),"")</f>
        <v/>
      </c>
    </row>
    <row r="491" spans="2:31" x14ac:dyDescent="0.25">
      <c r="B491" s="53">
        <f t="shared" si="7"/>
        <v>96</v>
      </c>
      <c r="C491" s="59"/>
      <c r="D491" s="60"/>
      <c r="E491" s="60"/>
      <c r="F491" s="60"/>
      <c r="G491" s="61"/>
      <c r="K491" s="59"/>
      <c r="L491" s="60"/>
      <c r="M491" s="60"/>
      <c r="N491" s="60"/>
      <c r="O491" s="61"/>
      <c r="S491" s="59"/>
      <c r="T491" s="60"/>
      <c r="U491" s="60"/>
      <c r="V491" s="60"/>
      <c r="W491" s="61"/>
      <c r="AA491" s="59"/>
      <c r="AB491" s="60"/>
      <c r="AC491" s="60"/>
      <c r="AD491" s="60"/>
      <c r="AE491" s="61"/>
    </row>
    <row r="492" spans="2:31" x14ac:dyDescent="0.25">
      <c r="B492" s="53">
        <f t="shared" si="7"/>
        <v>96</v>
      </c>
      <c r="C492" s="59"/>
      <c r="D492" s="15" t="str">
        <f>IF(D490="","","Исполнитель"&amp;": ")</f>
        <v/>
      </c>
      <c r="E492" s="62" t="str">
        <f>IFERROR(VLOOKUP(C$13&amp;$B492,Aux!$B:$M,4,0),"")</f>
        <v/>
      </c>
      <c r="F492" s="62"/>
      <c r="G492" s="63" t="str">
        <f>IFERROR(IF(VLOOKUP(C$13&amp;$B490,Aux!$B:$M,8,0)="Да","✔","🕓"),"")</f>
        <v/>
      </c>
      <c r="K492" s="59"/>
      <c r="L492" s="15" t="str">
        <f>IF(L490="","","Исполнитель"&amp;": ")</f>
        <v/>
      </c>
      <c r="M492" s="62" t="str">
        <f>IFERROR(VLOOKUP(K$13&amp;$B492,Aux!$B:$M,4,0),"")</f>
        <v/>
      </c>
      <c r="N492" s="62"/>
      <c r="O492" s="63" t="str">
        <f>IFERROR(IF(VLOOKUP(K$13&amp;$B490,Aux!$B:$M,8,0)="Да","✔","🕓"),"")</f>
        <v/>
      </c>
      <c r="S492" s="59"/>
      <c r="T492" s="15" t="str">
        <f>IF(T490="","","Исполнитель"&amp;": ")</f>
        <v/>
      </c>
      <c r="U492" s="62" t="str">
        <f>IFERROR(VLOOKUP(S$13&amp;$B492,Aux!$B:$M,4,0),"")</f>
        <v/>
      </c>
      <c r="V492" s="62"/>
      <c r="W492" s="63" t="str">
        <f>IFERROR(IF(VLOOKUP(S$13&amp;$B490,Aux!$B:$M,8,0)="Да","✔","🕓"),"")</f>
        <v/>
      </c>
      <c r="AA492" s="59"/>
      <c r="AB492" s="15" t="str">
        <f>IF(AB490="","","Исполнитель"&amp;": ")</f>
        <v/>
      </c>
      <c r="AC492" s="62" t="str">
        <f>IFERROR(VLOOKUP(AA$13&amp;$B492,Aux!$B:$M,4,0),"")</f>
        <v/>
      </c>
      <c r="AD492" s="62"/>
      <c r="AE492" s="63" t="str">
        <f>IFERROR(IF(VLOOKUP(AA$13&amp;$B490,Aux!$B:$M,8,0)="Да","✔","🕓"),"")</f>
        <v/>
      </c>
    </row>
    <row r="493" spans="2:31" x14ac:dyDescent="0.25">
      <c r="B493" s="53">
        <f t="shared" si="7"/>
        <v>96</v>
      </c>
      <c r="C493" s="59"/>
      <c r="D493" s="16" t="str">
        <f>IF(D490="","","Срок сдачи"&amp;": ")</f>
        <v/>
      </c>
      <c r="E493" s="64" t="str">
        <f>IFERROR(VLOOKUP(C$13&amp;$B493,Aux!$B:$M,6,0),"")</f>
        <v/>
      </c>
      <c r="F493" s="64"/>
      <c r="G493" s="63"/>
      <c r="K493" s="59"/>
      <c r="L493" s="16" t="str">
        <f>IF(L490="","","Срок сдачи"&amp;": ")</f>
        <v/>
      </c>
      <c r="M493" s="64" t="str">
        <f>IFERROR(VLOOKUP(K$13&amp;$B493,Aux!$B:$M,6,0),"")</f>
        <v/>
      </c>
      <c r="N493" s="64"/>
      <c r="O493" s="63"/>
      <c r="S493" s="59"/>
      <c r="T493" s="16" t="str">
        <f>IF(T490="","","Срок сдачи"&amp;": ")</f>
        <v/>
      </c>
      <c r="U493" s="64" t="str">
        <f>IFERROR(VLOOKUP(S$13&amp;$B493,Aux!$B:$M,6,0),"")</f>
        <v/>
      </c>
      <c r="V493" s="64"/>
      <c r="W493" s="63"/>
      <c r="AA493" s="59"/>
      <c r="AB493" s="16" t="str">
        <f>IF(AB490="","","Срок сдачи"&amp;": ")</f>
        <v/>
      </c>
      <c r="AC493" s="64" t="str">
        <f>IFERROR(VLOOKUP(AA$13&amp;$B493,Aux!$B:$M,6,0),"")</f>
        <v/>
      </c>
      <c r="AD493" s="64"/>
      <c r="AE493" s="63"/>
    </row>
    <row r="494" spans="2:31" x14ac:dyDescent="0.25">
      <c r="B494" s="53">
        <f t="shared" si="7"/>
        <v>96</v>
      </c>
      <c r="C494" s="7"/>
      <c r="D494" s="17"/>
      <c r="E494" s="7"/>
      <c r="F494" s="18"/>
      <c r="G494" s="18"/>
      <c r="K494" s="13"/>
      <c r="L494" s="17"/>
      <c r="M494" s="13"/>
      <c r="N494" s="14"/>
      <c r="O494" s="14"/>
      <c r="S494" s="13"/>
      <c r="T494" s="17"/>
      <c r="U494" s="13"/>
      <c r="V494" s="14"/>
      <c r="W494" s="14"/>
      <c r="AA494" s="13"/>
      <c r="AB494" s="17"/>
      <c r="AC494" s="13"/>
      <c r="AD494" s="14"/>
      <c r="AE494" s="30"/>
    </row>
    <row r="495" spans="2:31" x14ac:dyDescent="0.25">
      <c r="B495" s="53">
        <f t="shared" si="7"/>
        <v>97</v>
      </c>
      <c r="C495" s="59" t="str">
        <f>IFERROR(VLOOKUP(C$13&amp;$B499,Aux!$B:$M,5,0),"")</f>
        <v/>
      </c>
      <c r="D495" s="60" t="str">
        <f>IFERROR(VLOOKUP(C$13&amp;$B495,Aux!$B:$M,3,0),"")</f>
        <v/>
      </c>
      <c r="E495" s="60"/>
      <c r="F495" s="60"/>
      <c r="G495" s="61" t="str">
        <f>IFERROR(VLOOKUP(C$13&amp;$B495,Aux!$B:$M,9,0),"")</f>
        <v/>
      </c>
      <c r="K495" s="59" t="str">
        <f>IFERROR(VLOOKUP(K$13&amp;$B499,Aux!$B:$M,5,0),"")</f>
        <v/>
      </c>
      <c r="L495" s="60" t="str">
        <f>IFERROR(VLOOKUP(K$13&amp;$B495,Aux!$B:$M,3,0),"")</f>
        <v/>
      </c>
      <c r="M495" s="60"/>
      <c r="N495" s="60"/>
      <c r="O495" s="61" t="str">
        <f>IFERROR(VLOOKUP(K$13&amp;$B495,Aux!$B:$M,9,0),"")</f>
        <v/>
      </c>
      <c r="S495" s="59" t="str">
        <f>IFERROR(VLOOKUP(S$13&amp;$B499,Aux!$B:$M,5,0),"")</f>
        <v/>
      </c>
      <c r="T495" s="60" t="str">
        <f>IFERROR(VLOOKUP(S$13&amp;$B495,Aux!$B:$M,3,0),"")</f>
        <v/>
      </c>
      <c r="U495" s="60"/>
      <c r="V495" s="60"/>
      <c r="W495" s="61" t="str">
        <f>IFERROR(VLOOKUP(S$13&amp;$B495,Aux!$B:$M,9,0),"")</f>
        <v/>
      </c>
      <c r="AA495" s="59" t="str">
        <f>IFERROR(VLOOKUP(AA$13&amp;$B499,Aux!$B:$M,5,0),"")</f>
        <v/>
      </c>
      <c r="AB495" s="60" t="str">
        <f>IFERROR(VLOOKUP(AA$13&amp;$B495,Aux!$B:$M,3,0),"")</f>
        <v/>
      </c>
      <c r="AC495" s="60"/>
      <c r="AD495" s="60"/>
      <c r="AE495" s="61" t="str">
        <f>IFERROR(VLOOKUP(AA$13&amp;$B495,Aux!$B:$M,9,0),"")</f>
        <v/>
      </c>
    </row>
    <row r="496" spans="2:31" x14ac:dyDescent="0.25">
      <c r="B496" s="53">
        <f t="shared" si="7"/>
        <v>97</v>
      </c>
      <c r="C496" s="59"/>
      <c r="D496" s="60"/>
      <c r="E496" s="60"/>
      <c r="F496" s="60"/>
      <c r="G496" s="61"/>
      <c r="K496" s="59"/>
      <c r="L496" s="60"/>
      <c r="M496" s="60"/>
      <c r="N496" s="60"/>
      <c r="O496" s="61"/>
      <c r="S496" s="59"/>
      <c r="T496" s="60"/>
      <c r="U496" s="60"/>
      <c r="V496" s="60"/>
      <c r="W496" s="61"/>
      <c r="AA496" s="59"/>
      <c r="AB496" s="60"/>
      <c r="AC496" s="60"/>
      <c r="AD496" s="60"/>
      <c r="AE496" s="61"/>
    </row>
    <row r="497" spans="2:31" x14ac:dyDescent="0.25">
      <c r="B497" s="53">
        <f t="shared" si="7"/>
        <v>97</v>
      </c>
      <c r="C497" s="59"/>
      <c r="D497" s="15" t="str">
        <f>IF(D495="","","Исполнитель"&amp;": ")</f>
        <v/>
      </c>
      <c r="E497" s="62" t="str">
        <f>IFERROR(VLOOKUP(C$13&amp;$B497,Aux!$B:$M,4,0),"")</f>
        <v/>
      </c>
      <c r="F497" s="62"/>
      <c r="G497" s="63" t="str">
        <f>IFERROR(IF(VLOOKUP(C$13&amp;$B495,Aux!$B:$M,8,0)="Да","✔","🕓"),"")</f>
        <v/>
      </c>
      <c r="K497" s="59"/>
      <c r="L497" s="15" t="str">
        <f>IF(L495="","","Исполнитель"&amp;": ")</f>
        <v/>
      </c>
      <c r="M497" s="62" t="str">
        <f>IFERROR(VLOOKUP(K$13&amp;$B497,Aux!$B:$M,4,0),"")</f>
        <v/>
      </c>
      <c r="N497" s="62"/>
      <c r="O497" s="63" t="str">
        <f>IFERROR(IF(VLOOKUP(K$13&amp;$B495,Aux!$B:$M,8,0)="Да","✔","🕓"),"")</f>
        <v/>
      </c>
      <c r="S497" s="59"/>
      <c r="T497" s="15" t="str">
        <f>IF(T495="","","Исполнитель"&amp;": ")</f>
        <v/>
      </c>
      <c r="U497" s="62" t="str">
        <f>IFERROR(VLOOKUP(S$13&amp;$B497,Aux!$B:$M,4,0),"")</f>
        <v/>
      </c>
      <c r="V497" s="62"/>
      <c r="W497" s="63" t="str">
        <f>IFERROR(IF(VLOOKUP(S$13&amp;$B495,Aux!$B:$M,8,0)="Да","✔","🕓"),"")</f>
        <v/>
      </c>
      <c r="AA497" s="59"/>
      <c r="AB497" s="15" t="str">
        <f>IF(AB495="","","Исполнитель"&amp;": ")</f>
        <v/>
      </c>
      <c r="AC497" s="62" t="str">
        <f>IFERROR(VLOOKUP(AA$13&amp;$B497,Aux!$B:$M,4,0),"")</f>
        <v/>
      </c>
      <c r="AD497" s="62"/>
      <c r="AE497" s="63" t="str">
        <f>IFERROR(IF(VLOOKUP(AA$13&amp;$B495,Aux!$B:$M,8,0)="Да","✔","🕓"),"")</f>
        <v/>
      </c>
    </row>
    <row r="498" spans="2:31" x14ac:dyDescent="0.25">
      <c r="B498" s="53">
        <f t="shared" si="7"/>
        <v>97</v>
      </c>
      <c r="C498" s="59"/>
      <c r="D498" s="16" t="str">
        <f>IF(D495="","","Срок сдачи"&amp;": ")</f>
        <v/>
      </c>
      <c r="E498" s="64" t="str">
        <f>IFERROR(VLOOKUP(C$13&amp;$B498,Aux!$B:$M,6,0),"")</f>
        <v/>
      </c>
      <c r="F498" s="64"/>
      <c r="G498" s="63"/>
      <c r="K498" s="59"/>
      <c r="L498" s="16" t="str">
        <f>IF(L495="","","Срок сдачи"&amp;": ")</f>
        <v/>
      </c>
      <c r="M498" s="64" t="str">
        <f>IFERROR(VLOOKUP(K$13&amp;$B498,Aux!$B:$M,6,0),"")</f>
        <v/>
      </c>
      <c r="N498" s="64"/>
      <c r="O498" s="63"/>
      <c r="S498" s="59"/>
      <c r="T498" s="16" t="str">
        <f>IF(T495="","","Срок сдачи"&amp;": ")</f>
        <v/>
      </c>
      <c r="U498" s="64" t="str">
        <f>IFERROR(VLOOKUP(S$13&amp;$B498,Aux!$B:$M,6,0),"")</f>
        <v/>
      </c>
      <c r="V498" s="64"/>
      <c r="W498" s="63"/>
      <c r="AA498" s="59"/>
      <c r="AB498" s="16" t="str">
        <f>IF(AB495="","","Срок сдачи"&amp;": ")</f>
        <v/>
      </c>
      <c r="AC498" s="64" t="str">
        <f>IFERROR(VLOOKUP(AA$13&amp;$B498,Aux!$B:$M,6,0),"")</f>
        <v/>
      </c>
      <c r="AD498" s="64"/>
      <c r="AE498" s="63"/>
    </row>
    <row r="499" spans="2:31" x14ac:dyDescent="0.25">
      <c r="B499" s="53">
        <f t="shared" si="7"/>
        <v>97</v>
      </c>
      <c r="C499" s="7"/>
      <c r="D499" s="17"/>
      <c r="E499" s="7"/>
      <c r="F499" s="18"/>
      <c r="G499" s="18"/>
      <c r="K499" s="13"/>
      <c r="L499" s="17"/>
      <c r="M499" s="13"/>
      <c r="N499" s="14"/>
      <c r="O499" s="14"/>
      <c r="S499" s="13"/>
      <c r="T499" s="17"/>
      <c r="U499" s="13"/>
      <c r="V499" s="14"/>
      <c r="W499" s="14"/>
      <c r="AA499" s="13"/>
      <c r="AB499" s="17"/>
      <c r="AC499" s="13"/>
      <c r="AD499" s="14"/>
      <c r="AE499" s="30"/>
    </row>
    <row r="500" spans="2:31" x14ac:dyDescent="0.25">
      <c r="B500" s="53">
        <f t="shared" si="7"/>
        <v>98</v>
      </c>
      <c r="C500" s="59" t="str">
        <f>IFERROR(VLOOKUP(C$13&amp;$B504,Aux!$B:$M,5,0),"")</f>
        <v/>
      </c>
      <c r="D500" s="60" t="str">
        <f>IFERROR(VLOOKUP(C$13&amp;$B500,Aux!$B:$M,3,0),"")</f>
        <v/>
      </c>
      <c r="E500" s="60"/>
      <c r="F500" s="60"/>
      <c r="G500" s="61" t="str">
        <f>IFERROR(VLOOKUP(C$13&amp;$B500,Aux!$B:$M,9,0),"")</f>
        <v/>
      </c>
      <c r="K500" s="59" t="str">
        <f>IFERROR(VLOOKUP(K$13&amp;$B504,Aux!$B:$M,5,0),"")</f>
        <v/>
      </c>
      <c r="L500" s="60" t="str">
        <f>IFERROR(VLOOKUP(K$13&amp;$B500,Aux!$B:$M,3,0),"")</f>
        <v/>
      </c>
      <c r="M500" s="60"/>
      <c r="N500" s="60"/>
      <c r="O500" s="61" t="str">
        <f>IFERROR(VLOOKUP(K$13&amp;$B500,Aux!$B:$M,9,0),"")</f>
        <v/>
      </c>
      <c r="S500" s="59" t="str">
        <f>IFERROR(VLOOKUP(S$13&amp;$B504,Aux!$B:$M,5,0),"")</f>
        <v/>
      </c>
      <c r="T500" s="60" t="str">
        <f>IFERROR(VLOOKUP(S$13&amp;$B500,Aux!$B:$M,3,0),"")</f>
        <v/>
      </c>
      <c r="U500" s="60"/>
      <c r="V500" s="60"/>
      <c r="W500" s="61" t="str">
        <f>IFERROR(VLOOKUP(S$13&amp;$B500,Aux!$B:$M,9,0),"")</f>
        <v/>
      </c>
      <c r="AA500" s="59" t="str">
        <f>IFERROR(VLOOKUP(AA$13&amp;$B504,Aux!$B:$M,5,0),"")</f>
        <v/>
      </c>
      <c r="AB500" s="60" t="str">
        <f>IFERROR(VLOOKUP(AA$13&amp;$B500,Aux!$B:$M,3,0),"")</f>
        <v/>
      </c>
      <c r="AC500" s="60"/>
      <c r="AD500" s="60"/>
      <c r="AE500" s="61" t="str">
        <f>IFERROR(VLOOKUP(AA$13&amp;$B500,Aux!$B:$M,9,0),"")</f>
        <v/>
      </c>
    </row>
    <row r="501" spans="2:31" x14ac:dyDescent="0.25">
      <c r="B501" s="53">
        <f t="shared" si="7"/>
        <v>98</v>
      </c>
      <c r="C501" s="59"/>
      <c r="D501" s="60"/>
      <c r="E501" s="60"/>
      <c r="F501" s="60"/>
      <c r="G501" s="61"/>
      <c r="K501" s="59"/>
      <c r="L501" s="60"/>
      <c r="M501" s="60"/>
      <c r="N501" s="60"/>
      <c r="O501" s="61"/>
      <c r="S501" s="59"/>
      <c r="T501" s="60"/>
      <c r="U501" s="60"/>
      <c r="V501" s="60"/>
      <c r="W501" s="61"/>
      <c r="AA501" s="59"/>
      <c r="AB501" s="60"/>
      <c r="AC501" s="60"/>
      <c r="AD501" s="60"/>
      <c r="AE501" s="61"/>
    </row>
    <row r="502" spans="2:31" x14ac:dyDescent="0.25">
      <c r="B502" s="53">
        <f t="shared" si="7"/>
        <v>98</v>
      </c>
      <c r="C502" s="59"/>
      <c r="D502" s="15" t="str">
        <f>IF(D500="","","Исполнитель"&amp;": ")</f>
        <v/>
      </c>
      <c r="E502" s="62" t="str">
        <f>IFERROR(VLOOKUP(C$13&amp;$B502,Aux!$B:$M,4,0),"")</f>
        <v/>
      </c>
      <c r="F502" s="62"/>
      <c r="G502" s="63" t="str">
        <f>IFERROR(IF(VLOOKUP(C$13&amp;$B500,Aux!$B:$M,8,0)="Да","✔","🕓"),"")</f>
        <v/>
      </c>
      <c r="K502" s="59"/>
      <c r="L502" s="15" t="str">
        <f>IF(L500="","","Исполнитель"&amp;": ")</f>
        <v/>
      </c>
      <c r="M502" s="62" t="str">
        <f>IFERROR(VLOOKUP(K$13&amp;$B502,Aux!$B:$M,4,0),"")</f>
        <v/>
      </c>
      <c r="N502" s="62"/>
      <c r="O502" s="63" t="str">
        <f>IFERROR(IF(VLOOKUP(K$13&amp;$B500,Aux!$B:$M,8,0)="Да","✔","🕓"),"")</f>
        <v/>
      </c>
      <c r="S502" s="59"/>
      <c r="T502" s="15" t="str">
        <f>IF(T500="","","Исполнитель"&amp;": ")</f>
        <v/>
      </c>
      <c r="U502" s="62" t="str">
        <f>IFERROR(VLOOKUP(S$13&amp;$B502,Aux!$B:$M,4,0),"")</f>
        <v/>
      </c>
      <c r="V502" s="62"/>
      <c r="W502" s="63" t="str">
        <f>IFERROR(IF(VLOOKUP(S$13&amp;$B500,Aux!$B:$M,8,0)="Да","✔","🕓"),"")</f>
        <v/>
      </c>
      <c r="AA502" s="59"/>
      <c r="AB502" s="15" t="str">
        <f>IF(AB500="","","Исполнитель"&amp;": ")</f>
        <v/>
      </c>
      <c r="AC502" s="62" t="str">
        <f>IFERROR(VLOOKUP(AA$13&amp;$B502,Aux!$B:$M,4,0),"")</f>
        <v/>
      </c>
      <c r="AD502" s="62"/>
      <c r="AE502" s="63" t="str">
        <f>IFERROR(IF(VLOOKUP(AA$13&amp;$B500,Aux!$B:$M,8,0)="Да","✔","🕓"),"")</f>
        <v/>
      </c>
    </row>
    <row r="503" spans="2:31" x14ac:dyDescent="0.25">
      <c r="B503" s="53">
        <f t="shared" si="7"/>
        <v>98</v>
      </c>
      <c r="C503" s="59"/>
      <c r="D503" s="16" t="str">
        <f>IF(D500="","","Срок сдачи"&amp;": ")</f>
        <v/>
      </c>
      <c r="E503" s="64" t="str">
        <f>IFERROR(VLOOKUP(C$13&amp;$B503,Aux!$B:$M,6,0),"")</f>
        <v/>
      </c>
      <c r="F503" s="64"/>
      <c r="G503" s="63"/>
      <c r="K503" s="59"/>
      <c r="L503" s="16" t="str">
        <f>IF(L500="","","Срок сдачи"&amp;": ")</f>
        <v/>
      </c>
      <c r="M503" s="64" t="str">
        <f>IFERROR(VLOOKUP(K$13&amp;$B503,Aux!$B:$M,6,0),"")</f>
        <v/>
      </c>
      <c r="N503" s="64"/>
      <c r="O503" s="63"/>
      <c r="S503" s="59"/>
      <c r="T503" s="16" t="str">
        <f>IF(T500="","","Срок сдачи"&amp;": ")</f>
        <v/>
      </c>
      <c r="U503" s="64" t="str">
        <f>IFERROR(VLOOKUP(S$13&amp;$B503,Aux!$B:$M,6,0),"")</f>
        <v/>
      </c>
      <c r="V503" s="64"/>
      <c r="W503" s="63"/>
      <c r="AA503" s="59"/>
      <c r="AB503" s="16" t="str">
        <f>IF(AB500="","","Срок сдачи"&amp;": ")</f>
        <v/>
      </c>
      <c r="AC503" s="64" t="str">
        <f>IFERROR(VLOOKUP(AA$13&amp;$B503,Aux!$B:$M,6,0),"")</f>
        <v/>
      </c>
      <c r="AD503" s="64"/>
      <c r="AE503" s="63"/>
    </row>
    <row r="504" spans="2:31" x14ac:dyDescent="0.25">
      <c r="B504" s="53">
        <f t="shared" si="7"/>
        <v>98</v>
      </c>
      <c r="C504" s="7"/>
      <c r="D504" s="17"/>
      <c r="E504" s="7"/>
      <c r="F504" s="18"/>
      <c r="G504" s="18"/>
      <c r="K504" s="13"/>
      <c r="L504" s="17"/>
      <c r="M504" s="13"/>
      <c r="N504" s="14"/>
      <c r="O504" s="14"/>
      <c r="S504" s="13"/>
      <c r="T504" s="17"/>
      <c r="U504" s="13"/>
      <c r="V504" s="14"/>
      <c r="W504" s="14"/>
      <c r="AA504" s="13"/>
      <c r="AB504" s="17"/>
      <c r="AC504" s="13"/>
      <c r="AD504" s="14"/>
      <c r="AE504" s="30"/>
    </row>
    <row r="505" spans="2:31" x14ac:dyDescent="0.25">
      <c r="B505" s="53">
        <f t="shared" si="7"/>
        <v>99</v>
      </c>
      <c r="C505" s="59" t="str">
        <f>IFERROR(VLOOKUP(C$13&amp;$B509,Aux!$B:$M,5,0),"")</f>
        <v/>
      </c>
      <c r="D505" s="60" t="str">
        <f>IFERROR(VLOOKUP(C$13&amp;$B505,Aux!$B:$M,3,0),"")</f>
        <v/>
      </c>
      <c r="E505" s="60"/>
      <c r="F505" s="60"/>
      <c r="G505" s="61" t="str">
        <f>IFERROR(VLOOKUP(C$13&amp;$B505,Aux!$B:$M,9,0),"")</f>
        <v/>
      </c>
      <c r="K505" s="59" t="str">
        <f>IFERROR(VLOOKUP(K$13&amp;$B509,Aux!$B:$M,5,0),"")</f>
        <v/>
      </c>
      <c r="L505" s="60" t="str">
        <f>IFERROR(VLOOKUP(K$13&amp;$B505,Aux!$B:$M,3,0),"")</f>
        <v/>
      </c>
      <c r="M505" s="60"/>
      <c r="N505" s="60"/>
      <c r="O505" s="61" t="str">
        <f>IFERROR(VLOOKUP(K$13&amp;$B505,Aux!$B:$M,9,0),"")</f>
        <v/>
      </c>
      <c r="S505" s="59" t="str">
        <f>IFERROR(VLOOKUP(S$13&amp;$B509,Aux!$B:$M,5,0),"")</f>
        <v/>
      </c>
      <c r="T505" s="60" t="str">
        <f>IFERROR(VLOOKUP(S$13&amp;$B505,Aux!$B:$M,3,0),"")</f>
        <v/>
      </c>
      <c r="U505" s="60"/>
      <c r="V505" s="60"/>
      <c r="W505" s="61" t="str">
        <f>IFERROR(VLOOKUP(S$13&amp;$B505,Aux!$B:$M,9,0),"")</f>
        <v/>
      </c>
      <c r="AA505" s="59" t="str">
        <f>IFERROR(VLOOKUP(AA$13&amp;$B509,Aux!$B:$M,5,0),"")</f>
        <v/>
      </c>
      <c r="AB505" s="60" t="str">
        <f>IFERROR(VLOOKUP(AA$13&amp;$B505,Aux!$B:$M,3,0),"")</f>
        <v/>
      </c>
      <c r="AC505" s="60"/>
      <c r="AD505" s="60"/>
      <c r="AE505" s="61" t="str">
        <f>IFERROR(VLOOKUP(AA$13&amp;$B505,Aux!$B:$M,9,0),"")</f>
        <v/>
      </c>
    </row>
    <row r="506" spans="2:31" x14ac:dyDescent="0.25">
      <c r="B506" s="53">
        <f t="shared" si="7"/>
        <v>99</v>
      </c>
      <c r="C506" s="59"/>
      <c r="D506" s="60"/>
      <c r="E506" s="60"/>
      <c r="F506" s="60"/>
      <c r="G506" s="61"/>
      <c r="K506" s="59"/>
      <c r="L506" s="60"/>
      <c r="M506" s="60"/>
      <c r="N506" s="60"/>
      <c r="O506" s="61"/>
      <c r="S506" s="59"/>
      <c r="T506" s="60"/>
      <c r="U506" s="60"/>
      <c r="V506" s="60"/>
      <c r="W506" s="61"/>
      <c r="AA506" s="59"/>
      <c r="AB506" s="60"/>
      <c r="AC506" s="60"/>
      <c r="AD506" s="60"/>
      <c r="AE506" s="61"/>
    </row>
    <row r="507" spans="2:31" x14ac:dyDescent="0.25">
      <c r="B507" s="53">
        <f t="shared" si="7"/>
        <v>99</v>
      </c>
      <c r="C507" s="59"/>
      <c r="D507" s="15" t="str">
        <f>IF(D505="","","Исполнитель"&amp;": ")</f>
        <v/>
      </c>
      <c r="E507" s="62" t="str">
        <f>IFERROR(VLOOKUP(C$13&amp;$B507,Aux!$B:$M,4,0),"")</f>
        <v/>
      </c>
      <c r="F507" s="62"/>
      <c r="G507" s="63" t="str">
        <f>IFERROR(IF(VLOOKUP(C$13&amp;$B505,Aux!$B:$M,8,0)="Да","✔","🕓"),"")</f>
        <v/>
      </c>
      <c r="K507" s="59"/>
      <c r="L507" s="15" t="str">
        <f>IF(L505="","","Исполнитель"&amp;": ")</f>
        <v/>
      </c>
      <c r="M507" s="62" t="str">
        <f>IFERROR(VLOOKUP(K$13&amp;$B507,Aux!$B:$M,4,0),"")</f>
        <v/>
      </c>
      <c r="N507" s="62"/>
      <c r="O507" s="63" t="str">
        <f>IFERROR(IF(VLOOKUP(K$13&amp;$B505,Aux!$B:$M,8,0)="Да","✔","🕓"),"")</f>
        <v/>
      </c>
      <c r="S507" s="59"/>
      <c r="T507" s="15" t="str">
        <f>IF(T505="","","Исполнитель"&amp;": ")</f>
        <v/>
      </c>
      <c r="U507" s="62" t="str">
        <f>IFERROR(VLOOKUP(S$13&amp;$B507,Aux!$B:$M,4,0),"")</f>
        <v/>
      </c>
      <c r="V507" s="62"/>
      <c r="W507" s="63" t="str">
        <f>IFERROR(IF(VLOOKUP(S$13&amp;$B505,Aux!$B:$M,8,0)="Да","✔","🕓"),"")</f>
        <v/>
      </c>
      <c r="AA507" s="59"/>
      <c r="AB507" s="15" t="str">
        <f>IF(AB505="","","Исполнитель"&amp;": ")</f>
        <v/>
      </c>
      <c r="AC507" s="62" t="str">
        <f>IFERROR(VLOOKUP(AA$13&amp;$B507,Aux!$B:$M,4,0),"")</f>
        <v/>
      </c>
      <c r="AD507" s="62"/>
      <c r="AE507" s="63" t="str">
        <f>IFERROR(IF(VLOOKUP(AA$13&amp;$B505,Aux!$B:$M,8,0)="Да","✔","🕓"),"")</f>
        <v/>
      </c>
    </row>
    <row r="508" spans="2:31" x14ac:dyDescent="0.25">
      <c r="B508" s="53">
        <f t="shared" si="7"/>
        <v>99</v>
      </c>
      <c r="C508" s="59"/>
      <c r="D508" s="16" t="str">
        <f>IF(D505="","","Срок сдачи"&amp;": ")</f>
        <v/>
      </c>
      <c r="E508" s="64" t="str">
        <f>IFERROR(VLOOKUP(C$13&amp;$B508,Aux!$B:$M,6,0),"")</f>
        <v/>
      </c>
      <c r="F508" s="64"/>
      <c r="G508" s="63"/>
      <c r="K508" s="59"/>
      <c r="L508" s="16" t="str">
        <f>IF(L505="","","Срок сдачи"&amp;": ")</f>
        <v/>
      </c>
      <c r="M508" s="64" t="str">
        <f>IFERROR(VLOOKUP(K$13&amp;$B508,Aux!$B:$M,6,0),"")</f>
        <v/>
      </c>
      <c r="N508" s="64"/>
      <c r="O508" s="63"/>
      <c r="S508" s="59"/>
      <c r="T508" s="16" t="str">
        <f>IF(T505="","","Срок сдачи"&amp;": ")</f>
        <v/>
      </c>
      <c r="U508" s="64" t="str">
        <f>IFERROR(VLOOKUP(S$13&amp;$B508,Aux!$B:$M,6,0),"")</f>
        <v/>
      </c>
      <c r="V508" s="64"/>
      <c r="W508" s="63"/>
      <c r="AA508" s="59"/>
      <c r="AB508" s="16" t="str">
        <f>IF(AB505="","","Срок сдачи"&amp;": ")</f>
        <v/>
      </c>
      <c r="AC508" s="64" t="str">
        <f>IFERROR(VLOOKUP(AA$13&amp;$B508,Aux!$B:$M,6,0),"")</f>
        <v/>
      </c>
      <c r="AD508" s="64"/>
      <c r="AE508" s="63"/>
    </row>
    <row r="509" spans="2:31" x14ac:dyDescent="0.25">
      <c r="B509" s="53">
        <f t="shared" si="7"/>
        <v>99</v>
      </c>
      <c r="C509" s="7"/>
      <c r="D509" s="17"/>
      <c r="E509" s="7"/>
      <c r="F509" s="18"/>
      <c r="G509" s="18"/>
      <c r="K509" s="13"/>
      <c r="L509" s="17"/>
      <c r="M509" s="13"/>
      <c r="N509" s="14"/>
      <c r="O509" s="14"/>
      <c r="S509" s="13"/>
      <c r="T509" s="17"/>
      <c r="U509" s="13"/>
      <c r="V509" s="14"/>
      <c r="W509" s="14"/>
      <c r="AA509" s="13"/>
      <c r="AB509" s="17"/>
      <c r="AC509" s="13"/>
      <c r="AD509" s="14"/>
      <c r="AE509" s="30"/>
    </row>
    <row r="510" spans="2:31" x14ac:dyDescent="0.25">
      <c r="B510" s="53">
        <f t="shared" si="7"/>
        <v>100</v>
      </c>
      <c r="C510" s="59" t="str">
        <f>IFERROR(VLOOKUP(C$13&amp;$B514,Aux!$B:$M,5,0),"")</f>
        <v/>
      </c>
      <c r="D510" s="60" t="str">
        <f>IFERROR(VLOOKUP(C$13&amp;$B510,Aux!$B:$M,3,0),"")</f>
        <v/>
      </c>
      <c r="E510" s="60"/>
      <c r="F510" s="60"/>
      <c r="G510" s="61" t="str">
        <f>IFERROR(VLOOKUP(C$13&amp;$B510,Aux!$B:$M,9,0),"")</f>
        <v/>
      </c>
      <c r="K510" s="59" t="str">
        <f>IFERROR(VLOOKUP(K$13&amp;$B514,Aux!$B:$M,5,0),"")</f>
        <v/>
      </c>
      <c r="L510" s="60" t="str">
        <f>IFERROR(VLOOKUP(K$13&amp;$B510,Aux!$B:$M,3,0),"")</f>
        <v/>
      </c>
      <c r="M510" s="60"/>
      <c r="N510" s="60"/>
      <c r="O510" s="61" t="str">
        <f>IFERROR(VLOOKUP(K$13&amp;$B510,Aux!$B:$M,9,0),"")</f>
        <v/>
      </c>
      <c r="S510" s="59" t="str">
        <f>IFERROR(VLOOKUP(S$13&amp;$B514,Aux!$B:$M,5,0),"")</f>
        <v/>
      </c>
      <c r="T510" s="60" t="str">
        <f>IFERROR(VLOOKUP(S$13&amp;$B510,Aux!$B:$M,3,0),"")</f>
        <v/>
      </c>
      <c r="U510" s="60"/>
      <c r="V510" s="60"/>
      <c r="W510" s="61" t="str">
        <f>IFERROR(VLOOKUP(S$13&amp;$B510,Aux!$B:$M,9,0),"")</f>
        <v/>
      </c>
      <c r="AA510" s="59" t="str">
        <f>IFERROR(VLOOKUP(AA$13&amp;$B514,Aux!$B:$M,5,0),"")</f>
        <v/>
      </c>
      <c r="AB510" s="60" t="str">
        <f>IFERROR(VLOOKUP(AA$13&amp;$B510,Aux!$B:$M,3,0),"")</f>
        <v/>
      </c>
      <c r="AC510" s="60"/>
      <c r="AD510" s="60"/>
      <c r="AE510" s="61" t="str">
        <f>IFERROR(VLOOKUP(AA$13&amp;$B510,Aux!$B:$M,9,0),"")</f>
        <v/>
      </c>
    </row>
    <row r="511" spans="2:31" x14ac:dyDescent="0.25">
      <c r="B511" s="53">
        <f t="shared" si="7"/>
        <v>100</v>
      </c>
      <c r="C511" s="59"/>
      <c r="D511" s="60"/>
      <c r="E511" s="60"/>
      <c r="F511" s="60"/>
      <c r="G511" s="61"/>
      <c r="K511" s="59"/>
      <c r="L511" s="60"/>
      <c r="M511" s="60"/>
      <c r="N511" s="60"/>
      <c r="O511" s="61"/>
      <c r="S511" s="59"/>
      <c r="T511" s="60"/>
      <c r="U511" s="60"/>
      <c r="V511" s="60"/>
      <c r="W511" s="61"/>
      <c r="AA511" s="59"/>
      <c r="AB511" s="60"/>
      <c r="AC511" s="60"/>
      <c r="AD511" s="60"/>
      <c r="AE511" s="61"/>
    </row>
    <row r="512" spans="2:31" x14ac:dyDescent="0.25">
      <c r="B512" s="53">
        <f t="shared" si="7"/>
        <v>100</v>
      </c>
      <c r="C512" s="59"/>
      <c r="D512" s="15" t="str">
        <f>IF(D510="","","Исполнитель"&amp;": ")</f>
        <v/>
      </c>
      <c r="E512" s="62" t="str">
        <f>IFERROR(VLOOKUP(C$13&amp;$B512,Aux!$B:$M,4,0),"")</f>
        <v/>
      </c>
      <c r="F512" s="62"/>
      <c r="G512" s="63" t="str">
        <f>IFERROR(IF(VLOOKUP(C$13&amp;$B510,Aux!$B:$M,8,0)="Да","✔","🕓"),"")</f>
        <v/>
      </c>
      <c r="K512" s="59"/>
      <c r="L512" s="15" t="str">
        <f>IF(L510="","","Исполнитель"&amp;": ")</f>
        <v/>
      </c>
      <c r="M512" s="62" t="str">
        <f>IFERROR(VLOOKUP(K$13&amp;$B512,Aux!$B:$M,4,0),"")</f>
        <v/>
      </c>
      <c r="N512" s="62"/>
      <c r="O512" s="63" t="str">
        <f>IFERROR(IF(VLOOKUP(K$13&amp;$B510,Aux!$B:$M,8,0)="Да","✔","🕓"),"")</f>
        <v/>
      </c>
      <c r="S512" s="59"/>
      <c r="T512" s="15" t="str">
        <f>IF(T510="","","Исполнитель"&amp;": ")</f>
        <v/>
      </c>
      <c r="U512" s="62" t="str">
        <f>IFERROR(VLOOKUP(S$13&amp;$B512,Aux!$B:$M,4,0),"")</f>
        <v/>
      </c>
      <c r="V512" s="62"/>
      <c r="W512" s="63" t="str">
        <f>IFERROR(IF(VLOOKUP(S$13&amp;$B510,Aux!$B:$M,8,0)="Да","✔","🕓"),"")</f>
        <v/>
      </c>
      <c r="AA512" s="59"/>
      <c r="AB512" s="15" t="str">
        <f>IF(AB510="","","Исполнитель"&amp;": ")</f>
        <v/>
      </c>
      <c r="AC512" s="62" t="str">
        <f>IFERROR(VLOOKUP(AA$13&amp;$B512,Aux!$B:$M,4,0),"")</f>
        <v/>
      </c>
      <c r="AD512" s="62"/>
      <c r="AE512" s="63" t="str">
        <f>IFERROR(IF(VLOOKUP(AA$13&amp;$B510,Aux!$B:$M,8,0)="Да","✔","🕓"),"")</f>
        <v/>
      </c>
    </row>
    <row r="513" spans="2:31" x14ac:dyDescent="0.25">
      <c r="B513" s="53">
        <f t="shared" si="7"/>
        <v>100</v>
      </c>
      <c r="C513" s="59"/>
      <c r="D513" s="16" t="str">
        <f>IF(D510="","","Срок сдачи"&amp;": ")</f>
        <v/>
      </c>
      <c r="E513" s="64" t="str">
        <f>IFERROR(VLOOKUP(C$13&amp;$B513,Aux!$B:$M,6,0),"")</f>
        <v/>
      </c>
      <c r="F513" s="64"/>
      <c r="G513" s="63"/>
      <c r="K513" s="59"/>
      <c r="L513" s="16" t="str">
        <f>IF(L510="","","Срок сдачи"&amp;": ")</f>
        <v/>
      </c>
      <c r="M513" s="64" t="str">
        <f>IFERROR(VLOOKUP(K$13&amp;$B513,Aux!$B:$M,6,0),"")</f>
        <v/>
      </c>
      <c r="N513" s="64"/>
      <c r="O513" s="63"/>
      <c r="S513" s="59"/>
      <c r="T513" s="16" t="str">
        <f>IF(T510="","","Срок сдачи"&amp;": ")</f>
        <v/>
      </c>
      <c r="U513" s="64" t="str">
        <f>IFERROR(VLOOKUP(S$13&amp;$B513,Aux!$B:$M,6,0),"")</f>
        <v/>
      </c>
      <c r="V513" s="64"/>
      <c r="W513" s="63"/>
      <c r="AA513" s="59"/>
      <c r="AB513" s="16" t="str">
        <f>IF(AB510="","","Срок сдачи"&amp;": ")</f>
        <v/>
      </c>
      <c r="AC513" s="64" t="str">
        <f>IFERROR(VLOOKUP(AA$13&amp;$B513,Aux!$B:$M,6,0),"")</f>
        <v/>
      </c>
      <c r="AD513" s="64"/>
      <c r="AE513" s="63"/>
    </row>
    <row r="514" spans="2:31" x14ac:dyDescent="0.25">
      <c r="B514" s="53">
        <f t="shared" si="7"/>
        <v>100</v>
      </c>
      <c r="C514" s="7"/>
      <c r="D514" s="17"/>
      <c r="E514" s="7"/>
      <c r="F514" s="18"/>
      <c r="G514" s="18"/>
      <c r="K514" s="13"/>
      <c r="L514" s="17"/>
      <c r="M514" s="13"/>
      <c r="N514" s="14"/>
      <c r="O514" s="14"/>
      <c r="S514" s="13"/>
      <c r="T514" s="17"/>
      <c r="U514" s="13"/>
      <c r="V514" s="14"/>
      <c r="W514" s="14"/>
      <c r="AA514" s="13"/>
      <c r="AB514" s="17"/>
      <c r="AC514" s="13"/>
      <c r="AD514" s="14"/>
      <c r="AE514" s="30"/>
    </row>
    <row r="515" spans="2:31" x14ac:dyDescent="0.25">
      <c r="B515" s="53">
        <f t="shared" si="7"/>
        <v>101</v>
      </c>
      <c r="C515" s="59" t="str">
        <f>IFERROR(VLOOKUP(C$13&amp;$B519,Aux!$B:$M,5,0),"")</f>
        <v/>
      </c>
      <c r="D515" s="60" t="str">
        <f>IFERROR(VLOOKUP(C$13&amp;$B515,Aux!$B:$M,3,0),"")</f>
        <v/>
      </c>
      <c r="E515" s="60"/>
      <c r="F515" s="60"/>
      <c r="G515" s="61" t="str">
        <f>IFERROR(VLOOKUP(C$13&amp;$B515,Aux!$B:$M,9,0),"")</f>
        <v/>
      </c>
      <c r="K515" s="59" t="str">
        <f>IFERROR(VLOOKUP(K$13&amp;$B519,Aux!$B:$M,5,0),"")</f>
        <v/>
      </c>
      <c r="L515" s="60" t="str">
        <f>IFERROR(VLOOKUP(K$13&amp;$B515,Aux!$B:$M,3,0),"")</f>
        <v/>
      </c>
      <c r="M515" s="60"/>
      <c r="N515" s="60"/>
      <c r="O515" s="61" t="str">
        <f>IFERROR(VLOOKUP(K$13&amp;$B515,Aux!$B:$M,9,0),"")</f>
        <v/>
      </c>
      <c r="S515" s="59" t="str">
        <f>IFERROR(VLOOKUP(S$13&amp;$B519,Aux!$B:$M,5,0),"")</f>
        <v/>
      </c>
      <c r="T515" s="60" t="str">
        <f>IFERROR(VLOOKUP(S$13&amp;$B515,Aux!$B:$M,3,0),"")</f>
        <v/>
      </c>
      <c r="U515" s="60"/>
      <c r="V515" s="60"/>
      <c r="W515" s="61" t="str">
        <f>IFERROR(VLOOKUP(S$13&amp;$B515,Aux!$B:$M,9,0),"")</f>
        <v/>
      </c>
      <c r="AA515" s="59" t="str">
        <f>IFERROR(VLOOKUP(AA$13&amp;$B519,Aux!$B:$M,5,0),"")</f>
        <v/>
      </c>
      <c r="AB515" s="60" t="str">
        <f>IFERROR(VLOOKUP(AA$13&amp;$B515,Aux!$B:$M,3,0),"")</f>
        <v/>
      </c>
      <c r="AC515" s="60"/>
      <c r="AD515" s="60"/>
      <c r="AE515" s="61" t="str">
        <f>IFERROR(VLOOKUP(AA$13&amp;$B515,Aux!$B:$M,9,0),"")</f>
        <v/>
      </c>
    </row>
    <row r="516" spans="2:31" x14ac:dyDescent="0.25">
      <c r="B516" s="53">
        <f t="shared" si="7"/>
        <v>101</v>
      </c>
      <c r="C516" s="59"/>
      <c r="D516" s="60"/>
      <c r="E516" s="60"/>
      <c r="F516" s="60"/>
      <c r="G516" s="61"/>
      <c r="K516" s="59"/>
      <c r="L516" s="60"/>
      <c r="M516" s="60"/>
      <c r="N516" s="60"/>
      <c r="O516" s="61"/>
      <c r="S516" s="59"/>
      <c r="T516" s="60"/>
      <c r="U516" s="60"/>
      <c r="V516" s="60"/>
      <c r="W516" s="61"/>
      <c r="AA516" s="59"/>
      <c r="AB516" s="60"/>
      <c r="AC516" s="60"/>
      <c r="AD516" s="60"/>
      <c r="AE516" s="61"/>
    </row>
    <row r="517" spans="2:31" x14ac:dyDescent="0.25">
      <c r="B517" s="53">
        <f t="shared" si="7"/>
        <v>101</v>
      </c>
      <c r="C517" s="59"/>
      <c r="D517" s="15" t="str">
        <f>IF(D515="","","Исполнитель"&amp;": ")</f>
        <v/>
      </c>
      <c r="E517" s="62" t="str">
        <f>IFERROR(VLOOKUP(C$13&amp;$B517,Aux!$B:$M,4,0),"")</f>
        <v/>
      </c>
      <c r="F517" s="62"/>
      <c r="G517" s="63" t="str">
        <f>IFERROR(IF(VLOOKUP(C$13&amp;$B515,Aux!$B:$M,8,0)="Да","✔","🕓"),"")</f>
        <v/>
      </c>
      <c r="K517" s="59"/>
      <c r="L517" s="15" t="str">
        <f>IF(L515="","","Исполнитель"&amp;": ")</f>
        <v/>
      </c>
      <c r="M517" s="62" t="str">
        <f>IFERROR(VLOOKUP(K$13&amp;$B517,Aux!$B:$M,4,0),"")</f>
        <v/>
      </c>
      <c r="N517" s="62"/>
      <c r="O517" s="63" t="str">
        <f>IFERROR(IF(VLOOKUP(K$13&amp;$B515,Aux!$B:$M,8,0)="Да","✔","🕓"),"")</f>
        <v/>
      </c>
      <c r="S517" s="59"/>
      <c r="T517" s="15" t="str">
        <f>IF(T515="","","Исполнитель"&amp;": ")</f>
        <v/>
      </c>
      <c r="U517" s="62" t="str">
        <f>IFERROR(VLOOKUP(S$13&amp;$B517,Aux!$B:$M,4,0),"")</f>
        <v/>
      </c>
      <c r="V517" s="62"/>
      <c r="W517" s="63" t="str">
        <f>IFERROR(IF(VLOOKUP(S$13&amp;$B515,Aux!$B:$M,8,0)="Да","✔","🕓"),"")</f>
        <v/>
      </c>
      <c r="AA517" s="59"/>
      <c r="AB517" s="15" t="str">
        <f>IF(AB515="","","Исполнитель"&amp;": ")</f>
        <v/>
      </c>
      <c r="AC517" s="62" t="str">
        <f>IFERROR(VLOOKUP(AA$13&amp;$B517,Aux!$B:$M,4,0),"")</f>
        <v/>
      </c>
      <c r="AD517" s="62"/>
      <c r="AE517" s="63" t="str">
        <f>IFERROR(IF(VLOOKUP(AA$13&amp;$B515,Aux!$B:$M,8,0)="Да","✔","🕓"),"")</f>
        <v/>
      </c>
    </row>
    <row r="518" spans="2:31" x14ac:dyDescent="0.25">
      <c r="B518" s="53">
        <f t="shared" si="7"/>
        <v>101</v>
      </c>
      <c r="C518" s="59"/>
      <c r="D518" s="16" t="str">
        <f>IF(D515="","","Срок сдачи"&amp;": ")</f>
        <v/>
      </c>
      <c r="E518" s="64" t="str">
        <f>IFERROR(VLOOKUP(C$13&amp;$B518,Aux!$B:$M,6,0),"")</f>
        <v/>
      </c>
      <c r="F518" s="64"/>
      <c r="G518" s="63"/>
      <c r="K518" s="59"/>
      <c r="L518" s="16" t="str">
        <f>IF(L515="","","Срок сдачи"&amp;": ")</f>
        <v/>
      </c>
      <c r="M518" s="64" t="str">
        <f>IFERROR(VLOOKUP(K$13&amp;$B518,Aux!$B:$M,6,0),"")</f>
        <v/>
      </c>
      <c r="N518" s="64"/>
      <c r="O518" s="63"/>
      <c r="S518" s="59"/>
      <c r="T518" s="16" t="str">
        <f>IF(T515="","","Срок сдачи"&amp;": ")</f>
        <v/>
      </c>
      <c r="U518" s="64" t="str">
        <f>IFERROR(VLOOKUP(S$13&amp;$B518,Aux!$B:$M,6,0),"")</f>
        <v/>
      </c>
      <c r="V518" s="64"/>
      <c r="W518" s="63"/>
      <c r="AA518" s="59"/>
      <c r="AB518" s="16" t="str">
        <f>IF(AB515="","","Срок сдачи"&amp;": ")</f>
        <v/>
      </c>
      <c r="AC518" s="64" t="str">
        <f>IFERROR(VLOOKUP(AA$13&amp;$B518,Aux!$B:$M,6,0),"")</f>
        <v/>
      </c>
      <c r="AD518" s="64"/>
      <c r="AE518" s="63"/>
    </row>
    <row r="519" spans="2:31" x14ac:dyDescent="0.25">
      <c r="B519" s="53">
        <f t="shared" si="7"/>
        <v>101</v>
      </c>
      <c r="C519" s="7"/>
      <c r="D519" s="17"/>
      <c r="E519" s="7"/>
      <c r="F519" s="18"/>
      <c r="G519" s="18"/>
      <c r="K519" s="13"/>
      <c r="L519" s="17"/>
      <c r="M519" s="13"/>
      <c r="N519" s="14"/>
      <c r="O519" s="14"/>
      <c r="S519" s="13"/>
      <c r="T519" s="17"/>
      <c r="U519" s="13"/>
      <c r="V519" s="14"/>
      <c r="W519" s="14"/>
      <c r="AA519" s="13"/>
      <c r="AB519" s="17"/>
      <c r="AC519" s="13"/>
      <c r="AD519" s="14"/>
      <c r="AE519" s="30"/>
    </row>
    <row r="520" spans="2:31" x14ac:dyDescent="0.25">
      <c r="B520" s="53">
        <f t="shared" si="7"/>
        <v>102</v>
      </c>
      <c r="C520" s="59" t="str">
        <f>IFERROR(VLOOKUP(C$13&amp;$B524,Aux!$B:$M,5,0),"")</f>
        <v/>
      </c>
      <c r="D520" s="60" t="str">
        <f>IFERROR(VLOOKUP(C$13&amp;$B520,Aux!$B:$M,3,0),"")</f>
        <v/>
      </c>
      <c r="E520" s="60"/>
      <c r="F520" s="60"/>
      <c r="G520" s="61" t="str">
        <f>IFERROR(VLOOKUP(C$13&amp;$B520,Aux!$B:$M,9,0),"")</f>
        <v/>
      </c>
      <c r="K520" s="59" t="str">
        <f>IFERROR(VLOOKUP(K$13&amp;$B524,Aux!$B:$M,5,0),"")</f>
        <v/>
      </c>
      <c r="L520" s="60" t="str">
        <f>IFERROR(VLOOKUP(K$13&amp;$B520,Aux!$B:$M,3,0),"")</f>
        <v/>
      </c>
      <c r="M520" s="60"/>
      <c r="N520" s="60"/>
      <c r="O520" s="61" t="str">
        <f>IFERROR(VLOOKUP(K$13&amp;$B520,Aux!$B:$M,9,0),"")</f>
        <v/>
      </c>
      <c r="S520" s="59" t="str">
        <f>IFERROR(VLOOKUP(S$13&amp;$B524,Aux!$B:$M,5,0),"")</f>
        <v/>
      </c>
      <c r="T520" s="60" t="str">
        <f>IFERROR(VLOOKUP(S$13&amp;$B520,Aux!$B:$M,3,0),"")</f>
        <v/>
      </c>
      <c r="U520" s="60"/>
      <c r="V520" s="60"/>
      <c r="W520" s="61" t="str">
        <f>IFERROR(VLOOKUP(S$13&amp;$B520,Aux!$B:$M,9,0),"")</f>
        <v/>
      </c>
      <c r="AA520" s="59" t="str">
        <f>IFERROR(VLOOKUP(AA$13&amp;$B524,Aux!$B:$M,5,0),"")</f>
        <v/>
      </c>
      <c r="AB520" s="60" t="str">
        <f>IFERROR(VLOOKUP(AA$13&amp;$B520,Aux!$B:$M,3,0),"")</f>
        <v/>
      </c>
      <c r="AC520" s="60"/>
      <c r="AD520" s="60"/>
      <c r="AE520" s="61" t="str">
        <f>IFERROR(VLOOKUP(AA$13&amp;$B520,Aux!$B:$M,9,0),"")</f>
        <v/>
      </c>
    </row>
    <row r="521" spans="2:31" x14ac:dyDescent="0.25">
      <c r="B521" s="53">
        <f t="shared" si="7"/>
        <v>102</v>
      </c>
      <c r="C521" s="59"/>
      <c r="D521" s="60"/>
      <c r="E521" s="60"/>
      <c r="F521" s="60"/>
      <c r="G521" s="61"/>
      <c r="K521" s="59"/>
      <c r="L521" s="60"/>
      <c r="M521" s="60"/>
      <c r="N521" s="60"/>
      <c r="O521" s="61"/>
      <c r="S521" s="59"/>
      <c r="T521" s="60"/>
      <c r="U521" s="60"/>
      <c r="V521" s="60"/>
      <c r="W521" s="61"/>
      <c r="AA521" s="59"/>
      <c r="AB521" s="60"/>
      <c r="AC521" s="60"/>
      <c r="AD521" s="60"/>
      <c r="AE521" s="61"/>
    </row>
    <row r="522" spans="2:31" x14ac:dyDescent="0.25">
      <c r="B522" s="53">
        <f t="shared" si="7"/>
        <v>102</v>
      </c>
      <c r="C522" s="59"/>
      <c r="D522" s="15" t="str">
        <f>IF(D520="","","Исполнитель"&amp;": ")</f>
        <v/>
      </c>
      <c r="E522" s="62" t="str">
        <f>IFERROR(VLOOKUP(C$13&amp;$B522,Aux!$B:$M,4,0),"")</f>
        <v/>
      </c>
      <c r="F522" s="62"/>
      <c r="G522" s="63" t="str">
        <f>IFERROR(IF(VLOOKUP(C$13&amp;$B520,Aux!$B:$M,8,0)="Да","✔","🕓"),"")</f>
        <v/>
      </c>
      <c r="K522" s="59"/>
      <c r="L522" s="15" t="str">
        <f>IF(L520="","","Исполнитель"&amp;": ")</f>
        <v/>
      </c>
      <c r="M522" s="62" t="str">
        <f>IFERROR(VLOOKUP(K$13&amp;$B522,Aux!$B:$M,4,0),"")</f>
        <v/>
      </c>
      <c r="N522" s="62"/>
      <c r="O522" s="63" t="str">
        <f>IFERROR(IF(VLOOKUP(K$13&amp;$B520,Aux!$B:$M,8,0)="Да","✔","🕓"),"")</f>
        <v/>
      </c>
      <c r="S522" s="59"/>
      <c r="T522" s="15" t="str">
        <f>IF(T520="","","Исполнитель"&amp;": ")</f>
        <v/>
      </c>
      <c r="U522" s="62" t="str">
        <f>IFERROR(VLOOKUP(S$13&amp;$B522,Aux!$B:$M,4,0),"")</f>
        <v/>
      </c>
      <c r="V522" s="62"/>
      <c r="W522" s="63" t="str">
        <f>IFERROR(IF(VLOOKUP(S$13&amp;$B520,Aux!$B:$M,8,0)="Да","✔","🕓"),"")</f>
        <v/>
      </c>
      <c r="AA522" s="59"/>
      <c r="AB522" s="15" t="str">
        <f>IF(AB520="","","Исполнитель"&amp;": ")</f>
        <v/>
      </c>
      <c r="AC522" s="62" t="str">
        <f>IFERROR(VLOOKUP(AA$13&amp;$B522,Aux!$B:$M,4,0),"")</f>
        <v/>
      </c>
      <c r="AD522" s="62"/>
      <c r="AE522" s="63" t="str">
        <f>IFERROR(IF(VLOOKUP(AA$13&amp;$B520,Aux!$B:$M,8,0)="Да","✔","🕓"),"")</f>
        <v/>
      </c>
    </row>
    <row r="523" spans="2:31" x14ac:dyDescent="0.25">
      <c r="B523" s="53">
        <f t="shared" si="7"/>
        <v>102</v>
      </c>
      <c r="C523" s="59"/>
      <c r="D523" s="16" t="str">
        <f>IF(D520="","","Срок сдачи"&amp;": ")</f>
        <v/>
      </c>
      <c r="E523" s="64" t="str">
        <f>IFERROR(VLOOKUP(C$13&amp;$B523,Aux!$B:$M,6,0),"")</f>
        <v/>
      </c>
      <c r="F523" s="64"/>
      <c r="G523" s="63"/>
      <c r="K523" s="59"/>
      <c r="L523" s="16" t="str">
        <f>IF(L520="","","Срок сдачи"&amp;": ")</f>
        <v/>
      </c>
      <c r="M523" s="64" t="str">
        <f>IFERROR(VLOOKUP(K$13&amp;$B523,Aux!$B:$M,6,0),"")</f>
        <v/>
      </c>
      <c r="N523" s="64"/>
      <c r="O523" s="63"/>
      <c r="S523" s="59"/>
      <c r="T523" s="16" t="str">
        <f>IF(T520="","","Срок сдачи"&amp;": ")</f>
        <v/>
      </c>
      <c r="U523" s="64" t="str">
        <f>IFERROR(VLOOKUP(S$13&amp;$B523,Aux!$B:$M,6,0),"")</f>
        <v/>
      </c>
      <c r="V523" s="64"/>
      <c r="W523" s="63"/>
      <c r="AA523" s="59"/>
      <c r="AB523" s="16" t="str">
        <f>IF(AB520="","","Срок сдачи"&amp;": ")</f>
        <v/>
      </c>
      <c r="AC523" s="64" t="str">
        <f>IFERROR(VLOOKUP(AA$13&amp;$B523,Aux!$B:$M,6,0),"")</f>
        <v/>
      </c>
      <c r="AD523" s="64"/>
      <c r="AE523" s="63"/>
    </row>
    <row r="524" spans="2:31" x14ac:dyDescent="0.25">
      <c r="B524" s="53">
        <f t="shared" si="7"/>
        <v>102</v>
      </c>
      <c r="C524" s="7"/>
      <c r="D524" s="17"/>
      <c r="E524" s="7"/>
      <c r="F524" s="18"/>
      <c r="G524" s="18"/>
      <c r="K524" s="13"/>
      <c r="L524" s="17"/>
      <c r="M524" s="13"/>
      <c r="N524" s="14"/>
      <c r="O524" s="14"/>
      <c r="S524" s="13"/>
      <c r="T524" s="17"/>
      <c r="U524" s="13"/>
      <c r="V524" s="14"/>
      <c r="W524" s="14"/>
      <c r="AA524" s="13"/>
      <c r="AB524" s="17"/>
      <c r="AC524" s="13"/>
      <c r="AD524" s="14"/>
      <c r="AE524" s="30"/>
    </row>
    <row r="525" spans="2:31" x14ac:dyDescent="0.25">
      <c r="B525" s="53">
        <f t="shared" si="7"/>
        <v>103</v>
      </c>
      <c r="C525" s="59" t="str">
        <f>IFERROR(VLOOKUP(C$13&amp;$B529,Aux!$B:$M,5,0),"")</f>
        <v/>
      </c>
      <c r="D525" s="60" t="str">
        <f>IFERROR(VLOOKUP(C$13&amp;$B525,Aux!$B:$M,3,0),"")</f>
        <v/>
      </c>
      <c r="E525" s="60"/>
      <c r="F525" s="60"/>
      <c r="G525" s="61" t="str">
        <f>IFERROR(VLOOKUP(C$13&amp;$B525,Aux!$B:$M,9,0),"")</f>
        <v/>
      </c>
      <c r="K525" s="59" t="str">
        <f>IFERROR(VLOOKUP(K$13&amp;$B529,Aux!$B:$M,5,0),"")</f>
        <v/>
      </c>
      <c r="L525" s="60" t="str">
        <f>IFERROR(VLOOKUP(K$13&amp;$B525,Aux!$B:$M,3,0),"")</f>
        <v/>
      </c>
      <c r="M525" s="60"/>
      <c r="N525" s="60"/>
      <c r="O525" s="61" t="str">
        <f>IFERROR(VLOOKUP(K$13&amp;$B525,Aux!$B:$M,9,0),"")</f>
        <v/>
      </c>
      <c r="S525" s="59" t="str">
        <f>IFERROR(VLOOKUP(S$13&amp;$B529,Aux!$B:$M,5,0),"")</f>
        <v/>
      </c>
      <c r="T525" s="60" t="str">
        <f>IFERROR(VLOOKUP(S$13&amp;$B525,Aux!$B:$M,3,0),"")</f>
        <v/>
      </c>
      <c r="U525" s="60"/>
      <c r="V525" s="60"/>
      <c r="W525" s="61" t="str">
        <f>IFERROR(VLOOKUP(S$13&amp;$B525,Aux!$B:$M,9,0),"")</f>
        <v/>
      </c>
      <c r="AA525" s="59" t="str">
        <f>IFERROR(VLOOKUP(AA$13&amp;$B529,Aux!$B:$M,5,0),"")</f>
        <v/>
      </c>
      <c r="AB525" s="60" t="str">
        <f>IFERROR(VLOOKUP(AA$13&amp;$B525,Aux!$B:$M,3,0),"")</f>
        <v/>
      </c>
      <c r="AC525" s="60"/>
      <c r="AD525" s="60"/>
      <c r="AE525" s="61" t="str">
        <f>IFERROR(VLOOKUP(AA$13&amp;$B525,Aux!$B:$M,9,0),"")</f>
        <v/>
      </c>
    </row>
    <row r="526" spans="2:31" x14ac:dyDescent="0.25">
      <c r="B526" s="53">
        <f t="shared" si="7"/>
        <v>103</v>
      </c>
      <c r="C526" s="59"/>
      <c r="D526" s="60"/>
      <c r="E526" s="60"/>
      <c r="F526" s="60"/>
      <c r="G526" s="61"/>
      <c r="K526" s="59"/>
      <c r="L526" s="60"/>
      <c r="M526" s="60"/>
      <c r="N526" s="60"/>
      <c r="O526" s="61"/>
      <c r="S526" s="59"/>
      <c r="T526" s="60"/>
      <c r="U526" s="60"/>
      <c r="V526" s="60"/>
      <c r="W526" s="61"/>
      <c r="AA526" s="59"/>
      <c r="AB526" s="60"/>
      <c r="AC526" s="60"/>
      <c r="AD526" s="60"/>
      <c r="AE526" s="61"/>
    </row>
    <row r="527" spans="2:31" x14ac:dyDescent="0.25">
      <c r="B527" s="53">
        <f t="shared" si="7"/>
        <v>103</v>
      </c>
      <c r="C527" s="59"/>
      <c r="D527" s="15" t="str">
        <f>IF(D525="","","Исполнитель"&amp;": ")</f>
        <v/>
      </c>
      <c r="E527" s="62" t="str">
        <f>IFERROR(VLOOKUP(C$13&amp;$B527,Aux!$B:$M,4,0),"")</f>
        <v/>
      </c>
      <c r="F527" s="62"/>
      <c r="G527" s="63" t="str">
        <f>IFERROR(IF(VLOOKUP(C$13&amp;$B525,Aux!$B:$M,8,0)="Да","✔","🕓"),"")</f>
        <v/>
      </c>
      <c r="K527" s="59"/>
      <c r="L527" s="15" t="str">
        <f>IF(L525="","","Исполнитель"&amp;": ")</f>
        <v/>
      </c>
      <c r="M527" s="62" t="str">
        <f>IFERROR(VLOOKUP(K$13&amp;$B527,Aux!$B:$M,4,0),"")</f>
        <v/>
      </c>
      <c r="N527" s="62"/>
      <c r="O527" s="63" t="str">
        <f>IFERROR(IF(VLOOKUP(K$13&amp;$B525,Aux!$B:$M,8,0)="Да","✔","🕓"),"")</f>
        <v/>
      </c>
      <c r="S527" s="59"/>
      <c r="T527" s="15" t="str">
        <f>IF(T525="","","Исполнитель"&amp;": ")</f>
        <v/>
      </c>
      <c r="U527" s="62" t="str">
        <f>IFERROR(VLOOKUP(S$13&amp;$B527,Aux!$B:$M,4,0),"")</f>
        <v/>
      </c>
      <c r="V527" s="62"/>
      <c r="W527" s="63" t="str">
        <f>IFERROR(IF(VLOOKUP(S$13&amp;$B525,Aux!$B:$M,8,0)="Да","✔","🕓"),"")</f>
        <v/>
      </c>
      <c r="AA527" s="59"/>
      <c r="AB527" s="15" t="str">
        <f>IF(AB525="","","Исполнитель"&amp;": ")</f>
        <v/>
      </c>
      <c r="AC527" s="62" t="str">
        <f>IFERROR(VLOOKUP(AA$13&amp;$B527,Aux!$B:$M,4,0),"")</f>
        <v/>
      </c>
      <c r="AD527" s="62"/>
      <c r="AE527" s="63" t="str">
        <f>IFERROR(IF(VLOOKUP(AA$13&amp;$B525,Aux!$B:$M,8,0)="Да","✔","🕓"),"")</f>
        <v/>
      </c>
    </row>
    <row r="528" spans="2:31" x14ac:dyDescent="0.25">
      <c r="B528" s="53">
        <f t="shared" si="7"/>
        <v>103</v>
      </c>
      <c r="C528" s="59"/>
      <c r="D528" s="16" t="str">
        <f>IF(D525="","","Срок сдачи"&amp;": ")</f>
        <v/>
      </c>
      <c r="E528" s="64" t="str">
        <f>IFERROR(VLOOKUP(C$13&amp;$B528,Aux!$B:$M,6,0),"")</f>
        <v/>
      </c>
      <c r="F528" s="64"/>
      <c r="G528" s="63"/>
      <c r="K528" s="59"/>
      <c r="L528" s="16" t="str">
        <f>IF(L525="","","Срок сдачи"&amp;": ")</f>
        <v/>
      </c>
      <c r="M528" s="64" t="str">
        <f>IFERROR(VLOOKUP(K$13&amp;$B528,Aux!$B:$M,6,0),"")</f>
        <v/>
      </c>
      <c r="N528" s="64"/>
      <c r="O528" s="63"/>
      <c r="S528" s="59"/>
      <c r="T528" s="16" t="str">
        <f>IF(T525="","","Срок сдачи"&amp;": ")</f>
        <v/>
      </c>
      <c r="U528" s="64" t="str">
        <f>IFERROR(VLOOKUP(S$13&amp;$B528,Aux!$B:$M,6,0),"")</f>
        <v/>
      </c>
      <c r="V528" s="64"/>
      <c r="W528" s="63"/>
      <c r="AA528" s="59"/>
      <c r="AB528" s="16" t="str">
        <f>IF(AB525="","","Срок сдачи"&amp;": ")</f>
        <v/>
      </c>
      <c r="AC528" s="64" t="str">
        <f>IFERROR(VLOOKUP(AA$13&amp;$B528,Aux!$B:$M,6,0),"")</f>
        <v/>
      </c>
      <c r="AD528" s="64"/>
      <c r="AE528" s="63"/>
    </row>
    <row r="529" spans="2:31" x14ac:dyDescent="0.25">
      <c r="B529" s="53">
        <f t="shared" si="7"/>
        <v>103</v>
      </c>
      <c r="C529" s="7"/>
      <c r="D529" s="17"/>
      <c r="E529" s="7"/>
      <c r="F529" s="18"/>
      <c r="G529" s="18"/>
      <c r="K529" s="13"/>
      <c r="L529" s="17"/>
      <c r="M529" s="13"/>
      <c r="N529" s="14"/>
      <c r="O529" s="14"/>
      <c r="S529" s="13"/>
      <c r="T529" s="17"/>
      <c r="U529" s="13"/>
      <c r="V529" s="14"/>
      <c r="W529" s="14"/>
      <c r="AA529" s="13"/>
      <c r="AB529" s="17"/>
      <c r="AC529" s="13"/>
      <c r="AD529" s="14"/>
      <c r="AE529" s="30"/>
    </row>
    <row r="530" spans="2:31" x14ac:dyDescent="0.25">
      <c r="B530" s="53">
        <f t="shared" si="7"/>
        <v>104</v>
      </c>
      <c r="C530" s="59" t="str">
        <f>IFERROR(VLOOKUP(C$13&amp;$B534,Aux!$B:$M,5,0),"")</f>
        <v/>
      </c>
      <c r="D530" s="60" t="str">
        <f>IFERROR(VLOOKUP(C$13&amp;$B530,Aux!$B:$M,3,0),"")</f>
        <v/>
      </c>
      <c r="E530" s="60"/>
      <c r="F530" s="60"/>
      <c r="G530" s="61" t="str">
        <f>IFERROR(VLOOKUP(C$13&amp;$B530,Aux!$B:$M,9,0),"")</f>
        <v/>
      </c>
      <c r="K530" s="59" t="str">
        <f>IFERROR(VLOOKUP(K$13&amp;$B534,Aux!$B:$M,5,0),"")</f>
        <v/>
      </c>
      <c r="L530" s="60" t="str">
        <f>IFERROR(VLOOKUP(K$13&amp;$B530,Aux!$B:$M,3,0),"")</f>
        <v/>
      </c>
      <c r="M530" s="60"/>
      <c r="N530" s="60"/>
      <c r="O530" s="61" t="str">
        <f>IFERROR(VLOOKUP(K$13&amp;$B530,Aux!$B:$M,9,0),"")</f>
        <v/>
      </c>
      <c r="S530" s="59" t="str">
        <f>IFERROR(VLOOKUP(S$13&amp;$B534,Aux!$B:$M,5,0),"")</f>
        <v/>
      </c>
      <c r="T530" s="60" t="str">
        <f>IFERROR(VLOOKUP(S$13&amp;$B530,Aux!$B:$M,3,0),"")</f>
        <v/>
      </c>
      <c r="U530" s="60"/>
      <c r="V530" s="60"/>
      <c r="W530" s="61" t="str">
        <f>IFERROR(VLOOKUP(S$13&amp;$B530,Aux!$B:$M,9,0),"")</f>
        <v/>
      </c>
      <c r="AA530" s="59" t="str">
        <f>IFERROR(VLOOKUP(AA$13&amp;$B534,Aux!$B:$M,5,0),"")</f>
        <v/>
      </c>
      <c r="AB530" s="60" t="str">
        <f>IFERROR(VLOOKUP(AA$13&amp;$B530,Aux!$B:$M,3,0),"")</f>
        <v/>
      </c>
      <c r="AC530" s="60"/>
      <c r="AD530" s="60"/>
      <c r="AE530" s="61" t="str">
        <f>IFERROR(VLOOKUP(AA$13&amp;$B530,Aux!$B:$M,9,0),"")</f>
        <v/>
      </c>
    </row>
    <row r="531" spans="2:31" x14ac:dyDescent="0.25">
      <c r="B531" s="53">
        <f t="shared" si="7"/>
        <v>104</v>
      </c>
      <c r="C531" s="59"/>
      <c r="D531" s="60"/>
      <c r="E531" s="60"/>
      <c r="F531" s="60"/>
      <c r="G531" s="61"/>
      <c r="K531" s="59"/>
      <c r="L531" s="60"/>
      <c r="M531" s="60"/>
      <c r="N531" s="60"/>
      <c r="O531" s="61"/>
      <c r="S531" s="59"/>
      <c r="T531" s="60"/>
      <c r="U531" s="60"/>
      <c r="V531" s="60"/>
      <c r="W531" s="61"/>
      <c r="AA531" s="59"/>
      <c r="AB531" s="60"/>
      <c r="AC531" s="60"/>
      <c r="AD531" s="60"/>
      <c r="AE531" s="61"/>
    </row>
    <row r="532" spans="2:31" x14ac:dyDescent="0.25">
      <c r="B532" s="53">
        <f t="shared" si="7"/>
        <v>104</v>
      </c>
      <c r="C532" s="59"/>
      <c r="D532" s="15" t="str">
        <f>IF(D530="","","Исполнитель"&amp;": ")</f>
        <v/>
      </c>
      <c r="E532" s="62" t="str">
        <f>IFERROR(VLOOKUP(C$13&amp;$B532,Aux!$B:$M,4,0),"")</f>
        <v/>
      </c>
      <c r="F532" s="62"/>
      <c r="G532" s="63" t="str">
        <f>IFERROR(IF(VLOOKUP(C$13&amp;$B530,Aux!$B:$M,8,0)="Да","✔","🕓"),"")</f>
        <v/>
      </c>
      <c r="K532" s="59"/>
      <c r="L532" s="15" t="str">
        <f>IF(L530="","","Исполнитель"&amp;": ")</f>
        <v/>
      </c>
      <c r="M532" s="62" t="str">
        <f>IFERROR(VLOOKUP(K$13&amp;$B532,Aux!$B:$M,4,0),"")</f>
        <v/>
      </c>
      <c r="N532" s="62"/>
      <c r="O532" s="63" t="str">
        <f>IFERROR(IF(VLOOKUP(K$13&amp;$B530,Aux!$B:$M,8,0)="Да","✔","🕓"),"")</f>
        <v/>
      </c>
      <c r="S532" s="59"/>
      <c r="T532" s="15" t="str">
        <f>IF(T530="","","Исполнитель"&amp;": ")</f>
        <v/>
      </c>
      <c r="U532" s="62" t="str">
        <f>IFERROR(VLOOKUP(S$13&amp;$B532,Aux!$B:$M,4,0),"")</f>
        <v/>
      </c>
      <c r="V532" s="62"/>
      <c r="W532" s="63" t="str">
        <f>IFERROR(IF(VLOOKUP(S$13&amp;$B530,Aux!$B:$M,8,0)="Да","✔","🕓"),"")</f>
        <v/>
      </c>
      <c r="AA532" s="59"/>
      <c r="AB532" s="15" t="str">
        <f>IF(AB530="","","Исполнитель"&amp;": ")</f>
        <v/>
      </c>
      <c r="AC532" s="62" t="str">
        <f>IFERROR(VLOOKUP(AA$13&amp;$B532,Aux!$B:$M,4,0),"")</f>
        <v/>
      </c>
      <c r="AD532" s="62"/>
      <c r="AE532" s="63" t="str">
        <f>IFERROR(IF(VLOOKUP(AA$13&amp;$B530,Aux!$B:$M,8,0)="Да","✔","🕓"),"")</f>
        <v/>
      </c>
    </row>
    <row r="533" spans="2:31" x14ac:dyDescent="0.25">
      <c r="B533" s="53">
        <f t="shared" ref="B533:B596" si="8">B528+1</f>
        <v>104</v>
      </c>
      <c r="C533" s="59"/>
      <c r="D533" s="16" t="str">
        <f>IF(D530="","","Срок сдачи"&amp;": ")</f>
        <v/>
      </c>
      <c r="E533" s="64" t="str">
        <f>IFERROR(VLOOKUP(C$13&amp;$B533,Aux!$B:$M,6,0),"")</f>
        <v/>
      </c>
      <c r="F533" s="64"/>
      <c r="G533" s="63"/>
      <c r="K533" s="59"/>
      <c r="L533" s="16" t="str">
        <f>IF(L530="","","Срок сдачи"&amp;": ")</f>
        <v/>
      </c>
      <c r="M533" s="64" t="str">
        <f>IFERROR(VLOOKUP(K$13&amp;$B533,Aux!$B:$M,6,0),"")</f>
        <v/>
      </c>
      <c r="N533" s="64"/>
      <c r="O533" s="63"/>
      <c r="S533" s="59"/>
      <c r="T533" s="16" t="str">
        <f>IF(T530="","","Срок сдачи"&amp;": ")</f>
        <v/>
      </c>
      <c r="U533" s="64" t="str">
        <f>IFERROR(VLOOKUP(S$13&amp;$B533,Aux!$B:$M,6,0),"")</f>
        <v/>
      </c>
      <c r="V533" s="64"/>
      <c r="W533" s="63"/>
      <c r="AA533" s="59"/>
      <c r="AB533" s="16" t="str">
        <f>IF(AB530="","","Срок сдачи"&amp;": ")</f>
        <v/>
      </c>
      <c r="AC533" s="64" t="str">
        <f>IFERROR(VLOOKUP(AA$13&amp;$B533,Aux!$B:$M,6,0),"")</f>
        <v/>
      </c>
      <c r="AD533" s="64"/>
      <c r="AE533" s="63"/>
    </row>
    <row r="534" spans="2:31" x14ac:dyDescent="0.25">
      <c r="B534" s="53">
        <f t="shared" si="8"/>
        <v>104</v>
      </c>
      <c r="C534" s="7"/>
      <c r="D534" s="17"/>
      <c r="E534" s="7"/>
      <c r="F534" s="18"/>
      <c r="G534" s="18"/>
      <c r="K534" s="13"/>
      <c r="L534" s="17"/>
      <c r="M534" s="13"/>
      <c r="N534" s="14"/>
      <c r="O534" s="14"/>
      <c r="S534" s="13"/>
      <c r="T534" s="17"/>
      <c r="U534" s="13"/>
      <c r="V534" s="14"/>
      <c r="W534" s="14"/>
      <c r="AA534" s="13"/>
      <c r="AB534" s="17"/>
      <c r="AC534" s="13"/>
      <c r="AD534" s="14"/>
      <c r="AE534" s="30"/>
    </row>
    <row r="535" spans="2:31" x14ac:dyDescent="0.25">
      <c r="B535" s="53">
        <f t="shared" si="8"/>
        <v>105</v>
      </c>
      <c r="C535" s="59" t="str">
        <f>IFERROR(VLOOKUP(C$13&amp;$B539,Aux!$B:$M,5,0),"")</f>
        <v/>
      </c>
      <c r="D535" s="60" t="str">
        <f>IFERROR(VLOOKUP(C$13&amp;$B535,Aux!$B:$M,3,0),"")</f>
        <v/>
      </c>
      <c r="E535" s="60"/>
      <c r="F535" s="60"/>
      <c r="G535" s="61" t="str">
        <f>IFERROR(VLOOKUP(C$13&amp;$B535,Aux!$B:$M,9,0),"")</f>
        <v/>
      </c>
      <c r="K535" s="59" t="str">
        <f>IFERROR(VLOOKUP(K$13&amp;$B539,Aux!$B:$M,5,0),"")</f>
        <v/>
      </c>
      <c r="L535" s="60" t="str">
        <f>IFERROR(VLOOKUP(K$13&amp;$B535,Aux!$B:$M,3,0),"")</f>
        <v/>
      </c>
      <c r="M535" s="60"/>
      <c r="N535" s="60"/>
      <c r="O535" s="61" t="str">
        <f>IFERROR(VLOOKUP(K$13&amp;$B535,Aux!$B:$M,9,0),"")</f>
        <v/>
      </c>
      <c r="S535" s="59" t="str">
        <f>IFERROR(VLOOKUP(S$13&amp;$B539,Aux!$B:$M,5,0),"")</f>
        <v/>
      </c>
      <c r="T535" s="60" t="str">
        <f>IFERROR(VLOOKUP(S$13&amp;$B535,Aux!$B:$M,3,0),"")</f>
        <v/>
      </c>
      <c r="U535" s="60"/>
      <c r="V535" s="60"/>
      <c r="W535" s="61" t="str">
        <f>IFERROR(VLOOKUP(S$13&amp;$B535,Aux!$B:$M,9,0),"")</f>
        <v/>
      </c>
      <c r="AA535" s="59" t="str">
        <f>IFERROR(VLOOKUP(AA$13&amp;$B539,Aux!$B:$M,5,0),"")</f>
        <v/>
      </c>
      <c r="AB535" s="60" t="str">
        <f>IFERROR(VLOOKUP(AA$13&amp;$B535,Aux!$B:$M,3,0),"")</f>
        <v/>
      </c>
      <c r="AC535" s="60"/>
      <c r="AD535" s="60"/>
      <c r="AE535" s="61" t="str">
        <f>IFERROR(VLOOKUP(AA$13&amp;$B535,Aux!$B:$M,9,0),"")</f>
        <v/>
      </c>
    </row>
    <row r="536" spans="2:31" x14ac:dyDescent="0.25">
      <c r="B536" s="53">
        <f t="shared" si="8"/>
        <v>105</v>
      </c>
      <c r="C536" s="59"/>
      <c r="D536" s="60"/>
      <c r="E536" s="60"/>
      <c r="F536" s="60"/>
      <c r="G536" s="61"/>
      <c r="K536" s="59"/>
      <c r="L536" s="60"/>
      <c r="M536" s="60"/>
      <c r="N536" s="60"/>
      <c r="O536" s="61"/>
      <c r="S536" s="59"/>
      <c r="T536" s="60"/>
      <c r="U536" s="60"/>
      <c r="V536" s="60"/>
      <c r="W536" s="61"/>
      <c r="AA536" s="59"/>
      <c r="AB536" s="60"/>
      <c r="AC536" s="60"/>
      <c r="AD536" s="60"/>
      <c r="AE536" s="61"/>
    </row>
    <row r="537" spans="2:31" x14ac:dyDescent="0.25">
      <c r="B537" s="53">
        <f t="shared" si="8"/>
        <v>105</v>
      </c>
      <c r="C537" s="59"/>
      <c r="D537" s="15" t="str">
        <f>IF(D535="","","Исполнитель"&amp;": ")</f>
        <v/>
      </c>
      <c r="E537" s="62" t="str">
        <f>IFERROR(VLOOKUP(C$13&amp;$B537,Aux!$B:$M,4,0),"")</f>
        <v/>
      </c>
      <c r="F537" s="62"/>
      <c r="G537" s="63" t="str">
        <f>IFERROR(IF(VLOOKUP(C$13&amp;$B535,Aux!$B:$M,8,0)="Да","✔","🕓"),"")</f>
        <v/>
      </c>
      <c r="K537" s="59"/>
      <c r="L537" s="15" t="str">
        <f>IF(L535="","","Исполнитель"&amp;": ")</f>
        <v/>
      </c>
      <c r="M537" s="62" t="str">
        <f>IFERROR(VLOOKUP(K$13&amp;$B537,Aux!$B:$M,4,0),"")</f>
        <v/>
      </c>
      <c r="N537" s="62"/>
      <c r="O537" s="63" t="str">
        <f>IFERROR(IF(VLOOKUP(K$13&amp;$B535,Aux!$B:$M,8,0)="Да","✔","🕓"),"")</f>
        <v/>
      </c>
      <c r="S537" s="59"/>
      <c r="T537" s="15" t="str">
        <f>IF(T535="","","Исполнитель"&amp;": ")</f>
        <v/>
      </c>
      <c r="U537" s="62" t="str">
        <f>IFERROR(VLOOKUP(S$13&amp;$B537,Aux!$B:$M,4,0),"")</f>
        <v/>
      </c>
      <c r="V537" s="62"/>
      <c r="W537" s="63" t="str">
        <f>IFERROR(IF(VLOOKUP(S$13&amp;$B535,Aux!$B:$M,8,0)="Да","✔","🕓"),"")</f>
        <v/>
      </c>
      <c r="AA537" s="59"/>
      <c r="AB537" s="15" t="str">
        <f>IF(AB535="","","Исполнитель"&amp;": ")</f>
        <v/>
      </c>
      <c r="AC537" s="62" t="str">
        <f>IFERROR(VLOOKUP(AA$13&amp;$B537,Aux!$B:$M,4,0),"")</f>
        <v/>
      </c>
      <c r="AD537" s="62"/>
      <c r="AE537" s="63" t="str">
        <f>IFERROR(IF(VLOOKUP(AA$13&amp;$B535,Aux!$B:$M,8,0)="Да","✔","🕓"),"")</f>
        <v/>
      </c>
    </row>
    <row r="538" spans="2:31" x14ac:dyDescent="0.25">
      <c r="B538" s="53">
        <f t="shared" si="8"/>
        <v>105</v>
      </c>
      <c r="C538" s="59"/>
      <c r="D538" s="16" t="str">
        <f>IF(D535="","","Срок сдачи"&amp;": ")</f>
        <v/>
      </c>
      <c r="E538" s="64" t="str">
        <f>IFERROR(VLOOKUP(C$13&amp;$B538,Aux!$B:$M,6,0),"")</f>
        <v/>
      </c>
      <c r="F538" s="64"/>
      <c r="G538" s="63"/>
      <c r="K538" s="59"/>
      <c r="L538" s="16" t="str">
        <f>IF(L535="","","Срок сдачи"&amp;": ")</f>
        <v/>
      </c>
      <c r="M538" s="64" t="str">
        <f>IFERROR(VLOOKUP(K$13&amp;$B538,Aux!$B:$M,6,0),"")</f>
        <v/>
      </c>
      <c r="N538" s="64"/>
      <c r="O538" s="63"/>
      <c r="S538" s="59"/>
      <c r="T538" s="16" t="str">
        <f>IF(T535="","","Срок сдачи"&amp;": ")</f>
        <v/>
      </c>
      <c r="U538" s="64" t="str">
        <f>IFERROR(VLOOKUP(S$13&amp;$B538,Aux!$B:$M,6,0),"")</f>
        <v/>
      </c>
      <c r="V538" s="64"/>
      <c r="W538" s="63"/>
      <c r="AA538" s="59"/>
      <c r="AB538" s="16" t="str">
        <f>IF(AB535="","","Срок сдачи"&amp;": ")</f>
        <v/>
      </c>
      <c r="AC538" s="64" t="str">
        <f>IFERROR(VLOOKUP(AA$13&amp;$B538,Aux!$B:$M,6,0),"")</f>
        <v/>
      </c>
      <c r="AD538" s="64"/>
      <c r="AE538" s="63"/>
    </row>
    <row r="539" spans="2:31" x14ac:dyDescent="0.25">
      <c r="B539" s="53">
        <f t="shared" si="8"/>
        <v>105</v>
      </c>
      <c r="C539" s="7"/>
      <c r="D539" s="17"/>
      <c r="E539" s="7"/>
      <c r="F539" s="18"/>
      <c r="G539" s="18"/>
      <c r="K539" s="13"/>
      <c r="L539" s="17"/>
      <c r="M539" s="13"/>
      <c r="N539" s="14"/>
      <c r="O539" s="14"/>
      <c r="S539" s="13"/>
      <c r="T539" s="17"/>
      <c r="U539" s="13"/>
      <c r="V539" s="14"/>
      <c r="W539" s="14"/>
      <c r="AA539" s="13"/>
      <c r="AB539" s="17"/>
      <c r="AC539" s="13"/>
      <c r="AD539" s="14"/>
      <c r="AE539" s="30"/>
    </row>
    <row r="540" spans="2:31" x14ac:dyDescent="0.25">
      <c r="B540" s="53">
        <f t="shared" si="8"/>
        <v>106</v>
      </c>
      <c r="C540" s="59" t="str">
        <f>IFERROR(VLOOKUP(C$13&amp;$B544,Aux!$B:$M,5,0),"")</f>
        <v/>
      </c>
      <c r="D540" s="60" t="str">
        <f>IFERROR(VLOOKUP(C$13&amp;$B540,Aux!$B:$M,3,0),"")</f>
        <v/>
      </c>
      <c r="E540" s="60"/>
      <c r="F540" s="60"/>
      <c r="G540" s="61" t="str">
        <f>IFERROR(VLOOKUP(C$13&amp;$B540,Aux!$B:$M,9,0),"")</f>
        <v/>
      </c>
      <c r="K540" s="59" t="str">
        <f>IFERROR(VLOOKUP(K$13&amp;$B544,Aux!$B:$M,5,0),"")</f>
        <v/>
      </c>
      <c r="L540" s="60" t="str">
        <f>IFERROR(VLOOKUP(K$13&amp;$B540,Aux!$B:$M,3,0),"")</f>
        <v/>
      </c>
      <c r="M540" s="60"/>
      <c r="N540" s="60"/>
      <c r="O540" s="61" t="str">
        <f>IFERROR(VLOOKUP(K$13&amp;$B540,Aux!$B:$M,9,0),"")</f>
        <v/>
      </c>
      <c r="S540" s="59" t="str">
        <f>IFERROR(VLOOKUP(S$13&amp;$B544,Aux!$B:$M,5,0),"")</f>
        <v/>
      </c>
      <c r="T540" s="60" t="str">
        <f>IFERROR(VLOOKUP(S$13&amp;$B540,Aux!$B:$M,3,0),"")</f>
        <v/>
      </c>
      <c r="U540" s="60"/>
      <c r="V540" s="60"/>
      <c r="W540" s="61" t="str">
        <f>IFERROR(VLOOKUP(S$13&amp;$B540,Aux!$B:$M,9,0),"")</f>
        <v/>
      </c>
      <c r="AA540" s="59" t="str">
        <f>IFERROR(VLOOKUP(AA$13&amp;$B544,Aux!$B:$M,5,0),"")</f>
        <v/>
      </c>
      <c r="AB540" s="60" t="str">
        <f>IFERROR(VLOOKUP(AA$13&amp;$B540,Aux!$B:$M,3,0),"")</f>
        <v/>
      </c>
      <c r="AC540" s="60"/>
      <c r="AD540" s="60"/>
      <c r="AE540" s="61" t="str">
        <f>IFERROR(VLOOKUP(AA$13&amp;$B540,Aux!$B:$M,9,0),"")</f>
        <v/>
      </c>
    </row>
    <row r="541" spans="2:31" x14ac:dyDescent="0.25">
      <c r="B541" s="53">
        <f t="shared" si="8"/>
        <v>106</v>
      </c>
      <c r="C541" s="59"/>
      <c r="D541" s="60"/>
      <c r="E541" s="60"/>
      <c r="F541" s="60"/>
      <c r="G541" s="61"/>
      <c r="K541" s="59"/>
      <c r="L541" s="60"/>
      <c r="M541" s="60"/>
      <c r="N541" s="60"/>
      <c r="O541" s="61"/>
      <c r="S541" s="59"/>
      <c r="T541" s="60"/>
      <c r="U541" s="60"/>
      <c r="V541" s="60"/>
      <c r="W541" s="61"/>
      <c r="AA541" s="59"/>
      <c r="AB541" s="60"/>
      <c r="AC541" s="60"/>
      <c r="AD541" s="60"/>
      <c r="AE541" s="61"/>
    </row>
    <row r="542" spans="2:31" x14ac:dyDescent="0.25">
      <c r="B542" s="53">
        <f t="shared" si="8"/>
        <v>106</v>
      </c>
      <c r="C542" s="59"/>
      <c r="D542" s="15" t="str">
        <f>IF(D540="","","Исполнитель"&amp;": ")</f>
        <v/>
      </c>
      <c r="E542" s="62" t="str">
        <f>IFERROR(VLOOKUP(C$13&amp;$B542,Aux!$B:$M,4,0),"")</f>
        <v/>
      </c>
      <c r="F542" s="62"/>
      <c r="G542" s="63" t="str">
        <f>IFERROR(IF(VLOOKUP(C$13&amp;$B540,Aux!$B:$M,8,0)="Да","✔","🕓"),"")</f>
        <v/>
      </c>
      <c r="K542" s="59"/>
      <c r="L542" s="15" t="str">
        <f>IF(L540="","","Исполнитель"&amp;": ")</f>
        <v/>
      </c>
      <c r="M542" s="62" t="str">
        <f>IFERROR(VLOOKUP(K$13&amp;$B542,Aux!$B:$M,4,0),"")</f>
        <v/>
      </c>
      <c r="N542" s="62"/>
      <c r="O542" s="63" t="str">
        <f>IFERROR(IF(VLOOKUP(K$13&amp;$B540,Aux!$B:$M,8,0)="Да","✔","🕓"),"")</f>
        <v/>
      </c>
      <c r="S542" s="59"/>
      <c r="T542" s="15" t="str">
        <f>IF(T540="","","Исполнитель"&amp;": ")</f>
        <v/>
      </c>
      <c r="U542" s="62" t="str">
        <f>IFERROR(VLOOKUP(S$13&amp;$B542,Aux!$B:$M,4,0),"")</f>
        <v/>
      </c>
      <c r="V542" s="62"/>
      <c r="W542" s="63" t="str">
        <f>IFERROR(IF(VLOOKUP(S$13&amp;$B540,Aux!$B:$M,8,0)="Да","✔","🕓"),"")</f>
        <v/>
      </c>
      <c r="AA542" s="59"/>
      <c r="AB542" s="15" t="str">
        <f>IF(AB540="","","Исполнитель"&amp;": ")</f>
        <v/>
      </c>
      <c r="AC542" s="62" t="str">
        <f>IFERROR(VLOOKUP(AA$13&amp;$B542,Aux!$B:$M,4,0),"")</f>
        <v/>
      </c>
      <c r="AD542" s="62"/>
      <c r="AE542" s="63" t="str">
        <f>IFERROR(IF(VLOOKUP(AA$13&amp;$B540,Aux!$B:$M,8,0)="Да","✔","🕓"),"")</f>
        <v/>
      </c>
    </row>
    <row r="543" spans="2:31" x14ac:dyDescent="0.25">
      <c r="B543" s="53">
        <f t="shared" si="8"/>
        <v>106</v>
      </c>
      <c r="C543" s="59"/>
      <c r="D543" s="16" t="str">
        <f>IF(D540="","","Срок сдачи"&amp;": ")</f>
        <v/>
      </c>
      <c r="E543" s="64" t="str">
        <f>IFERROR(VLOOKUP(C$13&amp;$B543,Aux!$B:$M,6,0),"")</f>
        <v/>
      </c>
      <c r="F543" s="64"/>
      <c r="G543" s="63"/>
      <c r="K543" s="59"/>
      <c r="L543" s="16" t="str">
        <f>IF(L540="","","Срок сдачи"&amp;": ")</f>
        <v/>
      </c>
      <c r="M543" s="64" t="str">
        <f>IFERROR(VLOOKUP(K$13&amp;$B543,Aux!$B:$M,6,0),"")</f>
        <v/>
      </c>
      <c r="N543" s="64"/>
      <c r="O543" s="63"/>
      <c r="S543" s="59"/>
      <c r="T543" s="16" t="str">
        <f>IF(T540="","","Срок сдачи"&amp;": ")</f>
        <v/>
      </c>
      <c r="U543" s="64" t="str">
        <f>IFERROR(VLOOKUP(S$13&amp;$B543,Aux!$B:$M,6,0),"")</f>
        <v/>
      </c>
      <c r="V543" s="64"/>
      <c r="W543" s="63"/>
      <c r="AA543" s="59"/>
      <c r="AB543" s="16" t="str">
        <f>IF(AB540="","","Срок сдачи"&amp;": ")</f>
        <v/>
      </c>
      <c r="AC543" s="64" t="str">
        <f>IFERROR(VLOOKUP(AA$13&amp;$B543,Aux!$B:$M,6,0),"")</f>
        <v/>
      </c>
      <c r="AD543" s="64"/>
      <c r="AE543" s="63"/>
    </row>
    <row r="544" spans="2:31" x14ac:dyDescent="0.25">
      <c r="B544" s="53">
        <f t="shared" si="8"/>
        <v>106</v>
      </c>
      <c r="C544" s="7"/>
      <c r="D544" s="17"/>
      <c r="E544" s="7"/>
      <c r="F544" s="18"/>
      <c r="G544" s="18"/>
      <c r="K544" s="13"/>
      <c r="L544" s="17"/>
      <c r="M544" s="13"/>
      <c r="N544" s="14"/>
      <c r="O544" s="14"/>
      <c r="S544" s="13"/>
      <c r="T544" s="17"/>
      <c r="U544" s="13"/>
      <c r="V544" s="14"/>
      <c r="W544" s="14"/>
      <c r="AA544" s="13"/>
      <c r="AB544" s="17"/>
      <c r="AC544" s="13"/>
      <c r="AD544" s="14"/>
      <c r="AE544" s="30"/>
    </row>
    <row r="545" spans="2:31" x14ac:dyDescent="0.25">
      <c r="B545" s="53">
        <f t="shared" si="8"/>
        <v>107</v>
      </c>
      <c r="C545" s="59" t="str">
        <f>IFERROR(VLOOKUP(C$13&amp;$B549,Aux!$B:$M,5,0),"")</f>
        <v/>
      </c>
      <c r="D545" s="60" t="str">
        <f>IFERROR(VLOOKUP(C$13&amp;$B545,Aux!$B:$M,3,0),"")</f>
        <v/>
      </c>
      <c r="E545" s="60"/>
      <c r="F545" s="60"/>
      <c r="G545" s="61" t="str">
        <f>IFERROR(VLOOKUP(C$13&amp;$B545,Aux!$B:$M,9,0),"")</f>
        <v/>
      </c>
      <c r="K545" s="59" t="str">
        <f>IFERROR(VLOOKUP(K$13&amp;$B549,Aux!$B:$M,5,0),"")</f>
        <v/>
      </c>
      <c r="L545" s="60" t="str">
        <f>IFERROR(VLOOKUP(K$13&amp;$B545,Aux!$B:$M,3,0),"")</f>
        <v/>
      </c>
      <c r="M545" s="60"/>
      <c r="N545" s="60"/>
      <c r="O545" s="61" t="str">
        <f>IFERROR(VLOOKUP(K$13&amp;$B545,Aux!$B:$M,9,0),"")</f>
        <v/>
      </c>
      <c r="S545" s="59" t="str">
        <f>IFERROR(VLOOKUP(S$13&amp;$B549,Aux!$B:$M,5,0),"")</f>
        <v/>
      </c>
      <c r="T545" s="60" t="str">
        <f>IFERROR(VLOOKUP(S$13&amp;$B545,Aux!$B:$M,3,0),"")</f>
        <v/>
      </c>
      <c r="U545" s="60"/>
      <c r="V545" s="60"/>
      <c r="W545" s="61" t="str">
        <f>IFERROR(VLOOKUP(S$13&amp;$B545,Aux!$B:$M,9,0),"")</f>
        <v/>
      </c>
      <c r="AA545" s="59" t="str">
        <f>IFERROR(VLOOKUP(AA$13&amp;$B549,Aux!$B:$M,5,0),"")</f>
        <v/>
      </c>
      <c r="AB545" s="60" t="str">
        <f>IFERROR(VLOOKUP(AA$13&amp;$B545,Aux!$B:$M,3,0),"")</f>
        <v/>
      </c>
      <c r="AC545" s="60"/>
      <c r="AD545" s="60"/>
      <c r="AE545" s="61" t="str">
        <f>IFERROR(VLOOKUP(AA$13&amp;$B545,Aux!$B:$M,9,0),"")</f>
        <v/>
      </c>
    </row>
    <row r="546" spans="2:31" x14ac:dyDescent="0.25">
      <c r="B546" s="53">
        <f t="shared" si="8"/>
        <v>107</v>
      </c>
      <c r="C546" s="59"/>
      <c r="D546" s="60"/>
      <c r="E546" s="60"/>
      <c r="F546" s="60"/>
      <c r="G546" s="61"/>
      <c r="K546" s="59"/>
      <c r="L546" s="60"/>
      <c r="M546" s="60"/>
      <c r="N546" s="60"/>
      <c r="O546" s="61"/>
      <c r="S546" s="59"/>
      <c r="T546" s="60"/>
      <c r="U546" s="60"/>
      <c r="V546" s="60"/>
      <c r="W546" s="61"/>
      <c r="AA546" s="59"/>
      <c r="AB546" s="60"/>
      <c r="AC546" s="60"/>
      <c r="AD546" s="60"/>
      <c r="AE546" s="61"/>
    </row>
    <row r="547" spans="2:31" x14ac:dyDescent="0.25">
      <c r="B547" s="53">
        <f t="shared" si="8"/>
        <v>107</v>
      </c>
      <c r="C547" s="59"/>
      <c r="D547" s="15" t="str">
        <f>IF(D545="","","Исполнитель"&amp;": ")</f>
        <v/>
      </c>
      <c r="E547" s="62" t="str">
        <f>IFERROR(VLOOKUP(C$13&amp;$B547,Aux!$B:$M,4,0),"")</f>
        <v/>
      </c>
      <c r="F547" s="62"/>
      <c r="G547" s="63" t="str">
        <f>IFERROR(IF(VLOOKUP(C$13&amp;$B545,Aux!$B:$M,8,0)="Да","✔","🕓"),"")</f>
        <v/>
      </c>
      <c r="K547" s="59"/>
      <c r="L547" s="15" t="str">
        <f>IF(L545="","","Исполнитель"&amp;": ")</f>
        <v/>
      </c>
      <c r="M547" s="62" t="str">
        <f>IFERROR(VLOOKUP(K$13&amp;$B547,Aux!$B:$M,4,0),"")</f>
        <v/>
      </c>
      <c r="N547" s="62"/>
      <c r="O547" s="63" t="str">
        <f>IFERROR(IF(VLOOKUP(K$13&amp;$B545,Aux!$B:$M,8,0)="Да","✔","🕓"),"")</f>
        <v/>
      </c>
      <c r="S547" s="59"/>
      <c r="T547" s="15" t="str">
        <f>IF(T545="","","Исполнитель"&amp;": ")</f>
        <v/>
      </c>
      <c r="U547" s="62" t="str">
        <f>IFERROR(VLOOKUP(S$13&amp;$B547,Aux!$B:$M,4,0),"")</f>
        <v/>
      </c>
      <c r="V547" s="62"/>
      <c r="W547" s="63" t="str">
        <f>IFERROR(IF(VLOOKUP(S$13&amp;$B545,Aux!$B:$M,8,0)="Да","✔","🕓"),"")</f>
        <v/>
      </c>
      <c r="AA547" s="59"/>
      <c r="AB547" s="15" t="str">
        <f>IF(AB545="","","Исполнитель"&amp;": ")</f>
        <v/>
      </c>
      <c r="AC547" s="62" t="str">
        <f>IFERROR(VLOOKUP(AA$13&amp;$B547,Aux!$B:$M,4,0),"")</f>
        <v/>
      </c>
      <c r="AD547" s="62"/>
      <c r="AE547" s="63" t="str">
        <f>IFERROR(IF(VLOOKUP(AA$13&amp;$B545,Aux!$B:$M,8,0)="Да","✔","🕓"),"")</f>
        <v/>
      </c>
    </row>
    <row r="548" spans="2:31" x14ac:dyDescent="0.25">
      <c r="B548" s="53">
        <f t="shared" si="8"/>
        <v>107</v>
      </c>
      <c r="C548" s="59"/>
      <c r="D548" s="16" t="str">
        <f>IF(D545="","","Срок сдачи"&amp;": ")</f>
        <v/>
      </c>
      <c r="E548" s="64" t="str">
        <f>IFERROR(VLOOKUP(C$13&amp;$B548,Aux!$B:$M,6,0),"")</f>
        <v/>
      </c>
      <c r="F548" s="64"/>
      <c r="G548" s="63"/>
      <c r="K548" s="59"/>
      <c r="L548" s="16" t="str">
        <f>IF(L545="","","Срок сдачи"&amp;": ")</f>
        <v/>
      </c>
      <c r="M548" s="64" t="str">
        <f>IFERROR(VLOOKUP(K$13&amp;$B548,Aux!$B:$M,6,0),"")</f>
        <v/>
      </c>
      <c r="N548" s="64"/>
      <c r="O548" s="63"/>
      <c r="S548" s="59"/>
      <c r="T548" s="16" t="str">
        <f>IF(T545="","","Срок сдачи"&amp;": ")</f>
        <v/>
      </c>
      <c r="U548" s="64" t="str">
        <f>IFERROR(VLOOKUP(S$13&amp;$B548,Aux!$B:$M,6,0),"")</f>
        <v/>
      </c>
      <c r="V548" s="64"/>
      <c r="W548" s="63"/>
      <c r="AA548" s="59"/>
      <c r="AB548" s="16" t="str">
        <f>IF(AB545="","","Срок сдачи"&amp;": ")</f>
        <v/>
      </c>
      <c r="AC548" s="64" t="str">
        <f>IFERROR(VLOOKUP(AA$13&amp;$B548,Aux!$B:$M,6,0),"")</f>
        <v/>
      </c>
      <c r="AD548" s="64"/>
      <c r="AE548" s="63"/>
    </row>
    <row r="549" spans="2:31" x14ac:dyDescent="0.25">
      <c r="B549" s="53">
        <f t="shared" si="8"/>
        <v>107</v>
      </c>
      <c r="C549" s="7"/>
      <c r="D549" s="17"/>
      <c r="E549" s="7"/>
      <c r="F549" s="18"/>
      <c r="G549" s="18"/>
      <c r="K549" s="13"/>
      <c r="L549" s="17"/>
      <c r="M549" s="13"/>
      <c r="N549" s="14"/>
      <c r="O549" s="14"/>
      <c r="S549" s="13"/>
      <c r="T549" s="17"/>
      <c r="U549" s="13"/>
      <c r="V549" s="14"/>
      <c r="W549" s="14"/>
      <c r="AA549" s="13"/>
      <c r="AB549" s="17"/>
      <c r="AC549" s="13"/>
      <c r="AD549" s="14"/>
      <c r="AE549" s="30"/>
    </row>
    <row r="550" spans="2:31" x14ac:dyDescent="0.25">
      <c r="B550" s="53">
        <f t="shared" si="8"/>
        <v>108</v>
      </c>
      <c r="C550" s="59" t="str">
        <f>IFERROR(VLOOKUP(C$13&amp;$B554,Aux!$B:$M,5,0),"")</f>
        <v/>
      </c>
      <c r="D550" s="60" t="str">
        <f>IFERROR(VLOOKUP(C$13&amp;$B550,Aux!$B:$M,3,0),"")</f>
        <v/>
      </c>
      <c r="E550" s="60"/>
      <c r="F550" s="60"/>
      <c r="G550" s="61" t="str">
        <f>IFERROR(VLOOKUP(C$13&amp;$B550,Aux!$B:$M,9,0),"")</f>
        <v/>
      </c>
      <c r="K550" s="59" t="str">
        <f>IFERROR(VLOOKUP(K$13&amp;$B554,Aux!$B:$M,5,0),"")</f>
        <v/>
      </c>
      <c r="L550" s="60" t="str">
        <f>IFERROR(VLOOKUP(K$13&amp;$B550,Aux!$B:$M,3,0),"")</f>
        <v/>
      </c>
      <c r="M550" s="60"/>
      <c r="N550" s="60"/>
      <c r="O550" s="61" t="str">
        <f>IFERROR(VLOOKUP(K$13&amp;$B550,Aux!$B:$M,9,0),"")</f>
        <v/>
      </c>
      <c r="S550" s="59" t="str">
        <f>IFERROR(VLOOKUP(S$13&amp;$B554,Aux!$B:$M,5,0),"")</f>
        <v/>
      </c>
      <c r="T550" s="60" t="str">
        <f>IFERROR(VLOOKUP(S$13&amp;$B550,Aux!$B:$M,3,0),"")</f>
        <v/>
      </c>
      <c r="U550" s="60"/>
      <c r="V550" s="60"/>
      <c r="W550" s="61" t="str">
        <f>IFERROR(VLOOKUP(S$13&amp;$B550,Aux!$B:$M,9,0),"")</f>
        <v/>
      </c>
      <c r="AA550" s="59" t="str">
        <f>IFERROR(VLOOKUP(AA$13&amp;$B554,Aux!$B:$M,5,0),"")</f>
        <v/>
      </c>
      <c r="AB550" s="60" t="str">
        <f>IFERROR(VLOOKUP(AA$13&amp;$B550,Aux!$B:$M,3,0),"")</f>
        <v/>
      </c>
      <c r="AC550" s="60"/>
      <c r="AD550" s="60"/>
      <c r="AE550" s="61" t="str">
        <f>IFERROR(VLOOKUP(AA$13&amp;$B550,Aux!$B:$M,9,0),"")</f>
        <v/>
      </c>
    </row>
    <row r="551" spans="2:31" x14ac:dyDescent="0.25">
      <c r="B551" s="53">
        <f t="shared" si="8"/>
        <v>108</v>
      </c>
      <c r="C551" s="59"/>
      <c r="D551" s="60"/>
      <c r="E551" s="60"/>
      <c r="F551" s="60"/>
      <c r="G551" s="61"/>
      <c r="K551" s="59"/>
      <c r="L551" s="60"/>
      <c r="M551" s="60"/>
      <c r="N551" s="60"/>
      <c r="O551" s="61"/>
      <c r="S551" s="59"/>
      <c r="T551" s="60"/>
      <c r="U551" s="60"/>
      <c r="V551" s="60"/>
      <c r="W551" s="61"/>
      <c r="AA551" s="59"/>
      <c r="AB551" s="60"/>
      <c r="AC551" s="60"/>
      <c r="AD551" s="60"/>
      <c r="AE551" s="61"/>
    </row>
    <row r="552" spans="2:31" x14ac:dyDescent="0.25">
      <c r="B552" s="53">
        <f t="shared" si="8"/>
        <v>108</v>
      </c>
      <c r="C552" s="59"/>
      <c r="D552" s="15" t="str">
        <f>IF(D550="","","Исполнитель"&amp;": ")</f>
        <v/>
      </c>
      <c r="E552" s="62" t="str">
        <f>IFERROR(VLOOKUP(C$13&amp;$B552,Aux!$B:$M,4,0),"")</f>
        <v/>
      </c>
      <c r="F552" s="62"/>
      <c r="G552" s="63" t="str">
        <f>IFERROR(IF(VLOOKUP(C$13&amp;$B550,Aux!$B:$M,8,0)="Да","✔","🕓"),"")</f>
        <v/>
      </c>
      <c r="K552" s="59"/>
      <c r="L552" s="15" t="str">
        <f>IF(L550="","","Исполнитель"&amp;": ")</f>
        <v/>
      </c>
      <c r="M552" s="62" t="str">
        <f>IFERROR(VLOOKUP(K$13&amp;$B552,Aux!$B:$M,4,0),"")</f>
        <v/>
      </c>
      <c r="N552" s="62"/>
      <c r="O552" s="63" t="str">
        <f>IFERROR(IF(VLOOKUP(K$13&amp;$B550,Aux!$B:$M,8,0)="Да","✔","🕓"),"")</f>
        <v/>
      </c>
      <c r="S552" s="59"/>
      <c r="T552" s="15" t="str">
        <f>IF(T550="","","Исполнитель"&amp;": ")</f>
        <v/>
      </c>
      <c r="U552" s="62" t="str">
        <f>IFERROR(VLOOKUP(S$13&amp;$B552,Aux!$B:$M,4,0),"")</f>
        <v/>
      </c>
      <c r="V552" s="62"/>
      <c r="W552" s="63" t="str">
        <f>IFERROR(IF(VLOOKUP(S$13&amp;$B550,Aux!$B:$M,8,0)="Да","✔","🕓"),"")</f>
        <v/>
      </c>
      <c r="AA552" s="59"/>
      <c r="AB552" s="15" t="str">
        <f>IF(AB550="","","Исполнитель"&amp;": ")</f>
        <v/>
      </c>
      <c r="AC552" s="62" t="str">
        <f>IFERROR(VLOOKUP(AA$13&amp;$B552,Aux!$B:$M,4,0),"")</f>
        <v/>
      </c>
      <c r="AD552" s="62"/>
      <c r="AE552" s="63" t="str">
        <f>IFERROR(IF(VLOOKUP(AA$13&amp;$B550,Aux!$B:$M,8,0)="Да","✔","🕓"),"")</f>
        <v/>
      </c>
    </row>
    <row r="553" spans="2:31" x14ac:dyDescent="0.25">
      <c r="B553" s="53">
        <f t="shared" si="8"/>
        <v>108</v>
      </c>
      <c r="C553" s="59"/>
      <c r="D553" s="16" t="str">
        <f>IF(D550="","","Срок сдачи"&amp;": ")</f>
        <v/>
      </c>
      <c r="E553" s="64" t="str">
        <f>IFERROR(VLOOKUP(C$13&amp;$B553,Aux!$B:$M,6,0),"")</f>
        <v/>
      </c>
      <c r="F553" s="64"/>
      <c r="G553" s="63"/>
      <c r="K553" s="59"/>
      <c r="L553" s="16" t="str">
        <f>IF(L550="","","Срок сдачи"&amp;": ")</f>
        <v/>
      </c>
      <c r="M553" s="64" t="str">
        <f>IFERROR(VLOOKUP(K$13&amp;$B553,Aux!$B:$M,6,0),"")</f>
        <v/>
      </c>
      <c r="N553" s="64"/>
      <c r="O553" s="63"/>
      <c r="S553" s="59"/>
      <c r="T553" s="16" t="str">
        <f>IF(T550="","","Срок сдачи"&amp;": ")</f>
        <v/>
      </c>
      <c r="U553" s="64" t="str">
        <f>IFERROR(VLOOKUP(S$13&amp;$B553,Aux!$B:$M,6,0),"")</f>
        <v/>
      </c>
      <c r="V553" s="64"/>
      <c r="W553" s="63"/>
      <c r="AA553" s="59"/>
      <c r="AB553" s="16" t="str">
        <f>IF(AB550="","","Срок сдачи"&amp;": ")</f>
        <v/>
      </c>
      <c r="AC553" s="64" t="str">
        <f>IFERROR(VLOOKUP(AA$13&amp;$B553,Aux!$B:$M,6,0),"")</f>
        <v/>
      </c>
      <c r="AD553" s="64"/>
      <c r="AE553" s="63"/>
    </row>
    <row r="554" spans="2:31" x14ac:dyDescent="0.25">
      <c r="B554" s="53">
        <f t="shared" si="8"/>
        <v>108</v>
      </c>
      <c r="C554" s="7"/>
      <c r="D554" s="17"/>
      <c r="E554" s="7"/>
      <c r="F554" s="18"/>
      <c r="G554" s="18"/>
      <c r="K554" s="13"/>
      <c r="L554" s="17"/>
      <c r="M554" s="13"/>
      <c r="N554" s="14"/>
      <c r="O554" s="14"/>
      <c r="S554" s="13"/>
      <c r="T554" s="17"/>
      <c r="U554" s="13"/>
      <c r="V554" s="14"/>
      <c r="W554" s="14"/>
      <c r="AA554" s="13"/>
      <c r="AB554" s="17"/>
      <c r="AC554" s="13"/>
      <c r="AD554" s="14"/>
      <c r="AE554" s="30"/>
    </row>
    <row r="555" spans="2:31" x14ac:dyDescent="0.25">
      <c r="B555" s="53">
        <f t="shared" si="8"/>
        <v>109</v>
      </c>
      <c r="C555" s="59" t="str">
        <f>IFERROR(VLOOKUP(C$13&amp;$B559,Aux!$B:$M,5,0),"")</f>
        <v/>
      </c>
      <c r="D555" s="60" t="str">
        <f>IFERROR(VLOOKUP(C$13&amp;$B555,Aux!$B:$M,3,0),"")</f>
        <v/>
      </c>
      <c r="E555" s="60"/>
      <c r="F555" s="60"/>
      <c r="G555" s="61" t="str">
        <f>IFERROR(VLOOKUP(C$13&amp;$B555,Aux!$B:$M,9,0),"")</f>
        <v/>
      </c>
      <c r="K555" s="59" t="str">
        <f>IFERROR(VLOOKUP(K$13&amp;$B559,Aux!$B:$M,5,0),"")</f>
        <v/>
      </c>
      <c r="L555" s="60" t="str">
        <f>IFERROR(VLOOKUP(K$13&amp;$B555,Aux!$B:$M,3,0),"")</f>
        <v/>
      </c>
      <c r="M555" s="60"/>
      <c r="N555" s="60"/>
      <c r="O555" s="61" t="str">
        <f>IFERROR(VLOOKUP(K$13&amp;$B555,Aux!$B:$M,9,0),"")</f>
        <v/>
      </c>
      <c r="S555" s="59" t="str">
        <f>IFERROR(VLOOKUP(S$13&amp;$B559,Aux!$B:$M,5,0),"")</f>
        <v/>
      </c>
      <c r="T555" s="60" t="str">
        <f>IFERROR(VLOOKUP(S$13&amp;$B555,Aux!$B:$M,3,0),"")</f>
        <v/>
      </c>
      <c r="U555" s="60"/>
      <c r="V555" s="60"/>
      <c r="W555" s="61" t="str">
        <f>IFERROR(VLOOKUP(S$13&amp;$B555,Aux!$B:$M,9,0),"")</f>
        <v/>
      </c>
      <c r="AA555" s="59" t="str">
        <f>IFERROR(VLOOKUP(AA$13&amp;$B559,Aux!$B:$M,5,0),"")</f>
        <v/>
      </c>
      <c r="AB555" s="60" t="str">
        <f>IFERROR(VLOOKUP(AA$13&amp;$B555,Aux!$B:$M,3,0),"")</f>
        <v/>
      </c>
      <c r="AC555" s="60"/>
      <c r="AD555" s="60"/>
      <c r="AE555" s="61" t="str">
        <f>IFERROR(VLOOKUP(AA$13&amp;$B555,Aux!$B:$M,9,0),"")</f>
        <v/>
      </c>
    </row>
    <row r="556" spans="2:31" x14ac:dyDescent="0.25">
      <c r="B556" s="53">
        <f t="shared" si="8"/>
        <v>109</v>
      </c>
      <c r="C556" s="59"/>
      <c r="D556" s="60"/>
      <c r="E556" s="60"/>
      <c r="F556" s="60"/>
      <c r="G556" s="61"/>
      <c r="K556" s="59"/>
      <c r="L556" s="60"/>
      <c r="M556" s="60"/>
      <c r="N556" s="60"/>
      <c r="O556" s="61"/>
      <c r="S556" s="59"/>
      <c r="T556" s="60"/>
      <c r="U556" s="60"/>
      <c r="V556" s="60"/>
      <c r="W556" s="61"/>
      <c r="AA556" s="59"/>
      <c r="AB556" s="60"/>
      <c r="AC556" s="60"/>
      <c r="AD556" s="60"/>
      <c r="AE556" s="61"/>
    </row>
    <row r="557" spans="2:31" x14ac:dyDescent="0.25">
      <c r="B557" s="53">
        <f t="shared" si="8"/>
        <v>109</v>
      </c>
      <c r="C557" s="59"/>
      <c r="D557" s="15" t="str">
        <f>IF(D555="","","Исполнитель"&amp;": ")</f>
        <v/>
      </c>
      <c r="E557" s="62" t="str">
        <f>IFERROR(VLOOKUP(C$13&amp;$B557,Aux!$B:$M,4,0),"")</f>
        <v/>
      </c>
      <c r="F557" s="62"/>
      <c r="G557" s="63" t="str">
        <f>IFERROR(IF(VLOOKUP(C$13&amp;$B555,Aux!$B:$M,8,0)="Да","✔","🕓"),"")</f>
        <v/>
      </c>
      <c r="K557" s="59"/>
      <c r="L557" s="15" t="str">
        <f>IF(L555="","","Исполнитель"&amp;": ")</f>
        <v/>
      </c>
      <c r="M557" s="62" t="str">
        <f>IFERROR(VLOOKUP(K$13&amp;$B557,Aux!$B:$M,4,0),"")</f>
        <v/>
      </c>
      <c r="N557" s="62"/>
      <c r="O557" s="63" t="str">
        <f>IFERROR(IF(VLOOKUP(K$13&amp;$B555,Aux!$B:$M,8,0)="Да","✔","🕓"),"")</f>
        <v/>
      </c>
      <c r="S557" s="59"/>
      <c r="T557" s="15" t="str">
        <f>IF(T555="","","Исполнитель"&amp;": ")</f>
        <v/>
      </c>
      <c r="U557" s="62" t="str">
        <f>IFERROR(VLOOKUP(S$13&amp;$B557,Aux!$B:$M,4,0),"")</f>
        <v/>
      </c>
      <c r="V557" s="62"/>
      <c r="W557" s="63" t="str">
        <f>IFERROR(IF(VLOOKUP(S$13&amp;$B555,Aux!$B:$M,8,0)="Да","✔","🕓"),"")</f>
        <v/>
      </c>
      <c r="AA557" s="59"/>
      <c r="AB557" s="15" t="str">
        <f>IF(AB555="","","Исполнитель"&amp;": ")</f>
        <v/>
      </c>
      <c r="AC557" s="62" t="str">
        <f>IFERROR(VLOOKUP(AA$13&amp;$B557,Aux!$B:$M,4,0),"")</f>
        <v/>
      </c>
      <c r="AD557" s="62"/>
      <c r="AE557" s="63" t="str">
        <f>IFERROR(IF(VLOOKUP(AA$13&amp;$B555,Aux!$B:$M,8,0)="Да","✔","🕓"),"")</f>
        <v/>
      </c>
    </row>
    <row r="558" spans="2:31" x14ac:dyDescent="0.25">
      <c r="B558" s="53">
        <f t="shared" si="8"/>
        <v>109</v>
      </c>
      <c r="C558" s="59"/>
      <c r="D558" s="16" t="str">
        <f>IF(D555="","","Срок сдачи"&amp;": ")</f>
        <v/>
      </c>
      <c r="E558" s="64" t="str">
        <f>IFERROR(VLOOKUP(C$13&amp;$B558,Aux!$B:$M,6,0),"")</f>
        <v/>
      </c>
      <c r="F558" s="64"/>
      <c r="G558" s="63"/>
      <c r="K558" s="59"/>
      <c r="L558" s="16" t="str">
        <f>IF(L555="","","Срок сдачи"&amp;": ")</f>
        <v/>
      </c>
      <c r="M558" s="64" t="str">
        <f>IFERROR(VLOOKUP(K$13&amp;$B558,Aux!$B:$M,6,0),"")</f>
        <v/>
      </c>
      <c r="N558" s="64"/>
      <c r="O558" s="63"/>
      <c r="S558" s="59"/>
      <c r="T558" s="16" t="str">
        <f>IF(T555="","","Срок сдачи"&amp;": ")</f>
        <v/>
      </c>
      <c r="U558" s="64" t="str">
        <f>IFERROR(VLOOKUP(S$13&amp;$B558,Aux!$B:$M,6,0),"")</f>
        <v/>
      </c>
      <c r="V558" s="64"/>
      <c r="W558" s="63"/>
      <c r="AA558" s="59"/>
      <c r="AB558" s="16" t="str">
        <f>IF(AB555="","","Срок сдачи"&amp;": ")</f>
        <v/>
      </c>
      <c r="AC558" s="64" t="str">
        <f>IFERROR(VLOOKUP(AA$13&amp;$B558,Aux!$B:$M,6,0),"")</f>
        <v/>
      </c>
      <c r="AD558" s="64"/>
      <c r="AE558" s="63"/>
    </row>
    <row r="559" spans="2:31" x14ac:dyDescent="0.25">
      <c r="B559" s="53">
        <f t="shared" si="8"/>
        <v>109</v>
      </c>
      <c r="C559" s="7"/>
      <c r="D559" s="17"/>
      <c r="E559" s="7"/>
      <c r="F559" s="18"/>
      <c r="G559" s="18"/>
      <c r="K559" s="13"/>
      <c r="L559" s="17"/>
      <c r="M559" s="13"/>
      <c r="N559" s="14"/>
      <c r="O559" s="14"/>
      <c r="S559" s="13"/>
      <c r="T559" s="17"/>
      <c r="U559" s="13"/>
      <c r="V559" s="14"/>
      <c r="W559" s="14"/>
      <c r="AA559" s="13"/>
      <c r="AB559" s="17"/>
      <c r="AC559" s="13"/>
      <c r="AD559" s="14"/>
      <c r="AE559" s="30"/>
    </row>
    <row r="560" spans="2:31" x14ac:dyDescent="0.25">
      <c r="B560" s="53">
        <f t="shared" si="8"/>
        <v>110</v>
      </c>
      <c r="C560" s="59" t="str">
        <f>IFERROR(VLOOKUP(C$13&amp;$B564,Aux!$B:$M,5,0),"")</f>
        <v/>
      </c>
      <c r="D560" s="60" t="str">
        <f>IFERROR(VLOOKUP(C$13&amp;$B560,Aux!$B:$M,3,0),"")</f>
        <v/>
      </c>
      <c r="E560" s="60"/>
      <c r="F560" s="60"/>
      <c r="G560" s="61" t="str">
        <f>IFERROR(VLOOKUP(C$13&amp;$B560,Aux!$B:$M,9,0),"")</f>
        <v/>
      </c>
      <c r="K560" s="59" t="str">
        <f>IFERROR(VLOOKUP(K$13&amp;$B564,Aux!$B:$M,5,0),"")</f>
        <v/>
      </c>
      <c r="L560" s="60" t="str">
        <f>IFERROR(VLOOKUP(K$13&amp;$B560,Aux!$B:$M,3,0),"")</f>
        <v/>
      </c>
      <c r="M560" s="60"/>
      <c r="N560" s="60"/>
      <c r="O560" s="61" t="str">
        <f>IFERROR(VLOOKUP(K$13&amp;$B560,Aux!$B:$M,9,0),"")</f>
        <v/>
      </c>
      <c r="S560" s="59" t="str">
        <f>IFERROR(VLOOKUP(S$13&amp;$B564,Aux!$B:$M,5,0),"")</f>
        <v/>
      </c>
      <c r="T560" s="60" t="str">
        <f>IFERROR(VLOOKUP(S$13&amp;$B560,Aux!$B:$M,3,0),"")</f>
        <v/>
      </c>
      <c r="U560" s="60"/>
      <c r="V560" s="60"/>
      <c r="W560" s="61" t="str">
        <f>IFERROR(VLOOKUP(S$13&amp;$B560,Aux!$B:$M,9,0),"")</f>
        <v/>
      </c>
      <c r="AA560" s="59" t="str">
        <f>IFERROR(VLOOKUP(AA$13&amp;$B564,Aux!$B:$M,5,0),"")</f>
        <v/>
      </c>
      <c r="AB560" s="60" t="str">
        <f>IFERROR(VLOOKUP(AA$13&amp;$B560,Aux!$B:$M,3,0),"")</f>
        <v/>
      </c>
      <c r="AC560" s="60"/>
      <c r="AD560" s="60"/>
      <c r="AE560" s="61" t="str">
        <f>IFERROR(VLOOKUP(AA$13&amp;$B560,Aux!$B:$M,9,0),"")</f>
        <v/>
      </c>
    </row>
    <row r="561" spans="2:31" x14ac:dyDescent="0.25">
      <c r="B561" s="53">
        <f t="shared" si="8"/>
        <v>110</v>
      </c>
      <c r="C561" s="59"/>
      <c r="D561" s="60"/>
      <c r="E561" s="60"/>
      <c r="F561" s="60"/>
      <c r="G561" s="61"/>
      <c r="K561" s="59"/>
      <c r="L561" s="60"/>
      <c r="M561" s="60"/>
      <c r="N561" s="60"/>
      <c r="O561" s="61"/>
      <c r="S561" s="59"/>
      <c r="T561" s="60"/>
      <c r="U561" s="60"/>
      <c r="V561" s="60"/>
      <c r="W561" s="61"/>
      <c r="AA561" s="59"/>
      <c r="AB561" s="60"/>
      <c r="AC561" s="60"/>
      <c r="AD561" s="60"/>
      <c r="AE561" s="61"/>
    </row>
    <row r="562" spans="2:31" x14ac:dyDescent="0.25">
      <c r="B562" s="53">
        <f t="shared" si="8"/>
        <v>110</v>
      </c>
      <c r="C562" s="59"/>
      <c r="D562" s="15" t="str">
        <f>IF(D560="","","Исполнитель"&amp;": ")</f>
        <v/>
      </c>
      <c r="E562" s="62" t="str">
        <f>IFERROR(VLOOKUP(C$13&amp;$B562,Aux!$B:$M,4,0),"")</f>
        <v/>
      </c>
      <c r="F562" s="62"/>
      <c r="G562" s="63" t="str">
        <f>IFERROR(IF(VLOOKUP(C$13&amp;$B560,Aux!$B:$M,8,0)="Да","✔","🕓"),"")</f>
        <v/>
      </c>
      <c r="K562" s="59"/>
      <c r="L562" s="15" t="str">
        <f>IF(L560="","","Исполнитель"&amp;": ")</f>
        <v/>
      </c>
      <c r="M562" s="62" t="str">
        <f>IFERROR(VLOOKUP(K$13&amp;$B562,Aux!$B:$M,4,0),"")</f>
        <v/>
      </c>
      <c r="N562" s="62"/>
      <c r="O562" s="63" t="str">
        <f>IFERROR(IF(VLOOKUP(K$13&amp;$B560,Aux!$B:$M,8,0)="Да","✔","🕓"),"")</f>
        <v/>
      </c>
      <c r="S562" s="59"/>
      <c r="T562" s="15" t="str">
        <f>IF(T560="","","Исполнитель"&amp;": ")</f>
        <v/>
      </c>
      <c r="U562" s="62" t="str">
        <f>IFERROR(VLOOKUP(S$13&amp;$B562,Aux!$B:$M,4,0),"")</f>
        <v/>
      </c>
      <c r="V562" s="62"/>
      <c r="W562" s="63" t="str">
        <f>IFERROR(IF(VLOOKUP(S$13&amp;$B560,Aux!$B:$M,8,0)="Да","✔","🕓"),"")</f>
        <v/>
      </c>
      <c r="AA562" s="59"/>
      <c r="AB562" s="15" t="str">
        <f>IF(AB560="","","Исполнитель"&amp;": ")</f>
        <v/>
      </c>
      <c r="AC562" s="62" t="str">
        <f>IFERROR(VLOOKUP(AA$13&amp;$B562,Aux!$B:$M,4,0),"")</f>
        <v/>
      </c>
      <c r="AD562" s="62"/>
      <c r="AE562" s="63" t="str">
        <f>IFERROR(IF(VLOOKUP(AA$13&amp;$B560,Aux!$B:$M,8,0)="Да","✔","🕓"),"")</f>
        <v/>
      </c>
    </row>
    <row r="563" spans="2:31" x14ac:dyDescent="0.25">
      <c r="B563" s="53">
        <f t="shared" si="8"/>
        <v>110</v>
      </c>
      <c r="C563" s="59"/>
      <c r="D563" s="16" t="str">
        <f>IF(D560="","","Срок сдачи"&amp;": ")</f>
        <v/>
      </c>
      <c r="E563" s="64" t="str">
        <f>IFERROR(VLOOKUP(C$13&amp;$B563,Aux!$B:$M,6,0),"")</f>
        <v/>
      </c>
      <c r="F563" s="64"/>
      <c r="G563" s="63"/>
      <c r="K563" s="59"/>
      <c r="L563" s="16" t="str">
        <f>IF(L560="","","Срок сдачи"&amp;": ")</f>
        <v/>
      </c>
      <c r="M563" s="64" t="str">
        <f>IFERROR(VLOOKUP(K$13&amp;$B563,Aux!$B:$M,6,0),"")</f>
        <v/>
      </c>
      <c r="N563" s="64"/>
      <c r="O563" s="63"/>
      <c r="S563" s="59"/>
      <c r="T563" s="16" t="str">
        <f>IF(T560="","","Срок сдачи"&amp;": ")</f>
        <v/>
      </c>
      <c r="U563" s="64" t="str">
        <f>IFERROR(VLOOKUP(S$13&amp;$B563,Aux!$B:$M,6,0),"")</f>
        <v/>
      </c>
      <c r="V563" s="64"/>
      <c r="W563" s="63"/>
      <c r="AA563" s="59"/>
      <c r="AB563" s="16" t="str">
        <f>IF(AB560="","","Срок сдачи"&amp;": ")</f>
        <v/>
      </c>
      <c r="AC563" s="64" t="str">
        <f>IFERROR(VLOOKUP(AA$13&amp;$B563,Aux!$B:$M,6,0),"")</f>
        <v/>
      </c>
      <c r="AD563" s="64"/>
      <c r="AE563" s="63"/>
    </row>
    <row r="564" spans="2:31" x14ac:dyDescent="0.25">
      <c r="B564" s="53">
        <f t="shared" si="8"/>
        <v>110</v>
      </c>
      <c r="C564" s="7"/>
      <c r="D564" s="17"/>
      <c r="E564" s="7"/>
      <c r="F564" s="18"/>
      <c r="G564" s="18"/>
      <c r="K564" s="13"/>
      <c r="L564" s="17"/>
      <c r="M564" s="13"/>
      <c r="N564" s="14"/>
      <c r="O564" s="14"/>
      <c r="S564" s="13"/>
      <c r="T564" s="17"/>
      <c r="U564" s="13"/>
      <c r="V564" s="14"/>
      <c r="W564" s="14"/>
      <c r="AA564" s="13"/>
      <c r="AB564" s="17"/>
      <c r="AC564" s="13"/>
      <c r="AD564" s="14"/>
      <c r="AE564" s="30"/>
    </row>
    <row r="565" spans="2:31" x14ac:dyDescent="0.25">
      <c r="B565" s="53">
        <f t="shared" si="8"/>
        <v>111</v>
      </c>
      <c r="C565" s="59" t="str">
        <f>IFERROR(VLOOKUP(C$13&amp;$B569,Aux!$B:$M,5,0),"")</f>
        <v/>
      </c>
      <c r="D565" s="60" t="str">
        <f>IFERROR(VLOOKUP(C$13&amp;$B565,Aux!$B:$M,3,0),"")</f>
        <v/>
      </c>
      <c r="E565" s="60"/>
      <c r="F565" s="60"/>
      <c r="G565" s="61" t="str">
        <f>IFERROR(VLOOKUP(C$13&amp;$B565,Aux!$B:$M,9,0),"")</f>
        <v/>
      </c>
      <c r="K565" s="59" t="str">
        <f>IFERROR(VLOOKUP(K$13&amp;$B569,Aux!$B:$M,5,0),"")</f>
        <v/>
      </c>
      <c r="L565" s="60" t="str">
        <f>IFERROR(VLOOKUP(K$13&amp;$B565,Aux!$B:$M,3,0),"")</f>
        <v/>
      </c>
      <c r="M565" s="60"/>
      <c r="N565" s="60"/>
      <c r="O565" s="61" t="str">
        <f>IFERROR(VLOOKUP(K$13&amp;$B565,Aux!$B:$M,9,0),"")</f>
        <v/>
      </c>
      <c r="S565" s="59" t="str">
        <f>IFERROR(VLOOKUP(S$13&amp;$B569,Aux!$B:$M,5,0),"")</f>
        <v/>
      </c>
      <c r="T565" s="60" t="str">
        <f>IFERROR(VLOOKUP(S$13&amp;$B565,Aux!$B:$M,3,0),"")</f>
        <v/>
      </c>
      <c r="U565" s="60"/>
      <c r="V565" s="60"/>
      <c r="W565" s="61" t="str">
        <f>IFERROR(VLOOKUP(S$13&amp;$B565,Aux!$B:$M,9,0),"")</f>
        <v/>
      </c>
      <c r="AA565" s="59" t="str">
        <f>IFERROR(VLOOKUP(AA$13&amp;$B569,Aux!$B:$M,5,0),"")</f>
        <v/>
      </c>
      <c r="AB565" s="60" t="str">
        <f>IFERROR(VLOOKUP(AA$13&amp;$B565,Aux!$B:$M,3,0),"")</f>
        <v/>
      </c>
      <c r="AC565" s="60"/>
      <c r="AD565" s="60"/>
      <c r="AE565" s="61" t="str">
        <f>IFERROR(VLOOKUP(AA$13&amp;$B565,Aux!$B:$M,9,0),"")</f>
        <v/>
      </c>
    </row>
    <row r="566" spans="2:31" x14ac:dyDescent="0.25">
      <c r="B566" s="53">
        <f t="shared" si="8"/>
        <v>111</v>
      </c>
      <c r="C566" s="59"/>
      <c r="D566" s="60"/>
      <c r="E566" s="60"/>
      <c r="F566" s="60"/>
      <c r="G566" s="61"/>
      <c r="K566" s="59"/>
      <c r="L566" s="60"/>
      <c r="M566" s="60"/>
      <c r="N566" s="60"/>
      <c r="O566" s="61"/>
      <c r="S566" s="59"/>
      <c r="T566" s="60"/>
      <c r="U566" s="60"/>
      <c r="V566" s="60"/>
      <c r="W566" s="61"/>
      <c r="AA566" s="59"/>
      <c r="AB566" s="60"/>
      <c r="AC566" s="60"/>
      <c r="AD566" s="60"/>
      <c r="AE566" s="61"/>
    </row>
    <row r="567" spans="2:31" x14ac:dyDescent="0.25">
      <c r="B567" s="53">
        <f t="shared" si="8"/>
        <v>111</v>
      </c>
      <c r="C567" s="59"/>
      <c r="D567" s="15" t="str">
        <f>IF(D565="","","Исполнитель"&amp;": ")</f>
        <v/>
      </c>
      <c r="E567" s="62" t="str">
        <f>IFERROR(VLOOKUP(C$13&amp;$B567,Aux!$B:$M,4,0),"")</f>
        <v/>
      </c>
      <c r="F567" s="62"/>
      <c r="G567" s="63" t="str">
        <f>IFERROR(IF(VLOOKUP(C$13&amp;$B565,Aux!$B:$M,8,0)="Да","✔","🕓"),"")</f>
        <v/>
      </c>
      <c r="K567" s="59"/>
      <c r="L567" s="15" t="str">
        <f>IF(L565="","","Исполнитель"&amp;": ")</f>
        <v/>
      </c>
      <c r="M567" s="62" t="str">
        <f>IFERROR(VLOOKUP(K$13&amp;$B567,Aux!$B:$M,4,0),"")</f>
        <v/>
      </c>
      <c r="N567" s="62"/>
      <c r="O567" s="63" t="str">
        <f>IFERROR(IF(VLOOKUP(K$13&amp;$B565,Aux!$B:$M,8,0)="Да","✔","🕓"),"")</f>
        <v/>
      </c>
      <c r="S567" s="59"/>
      <c r="T567" s="15" t="str">
        <f>IF(T565="","","Исполнитель"&amp;": ")</f>
        <v/>
      </c>
      <c r="U567" s="62" t="str">
        <f>IFERROR(VLOOKUP(S$13&amp;$B567,Aux!$B:$M,4,0),"")</f>
        <v/>
      </c>
      <c r="V567" s="62"/>
      <c r="W567" s="63" t="str">
        <f>IFERROR(IF(VLOOKUP(S$13&amp;$B565,Aux!$B:$M,8,0)="Да","✔","🕓"),"")</f>
        <v/>
      </c>
      <c r="AA567" s="59"/>
      <c r="AB567" s="15" t="str">
        <f>IF(AB565="","","Исполнитель"&amp;": ")</f>
        <v/>
      </c>
      <c r="AC567" s="62" t="str">
        <f>IFERROR(VLOOKUP(AA$13&amp;$B567,Aux!$B:$M,4,0),"")</f>
        <v/>
      </c>
      <c r="AD567" s="62"/>
      <c r="AE567" s="63" t="str">
        <f>IFERROR(IF(VLOOKUP(AA$13&amp;$B565,Aux!$B:$M,8,0)="Да","✔","🕓"),"")</f>
        <v/>
      </c>
    </row>
    <row r="568" spans="2:31" x14ac:dyDescent="0.25">
      <c r="B568" s="53">
        <f t="shared" si="8"/>
        <v>111</v>
      </c>
      <c r="C568" s="59"/>
      <c r="D568" s="16" t="str">
        <f>IF(D565="","","Срок сдачи"&amp;": ")</f>
        <v/>
      </c>
      <c r="E568" s="64" t="str">
        <f>IFERROR(VLOOKUP(C$13&amp;$B568,Aux!$B:$M,6,0),"")</f>
        <v/>
      </c>
      <c r="F568" s="64"/>
      <c r="G568" s="63"/>
      <c r="K568" s="59"/>
      <c r="L568" s="16" t="str">
        <f>IF(L565="","","Срок сдачи"&amp;": ")</f>
        <v/>
      </c>
      <c r="M568" s="64" t="str">
        <f>IFERROR(VLOOKUP(K$13&amp;$B568,Aux!$B:$M,6,0),"")</f>
        <v/>
      </c>
      <c r="N568" s="64"/>
      <c r="O568" s="63"/>
      <c r="S568" s="59"/>
      <c r="T568" s="16" t="str">
        <f>IF(T565="","","Срок сдачи"&amp;": ")</f>
        <v/>
      </c>
      <c r="U568" s="64" t="str">
        <f>IFERROR(VLOOKUP(S$13&amp;$B568,Aux!$B:$M,6,0),"")</f>
        <v/>
      </c>
      <c r="V568" s="64"/>
      <c r="W568" s="63"/>
      <c r="AA568" s="59"/>
      <c r="AB568" s="16" t="str">
        <f>IF(AB565="","","Срок сдачи"&amp;": ")</f>
        <v/>
      </c>
      <c r="AC568" s="64" t="str">
        <f>IFERROR(VLOOKUP(AA$13&amp;$B568,Aux!$B:$M,6,0),"")</f>
        <v/>
      </c>
      <c r="AD568" s="64"/>
      <c r="AE568" s="63"/>
    </row>
    <row r="569" spans="2:31" x14ac:dyDescent="0.25">
      <c r="B569" s="53">
        <f t="shared" si="8"/>
        <v>111</v>
      </c>
      <c r="C569" s="7"/>
      <c r="D569" s="17"/>
      <c r="E569" s="7"/>
      <c r="F569" s="18"/>
      <c r="G569" s="18"/>
      <c r="K569" s="13"/>
      <c r="L569" s="17"/>
      <c r="M569" s="13"/>
      <c r="N569" s="14"/>
      <c r="O569" s="14"/>
      <c r="S569" s="13"/>
      <c r="T569" s="17"/>
      <c r="U569" s="13"/>
      <c r="V569" s="14"/>
      <c r="W569" s="14"/>
      <c r="AA569" s="13"/>
      <c r="AB569" s="17"/>
      <c r="AC569" s="13"/>
      <c r="AD569" s="14"/>
      <c r="AE569" s="30"/>
    </row>
    <row r="570" spans="2:31" x14ac:dyDescent="0.25">
      <c r="B570" s="53">
        <f t="shared" si="8"/>
        <v>112</v>
      </c>
      <c r="C570" s="59" t="str">
        <f>IFERROR(VLOOKUP(C$13&amp;$B574,Aux!$B:$M,5,0),"")</f>
        <v/>
      </c>
      <c r="D570" s="60" t="str">
        <f>IFERROR(VLOOKUP(C$13&amp;$B570,Aux!$B:$M,3,0),"")</f>
        <v/>
      </c>
      <c r="E570" s="60"/>
      <c r="F570" s="60"/>
      <c r="G570" s="61" t="str">
        <f>IFERROR(VLOOKUP(C$13&amp;$B570,Aux!$B:$M,9,0),"")</f>
        <v/>
      </c>
      <c r="K570" s="59" t="str">
        <f>IFERROR(VLOOKUP(K$13&amp;$B574,Aux!$B:$M,5,0),"")</f>
        <v/>
      </c>
      <c r="L570" s="60" t="str">
        <f>IFERROR(VLOOKUP(K$13&amp;$B570,Aux!$B:$M,3,0),"")</f>
        <v/>
      </c>
      <c r="M570" s="60"/>
      <c r="N570" s="60"/>
      <c r="O570" s="61" t="str">
        <f>IFERROR(VLOOKUP(K$13&amp;$B570,Aux!$B:$M,9,0),"")</f>
        <v/>
      </c>
      <c r="S570" s="59" t="str">
        <f>IFERROR(VLOOKUP(S$13&amp;$B574,Aux!$B:$M,5,0),"")</f>
        <v/>
      </c>
      <c r="T570" s="60" t="str">
        <f>IFERROR(VLOOKUP(S$13&amp;$B570,Aux!$B:$M,3,0),"")</f>
        <v/>
      </c>
      <c r="U570" s="60"/>
      <c r="V570" s="60"/>
      <c r="W570" s="61" t="str">
        <f>IFERROR(VLOOKUP(S$13&amp;$B570,Aux!$B:$M,9,0),"")</f>
        <v/>
      </c>
      <c r="AA570" s="59" t="str">
        <f>IFERROR(VLOOKUP(AA$13&amp;$B574,Aux!$B:$M,5,0),"")</f>
        <v/>
      </c>
      <c r="AB570" s="60" t="str">
        <f>IFERROR(VLOOKUP(AA$13&amp;$B570,Aux!$B:$M,3,0),"")</f>
        <v/>
      </c>
      <c r="AC570" s="60"/>
      <c r="AD570" s="60"/>
      <c r="AE570" s="61" t="str">
        <f>IFERROR(VLOOKUP(AA$13&amp;$B570,Aux!$B:$M,9,0),"")</f>
        <v/>
      </c>
    </row>
    <row r="571" spans="2:31" x14ac:dyDescent="0.25">
      <c r="B571" s="53">
        <f t="shared" si="8"/>
        <v>112</v>
      </c>
      <c r="C571" s="59"/>
      <c r="D571" s="60"/>
      <c r="E571" s="60"/>
      <c r="F571" s="60"/>
      <c r="G571" s="61"/>
      <c r="K571" s="59"/>
      <c r="L571" s="60"/>
      <c r="M571" s="60"/>
      <c r="N571" s="60"/>
      <c r="O571" s="61"/>
      <c r="S571" s="59"/>
      <c r="T571" s="60"/>
      <c r="U571" s="60"/>
      <c r="V571" s="60"/>
      <c r="W571" s="61"/>
      <c r="AA571" s="59"/>
      <c r="AB571" s="60"/>
      <c r="AC571" s="60"/>
      <c r="AD571" s="60"/>
      <c r="AE571" s="61"/>
    </row>
    <row r="572" spans="2:31" x14ac:dyDescent="0.25">
      <c r="B572" s="53">
        <f t="shared" si="8"/>
        <v>112</v>
      </c>
      <c r="C572" s="59"/>
      <c r="D572" s="15" t="str">
        <f>IF(D570="","","Исполнитель"&amp;": ")</f>
        <v/>
      </c>
      <c r="E572" s="62" t="str">
        <f>IFERROR(VLOOKUP(C$13&amp;$B572,Aux!$B:$M,4,0),"")</f>
        <v/>
      </c>
      <c r="F572" s="62"/>
      <c r="G572" s="63" t="str">
        <f>IFERROR(IF(VLOOKUP(C$13&amp;$B570,Aux!$B:$M,8,0)="Да","✔","🕓"),"")</f>
        <v/>
      </c>
      <c r="K572" s="59"/>
      <c r="L572" s="15" t="str">
        <f>IF(L570="","","Исполнитель"&amp;": ")</f>
        <v/>
      </c>
      <c r="M572" s="62" t="str">
        <f>IFERROR(VLOOKUP(K$13&amp;$B572,Aux!$B:$M,4,0),"")</f>
        <v/>
      </c>
      <c r="N572" s="62"/>
      <c r="O572" s="63" t="str">
        <f>IFERROR(IF(VLOOKUP(K$13&amp;$B570,Aux!$B:$M,8,0)="Да","✔","🕓"),"")</f>
        <v/>
      </c>
      <c r="S572" s="59"/>
      <c r="T572" s="15" t="str">
        <f>IF(T570="","","Исполнитель"&amp;": ")</f>
        <v/>
      </c>
      <c r="U572" s="62" t="str">
        <f>IFERROR(VLOOKUP(S$13&amp;$B572,Aux!$B:$M,4,0),"")</f>
        <v/>
      </c>
      <c r="V572" s="62"/>
      <c r="W572" s="63" t="str">
        <f>IFERROR(IF(VLOOKUP(S$13&amp;$B570,Aux!$B:$M,8,0)="Да","✔","🕓"),"")</f>
        <v/>
      </c>
      <c r="AA572" s="59"/>
      <c r="AB572" s="15" t="str">
        <f>IF(AB570="","","Исполнитель"&amp;": ")</f>
        <v/>
      </c>
      <c r="AC572" s="62" t="str">
        <f>IFERROR(VLOOKUP(AA$13&amp;$B572,Aux!$B:$M,4,0),"")</f>
        <v/>
      </c>
      <c r="AD572" s="62"/>
      <c r="AE572" s="63" t="str">
        <f>IFERROR(IF(VLOOKUP(AA$13&amp;$B570,Aux!$B:$M,8,0)="Да","✔","🕓"),"")</f>
        <v/>
      </c>
    </row>
    <row r="573" spans="2:31" x14ac:dyDescent="0.25">
      <c r="B573" s="53">
        <f t="shared" si="8"/>
        <v>112</v>
      </c>
      <c r="C573" s="59"/>
      <c r="D573" s="16" t="str">
        <f>IF(D570="","","Срок сдачи"&amp;": ")</f>
        <v/>
      </c>
      <c r="E573" s="64" t="str">
        <f>IFERROR(VLOOKUP(C$13&amp;$B573,Aux!$B:$M,6,0),"")</f>
        <v/>
      </c>
      <c r="F573" s="64"/>
      <c r="G573" s="63"/>
      <c r="K573" s="59"/>
      <c r="L573" s="16" t="str">
        <f>IF(L570="","","Срок сдачи"&amp;": ")</f>
        <v/>
      </c>
      <c r="M573" s="64" t="str">
        <f>IFERROR(VLOOKUP(K$13&amp;$B573,Aux!$B:$M,6,0),"")</f>
        <v/>
      </c>
      <c r="N573" s="64"/>
      <c r="O573" s="63"/>
      <c r="S573" s="59"/>
      <c r="T573" s="16" t="str">
        <f>IF(T570="","","Срок сдачи"&amp;": ")</f>
        <v/>
      </c>
      <c r="U573" s="64" t="str">
        <f>IFERROR(VLOOKUP(S$13&amp;$B573,Aux!$B:$M,6,0),"")</f>
        <v/>
      </c>
      <c r="V573" s="64"/>
      <c r="W573" s="63"/>
      <c r="AA573" s="59"/>
      <c r="AB573" s="16" t="str">
        <f>IF(AB570="","","Срок сдачи"&amp;": ")</f>
        <v/>
      </c>
      <c r="AC573" s="64" t="str">
        <f>IFERROR(VLOOKUP(AA$13&amp;$B573,Aux!$B:$M,6,0),"")</f>
        <v/>
      </c>
      <c r="AD573" s="64"/>
      <c r="AE573" s="63"/>
    </row>
    <row r="574" spans="2:31" x14ac:dyDescent="0.25">
      <c r="B574" s="53">
        <f t="shared" si="8"/>
        <v>112</v>
      </c>
      <c r="C574" s="7"/>
      <c r="D574" s="17"/>
      <c r="E574" s="7"/>
      <c r="F574" s="18"/>
      <c r="G574" s="18"/>
      <c r="K574" s="13"/>
      <c r="L574" s="17"/>
      <c r="M574" s="13"/>
      <c r="N574" s="14"/>
      <c r="O574" s="14"/>
      <c r="S574" s="13"/>
      <c r="T574" s="17"/>
      <c r="U574" s="13"/>
      <c r="V574" s="14"/>
      <c r="W574" s="14"/>
      <c r="AA574" s="13"/>
      <c r="AB574" s="17"/>
      <c r="AC574" s="13"/>
      <c r="AD574" s="14"/>
      <c r="AE574" s="30"/>
    </row>
    <row r="575" spans="2:31" x14ac:dyDescent="0.25">
      <c r="B575" s="53">
        <f t="shared" si="8"/>
        <v>113</v>
      </c>
      <c r="C575" s="59" t="str">
        <f>IFERROR(VLOOKUP(C$13&amp;$B579,Aux!$B:$M,5,0),"")</f>
        <v/>
      </c>
      <c r="D575" s="60" t="str">
        <f>IFERROR(VLOOKUP(C$13&amp;$B575,Aux!$B:$M,3,0),"")</f>
        <v/>
      </c>
      <c r="E575" s="60"/>
      <c r="F575" s="60"/>
      <c r="G575" s="61" t="str">
        <f>IFERROR(VLOOKUP(C$13&amp;$B575,Aux!$B:$M,9,0),"")</f>
        <v/>
      </c>
      <c r="K575" s="59" t="str">
        <f>IFERROR(VLOOKUP(K$13&amp;$B579,Aux!$B:$M,5,0),"")</f>
        <v/>
      </c>
      <c r="L575" s="60" t="str">
        <f>IFERROR(VLOOKUP(K$13&amp;$B575,Aux!$B:$M,3,0),"")</f>
        <v/>
      </c>
      <c r="M575" s="60"/>
      <c r="N575" s="60"/>
      <c r="O575" s="61" t="str">
        <f>IFERROR(VLOOKUP(K$13&amp;$B575,Aux!$B:$M,9,0),"")</f>
        <v/>
      </c>
      <c r="S575" s="59" t="str">
        <f>IFERROR(VLOOKUP(S$13&amp;$B579,Aux!$B:$M,5,0),"")</f>
        <v/>
      </c>
      <c r="T575" s="60" t="str">
        <f>IFERROR(VLOOKUP(S$13&amp;$B575,Aux!$B:$M,3,0),"")</f>
        <v/>
      </c>
      <c r="U575" s="60"/>
      <c r="V575" s="60"/>
      <c r="W575" s="61" t="str">
        <f>IFERROR(VLOOKUP(S$13&amp;$B575,Aux!$B:$M,9,0),"")</f>
        <v/>
      </c>
      <c r="AA575" s="59" t="str">
        <f>IFERROR(VLOOKUP(AA$13&amp;$B579,Aux!$B:$M,5,0),"")</f>
        <v/>
      </c>
      <c r="AB575" s="60" t="str">
        <f>IFERROR(VLOOKUP(AA$13&amp;$B575,Aux!$B:$M,3,0),"")</f>
        <v/>
      </c>
      <c r="AC575" s="60"/>
      <c r="AD575" s="60"/>
      <c r="AE575" s="61" t="str">
        <f>IFERROR(VLOOKUP(AA$13&amp;$B575,Aux!$B:$M,9,0),"")</f>
        <v/>
      </c>
    </row>
    <row r="576" spans="2:31" x14ac:dyDescent="0.25">
      <c r="B576" s="53">
        <f t="shared" si="8"/>
        <v>113</v>
      </c>
      <c r="C576" s="59"/>
      <c r="D576" s="60"/>
      <c r="E576" s="60"/>
      <c r="F576" s="60"/>
      <c r="G576" s="61"/>
      <c r="K576" s="59"/>
      <c r="L576" s="60"/>
      <c r="M576" s="60"/>
      <c r="N576" s="60"/>
      <c r="O576" s="61"/>
      <c r="S576" s="59"/>
      <c r="T576" s="60"/>
      <c r="U576" s="60"/>
      <c r="V576" s="60"/>
      <c r="W576" s="61"/>
      <c r="AA576" s="59"/>
      <c r="AB576" s="60"/>
      <c r="AC576" s="60"/>
      <c r="AD576" s="60"/>
      <c r="AE576" s="61"/>
    </row>
    <row r="577" spans="2:31" x14ac:dyDescent="0.25">
      <c r="B577" s="53">
        <f t="shared" si="8"/>
        <v>113</v>
      </c>
      <c r="C577" s="59"/>
      <c r="D577" s="15" t="str">
        <f>IF(D575="","","Исполнитель"&amp;": ")</f>
        <v/>
      </c>
      <c r="E577" s="62" t="str">
        <f>IFERROR(VLOOKUP(C$13&amp;$B577,Aux!$B:$M,4,0),"")</f>
        <v/>
      </c>
      <c r="F577" s="62"/>
      <c r="G577" s="63" t="str">
        <f>IFERROR(IF(VLOOKUP(C$13&amp;$B575,Aux!$B:$M,8,0)="Да","✔","🕓"),"")</f>
        <v/>
      </c>
      <c r="K577" s="59"/>
      <c r="L577" s="15" t="str">
        <f>IF(L575="","","Исполнитель"&amp;": ")</f>
        <v/>
      </c>
      <c r="M577" s="62" t="str">
        <f>IFERROR(VLOOKUP(K$13&amp;$B577,Aux!$B:$M,4,0),"")</f>
        <v/>
      </c>
      <c r="N577" s="62"/>
      <c r="O577" s="63" t="str">
        <f>IFERROR(IF(VLOOKUP(K$13&amp;$B575,Aux!$B:$M,8,0)="Да","✔","🕓"),"")</f>
        <v/>
      </c>
      <c r="S577" s="59"/>
      <c r="T577" s="15" t="str">
        <f>IF(T575="","","Исполнитель"&amp;": ")</f>
        <v/>
      </c>
      <c r="U577" s="62" t="str">
        <f>IFERROR(VLOOKUP(S$13&amp;$B577,Aux!$B:$M,4,0),"")</f>
        <v/>
      </c>
      <c r="V577" s="62"/>
      <c r="W577" s="63" t="str">
        <f>IFERROR(IF(VLOOKUP(S$13&amp;$B575,Aux!$B:$M,8,0)="Да","✔","🕓"),"")</f>
        <v/>
      </c>
      <c r="AA577" s="59"/>
      <c r="AB577" s="15" t="str">
        <f>IF(AB575="","","Исполнитель"&amp;": ")</f>
        <v/>
      </c>
      <c r="AC577" s="62" t="str">
        <f>IFERROR(VLOOKUP(AA$13&amp;$B577,Aux!$B:$M,4,0),"")</f>
        <v/>
      </c>
      <c r="AD577" s="62"/>
      <c r="AE577" s="63" t="str">
        <f>IFERROR(IF(VLOOKUP(AA$13&amp;$B575,Aux!$B:$M,8,0)="Да","✔","🕓"),"")</f>
        <v/>
      </c>
    </row>
    <row r="578" spans="2:31" x14ac:dyDescent="0.25">
      <c r="B578" s="53">
        <f t="shared" si="8"/>
        <v>113</v>
      </c>
      <c r="C578" s="59"/>
      <c r="D578" s="16" t="str">
        <f>IF(D575="","","Срок сдачи"&amp;": ")</f>
        <v/>
      </c>
      <c r="E578" s="64" t="str">
        <f>IFERROR(VLOOKUP(C$13&amp;$B578,Aux!$B:$M,6,0),"")</f>
        <v/>
      </c>
      <c r="F578" s="64"/>
      <c r="G578" s="63"/>
      <c r="K578" s="59"/>
      <c r="L578" s="16" t="str">
        <f>IF(L575="","","Срок сдачи"&amp;": ")</f>
        <v/>
      </c>
      <c r="M578" s="64" t="str">
        <f>IFERROR(VLOOKUP(K$13&amp;$B578,Aux!$B:$M,6,0),"")</f>
        <v/>
      </c>
      <c r="N578" s="64"/>
      <c r="O578" s="63"/>
      <c r="S578" s="59"/>
      <c r="T578" s="16" t="str">
        <f>IF(T575="","","Срок сдачи"&amp;": ")</f>
        <v/>
      </c>
      <c r="U578" s="64" t="str">
        <f>IFERROR(VLOOKUP(S$13&amp;$B578,Aux!$B:$M,6,0),"")</f>
        <v/>
      </c>
      <c r="V578" s="64"/>
      <c r="W578" s="63"/>
      <c r="AA578" s="59"/>
      <c r="AB578" s="16" t="str">
        <f>IF(AB575="","","Срок сдачи"&amp;": ")</f>
        <v/>
      </c>
      <c r="AC578" s="64" t="str">
        <f>IFERROR(VLOOKUP(AA$13&amp;$B578,Aux!$B:$M,6,0),"")</f>
        <v/>
      </c>
      <c r="AD578" s="64"/>
      <c r="AE578" s="63"/>
    </row>
    <row r="579" spans="2:31" x14ac:dyDescent="0.25">
      <c r="B579" s="53">
        <f t="shared" si="8"/>
        <v>113</v>
      </c>
      <c r="C579" s="7"/>
      <c r="D579" s="17"/>
      <c r="E579" s="7"/>
      <c r="F579" s="18"/>
      <c r="G579" s="18"/>
      <c r="K579" s="13"/>
      <c r="L579" s="17"/>
      <c r="M579" s="13"/>
      <c r="N579" s="14"/>
      <c r="O579" s="14"/>
      <c r="S579" s="13"/>
      <c r="T579" s="17"/>
      <c r="U579" s="13"/>
      <c r="V579" s="14"/>
      <c r="W579" s="14"/>
      <c r="AA579" s="13"/>
      <c r="AB579" s="17"/>
      <c r="AC579" s="13"/>
      <c r="AD579" s="14"/>
      <c r="AE579" s="30"/>
    </row>
    <row r="580" spans="2:31" x14ac:dyDescent="0.25">
      <c r="B580" s="53">
        <f t="shared" si="8"/>
        <v>114</v>
      </c>
      <c r="C580" s="59" t="str">
        <f>IFERROR(VLOOKUP(C$13&amp;$B584,Aux!$B:$M,5,0),"")</f>
        <v/>
      </c>
      <c r="D580" s="60" t="str">
        <f>IFERROR(VLOOKUP(C$13&amp;$B580,Aux!$B:$M,3,0),"")</f>
        <v/>
      </c>
      <c r="E580" s="60"/>
      <c r="F580" s="60"/>
      <c r="G580" s="61" t="str">
        <f>IFERROR(VLOOKUP(C$13&amp;$B580,Aux!$B:$M,9,0),"")</f>
        <v/>
      </c>
      <c r="K580" s="59" t="str">
        <f>IFERROR(VLOOKUP(K$13&amp;$B584,Aux!$B:$M,5,0),"")</f>
        <v/>
      </c>
      <c r="L580" s="60" t="str">
        <f>IFERROR(VLOOKUP(K$13&amp;$B580,Aux!$B:$M,3,0),"")</f>
        <v/>
      </c>
      <c r="M580" s="60"/>
      <c r="N580" s="60"/>
      <c r="O580" s="61" t="str">
        <f>IFERROR(VLOOKUP(K$13&amp;$B580,Aux!$B:$M,9,0),"")</f>
        <v/>
      </c>
      <c r="S580" s="59" t="str">
        <f>IFERROR(VLOOKUP(S$13&amp;$B584,Aux!$B:$M,5,0),"")</f>
        <v/>
      </c>
      <c r="T580" s="60" t="str">
        <f>IFERROR(VLOOKUP(S$13&amp;$B580,Aux!$B:$M,3,0),"")</f>
        <v/>
      </c>
      <c r="U580" s="60"/>
      <c r="V580" s="60"/>
      <c r="W580" s="61" t="str">
        <f>IFERROR(VLOOKUP(S$13&amp;$B580,Aux!$B:$M,9,0),"")</f>
        <v/>
      </c>
      <c r="AA580" s="59" t="str">
        <f>IFERROR(VLOOKUP(AA$13&amp;$B584,Aux!$B:$M,5,0),"")</f>
        <v/>
      </c>
      <c r="AB580" s="60" t="str">
        <f>IFERROR(VLOOKUP(AA$13&amp;$B580,Aux!$B:$M,3,0),"")</f>
        <v/>
      </c>
      <c r="AC580" s="60"/>
      <c r="AD580" s="60"/>
      <c r="AE580" s="61" t="str">
        <f>IFERROR(VLOOKUP(AA$13&amp;$B580,Aux!$B:$M,9,0),"")</f>
        <v/>
      </c>
    </row>
    <row r="581" spans="2:31" x14ac:dyDescent="0.25">
      <c r="B581" s="53">
        <f t="shared" si="8"/>
        <v>114</v>
      </c>
      <c r="C581" s="59"/>
      <c r="D581" s="60"/>
      <c r="E581" s="60"/>
      <c r="F581" s="60"/>
      <c r="G581" s="61"/>
      <c r="K581" s="59"/>
      <c r="L581" s="60"/>
      <c r="M581" s="60"/>
      <c r="N581" s="60"/>
      <c r="O581" s="61"/>
      <c r="S581" s="59"/>
      <c r="T581" s="60"/>
      <c r="U581" s="60"/>
      <c r="V581" s="60"/>
      <c r="W581" s="61"/>
      <c r="AA581" s="59"/>
      <c r="AB581" s="60"/>
      <c r="AC581" s="60"/>
      <c r="AD581" s="60"/>
      <c r="AE581" s="61"/>
    </row>
    <row r="582" spans="2:31" x14ac:dyDescent="0.25">
      <c r="B582" s="53">
        <f t="shared" si="8"/>
        <v>114</v>
      </c>
      <c r="C582" s="59"/>
      <c r="D582" s="15" t="str">
        <f>IF(D580="","","Исполнитель"&amp;": ")</f>
        <v/>
      </c>
      <c r="E582" s="62" t="str">
        <f>IFERROR(VLOOKUP(C$13&amp;$B582,Aux!$B:$M,4,0),"")</f>
        <v/>
      </c>
      <c r="F582" s="62"/>
      <c r="G582" s="63" t="str">
        <f>IFERROR(IF(VLOOKUP(C$13&amp;$B580,Aux!$B:$M,8,0)="Да","✔","🕓"),"")</f>
        <v/>
      </c>
      <c r="K582" s="59"/>
      <c r="L582" s="15" t="str">
        <f>IF(L580="","","Исполнитель"&amp;": ")</f>
        <v/>
      </c>
      <c r="M582" s="62" t="str">
        <f>IFERROR(VLOOKUP(K$13&amp;$B582,Aux!$B:$M,4,0),"")</f>
        <v/>
      </c>
      <c r="N582" s="62"/>
      <c r="O582" s="63" t="str">
        <f>IFERROR(IF(VLOOKUP(K$13&amp;$B580,Aux!$B:$M,8,0)="Да","✔","🕓"),"")</f>
        <v/>
      </c>
      <c r="S582" s="59"/>
      <c r="T582" s="15" t="str">
        <f>IF(T580="","","Исполнитель"&amp;": ")</f>
        <v/>
      </c>
      <c r="U582" s="62" t="str">
        <f>IFERROR(VLOOKUP(S$13&amp;$B582,Aux!$B:$M,4,0),"")</f>
        <v/>
      </c>
      <c r="V582" s="62"/>
      <c r="W582" s="63" t="str">
        <f>IFERROR(IF(VLOOKUP(S$13&amp;$B580,Aux!$B:$M,8,0)="Да","✔","🕓"),"")</f>
        <v/>
      </c>
      <c r="AA582" s="59"/>
      <c r="AB582" s="15" t="str">
        <f>IF(AB580="","","Исполнитель"&amp;": ")</f>
        <v/>
      </c>
      <c r="AC582" s="62" t="str">
        <f>IFERROR(VLOOKUP(AA$13&amp;$B582,Aux!$B:$M,4,0),"")</f>
        <v/>
      </c>
      <c r="AD582" s="62"/>
      <c r="AE582" s="63" t="str">
        <f>IFERROR(IF(VLOOKUP(AA$13&amp;$B580,Aux!$B:$M,8,0)="Да","✔","🕓"),"")</f>
        <v/>
      </c>
    </row>
    <row r="583" spans="2:31" x14ac:dyDescent="0.25">
      <c r="B583" s="53">
        <f t="shared" si="8"/>
        <v>114</v>
      </c>
      <c r="C583" s="59"/>
      <c r="D583" s="16" t="str">
        <f>IF(D580="","","Срок сдачи"&amp;": ")</f>
        <v/>
      </c>
      <c r="E583" s="64" t="str">
        <f>IFERROR(VLOOKUP(C$13&amp;$B583,Aux!$B:$M,6,0),"")</f>
        <v/>
      </c>
      <c r="F583" s="64"/>
      <c r="G583" s="63"/>
      <c r="K583" s="59"/>
      <c r="L583" s="16" t="str">
        <f>IF(L580="","","Срок сдачи"&amp;": ")</f>
        <v/>
      </c>
      <c r="M583" s="64" t="str">
        <f>IFERROR(VLOOKUP(K$13&amp;$B583,Aux!$B:$M,6,0),"")</f>
        <v/>
      </c>
      <c r="N583" s="64"/>
      <c r="O583" s="63"/>
      <c r="S583" s="59"/>
      <c r="T583" s="16" t="str">
        <f>IF(T580="","","Срок сдачи"&amp;": ")</f>
        <v/>
      </c>
      <c r="U583" s="64" t="str">
        <f>IFERROR(VLOOKUP(S$13&amp;$B583,Aux!$B:$M,6,0),"")</f>
        <v/>
      </c>
      <c r="V583" s="64"/>
      <c r="W583" s="63"/>
      <c r="AA583" s="59"/>
      <c r="AB583" s="16" t="str">
        <f>IF(AB580="","","Срок сдачи"&amp;": ")</f>
        <v/>
      </c>
      <c r="AC583" s="64" t="str">
        <f>IFERROR(VLOOKUP(AA$13&amp;$B583,Aux!$B:$M,6,0),"")</f>
        <v/>
      </c>
      <c r="AD583" s="64"/>
      <c r="AE583" s="63"/>
    </row>
    <row r="584" spans="2:31" x14ac:dyDescent="0.25">
      <c r="B584" s="53">
        <f t="shared" si="8"/>
        <v>114</v>
      </c>
      <c r="C584" s="7"/>
      <c r="D584" s="17"/>
      <c r="E584" s="7"/>
      <c r="F584" s="18"/>
      <c r="G584" s="18"/>
      <c r="K584" s="13"/>
      <c r="L584" s="17"/>
      <c r="M584" s="13"/>
      <c r="N584" s="14"/>
      <c r="O584" s="14"/>
      <c r="S584" s="13"/>
      <c r="T584" s="17"/>
      <c r="U584" s="13"/>
      <c r="V584" s="14"/>
      <c r="W584" s="14"/>
      <c r="AA584" s="13"/>
      <c r="AB584" s="17"/>
      <c r="AC584" s="13"/>
      <c r="AD584" s="14"/>
      <c r="AE584" s="30"/>
    </row>
    <row r="585" spans="2:31" x14ac:dyDescent="0.25">
      <c r="B585" s="53">
        <f t="shared" si="8"/>
        <v>115</v>
      </c>
      <c r="C585" s="59" t="str">
        <f>IFERROR(VLOOKUP(C$13&amp;$B589,Aux!$B:$M,5,0),"")</f>
        <v/>
      </c>
      <c r="D585" s="60" t="str">
        <f>IFERROR(VLOOKUP(C$13&amp;$B585,Aux!$B:$M,3,0),"")</f>
        <v/>
      </c>
      <c r="E585" s="60"/>
      <c r="F585" s="60"/>
      <c r="G585" s="61" t="str">
        <f>IFERROR(VLOOKUP(C$13&amp;$B585,Aux!$B:$M,9,0),"")</f>
        <v/>
      </c>
      <c r="K585" s="59" t="str">
        <f>IFERROR(VLOOKUP(K$13&amp;$B589,Aux!$B:$M,5,0),"")</f>
        <v/>
      </c>
      <c r="L585" s="60" t="str">
        <f>IFERROR(VLOOKUP(K$13&amp;$B585,Aux!$B:$M,3,0),"")</f>
        <v/>
      </c>
      <c r="M585" s="60"/>
      <c r="N585" s="60"/>
      <c r="O585" s="61" t="str">
        <f>IFERROR(VLOOKUP(K$13&amp;$B585,Aux!$B:$M,9,0),"")</f>
        <v/>
      </c>
      <c r="S585" s="59" t="str">
        <f>IFERROR(VLOOKUP(S$13&amp;$B589,Aux!$B:$M,5,0),"")</f>
        <v/>
      </c>
      <c r="T585" s="60" t="str">
        <f>IFERROR(VLOOKUP(S$13&amp;$B585,Aux!$B:$M,3,0),"")</f>
        <v/>
      </c>
      <c r="U585" s="60"/>
      <c r="V585" s="60"/>
      <c r="W585" s="61" t="str">
        <f>IFERROR(VLOOKUP(S$13&amp;$B585,Aux!$B:$M,9,0),"")</f>
        <v/>
      </c>
      <c r="AA585" s="59" t="str">
        <f>IFERROR(VLOOKUP(AA$13&amp;$B589,Aux!$B:$M,5,0),"")</f>
        <v/>
      </c>
      <c r="AB585" s="60" t="str">
        <f>IFERROR(VLOOKUP(AA$13&amp;$B585,Aux!$B:$M,3,0),"")</f>
        <v/>
      </c>
      <c r="AC585" s="60"/>
      <c r="AD585" s="60"/>
      <c r="AE585" s="61" t="str">
        <f>IFERROR(VLOOKUP(AA$13&amp;$B585,Aux!$B:$M,9,0),"")</f>
        <v/>
      </c>
    </row>
    <row r="586" spans="2:31" x14ac:dyDescent="0.25">
      <c r="B586" s="53">
        <f t="shared" si="8"/>
        <v>115</v>
      </c>
      <c r="C586" s="59"/>
      <c r="D586" s="60"/>
      <c r="E586" s="60"/>
      <c r="F586" s="60"/>
      <c r="G586" s="61"/>
      <c r="K586" s="59"/>
      <c r="L586" s="60"/>
      <c r="M586" s="60"/>
      <c r="N586" s="60"/>
      <c r="O586" s="61"/>
      <c r="S586" s="59"/>
      <c r="T586" s="60"/>
      <c r="U586" s="60"/>
      <c r="V586" s="60"/>
      <c r="W586" s="61"/>
      <c r="AA586" s="59"/>
      <c r="AB586" s="60"/>
      <c r="AC586" s="60"/>
      <c r="AD586" s="60"/>
      <c r="AE586" s="61"/>
    </row>
    <row r="587" spans="2:31" x14ac:dyDescent="0.25">
      <c r="B587" s="53">
        <f t="shared" si="8"/>
        <v>115</v>
      </c>
      <c r="C587" s="59"/>
      <c r="D587" s="15" t="str">
        <f>IF(D585="","","Исполнитель"&amp;": ")</f>
        <v/>
      </c>
      <c r="E587" s="62" t="str">
        <f>IFERROR(VLOOKUP(C$13&amp;$B587,Aux!$B:$M,4,0),"")</f>
        <v/>
      </c>
      <c r="F587" s="62"/>
      <c r="G587" s="63" t="str">
        <f>IFERROR(IF(VLOOKUP(C$13&amp;$B585,Aux!$B:$M,8,0)="Да","✔","🕓"),"")</f>
        <v/>
      </c>
      <c r="K587" s="59"/>
      <c r="L587" s="15" t="str">
        <f>IF(L585="","","Исполнитель"&amp;": ")</f>
        <v/>
      </c>
      <c r="M587" s="62" t="str">
        <f>IFERROR(VLOOKUP(K$13&amp;$B587,Aux!$B:$M,4,0),"")</f>
        <v/>
      </c>
      <c r="N587" s="62"/>
      <c r="O587" s="63" t="str">
        <f>IFERROR(IF(VLOOKUP(K$13&amp;$B585,Aux!$B:$M,8,0)="Да","✔","🕓"),"")</f>
        <v/>
      </c>
      <c r="S587" s="59"/>
      <c r="T587" s="15" t="str">
        <f>IF(T585="","","Исполнитель"&amp;": ")</f>
        <v/>
      </c>
      <c r="U587" s="62" t="str">
        <f>IFERROR(VLOOKUP(S$13&amp;$B587,Aux!$B:$M,4,0),"")</f>
        <v/>
      </c>
      <c r="V587" s="62"/>
      <c r="W587" s="63" t="str">
        <f>IFERROR(IF(VLOOKUP(S$13&amp;$B585,Aux!$B:$M,8,0)="Да","✔","🕓"),"")</f>
        <v/>
      </c>
      <c r="AA587" s="59"/>
      <c r="AB587" s="15" t="str">
        <f>IF(AB585="","","Исполнитель"&amp;": ")</f>
        <v/>
      </c>
      <c r="AC587" s="62" t="str">
        <f>IFERROR(VLOOKUP(AA$13&amp;$B587,Aux!$B:$M,4,0),"")</f>
        <v/>
      </c>
      <c r="AD587" s="62"/>
      <c r="AE587" s="63" t="str">
        <f>IFERROR(IF(VLOOKUP(AA$13&amp;$B585,Aux!$B:$M,8,0)="Да","✔","🕓"),"")</f>
        <v/>
      </c>
    </row>
    <row r="588" spans="2:31" x14ac:dyDescent="0.25">
      <c r="B588" s="53">
        <f t="shared" si="8"/>
        <v>115</v>
      </c>
      <c r="C588" s="59"/>
      <c r="D588" s="16" t="str">
        <f>IF(D585="","","Срок сдачи"&amp;": ")</f>
        <v/>
      </c>
      <c r="E588" s="64" t="str">
        <f>IFERROR(VLOOKUP(C$13&amp;$B588,Aux!$B:$M,6,0),"")</f>
        <v/>
      </c>
      <c r="F588" s="64"/>
      <c r="G588" s="63"/>
      <c r="K588" s="59"/>
      <c r="L588" s="16" t="str">
        <f>IF(L585="","","Срок сдачи"&amp;": ")</f>
        <v/>
      </c>
      <c r="M588" s="64" t="str">
        <f>IFERROR(VLOOKUP(K$13&amp;$B588,Aux!$B:$M,6,0),"")</f>
        <v/>
      </c>
      <c r="N588" s="64"/>
      <c r="O588" s="63"/>
      <c r="S588" s="59"/>
      <c r="T588" s="16" t="str">
        <f>IF(T585="","","Срок сдачи"&amp;": ")</f>
        <v/>
      </c>
      <c r="U588" s="64" t="str">
        <f>IFERROR(VLOOKUP(S$13&amp;$B588,Aux!$B:$M,6,0),"")</f>
        <v/>
      </c>
      <c r="V588" s="64"/>
      <c r="W588" s="63"/>
      <c r="AA588" s="59"/>
      <c r="AB588" s="16" t="str">
        <f>IF(AB585="","","Срок сдачи"&amp;": ")</f>
        <v/>
      </c>
      <c r="AC588" s="64" t="str">
        <f>IFERROR(VLOOKUP(AA$13&amp;$B588,Aux!$B:$M,6,0),"")</f>
        <v/>
      </c>
      <c r="AD588" s="64"/>
      <c r="AE588" s="63"/>
    </row>
    <row r="589" spans="2:31" x14ac:dyDescent="0.25">
      <c r="B589" s="53">
        <f t="shared" si="8"/>
        <v>115</v>
      </c>
      <c r="C589" s="7"/>
      <c r="D589" s="17"/>
      <c r="E589" s="7"/>
      <c r="F589" s="18"/>
      <c r="G589" s="18"/>
      <c r="K589" s="13"/>
      <c r="L589" s="17"/>
      <c r="M589" s="13"/>
      <c r="N589" s="14"/>
      <c r="O589" s="14"/>
      <c r="S589" s="13"/>
      <c r="T589" s="17"/>
      <c r="U589" s="13"/>
      <c r="V589" s="14"/>
      <c r="W589" s="14"/>
      <c r="AA589" s="13"/>
      <c r="AB589" s="17"/>
      <c r="AC589" s="13"/>
      <c r="AD589" s="14"/>
      <c r="AE589" s="30"/>
    </row>
    <row r="590" spans="2:31" x14ac:dyDescent="0.25">
      <c r="B590" s="53">
        <f t="shared" si="8"/>
        <v>116</v>
      </c>
      <c r="C590" s="59" t="str">
        <f>IFERROR(VLOOKUP(C$13&amp;$B594,Aux!$B:$M,5,0),"")</f>
        <v/>
      </c>
      <c r="D590" s="60" t="str">
        <f>IFERROR(VLOOKUP(C$13&amp;$B590,Aux!$B:$M,3,0),"")</f>
        <v/>
      </c>
      <c r="E590" s="60"/>
      <c r="F590" s="60"/>
      <c r="G590" s="61" t="str">
        <f>IFERROR(VLOOKUP(C$13&amp;$B590,Aux!$B:$M,9,0),"")</f>
        <v/>
      </c>
      <c r="K590" s="59" t="str">
        <f>IFERROR(VLOOKUP(K$13&amp;$B594,Aux!$B:$M,5,0),"")</f>
        <v/>
      </c>
      <c r="L590" s="60" t="str">
        <f>IFERROR(VLOOKUP(K$13&amp;$B590,Aux!$B:$M,3,0),"")</f>
        <v/>
      </c>
      <c r="M590" s="60"/>
      <c r="N590" s="60"/>
      <c r="O590" s="61" t="str">
        <f>IFERROR(VLOOKUP(K$13&amp;$B590,Aux!$B:$M,9,0),"")</f>
        <v/>
      </c>
      <c r="S590" s="59" t="str">
        <f>IFERROR(VLOOKUP(S$13&amp;$B594,Aux!$B:$M,5,0),"")</f>
        <v/>
      </c>
      <c r="T590" s="60" t="str">
        <f>IFERROR(VLOOKUP(S$13&amp;$B590,Aux!$B:$M,3,0),"")</f>
        <v/>
      </c>
      <c r="U590" s="60"/>
      <c r="V590" s="60"/>
      <c r="W590" s="61" t="str">
        <f>IFERROR(VLOOKUP(S$13&amp;$B590,Aux!$B:$M,9,0),"")</f>
        <v/>
      </c>
      <c r="AA590" s="59" t="str">
        <f>IFERROR(VLOOKUP(AA$13&amp;$B594,Aux!$B:$M,5,0),"")</f>
        <v/>
      </c>
      <c r="AB590" s="60" t="str">
        <f>IFERROR(VLOOKUP(AA$13&amp;$B590,Aux!$B:$M,3,0),"")</f>
        <v/>
      </c>
      <c r="AC590" s="60"/>
      <c r="AD590" s="60"/>
      <c r="AE590" s="61" t="str">
        <f>IFERROR(VLOOKUP(AA$13&amp;$B590,Aux!$B:$M,9,0),"")</f>
        <v/>
      </c>
    </row>
    <row r="591" spans="2:31" x14ac:dyDescent="0.25">
      <c r="B591" s="53">
        <f t="shared" si="8"/>
        <v>116</v>
      </c>
      <c r="C591" s="59"/>
      <c r="D591" s="60"/>
      <c r="E591" s="60"/>
      <c r="F591" s="60"/>
      <c r="G591" s="61"/>
      <c r="K591" s="59"/>
      <c r="L591" s="60"/>
      <c r="M591" s="60"/>
      <c r="N591" s="60"/>
      <c r="O591" s="61"/>
      <c r="S591" s="59"/>
      <c r="T591" s="60"/>
      <c r="U591" s="60"/>
      <c r="V591" s="60"/>
      <c r="W591" s="61"/>
      <c r="AA591" s="59"/>
      <c r="AB591" s="60"/>
      <c r="AC591" s="60"/>
      <c r="AD591" s="60"/>
      <c r="AE591" s="61"/>
    </row>
    <row r="592" spans="2:31" x14ac:dyDescent="0.25">
      <c r="B592" s="53">
        <f t="shared" si="8"/>
        <v>116</v>
      </c>
      <c r="C592" s="59"/>
      <c r="D592" s="15" t="str">
        <f>IF(D590="","","Исполнитель"&amp;": ")</f>
        <v/>
      </c>
      <c r="E592" s="62" t="str">
        <f>IFERROR(VLOOKUP(C$13&amp;$B592,Aux!$B:$M,4,0),"")</f>
        <v/>
      </c>
      <c r="F592" s="62"/>
      <c r="G592" s="63" t="str">
        <f>IFERROR(IF(VLOOKUP(C$13&amp;$B590,Aux!$B:$M,8,0)="Да","✔","🕓"),"")</f>
        <v/>
      </c>
      <c r="K592" s="59"/>
      <c r="L592" s="15" t="str">
        <f>IF(L590="","","Исполнитель"&amp;": ")</f>
        <v/>
      </c>
      <c r="M592" s="62" t="str">
        <f>IFERROR(VLOOKUP(K$13&amp;$B592,Aux!$B:$M,4,0),"")</f>
        <v/>
      </c>
      <c r="N592" s="62"/>
      <c r="O592" s="63" t="str">
        <f>IFERROR(IF(VLOOKUP(K$13&amp;$B590,Aux!$B:$M,8,0)="Да","✔","🕓"),"")</f>
        <v/>
      </c>
      <c r="S592" s="59"/>
      <c r="T592" s="15" t="str">
        <f>IF(T590="","","Исполнитель"&amp;": ")</f>
        <v/>
      </c>
      <c r="U592" s="62" t="str">
        <f>IFERROR(VLOOKUP(S$13&amp;$B592,Aux!$B:$M,4,0),"")</f>
        <v/>
      </c>
      <c r="V592" s="62"/>
      <c r="W592" s="63" t="str">
        <f>IFERROR(IF(VLOOKUP(S$13&amp;$B590,Aux!$B:$M,8,0)="Да","✔","🕓"),"")</f>
        <v/>
      </c>
      <c r="AA592" s="59"/>
      <c r="AB592" s="15" t="str">
        <f>IF(AB590="","","Исполнитель"&amp;": ")</f>
        <v/>
      </c>
      <c r="AC592" s="62" t="str">
        <f>IFERROR(VLOOKUP(AA$13&amp;$B592,Aux!$B:$M,4,0),"")</f>
        <v/>
      </c>
      <c r="AD592" s="62"/>
      <c r="AE592" s="63" t="str">
        <f>IFERROR(IF(VLOOKUP(AA$13&amp;$B590,Aux!$B:$M,8,0)="Да","✔","🕓"),"")</f>
        <v/>
      </c>
    </row>
    <row r="593" spans="2:31" x14ac:dyDescent="0.25">
      <c r="B593" s="53">
        <f t="shared" si="8"/>
        <v>116</v>
      </c>
      <c r="C593" s="59"/>
      <c r="D593" s="16" t="str">
        <f>IF(D590="","","Срок сдачи"&amp;": ")</f>
        <v/>
      </c>
      <c r="E593" s="64" t="str">
        <f>IFERROR(VLOOKUP(C$13&amp;$B593,Aux!$B:$M,6,0),"")</f>
        <v/>
      </c>
      <c r="F593" s="64"/>
      <c r="G593" s="63"/>
      <c r="K593" s="59"/>
      <c r="L593" s="16" t="str">
        <f>IF(L590="","","Срок сдачи"&amp;": ")</f>
        <v/>
      </c>
      <c r="M593" s="64" t="str">
        <f>IFERROR(VLOOKUP(K$13&amp;$B593,Aux!$B:$M,6,0),"")</f>
        <v/>
      </c>
      <c r="N593" s="64"/>
      <c r="O593" s="63"/>
      <c r="S593" s="59"/>
      <c r="T593" s="16" t="str">
        <f>IF(T590="","","Срок сдачи"&amp;": ")</f>
        <v/>
      </c>
      <c r="U593" s="64" t="str">
        <f>IFERROR(VLOOKUP(S$13&amp;$B593,Aux!$B:$M,6,0),"")</f>
        <v/>
      </c>
      <c r="V593" s="64"/>
      <c r="W593" s="63"/>
      <c r="AA593" s="59"/>
      <c r="AB593" s="16" t="str">
        <f>IF(AB590="","","Срок сдачи"&amp;": ")</f>
        <v/>
      </c>
      <c r="AC593" s="64" t="str">
        <f>IFERROR(VLOOKUP(AA$13&amp;$B593,Aux!$B:$M,6,0),"")</f>
        <v/>
      </c>
      <c r="AD593" s="64"/>
      <c r="AE593" s="63"/>
    </row>
    <row r="594" spans="2:31" x14ac:dyDescent="0.25">
      <c r="B594" s="53">
        <f t="shared" si="8"/>
        <v>116</v>
      </c>
      <c r="C594" s="7"/>
      <c r="D594" s="17"/>
      <c r="E594" s="7"/>
      <c r="F594" s="18"/>
      <c r="G594" s="18"/>
      <c r="K594" s="13"/>
      <c r="L594" s="17"/>
      <c r="M594" s="13"/>
      <c r="N594" s="14"/>
      <c r="O594" s="14"/>
      <c r="S594" s="13"/>
      <c r="T594" s="17"/>
      <c r="U594" s="13"/>
      <c r="V594" s="14"/>
      <c r="W594" s="14"/>
      <c r="AA594" s="13"/>
      <c r="AB594" s="17"/>
      <c r="AC594" s="13"/>
      <c r="AD594" s="14"/>
      <c r="AE594" s="30"/>
    </row>
    <row r="595" spans="2:31" x14ac:dyDescent="0.25">
      <c r="B595" s="53">
        <f t="shared" si="8"/>
        <v>117</v>
      </c>
      <c r="C595" s="59" t="str">
        <f>IFERROR(VLOOKUP(C$13&amp;$B599,Aux!$B:$M,5,0),"")</f>
        <v/>
      </c>
      <c r="D595" s="60" t="str">
        <f>IFERROR(VLOOKUP(C$13&amp;$B595,Aux!$B:$M,3,0),"")</f>
        <v/>
      </c>
      <c r="E595" s="60"/>
      <c r="F595" s="60"/>
      <c r="G595" s="61" t="str">
        <f>IFERROR(VLOOKUP(C$13&amp;$B595,Aux!$B:$M,9,0),"")</f>
        <v/>
      </c>
      <c r="K595" s="59" t="str">
        <f>IFERROR(VLOOKUP(K$13&amp;$B599,Aux!$B:$M,5,0),"")</f>
        <v/>
      </c>
      <c r="L595" s="60" t="str">
        <f>IFERROR(VLOOKUP(K$13&amp;$B595,Aux!$B:$M,3,0),"")</f>
        <v/>
      </c>
      <c r="M595" s="60"/>
      <c r="N595" s="60"/>
      <c r="O595" s="61" t="str">
        <f>IFERROR(VLOOKUP(K$13&amp;$B595,Aux!$B:$M,9,0),"")</f>
        <v/>
      </c>
      <c r="S595" s="59" t="str">
        <f>IFERROR(VLOOKUP(S$13&amp;$B599,Aux!$B:$M,5,0),"")</f>
        <v/>
      </c>
      <c r="T595" s="60" t="str">
        <f>IFERROR(VLOOKUP(S$13&amp;$B595,Aux!$B:$M,3,0),"")</f>
        <v/>
      </c>
      <c r="U595" s="60"/>
      <c r="V595" s="60"/>
      <c r="W595" s="61" t="str">
        <f>IFERROR(VLOOKUP(S$13&amp;$B595,Aux!$B:$M,9,0),"")</f>
        <v/>
      </c>
      <c r="AA595" s="59" t="str">
        <f>IFERROR(VLOOKUP(AA$13&amp;$B599,Aux!$B:$M,5,0),"")</f>
        <v/>
      </c>
      <c r="AB595" s="60" t="str">
        <f>IFERROR(VLOOKUP(AA$13&amp;$B595,Aux!$B:$M,3,0),"")</f>
        <v/>
      </c>
      <c r="AC595" s="60"/>
      <c r="AD595" s="60"/>
      <c r="AE595" s="61" t="str">
        <f>IFERROR(VLOOKUP(AA$13&amp;$B595,Aux!$B:$M,9,0),"")</f>
        <v/>
      </c>
    </row>
    <row r="596" spans="2:31" x14ac:dyDescent="0.25">
      <c r="B596" s="53">
        <f t="shared" si="8"/>
        <v>117</v>
      </c>
      <c r="C596" s="59"/>
      <c r="D596" s="60"/>
      <c r="E596" s="60"/>
      <c r="F596" s="60"/>
      <c r="G596" s="61"/>
      <c r="K596" s="59"/>
      <c r="L596" s="60"/>
      <c r="M596" s="60"/>
      <c r="N596" s="60"/>
      <c r="O596" s="61"/>
      <c r="S596" s="59"/>
      <c r="T596" s="60"/>
      <c r="U596" s="60"/>
      <c r="V596" s="60"/>
      <c r="W596" s="61"/>
      <c r="AA596" s="59"/>
      <c r="AB596" s="60"/>
      <c r="AC596" s="60"/>
      <c r="AD596" s="60"/>
      <c r="AE596" s="61"/>
    </row>
    <row r="597" spans="2:31" x14ac:dyDescent="0.25">
      <c r="B597" s="53">
        <f t="shared" ref="B597:B660" si="9">B592+1</f>
        <v>117</v>
      </c>
      <c r="C597" s="59"/>
      <c r="D597" s="15" t="str">
        <f>IF(D595="","","Исполнитель"&amp;": ")</f>
        <v/>
      </c>
      <c r="E597" s="62" t="str">
        <f>IFERROR(VLOOKUP(C$13&amp;$B597,Aux!$B:$M,4,0),"")</f>
        <v/>
      </c>
      <c r="F597" s="62"/>
      <c r="G597" s="63" t="str">
        <f>IFERROR(IF(VLOOKUP(C$13&amp;$B595,Aux!$B:$M,8,0)="Да","✔","🕓"),"")</f>
        <v/>
      </c>
      <c r="K597" s="59"/>
      <c r="L597" s="15" t="str">
        <f>IF(L595="","","Исполнитель"&amp;": ")</f>
        <v/>
      </c>
      <c r="M597" s="62" t="str">
        <f>IFERROR(VLOOKUP(K$13&amp;$B597,Aux!$B:$M,4,0),"")</f>
        <v/>
      </c>
      <c r="N597" s="62"/>
      <c r="O597" s="63" t="str">
        <f>IFERROR(IF(VLOOKUP(K$13&amp;$B595,Aux!$B:$M,8,0)="Да","✔","🕓"),"")</f>
        <v/>
      </c>
      <c r="S597" s="59"/>
      <c r="T597" s="15" t="str">
        <f>IF(T595="","","Исполнитель"&amp;": ")</f>
        <v/>
      </c>
      <c r="U597" s="62" t="str">
        <f>IFERROR(VLOOKUP(S$13&amp;$B597,Aux!$B:$M,4,0),"")</f>
        <v/>
      </c>
      <c r="V597" s="62"/>
      <c r="W597" s="63" t="str">
        <f>IFERROR(IF(VLOOKUP(S$13&amp;$B595,Aux!$B:$M,8,0)="Да","✔","🕓"),"")</f>
        <v/>
      </c>
      <c r="AA597" s="59"/>
      <c r="AB597" s="15" t="str">
        <f>IF(AB595="","","Исполнитель"&amp;": ")</f>
        <v/>
      </c>
      <c r="AC597" s="62" t="str">
        <f>IFERROR(VLOOKUP(AA$13&amp;$B597,Aux!$B:$M,4,0),"")</f>
        <v/>
      </c>
      <c r="AD597" s="62"/>
      <c r="AE597" s="63" t="str">
        <f>IFERROR(IF(VLOOKUP(AA$13&amp;$B595,Aux!$B:$M,8,0)="Да","✔","🕓"),"")</f>
        <v/>
      </c>
    </row>
    <row r="598" spans="2:31" x14ac:dyDescent="0.25">
      <c r="B598" s="53">
        <f t="shared" si="9"/>
        <v>117</v>
      </c>
      <c r="C598" s="59"/>
      <c r="D598" s="16" t="str">
        <f>IF(D595="","","Срок сдачи"&amp;": ")</f>
        <v/>
      </c>
      <c r="E598" s="64" t="str">
        <f>IFERROR(VLOOKUP(C$13&amp;$B598,Aux!$B:$M,6,0),"")</f>
        <v/>
      </c>
      <c r="F598" s="64"/>
      <c r="G598" s="63"/>
      <c r="K598" s="59"/>
      <c r="L598" s="16" t="str">
        <f>IF(L595="","","Срок сдачи"&amp;": ")</f>
        <v/>
      </c>
      <c r="M598" s="64" t="str">
        <f>IFERROR(VLOOKUP(K$13&amp;$B598,Aux!$B:$M,6,0),"")</f>
        <v/>
      </c>
      <c r="N598" s="64"/>
      <c r="O598" s="63"/>
      <c r="S598" s="59"/>
      <c r="T598" s="16" t="str">
        <f>IF(T595="","","Срок сдачи"&amp;": ")</f>
        <v/>
      </c>
      <c r="U598" s="64" t="str">
        <f>IFERROR(VLOOKUP(S$13&amp;$B598,Aux!$B:$M,6,0),"")</f>
        <v/>
      </c>
      <c r="V598" s="64"/>
      <c r="W598" s="63"/>
      <c r="AA598" s="59"/>
      <c r="AB598" s="16" t="str">
        <f>IF(AB595="","","Срок сдачи"&amp;": ")</f>
        <v/>
      </c>
      <c r="AC598" s="64" t="str">
        <f>IFERROR(VLOOKUP(AA$13&amp;$B598,Aux!$B:$M,6,0),"")</f>
        <v/>
      </c>
      <c r="AD598" s="64"/>
      <c r="AE598" s="63"/>
    </row>
    <row r="599" spans="2:31" x14ac:dyDescent="0.25">
      <c r="B599" s="53">
        <f t="shared" si="9"/>
        <v>117</v>
      </c>
      <c r="C599" s="7"/>
      <c r="D599" s="17"/>
      <c r="E599" s="7"/>
      <c r="F599" s="18"/>
      <c r="G599" s="18"/>
      <c r="K599" s="13"/>
      <c r="L599" s="17"/>
      <c r="M599" s="13"/>
      <c r="N599" s="14"/>
      <c r="O599" s="14"/>
      <c r="S599" s="13"/>
      <c r="T599" s="17"/>
      <c r="U599" s="13"/>
      <c r="V599" s="14"/>
      <c r="W599" s="14"/>
      <c r="AA599" s="13"/>
      <c r="AB599" s="17"/>
      <c r="AC599" s="13"/>
      <c r="AD599" s="14"/>
      <c r="AE599" s="30"/>
    </row>
    <row r="600" spans="2:31" x14ac:dyDescent="0.25">
      <c r="B600" s="53">
        <f t="shared" si="9"/>
        <v>118</v>
      </c>
      <c r="C600" s="59" t="str">
        <f>IFERROR(VLOOKUP(C$13&amp;$B604,Aux!$B:$M,5,0),"")</f>
        <v/>
      </c>
      <c r="D600" s="60" t="str">
        <f>IFERROR(VLOOKUP(C$13&amp;$B600,Aux!$B:$M,3,0),"")</f>
        <v/>
      </c>
      <c r="E600" s="60"/>
      <c r="F600" s="60"/>
      <c r="G600" s="61" t="str">
        <f>IFERROR(VLOOKUP(C$13&amp;$B600,Aux!$B:$M,9,0),"")</f>
        <v/>
      </c>
      <c r="K600" s="59" t="str">
        <f>IFERROR(VLOOKUP(K$13&amp;$B604,Aux!$B:$M,5,0),"")</f>
        <v/>
      </c>
      <c r="L600" s="60" t="str">
        <f>IFERROR(VLOOKUP(K$13&amp;$B600,Aux!$B:$M,3,0),"")</f>
        <v/>
      </c>
      <c r="M600" s="60"/>
      <c r="N600" s="60"/>
      <c r="O600" s="61" t="str">
        <f>IFERROR(VLOOKUP(K$13&amp;$B600,Aux!$B:$M,9,0),"")</f>
        <v/>
      </c>
      <c r="S600" s="59" t="str">
        <f>IFERROR(VLOOKUP(S$13&amp;$B604,Aux!$B:$M,5,0),"")</f>
        <v/>
      </c>
      <c r="T600" s="60" t="str">
        <f>IFERROR(VLOOKUP(S$13&amp;$B600,Aux!$B:$M,3,0),"")</f>
        <v/>
      </c>
      <c r="U600" s="60"/>
      <c r="V600" s="60"/>
      <c r="W600" s="61" t="str">
        <f>IFERROR(VLOOKUP(S$13&amp;$B600,Aux!$B:$M,9,0),"")</f>
        <v/>
      </c>
      <c r="AA600" s="59" t="str">
        <f>IFERROR(VLOOKUP(AA$13&amp;$B604,Aux!$B:$M,5,0),"")</f>
        <v/>
      </c>
      <c r="AB600" s="60" t="str">
        <f>IFERROR(VLOOKUP(AA$13&amp;$B600,Aux!$B:$M,3,0),"")</f>
        <v/>
      </c>
      <c r="AC600" s="60"/>
      <c r="AD600" s="60"/>
      <c r="AE600" s="61" t="str">
        <f>IFERROR(VLOOKUP(AA$13&amp;$B600,Aux!$B:$M,9,0),"")</f>
        <v/>
      </c>
    </row>
    <row r="601" spans="2:31" x14ac:dyDescent="0.25">
      <c r="B601" s="53">
        <f t="shared" si="9"/>
        <v>118</v>
      </c>
      <c r="C601" s="59"/>
      <c r="D601" s="60"/>
      <c r="E601" s="60"/>
      <c r="F601" s="60"/>
      <c r="G601" s="61"/>
      <c r="K601" s="59"/>
      <c r="L601" s="60"/>
      <c r="M601" s="60"/>
      <c r="N601" s="60"/>
      <c r="O601" s="61"/>
      <c r="S601" s="59"/>
      <c r="T601" s="60"/>
      <c r="U601" s="60"/>
      <c r="V601" s="60"/>
      <c r="W601" s="61"/>
      <c r="AA601" s="59"/>
      <c r="AB601" s="60"/>
      <c r="AC601" s="60"/>
      <c r="AD601" s="60"/>
      <c r="AE601" s="61"/>
    </row>
    <row r="602" spans="2:31" x14ac:dyDescent="0.25">
      <c r="B602" s="53">
        <f t="shared" si="9"/>
        <v>118</v>
      </c>
      <c r="C602" s="59"/>
      <c r="D602" s="15" t="str">
        <f>IF(D600="","","Исполнитель"&amp;": ")</f>
        <v/>
      </c>
      <c r="E602" s="62" t="str">
        <f>IFERROR(VLOOKUP(C$13&amp;$B602,Aux!$B:$M,4,0),"")</f>
        <v/>
      </c>
      <c r="F602" s="62"/>
      <c r="G602" s="63" t="str">
        <f>IFERROR(IF(VLOOKUP(C$13&amp;$B600,Aux!$B:$M,8,0)="Да","✔","🕓"),"")</f>
        <v/>
      </c>
      <c r="K602" s="59"/>
      <c r="L602" s="15" t="str">
        <f>IF(L600="","","Исполнитель"&amp;": ")</f>
        <v/>
      </c>
      <c r="M602" s="62" t="str">
        <f>IFERROR(VLOOKUP(K$13&amp;$B602,Aux!$B:$M,4,0),"")</f>
        <v/>
      </c>
      <c r="N602" s="62"/>
      <c r="O602" s="63" t="str">
        <f>IFERROR(IF(VLOOKUP(K$13&amp;$B600,Aux!$B:$M,8,0)="Да","✔","🕓"),"")</f>
        <v/>
      </c>
      <c r="S602" s="59"/>
      <c r="T602" s="15" t="str">
        <f>IF(T600="","","Исполнитель"&amp;": ")</f>
        <v/>
      </c>
      <c r="U602" s="62" t="str">
        <f>IFERROR(VLOOKUP(S$13&amp;$B602,Aux!$B:$M,4,0),"")</f>
        <v/>
      </c>
      <c r="V602" s="62"/>
      <c r="W602" s="63" t="str">
        <f>IFERROR(IF(VLOOKUP(S$13&amp;$B600,Aux!$B:$M,8,0)="Да","✔","🕓"),"")</f>
        <v/>
      </c>
      <c r="AA602" s="59"/>
      <c r="AB602" s="15" t="str">
        <f>IF(AB600="","","Исполнитель"&amp;": ")</f>
        <v/>
      </c>
      <c r="AC602" s="62" t="str">
        <f>IFERROR(VLOOKUP(AA$13&amp;$B602,Aux!$B:$M,4,0),"")</f>
        <v/>
      </c>
      <c r="AD602" s="62"/>
      <c r="AE602" s="63" t="str">
        <f>IFERROR(IF(VLOOKUP(AA$13&amp;$B600,Aux!$B:$M,8,0)="Да","✔","🕓"),"")</f>
        <v/>
      </c>
    </row>
    <row r="603" spans="2:31" x14ac:dyDescent="0.25">
      <c r="B603" s="53">
        <f t="shared" si="9"/>
        <v>118</v>
      </c>
      <c r="C603" s="59"/>
      <c r="D603" s="16" t="str">
        <f>IF(D600="","","Срок сдачи"&amp;": ")</f>
        <v/>
      </c>
      <c r="E603" s="64" t="str">
        <f>IFERROR(VLOOKUP(C$13&amp;$B603,Aux!$B:$M,6,0),"")</f>
        <v/>
      </c>
      <c r="F603" s="64"/>
      <c r="G603" s="63"/>
      <c r="K603" s="59"/>
      <c r="L603" s="16" t="str">
        <f>IF(L600="","","Срок сдачи"&amp;": ")</f>
        <v/>
      </c>
      <c r="M603" s="64" t="str">
        <f>IFERROR(VLOOKUP(K$13&amp;$B603,Aux!$B:$M,6,0),"")</f>
        <v/>
      </c>
      <c r="N603" s="64"/>
      <c r="O603" s="63"/>
      <c r="S603" s="59"/>
      <c r="T603" s="16" t="str">
        <f>IF(T600="","","Срок сдачи"&amp;": ")</f>
        <v/>
      </c>
      <c r="U603" s="64" t="str">
        <f>IFERROR(VLOOKUP(S$13&amp;$B603,Aux!$B:$M,6,0),"")</f>
        <v/>
      </c>
      <c r="V603" s="64"/>
      <c r="W603" s="63"/>
      <c r="AA603" s="59"/>
      <c r="AB603" s="16" t="str">
        <f>IF(AB600="","","Срок сдачи"&amp;": ")</f>
        <v/>
      </c>
      <c r="AC603" s="64" t="str">
        <f>IFERROR(VLOOKUP(AA$13&amp;$B603,Aux!$B:$M,6,0),"")</f>
        <v/>
      </c>
      <c r="AD603" s="64"/>
      <c r="AE603" s="63"/>
    </row>
    <row r="604" spans="2:31" x14ac:dyDescent="0.25">
      <c r="B604" s="53">
        <f t="shared" si="9"/>
        <v>118</v>
      </c>
      <c r="C604" s="7"/>
      <c r="D604" s="17"/>
      <c r="E604" s="7"/>
      <c r="F604" s="18"/>
      <c r="G604" s="18"/>
      <c r="K604" s="13"/>
      <c r="L604" s="17"/>
      <c r="M604" s="13"/>
      <c r="N604" s="14"/>
      <c r="O604" s="14"/>
      <c r="S604" s="13"/>
      <c r="T604" s="17"/>
      <c r="U604" s="13"/>
      <c r="V604" s="14"/>
      <c r="W604" s="14"/>
      <c r="AA604" s="13"/>
      <c r="AB604" s="17"/>
      <c r="AC604" s="13"/>
      <c r="AD604" s="14"/>
      <c r="AE604" s="30"/>
    </row>
    <row r="605" spans="2:31" x14ac:dyDescent="0.25">
      <c r="B605" s="53">
        <f t="shared" si="9"/>
        <v>119</v>
      </c>
      <c r="C605" s="59" t="str">
        <f>IFERROR(VLOOKUP(C$13&amp;$B609,Aux!$B:$M,5,0),"")</f>
        <v/>
      </c>
      <c r="D605" s="60" t="str">
        <f>IFERROR(VLOOKUP(C$13&amp;$B605,Aux!$B:$M,3,0),"")</f>
        <v/>
      </c>
      <c r="E605" s="60"/>
      <c r="F605" s="60"/>
      <c r="G605" s="61" t="str">
        <f>IFERROR(VLOOKUP(C$13&amp;$B605,Aux!$B:$M,9,0),"")</f>
        <v/>
      </c>
      <c r="K605" s="59" t="str">
        <f>IFERROR(VLOOKUP(K$13&amp;$B609,Aux!$B:$M,5,0),"")</f>
        <v/>
      </c>
      <c r="L605" s="60" t="str">
        <f>IFERROR(VLOOKUP(K$13&amp;$B605,Aux!$B:$M,3,0),"")</f>
        <v/>
      </c>
      <c r="M605" s="60"/>
      <c r="N605" s="60"/>
      <c r="O605" s="61" t="str">
        <f>IFERROR(VLOOKUP(K$13&amp;$B605,Aux!$B:$M,9,0),"")</f>
        <v/>
      </c>
      <c r="S605" s="59" t="str">
        <f>IFERROR(VLOOKUP(S$13&amp;$B609,Aux!$B:$M,5,0),"")</f>
        <v/>
      </c>
      <c r="T605" s="60" t="str">
        <f>IFERROR(VLOOKUP(S$13&amp;$B605,Aux!$B:$M,3,0),"")</f>
        <v/>
      </c>
      <c r="U605" s="60"/>
      <c r="V605" s="60"/>
      <c r="W605" s="61" t="str">
        <f>IFERROR(VLOOKUP(S$13&amp;$B605,Aux!$B:$M,9,0),"")</f>
        <v/>
      </c>
      <c r="AA605" s="59" t="str">
        <f>IFERROR(VLOOKUP(AA$13&amp;$B609,Aux!$B:$M,5,0),"")</f>
        <v/>
      </c>
      <c r="AB605" s="60" t="str">
        <f>IFERROR(VLOOKUP(AA$13&amp;$B605,Aux!$B:$M,3,0),"")</f>
        <v/>
      </c>
      <c r="AC605" s="60"/>
      <c r="AD605" s="60"/>
      <c r="AE605" s="61" t="str">
        <f>IFERROR(VLOOKUP(AA$13&amp;$B605,Aux!$B:$M,9,0),"")</f>
        <v/>
      </c>
    </row>
    <row r="606" spans="2:31" x14ac:dyDescent="0.25">
      <c r="B606" s="53">
        <f t="shared" si="9"/>
        <v>119</v>
      </c>
      <c r="C606" s="59"/>
      <c r="D606" s="60"/>
      <c r="E606" s="60"/>
      <c r="F606" s="60"/>
      <c r="G606" s="61"/>
      <c r="K606" s="59"/>
      <c r="L606" s="60"/>
      <c r="M606" s="60"/>
      <c r="N606" s="60"/>
      <c r="O606" s="61"/>
      <c r="S606" s="59"/>
      <c r="T606" s="60"/>
      <c r="U606" s="60"/>
      <c r="V606" s="60"/>
      <c r="W606" s="61"/>
      <c r="AA606" s="59"/>
      <c r="AB606" s="60"/>
      <c r="AC606" s="60"/>
      <c r="AD606" s="60"/>
      <c r="AE606" s="61"/>
    </row>
    <row r="607" spans="2:31" x14ac:dyDescent="0.25">
      <c r="B607" s="53">
        <f t="shared" si="9"/>
        <v>119</v>
      </c>
      <c r="C607" s="59"/>
      <c r="D607" s="15" t="str">
        <f>IF(D605="","","Исполнитель"&amp;": ")</f>
        <v/>
      </c>
      <c r="E607" s="62" t="str">
        <f>IFERROR(VLOOKUP(C$13&amp;$B607,Aux!$B:$M,4,0),"")</f>
        <v/>
      </c>
      <c r="F607" s="62"/>
      <c r="G607" s="63" t="str">
        <f>IFERROR(IF(VLOOKUP(C$13&amp;$B605,Aux!$B:$M,8,0)="Да","✔","🕓"),"")</f>
        <v/>
      </c>
      <c r="K607" s="59"/>
      <c r="L607" s="15" t="str">
        <f>IF(L605="","","Исполнитель"&amp;": ")</f>
        <v/>
      </c>
      <c r="M607" s="62" t="str">
        <f>IFERROR(VLOOKUP(K$13&amp;$B607,Aux!$B:$M,4,0),"")</f>
        <v/>
      </c>
      <c r="N607" s="62"/>
      <c r="O607" s="63" t="str">
        <f>IFERROR(IF(VLOOKUP(K$13&amp;$B605,Aux!$B:$M,8,0)="Да","✔","🕓"),"")</f>
        <v/>
      </c>
      <c r="S607" s="59"/>
      <c r="T607" s="15" t="str">
        <f>IF(T605="","","Исполнитель"&amp;": ")</f>
        <v/>
      </c>
      <c r="U607" s="62" t="str">
        <f>IFERROR(VLOOKUP(S$13&amp;$B607,Aux!$B:$M,4,0),"")</f>
        <v/>
      </c>
      <c r="V607" s="62"/>
      <c r="W607" s="63" t="str">
        <f>IFERROR(IF(VLOOKUP(S$13&amp;$B605,Aux!$B:$M,8,0)="Да","✔","🕓"),"")</f>
        <v/>
      </c>
      <c r="AA607" s="59"/>
      <c r="AB607" s="15" t="str">
        <f>IF(AB605="","","Исполнитель"&amp;": ")</f>
        <v/>
      </c>
      <c r="AC607" s="62" t="str">
        <f>IFERROR(VLOOKUP(AA$13&amp;$B607,Aux!$B:$M,4,0),"")</f>
        <v/>
      </c>
      <c r="AD607" s="62"/>
      <c r="AE607" s="63" t="str">
        <f>IFERROR(IF(VLOOKUP(AA$13&amp;$B605,Aux!$B:$M,8,0)="Да","✔","🕓"),"")</f>
        <v/>
      </c>
    </row>
    <row r="608" spans="2:31" x14ac:dyDescent="0.25">
      <c r="B608" s="53">
        <f t="shared" si="9"/>
        <v>119</v>
      </c>
      <c r="C608" s="59"/>
      <c r="D608" s="16" t="str">
        <f>IF(D605="","","Срок сдачи"&amp;": ")</f>
        <v/>
      </c>
      <c r="E608" s="64" t="str">
        <f>IFERROR(VLOOKUP(C$13&amp;$B608,Aux!$B:$M,6,0),"")</f>
        <v/>
      </c>
      <c r="F608" s="64"/>
      <c r="G608" s="63"/>
      <c r="K608" s="59"/>
      <c r="L608" s="16" t="str">
        <f>IF(L605="","","Срок сдачи"&amp;": ")</f>
        <v/>
      </c>
      <c r="M608" s="64" t="str">
        <f>IFERROR(VLOOKUP(K$13&amp;$B608,Aux!$B:$M,6,0),"")</f>
        <v/>
      </c>
      <c r="N608" s="64"/>
      <c r="O608" s="63"/>
      <c r="S608" s="59"/>
      <c r="T608" s="16" t="str">
        <f>IF(T605="","","Срок сдачи"&amp;": ")</f>
        <v/>
      </c>
      <c r="U608" s="64" t="str">
        <f>IFERROR(VLOOKUP(S$13&amp;$B608,Aux!$B:$M,6,0),"")</f>
        <v/>
      </c>
      <c r="V608" s="64"/>
      <c r="W608" s="63"/>
      <c r="AA608" s="59"/>
      <c r="AB608" s="16" t="str">
        <f>IF(AB605="","","Срок сдачи"&amp;": ")</f>
        <v/>
      </c>
      <c r="AC608" s="64" t="str">
        <f>IFERROR(VLOOKUP(AA$13&amp;$B608,Aux!$B:$M,6,0),"")</f>
        <v/>
      </c>
      <c r="AD608" s="64"/>
      <c r="AE608" s="63"/>
    </row>
    <row r="609" spans="2:31" x14ac:dyDescent="0.25">
      <c r="B609" s="53">
        <f t="shared" si="9"/>
        <v>119</v>
      </c>
      <c r="C609" s="7"/>
      <c r="D609" s="17"/>
      <c r="E609" s="7"/>
      <c r="F609" s="18"/>
      <c r="G609" s="18"/>
      <c r="K609" s="13"/>
      <c r="L609" s="17"/>
      <c r="M609" s="13"/>
      <c r="N609" s="14"/>
      <c r="O609" s="14"/>
      <c r="S609" s="13"/>
      <c r="T609" s="17"/>
      <c r="U609" s="13"/>
      <c r="V609" s="14"/>
      <c r="W609" s="14"/>
      <c r="AA609" s="13"/>
      <c r="AB609" s="17"/>
      <c r="AC609" s="13"/>
      <c r="AD609" s="14"/>
      <c r="AE609" s="30"/>
    </row>
    <row r="610" spans="2:31" x14ac:dyDescent="0.25">
      <c r="B610" s="53">
        <f t="shared" si="9"/>
        <v>120</v>
      </c>
      <c r="C610" s="59" t="str">
        <f>IFERROR(VLOOKUP(C$13&amp;$B614,Aux!$B:$M,5,0),"")</f>
        <v/>
      </c>
      <c r="D610" s="60" t="str">
        <f>IFERROR(VLOOKUP(C$13&amp;$B610,Aux!$B:$M,3,0),"")</f>
        <v/>
      </c>
      <c r="E610" s="60"/>
      <c r="F610" s="60"/>
      <c r="G610" s="61" t="str">
        <f>IFERROR(VLOOKUP(C$13&amp;$B610,Aux!$B:$M,9,0),"")</f>
        <v/>
      </c>
      <c r="K610" s="59" t="str">
        <f>IFERROR(VLOOKUP(K$13&amp;$B614,Aux!$B:$M,5,0),"")</f>
        <v/>
      </c>
      <c r="L610" s="60" t="str">
        <f>IFERROR(VLOOKUP(K$13&amp;$B610,Aux!$B:$M,3,0),"")</f>
        <v/>
      </c>
      <c r="M610" s="60"/>
      <c r="N610" s="60"/>
      <c r="O610" s="61" t="str">
        <f>IFERROR(VLOOKUP(K$13&amp;$B610,Aux!$B:$M,9,0),"")</f>
        <v/>
      </c>
      <c r="S610" s="59" t="str">
        <f>IFERROR(VLOOKUP(S$13&amp;$B614,Aux!$B:$M,5,0),"")</f>
        <v/>
      </c>
      <c r="T610" s="60" t="str">
        <f>IFERROR(VLOOKUP(S$13&amp;$B610,Aux!$B:$M,3,0),"")</f>
        <v/>
      </c>
      <c r="U610" s="60"/>
      <c r="V610" s="60"/>
      <c r="W610" s="61" t="str">
        <f>IFERROR(VLOOKUP(S$13&amp;$B610,Aux!$B:$M,9,0),"")</f>
        <v/>
      </c>
      <c r="AA610" s="59" t="str">
        <f>IFERROR(VLOOKUP(AA$13&amp;$B614,Aux!$B:$M,5,0),"")</f>
        <v/>
      </c>
      <c r="AB610" s="60" t="str">
        <f>IFERROR(VLOOKUP(AA$13&amp;$B610,Aux!$B:$M,3,0),"")</f>
        <v/>
      </c>
      <c r="AC610" s="60"/>
      <c r="AD610" s="60"/>
      <c r="AE610" s="61" t="str">
        <f>IFERROR(VLOOKUP(AA$13&amp;$B610,Aux!$B:$M,9,0),"")</f>
        <v/>
      </c>
    </row>
    <row r="611" spans="2:31" x14ac:dyDescent="0.25">
      <c r="B611" s="53">
        <f t="shared" si="9"/>
        <v>120</v>
      </c>
      <c r="C611" s="59"/>
      <c r="D611" s="60"/>
      <c r="E611" s="60"/>
      <c r="F611" s="60"/>
      <c r="G611" s="61"/>
      <c r="K611" s="59"/>
      <c r="L611" s="60"/>
      <c r="M611" s="60"/>
      <c r="N611" s="60"/>
      <c r="O611" s="61"/>
      <c r="S611" s="59"/>
      <c r="T611" s="60"/>
      <c r="U611" s="60"/>
      <c r="V611" s="60"/>
      <c r="W611" s="61"/>
      <c r="AA611" s="59"/>
      <c r="AB611" s="60"/>
      <c r="AC611" s="60"/>
      <c r="AD611" s="60"/>
      <c r="AE611" s="61"/>
    </row>
    <row r="612" spans="2:31" x14ac:dyDescent="0.25">
      <c r="B612" s="53">
        <f t="shared" si="9"/>
        <v>120</v>
      </c>
      <c r="C612" s="59"/>
      <c r="D612" s="15" t="str">
        <f>IF(D610="","","Исполнитель"&amp;": ")</f>
        <v/>
      </c>
      <c r="E612" s="62" t="str">
        <f>IFERROR(VLOOKUP(C$13&amp;$B612,Aux!$B:$M,4,0),"")</f>
        <v/>
      </c>
      <c r="F612" s="62"/>
      <c r="G612" s="63" t="str">
        <f>IFERROR(IF(VLOOKUP(C$13&amp;$B610,Aux!$B:$M,8,0)="Да","✔","🕓"),"")</f>
        <v/>
      </c>
      <c r="K612" s="59"/>
      <c r="L612" s="15" t="str">
        <f>IF(L610="","","Исполнитель"&amp;": ")</f>
        <v/>
      </c>
      <c r="M612" s="62" t="str">
        <f>IFERROR(VLOOKUP(K$13&amp;$B612,Aux!$B:$M,4,0),"")</f>
        <v/>
      </c>
      <c r="N612" s="62"/>
      <c r="O612" s="63" t="str">
        <f>IFERROR(IF(VLOOKUP(K$13&amp;$B610,Aux!$B:$M,8,0)="Да","✔","🕓"),"")</f>
        <v/>
      </c>
      <c r="S612" s="59"/>
      <c r="T612" s="15" t="str">
        <f>IF(T610="","","Исполнитель"&amp;": ")</f>
        <v/>
      </c>
      <c r="U612" s="62" t="str">
        <f>IFERROR(VLOOKUP(S$13&amp;$B612,Aux!$B:$M,4,0),"")</f>
        <v/>
      </c>
      <c r="V612" s="62"/>
      <c r="W612" s="63" t="str">
        <f>IFERROR(IF(VLOOKUP(S$13&amp;$B610,Aux!$B:$M,8,0)="Да","✔","🕓"),"")</f>
        <v/>
      </c>
      <c r="AA612" s="59"/>
      <c r="AB612" s="15" t="str">
        <f>IF(AB610="","","Исполнитель"&amp;": ")</f>
        <v/>
      </c>
      <c r="AC612" s="62" t="str">
        <f>IFERROR(VLOOKUP(AA$13&amp;$B612,Aux!$B:$M,4,0),"")</f>
        <v/>
      </c>
      <c r="AD612" s="62"/>
      <c r="AE612" s="63" t="str">
        <f>IFERROR(IF(VLOOKUP(AA$13&amp;$B610,Aux!$B:$M,8,0)="Да","✔","🕓"),"")</f>
        <v/>
      </c>
    </row>
    <row r="613" spans="2:31" x14ac:dyDescent="0.25">
      <c r="B613" s="53">
        <f t="shared" si="9"/>
        <v>120</v>
      </c>
      <c r="C613" s="59"/>
      <c r="D613" s="16" t="str">
        <f>IF(D610="","","Срок сдачи"&amp;": ")</f>
        <v/>
      </c>
      <c r="E613" s="64" t="str">
        <f>IFERROR(VLOOKUP(C$13&amp;$B613,Aux!$B:$M,6,0),"")</f>
        <v/>
      </c>
      <c r="F613" s="64"/>
      <c r="G613" s="63"/>
      <c r="K613" s="59"/>
      <c r="L613" s="16" t="str">
        <f>IF(L610="","","Срок сдачи"&amp;": ")</f>
        <v/>
      </c>
      <c r="M613" s="64" t="str">
        <f>IFERROR(VLOOKUP(K$13&amp;$B613,Aux!$B:$M,6,0),"")</f>
        <v/>
      </c>
      <c r="N613" s="64"/>
      <c r="O613" s="63"/>
      <c r="S613" s="59"/>
      <c r="T613" s="16" t="str">
        <f>IF(T610="","","Срок сдачи"&amp;": ")</f>
        <v/>
      </c>
      <c r="U613" s="64" t="str">
        <f>IFERROR(VLOOKUP(S$13&amp;$B613,Aux!$B:$M,6,0),"")</f>
        <v/>
      </c>
      <c r="V613" s="64"/>
      <c r="W613" s="63"/>
      <c r="AA613" s="59"/>
      <c r="AB613" s="16" t="str">
        <f>IF(AB610="","","Срок сдачи"&amp;": ")</f>
        <v/>
      </c>
      <c r="AC613" s="64" t="str">
        <f>IFERROR(VLOOKUP(AA$13&amp;$B613,Aux!$B:$M,6,0),"")</f>
        <v/>
      </c>
      <c r="AD613" s="64"/>
      <c r="AE613" s="63"/>
    </row>
    <row r="614" spans="2:31" x14ac:dyDescent="0.25">
      <c r="B614" s="53">
        <f t="shared" si="9"/>
        <v>120</v>
      </c>
      <c r="C614" s="7"/>
      <c r="D614" s="17"/>
      <c r="E614" s="7"/>
      <c r="F614" s="18"/>
      <c r="G614" s="18"/>
      <c r="K614" s="13"/>
      <c r="L614" s="17"/>
      <c r="M614" s="13"/>
      <c r="N614" s="14"/>
      <c r="O614" s="14"/>
      <c r="S614" s="13"/>
      <c r="T614" s="17"/>
      <c r="U614" s="13"/>
      <c r="V614" s="14"/>
      <c r="W614" s="14"/>
      <c r="AA614" s="13"/>
      <c r="AB614" s="17"/>
      <c r="AC614" s="13"/>
      <c r="AD614" s="14"/>
      <c r="AE614" s="30"/>
    </row>
    <row r="615" spans="2:31" x14ac:dyDescent="0.25">
      <c r="B615" s="53">
        <f t="shared" si="9"/>
        <v>121</v>
      </c>
      <c r="C615" s="59" t="str">
        <f>IFERROR(VLOOKUP(C$13&amp;$B619,Aux!$B:$M,5,0),"")</f>
        <v/>
      </c>
      <c r="D615" s="60" t="str">
        <f>IFERROR(VLOOKUP(C$13&amp;$B615,Aux!$B:$M,3,0),"")</f>
        <v/>
      </c>
      <c r="E615" s="60"/>
      <c r="F615" s="60"/>
      <c r="G615" s="61" t="str">
        <f>IFERROR(VLOOKUP(C$13&amp;$B615,Aux!$B:$M,9,0),"")</f>
        <v/>
      </c>
      <c r="K615" s="59" t="str">
        <f>IFERROR(VLOOKUP(K$13&amp;$B619,Aux!$B:$M,5,0),"")</f>
        <v/>
      </c>
      <c r="L615" s="60" t="str">
        <f>IFERROR(VLOOKUP(K$13&amp;$B615,Aux!$B:$M,3,0),"")</f>
        <v/>
      </c>
      <c r="M615" s="60"/>
      <c r="N615" s="60"/>
      <c r="O615" s="61" t="str">
        <f>IFERROR(VLOOKUP(K$13&amp;$B615,Aux!$B:$M,9,0),"")</f>
        <v/>
      </c>
      <c r="S615" s="59" t="str">
        <f>IFERROR(VLOOKUP(S$13&amp;$B619,Aux!$B:$M,5,0),"")</f>
        <v/>
      </c>
      <c r="T615" s="60" t="str">
        <f>IFERROR(VLOOKUP(S$13&amp;$B615,Aux!$B:$M,3,0),"")</f>
        <v/>
      </c>
      <c r="U615" s="60"/>
      <c r="V615" s="60"/>
      <c r="W615" s="61" t="str">
        <f>IFERROR(VLOOKUP(S$13&amp;$B615,Aux!$B:$M,9,0),"")</f>
        <v/>
      </c>
      <c r="AA615" s="59" t="str">
        <f>IFERROR(VLOOKUP(AA$13&amp;$B619,Aux!$B:$M,5,0),"")</f>
        <v/>
      </c>
      <c r="AB615" s="60" t="str">
        <f>IFERROR(VLOOKUP(AA$13&amp;$B615,Aux!$B:$M,3,0),"")</f>
        <v/>
      </c>
      <c r="AC615" s="60"/>
      <c r="AD615" s="60"/>
      <c r="AE615" s="61" t="str">
        <f>IFERROR(VLOOKUP(AA$13&amp;$B615,Aux!$B:$M,9,0),"")</f>
        <v/>
      </c>
    </row>
    <row r="616" spans="2:31" x14ac:dyDescent="0.25">
      <c r="B616" s="53">
        <f t="shared" si="9"/>
        <v>121</v>
      </c>
      <c r="C616" s="59"/>
      <c r="D616" s="60"/>
      <c r="E616" s="60"/>
      <c r="F616" s="60"/>
      <c r="G616" s="61"/>
      <c r="K616" s="59"/>
      <c r="L616" s="60"/>
      <c r="M616" s="60"/>
      <c r="N616" s="60"/>
      <c r="O616" s="61"/>
      <c r="S616" s="59"/>
      <c r="T616" s="60"/>
      <c r="U616" s="60"/>
      <c r="V616" s="60"/>
      <c r="W616" s="61"/>
      <c r="AA616" s="59"/>
      <c r="AB616" s="60"/>
      <c r="AC616" s="60"/>
      <c r="AD616" s="60"/>
      <c r="AE616" s="61"/>
    </row>
    <row r="617" spans="2:31" x14ac:dyDescent="0.25">
      <c r="B617" s="53">
        <f t="shared" si="9"/>
        <v>121</v>
      </c>
      <c r="C617" s="59"/>
      <c r="D617" s="15" t="str">
        <f>IF(D615="","","Исполнитель"&amp;": ")</f>
        <v/>
      </c>
      <c r="E617" s="62" t="str">
        <f>IFERROR(VLOOKUP(C$13&amp;$B617,Aux!$B:$M,4,0),"")</f>
        <v/>
      </c>
      <c r="F617" s="62"/>
      <c r="G617" s="63" t="str">
        <f>IFERROR(IF(VLOOKUP(C$13&amp;$B615,Aux!$B:$M,8,0)="Да","✔","🕓"),"")</f>
        <v/>
      </c>
      <c r="K617" s="59"/>
      <c r="L617" s="15" t="str">
        <f>IF(L615="","","Исполнитель"&amp;": ")</f>
        <v/>
      </c>
      <c r="M617" s="62" t="str">
        <f>IFERROR(VLOOKUP(K$13&amp;$B617,Aux!$B:$M,4,0),"")</f>
        <v/>
      </c>
      <c r="N617" s="62"/>
      <c r="O617" s="63" t="str">
        <f>IFERROR(IF(VLOOKUP(K$13&amp;$B615,Aux!$B:$M,8,0)="Да","✔","🕓"),"")</f>
        <v/>
      </c>
      <c r="S617" s="59"/>
      <c r="T617" s="15" t="str">
        <f>IF(T615="","","Исполнитель"&amp;": ")</f>
        <v/>
      </c>
      <c r="U617" s="62" t="str">
        <f>IFERROR(VLOOKUP(S$13&amp;$B617,Aux!$B:$M,4,0),"")</f>
        <v/>
      </c>
      <c r="V617" s="62"/>
      <c r="W617" s="63" t="str">
        <f>IFERROR(IF(VLOOKUP(S$13&amp;$B615,Aux!$B:$M,8,0)="Да","✔","🕓"),"")</f>
        <v/>
      </c>
      <c r="AA617" s="59"/>
      <c r="AB617" s="15" t="str">
        <f>IF(AB615="","","Исполнитель"&amp;": ")</f>
        <v/>
      </c>
      <c r="AC617" s="62" t="str">
        <f>IFERROR(VLOOKUP(AA$13&amp;$B617,Aux!$B:$M,4,0),"")</f>
        <v/>
      </c>
      <c r="AD617" s="62"/>
      <c r="AE617" s="63" t="str">
        <f>IFERROR(IF(VLOOKUP(AA$13&amp;$B615,Aux!$B:$M,8,0)="Да","✔","🕓"),"")</f>
        <v/>
      </c>
    </row>
    <row r="618" spans="2:31" x14ac:dyDescent="0.25">
      <c r="B618" s="53">
        <f t="shared" si="9"/>
        <v>121</v>
      </c>
      <c r="C618" s="59"/>
      <c r="D618" s="16" t="str">
        <f>IF(D615="","","Срок сдачи"&amp;": ")</f>
        <v/>
      </c>
      <c r="E618" s="64" t="str">
        <f>IFERROR(VLOOKUP(C$13&amp;$B618,Aux!$B:$M,6,0),"")</f>
        <v/>
      </c>
      <c r="F618" s="64"/>
      <c r="G618" s="63"/>
      <c r="K618" s="59"/>
      <c r="L618" s="16" t="str">
        <f>IF(L615="","","Срок сдачи"&amp;": ")</f>
        <v/>
      </c>
      <c r="M618" s="64" t="str">
        <f>IFERROR(VLOOKUP(K$13&amp;$B618,Aux!$B:$M,6,0),"")</f>
        <v/>
      </c>
      <c r="N618" s="64"/>
      <c r="O618" s="63"/>
      <c r="S618" s="59"/>
      <c r="T618" s="16" t="str">
        <f>IF(T615="","","Срок сдачи"&amp;": ")</f>
        <v/>
      </c>
      <c r="U618" s="64" t="str">
        <f>IFERROR(VLOOKUP(S$13&amp;$B618,Aux!$B:$M,6,0),"")</f>
        <v/>
      </c>
      <c r="V618" s="64"/>
      <c r="W618" s="63"/>
      <c r="AA618" s="59"/>
      <c r="AB618" s="16" t="str">
        <f>IF(AB615="","","Срок сдачи"&amp;": ")</f>
        <v/>
      </c>
      <c r="AC618" s="64" t="str">
        <f>IFERROR(VLOOKUP(AA$13&amp;$B618,Aux!$B:$M,6,0),"")</f>
        <v/>
      </c>
      <c r="AD618" s="64"/>
      <c r="AE618" s="63"/>
    </row>
    <row r="619" spans="2:31" x14ac:dyDescent="0.25">
      <c r="B619" s="53">
        <f t="shared" si="9"/>
        <v>121</v>
      </c>
      <c r="C619" s="7"/>
      <c r="D619" s="17"/>
      <c r="E619" s="7"/>
      <c r="F619" s="18"/>
      <c r="G619" s="18"/>
      <c r="K619" s="13"/>
      <c r="L619" s="17"/>
      <c r="M619" s="13"/>
      <c r="N619" s="14"/>
      <c r="O619" s="14"/>
      <c r="S619" s="13"/>
      <c r="T619" s="17"/>
      <c r="U619" s="13"/>
      <c r="V619" s="14"/>
      <c r="W619" s="14"/>
      <c r="AA619" s="13"/>
      <c r="AB619" s="17"/>
      <c r="AC619" s="13"/>
      <c r="AD619" s="14"/>
      <c r="AE619" s="30"/>
    </row>
    <row r="620" spans="2:31" x14ac:dyDescent="0.25">
      <c r="B620" s="53">
        <f t="shared" si="9"/>
        <v>122</v>
      </c>
      <c r="C620" s="59" t="str">
        <f>IFERROR(VLOOKUP(C$13&amp;$B624,Aux!$B:$M,5,0),"")</f>
        <v/>
      </c>
      <c r="D620" s="60" t="str">
        <f>IFERROR(VLOOKUP(C$13&amp;$B620,Aux!$B:$M,3,0),"")</f>
        <v/>
      </c>
      <c r="E620" s="60"/>
      <c r="F620" s="60"/>
      <c r="G620" s="61" t="str">
        <f>IFERROR(VLOOKUP(C$13&amp;$B620,Aux!$B:$M,9,0),"")</f>
        <v/>
      </c>
      <c r="K620" s="59" t="str">
        <f>IFERROR(VLOOKUP(K$13&amp;$B624,Aux!$B:$M,5,0),"")</f>
        <v/>
      </c>
      <c r="L620" s="60" t="str">
        <f>IFERROR(VLOOKUP(K$13&amp;$B620,Aux!$B:$M,3,0),"")</f>
        <v/>
      </c>
      <c r="M620" s="60"/>
      <c r="N620" s="60"/>
      <c r="O620" s="61" t="str">
        <f>IFERROR(VLOOKUP(K$13&amp;$B620,Aux!$B:$M,9,0),"")</f>
        <v/>
      </c>
      <c r="S620" s="59" t="str">
        <f>IFERROR(VLOOKUP(S$13&amp;$B624,Aux!$B:$M,5,0),"")</f>
        <v/>
      </c>
      <c r="T620" s="60" t="str">
        <f>IFERROR(VLOOKUP(S$13&amp;$B620,Aux!$B:$M,3,0),"")</f>
        <v/>
      </c>
      <c r="U620" s="60"/>
      <c r="V620" s="60"/>
      <c r="W620" s="61" t="str">
        <f>IFERROR(VLOOKUP(S$13&amp;$B620,Aux!$B:$M,9,0),"")</f>
        <v/>
      </c>
      <c r="AA620" s="59" t="str">
        <f>IFERROR(VLOOKUP(AA$13&amp;$B624,Aux!$B:$M,5,0),"")</f>
        <v/>
      </c>
      <c r="AB620" s="60" t="str">
        <f>IFERROR(VLOOKUP(AA$13&amp;$B620,Aux!$B:$M,3,0),"")</f>
        <v/>
      </c>
      <c r="AC620" s="60"/>
      <c r="AD620" s="60"/>
      <c r="AE620" s="61" t="str">
        <f>IFERROR(VLOOKUP(AA$13&amp;$B620,Aux!$B:$M,9,0),"")</f>
        <v/>
      </c>
    </row>
    <row r="621" spans="2:31" x14ac:dyDescent="0.25">
      <c r="B621" s="53">
        <f t="shared" si="9"/>
        <v>122</v>
      </c>
      <c r="C621" s="59"/>
      <c r="D621" s="60"/>
      <c r="E621" s="60"/>
      <c r="F621" s="60"/>
      <c r="G621" s="61"/>
      <c r="K621" s="59"/>
      <c r="L621" s="60"/>
      <c r="M621" s="60"/>
      <c r="N621" s="60"/>
      <c r="O621" s="61"/>
      <c r="S621" s="59"/>
      <c r="T621" s="60"/>
      <c r="U621" s="60"/>
      <c r="V621" s="60"/>
      <c r="W621" s="61"/>
      <c r="AA621" s="59"/>
      <c r="AB621" s="60"/>
      <c r="AC621" s="60"/>
      <c r="AD621" s="60"/>
      <c r="AE621" s="61"/>
    </row>
    <row r="622" spans="2:31" x14ac:dyDescent="0.25">
      <c r="B622" s="53">
        <f t="shared" si="9"/>
        <v>122</v>
      </c>
      <c r="C622" s="59"/>
      <c r="D622" s="15" t="str">
        <f>IF(D620="","","Исполнитель"&amp;": ")</f>
        <v/>
      </c>
      <c r="E622" s="62" t="str">
        <f>IFERROR(VLOOKUP(C$13&amp;$B622,Aux!$B:$M,4,0),"")</f>
        <v/>
      </c>
      <c r="F622" s="62"/>
      <c r="G622" s="63" t="str">
        <f>IFERROR(IF(VLOOKUP(C$13&amp;$B620,Aux!$B:$M,8,0)="Да","✔","🕓"),"")</f>
        <v/>
      </c>
      <c r="K622" s="59"/>
      <c r="L622" s="15" t="str">
        <f>IF(L620="","","Исполнитель"&amp;": ")</f>
        <v/>
      </c>
      <c r="M622" s="62" t="str">
        <f>IFERROR(VLOOKUP(K$13&amp;$B622,Aux!$B:$M,4,0),"")</f>
        <v/>
      </c>
      <c r="N622" s="62"/>
      <c r="O622" s="63" t="str">
        <f>IFERROR(IF(VLOOKUP(K$13&amp;$B620,Aux!$B:$M,8,0)="Да","✔","🕓"),"")</f>
        <v/>
      </c>
      <c r="S622" s="59"/>
      <c r="T622" s="15" t="str">
        <f>IF(T620="","","Исполнитель"&amp;": ")</f>
        <v/>
      </c>
      <c r="U622" s="62" t="str">
        <f>IFERROR(VLOOKUP(S$13&amp;$B622,Aux!$B:$M,4,0),"")</f>
        <v/>
      </c>
      <c r="V622" s="62"/>
      <c r="W622" s="63" t="str">
        <f>IFERROR(IF(VLOOKUP(S$13&amp;$B620,Aux!$B:$M,8,0)="Да","✔","🕓"),"")</f>
        <v/>
      </c>
      <c r="AA622" s="59"/>
      <c r="AB622" s="15" t="str">
        <f>IF(AB620="","","Исполнитель"&amp;": ")</f>
        <v/>
      </c>
      <c r="AC622" s="62" t="str">
        <f>IFERROR(VLOOKUP(AA$13&amp;$B622,Aux!$B:$M,4,0),"")</f>
        <v/>
      </c>
      <c r="AD622" s="62"/>
      <c r="AE622" s="63" t="str">
        <f>IFERROR(IF(VLOOKUP(AA$13&amp;$B620,Aux!$B:$M,8,0)="Да","✔","🕓"),"")</f>
        <v/>
      </c>
    </row>
    <row r="623" spans="2:31" x14ac:dyDescent="0.25">
      <c r="B623" s="53">
        <f t="shared" si="9"/>
        <v>122</v>
      </c>
      <c r="C623" s="59"/>
      <c r="D623" s="16" t="str">
        <f>IF(D620="","","Срок сдачи"&amp;": ")</f>
        <v/>
      </c>
      <c r="E623" s="64" t="str">
        <f>IFERROR(VLOOKUP(C$13&amp;$B623,Aux!$B:$M,6,0),"")</f>
        <v/>
      </c>
      <c r="F623" s="64"/>
      <c r="G623" s="63"/>
      <c r="K623" s="59"/>
      <c r="L623" s="16" t="str">
        <f>IF(L620="","","Срок сдачи"&amp;": ")</f>
        <v/>
      </c>
      <c r="M623" s="64" t="str">
        <f>IFERROR(VLOOKUP(K$13&amp;$B623,Aux!$B:$M,6,0),"")</f>
        <v/>
      </c>
      <c r="N623" s="64"/>
      <c r="O623" s="63"/>
      <c r="S623" s="59"/>
      <c r="T623" s="16" t="str">
        <f>IF(T620="","","Срок сдачи"&amp;": ")</f>
        <v/>
      </c>
      <c r="U623" s="64" t="str">
        <f>IFERROR(VLOOKUP(S$13&amp;$B623,Aux!$B:$M,6,0),"")</f>
        <v/>
      </c>
      <c r="V623" s="64"/>
      <c r="W623" s="63"/>
      <c r="AA623" s="59"/>
      <c r="AB623" s="16" t="str">
        <f>IF(AB620="","","Срок сдачи"&amp;": ")</f>
        <v/>
      </c>
      <c r="AC623" s="64" t="str">
        <f>IFERROR(VLOOKUP(AA$13&amp;$B623,Aux!$B:$M,6,0),"")</f>
        <v/>
      </c>
      <c r="AD623" s="64"/>
      <c r="AE623" s="63"/>
    </row>
    <row r="624" spans="2:31" x14ac:dyDescent="0.25">
      <c r="B624" s="53">
        <f t="shared" si="9"/>
        <v>122</v>
      </c>
      <c r="C624" s="7"/>
      <c r="D624" s="17"/>
      <c r="E624" s="7"/>
      <c r="F624" s="18"/>
      <c r="G624" s="18"/>
      <c r="K624" s="13"/>
      <c r="L624" s="17"/>
      <c r="M624" s="13"/>
      <c r="N624" s="14"/>
      <c r="O624" s="14"/>
      <c r="S624" s="13"/>
      <c r="T624" s="17"/>
      <c r="U624" s="13"/>
      <c r="V624" s="14"/>
      <c r="W624" s="14"/>
      <c r="AA624" s="13"/>
      <c r="AB624" s="17"/>
      <c r="AC624" s="13"/>
      <c r="AD624" s="14"/>
      <c r="AE624" s="30"/>
    </row>
    <row r="625" spans="2:31" x14ac:dyDescent="0.25">
      <c r="B625" s="53">
        <f t="shared" si="9"/>
        <v>123</v>
      </c>
      <c r="C625" s="59" t="str">
        <f>IFERROR(VLOOKUP(C$13&amp;$B629,Aux!$B:$M,5,0),"")</f>
        <v/>
      </c>
      <c r="D625" s="60" t="str">
        <f>IFERROR(VLOOKUP(C$13&amp;$B625,Aux!$B:$M,3,0),"")</f>
        <v/>
      </c>
      <c r="E625" s="60"/>
      <c r="F625" s="60"/>
      <c r="G625" s="61" t="str">
        <f>IFERROR(VLOOKUP(C$13&amp;$B625,Aux!$B:$M,9,0),"")</f>
        <v/>
      </c>
      <c r="K625" s="59" t="str">
        <f>IFERROR(VLOOKUP(K$13&amp;$B629,Aux!$B:$M,5,0),"")</f>
        <v/>
      </c>
      <c r="L625" s="60" t="str">
        <f>IFERROR(VLOOKUP(K$13&amp;$B625,Aux!$B:$M,3,0),"")</f>
        <v/>
      </c>
      <c r="M625" s="60"/>
      <c r="N625" s="60"/>
      <c r="O625" s="61" t="str">
        <f>IFERROR(VLOOKUP(K$13&amp;$B625,Aux!$B:$M,9,0),"")</f>
        <v/>
      </c>
      <c r="S625" s="59" t="str">
        <f>IFERROR(VLOOKUP(S$13&amp;$B629,Aux!$B:$M,5,0),"")</f>
        <v/>
      </c>
      <c r="T625" s="60" t="str">
        <f>IFERROR(VLOOKUP(S$13&amp;$B625,Aux!$B:$M,3,0),"")</f>
        <v/>
      </c>
      <c r="U625" s="60"/>
      <c r="V625" s="60"/>
      <c r="W625" s="61" t="str">
        <f>IFERROR(VLOOKUP(S$13&amp;$B625,Aux!$B:$M,9,0),"")</f>
        <v/>
      </c>
      <c r="AA625" s="59" t="str">
        <f>IFERROR(VLOOKUP(AA$13&amp;$B629,Aux!$B:$M,5,0),"")</f>
        <v/>
      </c>
      <c r="AB625" s="60" t="str">
        <f>IFERROR(VLOOKUP(AA$13&amp;$B625,Aux!$B:$M,3,0),"")</f>
        <v/>
      </c>
      <c r="AC625" s="60"/>
      <c r="AD625" s="60"/>
      <c r="AE625" s="61" t="str">
        <f>IFERROR(VLOOKUP(AA$13&amp;$B625,Aux!$B:$M,9,0),"")</f>
        <v/>
      </c>
    </row>
    <row r="626" spans="2:31" x14ac:dyDescent="0.25">
      <c r="B626" s="53">
        <f t="shared" si="9"/>
        <v>123</v>
      </c>
      <c r="C626" s="59"/>
      <c r="D626" s="60"/>
      <c r="E626" s="60"/>
      <c r="F626" s="60"/>
      <c r="G626" s="61"/>
      <c r="K626" s="59"/>
      <c r="L626" s="60"/>
      <c r="M626" s="60"/>
      <c r="N626" s="60"/>
      <c r="O626" s="61"/>
      <c r="S626" s="59"/>
      <c r="T626" s="60"/>
      <c r="U626" s="60"/>
      <c r="V626" s="60"/>
      <c r="W626" s="61"/>
      <c r="AA626" s="59"/>
      <c r="AB626" s="60"/>
      <c r="AC626" s="60"/>
      <c r="AD626" s="60"/>
      <c r="AE626" s="61"/>
    </row>
    <row r="627" spans="2:31" x14ac:dyDescent="0.25">
      <c r="B627" s="53">
        <f t="shared" si="9"/>
        <v>123</v>
      </c>
      <c r="C627" s="59"/>
      <c r="D627" s="15" t="str">
        <f>IF(D625="","","Исполнитель"&amp;": ")</f>
        <v/>
      </c>
      <c r="E627" s="62" t="str">
        <f>IFERROR(VLOOKUP(C$13&amp;$B627,Aux!$B:$M,4,0),"")</f>
        <v/>
      </c>
      <c r="F627" s="62"/>
      <c r="G627" s="63" t="str">
        <f>IFERROR(IF(VLOOKUP(C$13&amp;$B625,Aux!$B:$M,8,0)="Да","✔","🕓"),"")</f>
        <v/>
      </c>
      <c r="K627" s="59"/>
      <c r="L627" s="15" t="str">
        <f>IF(L625="","","Исполнитель"&amp;": ")</f>
        <v/>
      </c>
      <c r="M627" s="62" t="str">
        <f>IFERROR(VLOOKUP(K$13&amp;$B627,Aux!$B:$M,4,0),"")</f>
        <v/>
      </c>
      <c r="N627" s="62"/>
      <c r="O627" s="63" t="str">
        <f>IFERROR(IF(VLOOKUP(K$13&amp;$B625,Aux!$B:$M,8,0)="Да","✔","🕓"),"")</f>
        <v/>
      </c>
      <c r="S627" s="59"/>
      <c r="T627" s="15" t="str">
        <f>IF(T625="","","Исполнитель"&amp;": ")</f>
        <v/>
      </c>
      <c r="U627" s="62" t="str">
        <f>IFERROR(VLOOKUP(S$13&amp;$B627,Aux!$B:$M,4,0),"")</f>
        <v/>
      </c>
      <c r="V627" s="62"/>
      <c r="W627" s="63" t="str">
        <f>IFERROR(IF(VLOOKUP(S$13&amp;$B625,Aux!$B:$M,8,0)="Да","✔","🕓"),"")</f>
        <v/>
      </c>
      <c r="AA627" s="59"/>
      <c r="AB627" s="15" t="str">
        <f>IF(AB625="","","Исполнитель"&amp;": ")</f>
        <v/>
      </c>
      <c r="AC627" s="62" t="str">
        <f>IFERROR(VLOOKUP(AA$13&amp;$B627,Aux!$B:$M,4,0),"")</f>
        <v/>
      </c>
      <c r="AD627" s="62"/>
      <c r="AE627" s="63" t="str">
        <f>IFERROR(IF(VLOOKUP(AA$13&amp;$B625,Aux!$B:$M,8,0)="Да","✔","🕓"),"")</f>
        <v/>
      </c>
    </row>
    <row r="628" spans="2:31" x14ac:dyDescent="0.25">
      <c r="B628" s="53">
        <f t="shared" si="9"/>
        <v>123</v>
      </c>
      <c r="C628" s="59"/>
      <c r="D628" s="16" t="str">
        <f>IF(D625="","","Срок сдачи"&amp;": ")</f>
        <v/>
      </c>
      <c r="E628" s="64" t="str">
        <f>IFERROR(VLOOKUP(C$13&amp;$B628,Aux!$B:$M,6,0),"")</f>
        <v/>
      </c>
      <c r="F628" s="64"/>
      <c r="G628" s="63"/>
      <c r="K628" s="59"/>
      <c r="L628" s="16" t="str">
        <f>IF(L625="","","Срок сдачи"&amp;": ")</f>
        <v/>
      </c>
      <c r="M628" s="64" t="str">
        <f>IFERROR(VLOOKUP(K$13&amp;$B628,Aux!$B:$M,6,0),"")</f>
        <v/>
      </c>
      <c r="N628" s="64"/>
      <c r="O628" s="63"/>
      <c r="S628" s="59"/>
      <c r="T628" s="16" t="str">
        <f>IF(T625="","","Срок сдачи"&amp;": ")</f>
        <v/>
      </c>
      <c r="U628" s="64" t="str">
        <f>IFERROR(VLOOKUP(S$13&amp;$B628,Aux!$B:$M,6,0),"")</f>
        <v/>
      </c>
      <c r="V628" s="64"/>
      <c r="W628" s="63"/>
      <c r="AA628" s="59"/>
      <c r="AB628" s="16" t="str">
        <f>IF(AB625="","","Срок сдачи"&amp;": ")</f>
        <v/>
      </c>
      <c r="AC628" s="64" t="str">
        <f>IFERROR(VLOOKUP(AA$13&amp;$B628,Aux!$B:$M,6,0),"")</f>
        <v/>
      </c>
      <c r="AD628" s="64"/>
      <c r="AE628" s="63"/>
    </row>
    <row r="629" spans="2:31" x14ac:dyDescent="0.25">
      <c r="B629" s="53">
        <f t="shared" si="9"/>
        <v>123</v>
      </c>
      <c r="C629" s="7"/>
      <c r="D629" s="17"/>
      <c r="E629" s="7"/>
      <c r="F629" s="18"/>
      <c r="G629" s="18"/>
      <c r="K629" s="13"/>
      <c r="L629" s="17"/>
      <c r="M629" s="13"/>
      <c r="N629" s="14"/>
      <c r="O629" s="14"/>
      <c r="S629" s="13"/>
      <c r="T629" s="17"/>
      <c r="U629" s="13"/>
      <c r="V629" s="14"/>
      <c r="W629" s="14"/>
      <c r="AA629" s="13"/>
      <c r="AB629" s="17"/>
      <c r="AC629" s="13"/>
      <c r="AD629" s="14"/>
      <c r="AE629" s="30"/>
    </row>
    <row r="630" spans="2:31" x14ac:dyDescent="0.25">
      <c r="B630" s="53">
        <f t="shared" si="9"/>
        <v>124</v>
      </c>
      <c r="C630" s="59" t="str">
        <f>IFERROR(VLOOKUP(C$13&amp;$B634,Aux!$B:$M,5,0),"")</f>
        <v/>
      </c>
      <c r="D630" s="60" t="str">
        <f>IFERROR(VLOOKUP(C$13&amp;$B630,Aux!$B:$M,3,0),"")</f>
        <v/>
      </c>
      <c r="E630" s="60"/>
      <c r="F630" s="60"/>
      <c r="G630" s="61" t="str">
        <f>IFERROR(VLOOKUP(C$13&amp;$B630,Aux!$B:$M,9,0),"")</f>
        <v/>
      </c>
      <c r="K630" s="59" t="str">
        <f>IFERROR(VLOOKUP(K$13&amp;$B634,Aux!$B:$M,5,0),"")</f>
        <v/>
      </c>
      <c r="L630" s="60" t="str">
        <f>IFERROR(VLOOKUP(K$13&amp;$B630,Aux!$B:$M,3,0),"")</f>
        <v/>
      </c>
      <c r="M630" s="60"/>
      <c r="N630" s="60"/>
      <c r="O630" s="61" t="str">
        <f>IFERROR(VLOOKUP(K$13&amp;$B630,Aux!$B:$M,9,0),"")</f>
        <v/>
      </c>
      <c r="S630" s="59" t="str">
        <f>IFERROR(VLOOKUP(S$13&amp;$B634,Aux!$B:$M,5,0),"")</f>
        <v/>
      </c>
      <c r="T630" s="60" t="str">
        <f>IFERROR(VLOOKUP(S$13&amp;$B630,Aux!$B:$M,3,0),"")</f>
        <v/>
      </c>
      <c r="U630" s="60"/>
      <c r="V630" s="60"/>
      <c r="W630" s="61" t="str">
        <f>IFERROR(VLOOKUP(S$13&amp;$B630,Aux!$B:$M,9,0),"")</f>
        <v/>
      </c>
      <c r="AA630" s="59" t="str">
        <f>IFERROR(VLOOKUP(AA$13&amp;$B634,Aux!$B:$M,5,0),"")</f>
        <v/>
      </c>
      <c r="AB630" s="60" t="str">
        <f>IFERROR(VLOOKUP(AA$13&amp;$B630,Aux!$B:$M,3,0),"")</f>
        <v/>
      </c>
      <c r="AC630" s="60"/>
      <c r="AD630" s="60"/>
      <c r="AE630" s="61" t="str">
        <f>IFERROR(VLOOKUP(AA$13&amp;$B630,Aux!$B:$M,9,0),"")</f>
        <v/>
      </c>
    </row>
    <row r="631" spans="2:31" x14ac:dyDescent="0.25">
      <c r="B631" s="53">
        <f t="shared" si="9"/>
        <v>124</v>
      </c>
      <c r="C631" s="59"/>
      <c r="D631" s="60"/>
      <c r="E631" s="60"/>
      <c r="F631" s="60"/>
      <c r="G631" s="61"/>
      <c r="K631" s="59"/>
      <c r="L631" s="60"/>
      <c r="M631" s="60"/>
      <c r="N631" s="60"/>
      <c r="O631" s="61"/>
      <c r="S631" s="59"/>
      <c r="T631" s="60"/>
      <c r="U631" s="60"/>
      <c r="V631" s="60"/>
      <c r="W631" s="61"/>
      <c r="AA631" s="59"/>
      <c r="AB631" s="60"/>
      <c r="AC631" s="60"/>
      <c r="AD631" s="60"/>
      <c r="AE631" s="61"/>
    </row>
    <row r="632" spans="2:31" x14ac:dyDescent="0.25">
      <c r="B632" s="53">
        <f t="shared" si="9"/>
        <v>124</v>
      </c>
      <c r="C632" s="59"/>
      <c r="D632" s="15" t="str">
        <f>IF(D630="","","Исполнитель"&amp;": ")</f>
        <v/>
      </c>
      <c r="E632" s="62" t="str">
        <f>IFERROR(VLOOKUP(C$13&amp;$B632,Aux!$B:$M,4,0),"")</f>
        <v/>
      </c>
      <c r="F632" s="62"/>
      <c r="G632" s="63" t="str">
        <f>IFERROR(IF(VLOOKUP(C$13&amp;$B630,Aux!$B:$M,8,0)="Да","✔","🕓"),"")</f>
        <v/>
      </c>
      <c r="K632" s="59"/>
      <c r="L632" s="15" t="str">
        <f>IF(L630="","","Исполнитель"&amp;": ")</f>
        <v/>
      </c>
      <c r="M632" s="62" t="str">
        <f>IFERROR(VLOOKUP(K$13&amp;$B632,Aux!$B:$M,4,0),"")</f>
        <v/>
      </c>
      <c r="N632" s="62"/>
      <c r="O632" s="63" t="str">
        <f>IFERROR(IF(VLOOKUP(K$13&amp;$B630,Aux!$B:$M,8,0)="Да","✔","🕓"),"")</f>
        <v/>
      </c>
      <c r="S632" s="59"/>
      <c r="T632" s="15" t="str">
        <f>IF(T630="","","Исполнитель"&amp;": ")</f>
        <v/>
      </c>
      <c r="U632" s="62" t="str">
        <f>IFERROR(VLOOKUP(S$13&amp;$B632,Aux!$B:$M,4,0),"")</f>
        <v/>
      </c>
      <c r="V632" s="62"/>
      <c r="W632" s="63" t="str">
        <f>IFERROR(IF(VLOOKUP(S$13&amp;$B630,Aux!$B:$M,8,0)="Да","✔","🕓"),"")</f>
        <v/>
      </c>
      <c r="AA632" s="59"/>
      <c r="AB632" s="15" t="str">
        <f>IF(AB630="","","Исполнитель"&amp;": ")</f>
        <v/>
      </c>
      <c r="AC632" s="62" t="str">
        <f>IFERROR(VLOOKUP(AA$13&amp;$B632,Aux!$B:$M,4,0),"")</f>
        <v/>
      </c>
      <c r="AD632" s="62"/>
      <c r="AE632" s="63" t="str">
        <f>IFERROR(IF(VLOOKUP(AA$13&amp;$B630,Aux!$B:$M,8,0)="Да","✔","🕓"),"")</f>
        <v/>
      </c>
    </row>
    <row r="633" spans="2:31" x14ac:dyDescent="0.25">
      <c r="B633" s="53">
        <f t="shared" si="9"/>
        <v>124</v>
      </c>
      <c r="C633" s="59"/>
      <c r="D633" s="16" t="str">
        <f>IF(D630="","","Срок сдачи"&amp;": ")</f>
        <v/>
      </c>
      <c r="E633" s="64" t="str">
        <f>IFERROR(VLOOKUP(C$13&amp;$B633,Aux!$B:$M,6,0),"")</f>
        <v/>
      </c>
      <c r="F633" s="64"/>
      <c r="G633" s="63"/>
      <c r="K633" s="59"/>
      <c r="L633" s="16" t="str">
        <f>IF(L630="","","Срок сдачи"&amp;": ")</f>
        <v/>
      </c>
      <c r="M633" s="64" t="str">
        <f>IFERROR(VLOOKUP(K$13&amp;$B633,Aux!$B:$M,6,0),"")</f>
        <v/>
      </c>
      <c r="N633" s="64"/>
      <c r="O633" s="63"/>
      <c r="S633" s="59"/>
      <c r="T633" s="16" t="str">
        <f>IF(T630="","","Срок сдачи"&amp;": ")</f>
        <v/>
      </c>
      <c r="U633" s="64" t="str">
        <f>IFERROR(VLOOKUP(S$13&amp;$B633,Aux!$B:$M,6,0),"")</f>
        <v/>
      </c>
      <c r="V633" s="64"/>
      <c r="W633" s="63"/>
      <c r="AA633" s="59"/>
      <c r="AB633" s="16" t="str">
        <f>IF(AB630="","","Срок сдачи"&amp;": ")</f>
        <v/>
      </c>
      <c r="AC633" s="64" t="str">
        <f>IFERROR(VLOOKUP(AA$13&amp;$B633,Aux!$B:$M,6,0),"")</f>
        <v/>
      </c>
      <c r="AD633" s="64"/>
      <c r="AE633" s="63"/>
    </row>
    <row r="634" spans="2:31" x14ac:dyDescent="0.25">
      <c r="B634" s="53">
        <f t="shared" si="9"/>
        <v>124</v>
      </c>
      <c r="C634" s="7"/>
      <c r="D634" s="17"/>
      <c r="E634" s="7"/>
      <c r="F634" s="18"/>
      <c r="G634" s="18"/>
      <c r="K634" s="13"/>
      <c r="L634" s="17"/>
      <c r="M634" s="13"/>
      <c r="N634" s="14"/>
      <c r="O634" s="14"/>
      <c r="S634" s="13"/>
      <c r="T634" s="17"/>
      <c r="U634" s="13"/>
      <c r="V634" s="14"/>
      <c r="W634" s="14"/>
      <c r="AA634" s="13"/>
      <c r="AB634" s="17"/>
      <c r="AC634" s="13"/>
      <c r="AD634" s="14"/>
      <c r="AE634" s="30"/>
    </row>
    <row r="635" spans="2:31" x14ac:dyDescent="0.25">
      <c r="B635" s="53">
        <f t="shared" si="9"/>
        <v>125</v>
      </c>
      <c r="C635" s="59" t="str">
        <f>IFERROR(VLOOKUP(C$13&amp;$B639,Aux!$B:$M,5,0),"")</f>
        <v/>
      </c>
      <c r="D635" s="60" t="str">
        <f>IFERROR(VLOOKUP(C$13&amp;$B635,Aux!$B:$M,3,0),"")</f>
        <v/>
      </c>
      <c r="E635" s="60"/>
      <c r="F635" s="60"/>
      <c r="G635" s="61" t="str">
        <f>IFERROR(VLOOKUP(C$13&amp;$B635,Aux!$B:$M,9,0),"")</f>
        <v/>
      </c>
      <c r="K635" s="59" t="str">
        <f>IFERROR(VLOOKUP(K$13&amp;$B639,Aux!$B:$M,5,0),"")</f>
        <v/>
      </c>
      <c r="L635" s="60" t="str">
        <f>IFERROR(VLOOKUP(K$13&amp;$B635,Aux!$B:$M,3,0),"")</f>
        <v/>
      </c>
      <c r="M635" s="60"/>
      <c r="N635" s="60"/>
      <c r="O635" s="61" t="str">
        <f>IFERROR(VLOOKUP(K$13&amp;$B635,Aux!$B:$M,9,0),"")</f>
        <v/>
      </c>
      <c r="S635" s="59" t="str">
        <f>IFERROR(VLOOKUP(S$13&amp;$B639,Aux!$B:$M,5,0),"")</f>
        <v/>
      </c>
      <c r="T635" s="60" t="str">
        <f>IFERROR(VLOOKUP(S$13&amp;$B635,Aux!$B:$M,3,0),"")</f>
        <v/>
      </c>
      <c r="U635" s="60"/>
      <c r="V635" s="60"/>
      <c r="W635" s="61" t="str">
        <f>IFERROR(VLOOKUP(S$13&amp;$B635,Aux!$B:$M,9,0),"")</f>
        <v/>
      </c>
      <c r="AA635" s="59" t="str">
        <f>IFERROR(VLOOKUP(AA$13&amp;$B639,Aux!$B:$M,5,0),"")</f>
        <v/>
      </c>
      <c r="AB635" s="60" t="str">
        <f>IFERROR(VLOOKUP(AA$13&amp;$B635,Aux!$B:$M,3,0),"")</f>
        <v/>
      </c>
      <c r="AC635" s="60"/>
      <c r="AD635" s="60"/>
      <c r="AE635" s="61" t="str">
        <f>IFERROR(VLOOKUP(AA$13&amp;$B635,Aux!$B:$M,9,0),"")</f>
        <v/>
      </c>
    </row>
    <row r="636" spans="2:31" x14ac:dyDescent="0.25">
      <c r="B636" s="53">
        <f t="shared" si="9"/>
        <v>125</v>
      </c>
      <c r="C636" s="59"/>
      <c r="D636" s="60"/>
      <c r="E636" s="60"/>
      <c r="F636" s="60"/>
      <c r="G636" s="61"/>
      <c r="K636" s="59"/>
      <c r="L636" s="60"/>
      <c r="M636" s="60"/>
      <c r="N636" s="60"/>
      <c r="O636" s="61"/>
      <c r="S636" s="59"/>
      <c r="T636" s="60"/>
      <c r="U636" s="60"/>
      <c r="V636" s="60"/>
      <c r="W636" s="61"/>
      <c r="AA636" s="59"/>
      <c r="AB636" s="60"/>
      <c r="AC636" s="60"/>
      <c r="AD636" s="60"/>
      <c r="AE636" s="61"/>
    </row>
    <row r="637" spans="2:31" x14ac:dyDescent="0.25">
      <c r="B637" s="53">
        <f t="shared" si="9"/>
        <v>125</v>
      </c>
      <c r="C637" s="59"/>
      <c r="D637" s="15" t="str">
        <f>IF(D635="","","Исполнитель"&amp;": ")</f>
        <v/>
      </c>
      <c r="E637" s="62" t="str">
        <f>IFERROR(VLOOKUP(C$13&amp;$B637,Aux!$B:$M,4,0),"")</f>
        <v/>
      </c>
      <c r="F637" s="62"/>
      <c r="G637" s="63" t="str">
        <f>IFERROR(IF(VLOOKUP(C$13&amp;$B635,Aux!$B:$M,8,0)="Да","✔","🕓"),"")</f>
        <v/>
      </c>
      <c r="K637" s="59"/>
      <c r="L637" s="15" t="str">
        <f>IF(L635="","","Исполнитель"&amp;": ")</f>
        <v/>
      </c>
      <c r="M637" s="62" t="str">
        <f>IFERROR(VLOOKUP(K$13&amp;$B637,Aux!$B:$M,4,0),"")</f>
        <v/>
      </c>
      <c r="N637" s="62"/>
      <c r="O637" s="63" t="str">
        <f>IFERROR(IF(VLOOKUP(K$13&amp;$B635,Aux!$B:$M,8,0)="Да","✔","🕓"),"")</f>
        <v/>
      </c>
      <c r="S637" s="59"/>
      <c r="T637" s="15" t="str">
        <f>IF(T635="","","Исполнитель"&amp;": ")</f>
        <v/>
      </c>
      <c r="U637" s="62" t="str">
        <f>IFERROR(VLOOKUP(S$13&amp;$B637,Aux!$B:$M,4,0),"")</f>
        <v/>
      </c>
      <c r="V637" s="62"/>
      <c r="W637" s="63" t="str">
        <f>IFERROR(IF(VLOOKUP(S$13&amp;$B635,Aux!$B:$M,8,0)="Да","✔","🕓"),"")</f>
        <v/>
      </c>
      <c r="AA637" s="59"/>
      <c r="AB637" s="15" t="str">
        <f>IF(AB635="","","Исполнитель"&amp;": ")</f>
        <v/>
      </c>
      <c r="AC637" s="62" t="str">
        <f>IFERROR(VLOOKUP(AA$13&amp;$B637,Aux!$B:$M,4,0),"")</f>
        <v/>
      </c>
      <c r="AD637" s="62"/>
      <c r="AE637" s="63" t="str">
        <f>IFERROR(IF(VLOOKUP(AA$13&amp;$B635,Aux!$B:$M,8,0)="Да","✔","🕓"),"")</f>
        <v/>
      </c>
    </row>
    <row r="638" spans="2:31" x14ac:dyDescent="0.25">
      <c r="B638" s="53">
        <f t="shared" si="9"/>
        <v>125</v>
      </c>
      <c r="C638" s="59"/>
      <c r="D638" s="16" t="str">
        <f>IF(D635="","","Срок сдачи"&amp;": ")</f>
        <v/>
      </c>
      <c r="E638" s="64" t="str">
        <f>IFERROR(VLOOKUP(C$13&amp;$B638,Aux!$B:$M,6,0),"")</f>
        <v/>
      </c>
      <c r="F638" s="64"/>
      <c r="G638" s="63"/>
      <c r="K638" s="59"/>
      <c r="L638" s="16" t="str">
        <f>IF(L635="","","Срок сдачи"&amp;": ")</f>
        <v/>
      </c>
      <c r="M638" s="64" t="str">
        <f>IFERROR(VLOOKUP(K$13&amp;$B638,Aux!$B:$M,6,0),"")</f>
        <v/>
      </c>
      <c r="N638" s="64"/>
      <c r="O638" s="63"/>
      <c r="S638" s="59"/>
      <c r="T638" s="16" t="str">
        <f>IF(T635="","","Срок сдачи"&amp;": ")</f>
        <v/>
      </c>
      <c r="U638" s="64" t="str">
        <f>IFERROR(VLOOKUP(S$13&amp;$B638,Aux!$B:$M,6,0),"")</f>
        <v/>
      </c>
      <c r="V638" s="64"/>
      <c r="W638" s="63"/>
      <c r="AA638" s="59"/>
      <c r="AB638" s="16" t="str">
        <f>IF(AB635="","","Срок сдачи"&amp;": ")</f>
        <v/>
      </c>
      <c r="AC638" s="64" t="str">
        <f>IFERROR(VLOOKUP(AA$13&amp;$B638,Aux!$B:$M,6,0),"")</f>
        <v/>
      </c>
      <c r="AD638" s="64"/>
      <c r="AE638" s="63"/>
    </row>
    <row r="639" spans="2:31" x14ac:dyDescent="0.25">
      <c r="B639" s="53">
        <f t="shared" si="9"/>
        <v>125</v>
      </c>
      <c r="C639" s="7"/>
      <c r="D639" s="17"/>
      <c r="E639" s="7"/>
      <c r="F639" s="18"/>
      <c r="G639" s="18"/>
      <c r="K639" s="13"/>
      <c r="L639" s="17"/>
      <c r="M639" s="13"/>
      <c r="N639" s="14"/>
      <c r="O639" s="14"/>
      <c r="S639" s="13"/>
      <c r="T639" s="17"/>
      <c r="U639" s="13"/>
      <c r="V639" s="14"/>
      <c r="W639" s="14"/>
      <c r="AA639" s="13"/>
      <c r="AB639" s="17"/>
      <c r="AC639" s="13"/>
      <c r="AD639" s="14"/>
      <c r="AE639" s="30"/>
    </row>
    <row r="640" spans="2:31" x14ac:dyDescent="0.25">
      <c r="B640" s="53">
        <f t="shared" si="9"/>
        <v>126</v>
      </c>
      <c r="C640" s="59" t="str">
        <f>IFERROR(VLOOKUP(C$13&amp;$B644,Aux!$B:$M,5,0),"")</f>
        <v/>
      </c>
      <c r="D640" s="60" t="str">
        <f>IFERROR(VLOOKUP(C$13&amp;$B640,Aux!$B:$M,3,0),"")</f>
        <v/>
      </c>
      <c r="E640" s="60"/>
      <c r="F640" s="60"/>
      <c r="G640" s="61" t="str">
        <f>IFERROR(VLOOKUP(C$13&amp;$B640,Aux!$B:$M,9,0),"")</f>
        <v/>
      </c>
      <c r="K640" s="59" t="str">
        <f>IFERROR(VLOOKUP(K$13&amp;$B644,Aux!$B:$M,5,0),"")</f>
        <v/>
      </c>
      <c r="L640" s="60" t="str">
        <f>IFERROR(VLOOKUP(K$13&amp;$B640,Aux!$B:$M,3,0),"")</f>
        <v/>
      </c>
      <c r="M640" s="60"/>
      <c r="N640" s="60"/>
      <c r="O640" s="61" t="str">
        <f>IFERROR(VLOOKUP(K$13&amp;$B640,Aux!$B:$M,9,0),"")</f>
        <v/>
      </c>
      <c r="S640" s="59" t="str">
        <f>IFERROR(VLOOKUP(S$13&amp;$B644,Aux!$B:$M,5,0),"")</f>
        <v/>
      </c>
      <c r="T640" s="60" t="str">
        <f>IFERROR(VLOOKUP(S$13&amp;$B640,Aux!$B:$M,3,0),"")</f>
        <v/>
      </c>
      <c r="U640" s="60"/>
      <c r="V640" s="60"/>
      <c r="W640" s="61" t="str">
        <f>IFERROR(VLOOKUP(S$13&amp;$B640,Aux!$B:$M,9,0),"")</f>
        <v/>
      </c>
      <c r="AA640" s="59" t="str">
        <f>IFERROR(VLOOKUP(AA$13&amp;$B644,Aux!$B:$M,5,0),"")</f>
        <v/>
      </c>
      <c r="AB640" s="60" t="str">
        <f>IFERROR(VLOOKUP(AA$13&amp;$B640,Aux!$B:$M,3,0),"")</f>
        <v/>
      </c>
      <c r="AC640" s="60"/>
      <c r="AD640" s="60"/>
      <c r="AE640" s="61" t="str">
        <f>IFERROR(VLOOKUP(AA$13&amp;$B640,Aux!$B:$M,9,0),"")</f>
        <v/>
      </c>
    </row>
    <row r="641" spans="2:31" x14ac:dyDescent="0.25">
      <c r="B641" s="53">
        <f t="shared" si="9"/>
        <v>126</v>
      </c>
      <c r="C641" s="59"/>
      <c r="D641" s="60"/>
      <c r="E641" s="60"/>
      <c r="F641" s="60"/>
      <c r="G641" s="61"/>
      <c r="K641" s="59"/>
      <c r="L641" s="60"/>
      <c r="M641" s="60"/>
      <c r="N641" s="60"/>
      <c r="O641" s="61"/>
      <c r="S641" s="59"/>
      <c r="T641" s="60"/>
      <c r="U641" s="60"/>
      <c r="V641" s="60"/>
      <c r="W641" s="61"/>
      <c r="AA641" s="59"/>
      <c r="AB641" s="60"/>
      <c r="AC641" s="60"/>
      <c r="AD641" s="60"/>
      <c r="AE641" s="61"/>
    </row>
    <row r="642" spans="2:31" x14ac:dyDescent="0.25">
      <c r="B642" s="53">
        <f t="shared" si="9"/>
        <v>126</v>
      </c>
      <c r="C642" s="59"/>
      <c r="D642" s="15" t="str">
        <f>IF(D640="","","Исполнитель"&amp;": ")</f>
        <v/>
      </c>
      <c r="E642" s="62" t="str">
        <f>IFERROR(VLOOKUP(C$13&amp;$B642,Aux!$B:$M,4,0),"")</f>
        <v/>
      </c>
      <c r="F642" s="62"/>
      <c r="G642" s="63" t="str">
        <f>IFERROR(IF(VLOOKUP(C$13&amp;$B640,Aux!$B:$M,8,0)="Да","✔","🕓"),"")</f>
        <v/>
      </c>
      <c r="K642" s="59"/>
      <c r="L642" s="15" t="str">
        <f>IF(L640="","","Исполнитель"&amp;": ")</f>
        <v/>
      </c>
      <c r="M642" s="62" t="str">
        <f>IFERROR(VLOOKUP(K$13&amp;$B642,Aux!$B:$M,4,0),"")</f>
        <v/>
      </c>
      <c r="N642" s="62"/>
      <c r="O642" s="63" t="str">
        <f>IFERROR(IF(VLOOKUP(K$13&amp;$B640,Aux!$B:$M,8,0)="Да","✔","🕓"),"")</f>
        <v/>
      </c>
      <c r="S642" s="59"/>
      <c r="T642" s="15" t="str">
        <f>IF(T640="","","Исполнитель"&amp;": ")</f>
        <v/>
      </c>
      <c r="U642" s="62" t="str">
        <f>IFERROR(VLOOKUP(S$13&amp;$B642,Aux!$B:$M,4,0),"")</f>
        <v/>
      </c>
      <c r="V642" s="62"/>
      <c r="W642" s="63" t="str">
        <f>IFERROR(IF(VLOOKUP(S$13&amp;$B640,Aux!$B:$M,8,0)="Да","✔","🕓"),"")</f>
        <v/>
      </c>
      <c r="AA642" s="59"/>
      <c r="AB642" s="15" t="str">
        <f>IF(AB640="","","Исполнитель"&amp;": ")</f>
        <v/>
      </c>
      <c r="AC642" s="62" t="str">
        <f>IFERROR(VLOOKUP(AA$13&amp;$B642,Aux!$B:$M,4,0),"")</f>
        <v/>
      </c>
      <c r="AD642" s="62"/>
      <c r="AE642" s="63" t="str">
        <f>IFERROR(IF(VLOOKUP(AA$13&amp;$B640,Aux!$B:$M,8,0)="Да","✔","🕓"),"")</f>
        <v/>
      </c>
    </row>
    <row r="643" spans="2:31" x14ac:dyDescent="0.25">
      <c r="B643" s="53">
        <f t="shared" si="9"/>
        <v>126</v>
      </c>
      <c r="C643" s="59"/>
      <c r="D643" s="16" t="str">
        <f>IF(D640="","","Срок сдачи"&amp;": ")</f>
        <v/>
      </c>
      <c r="E643" s="64" t="str">
        <f>IFERROR(VLOOKUP(C$13&amp;$B643,Aux!$B:$M,6,0),"")</f>
        <v/>
      </c>
      <c r="F643" s="64"/>
      <c r="G643" s="63"/>
      <c r="K643" s="59"/>
      <c r="L643" s="16" t="str">
        <f>IF(L640="","","Срок сдачи"&amp;": ")</f>
        <v/>
      </c>
      <c r="M643" s="64" t="str">
        <f>IFERROR(VLOOKUP(K$13&amp;$B643,Aux!$B:$M,6,0),"")</f>
        <v/>
      </c>
      <c r="N643" s="64"/>
      <c r="O643" s="63"/>
      <c r="S643" s="59"/>
      <c r="T643" s="16" t="str">
        <f>IF(T640="","","Срок сдачи"&amp;": ")</f>
        <v/>
      </c>
      <c r="U643" s="64" t="str">
        <f>IFERROR(VLOOKUP(S$13&amp;$B643,Aux!$B:$M,6,0),"")</f>
        <v/>
      </c>
      <c r="V643" s="64"/>
      <c r="W643" s="63"/>
      <c r="AA643" s="59"/>
      <c r="AB643" s="16" t="str">
        <f>IF(AB640="","","Срок сдачи"&amp;": ")</f>
        <v/>
      </c>
      <c r="AC643" s="64" t="str">
        <f>IFERROR(VLOOKUP(AA$13&amp;$B643,Aux!$B:$M,6,0),"")</f>
        <v/>
      </c>
      <c r="AD643" s="64"/>
      <c r="AE643" s="63"/>
    </row>
    <row r="644" spans="2:31" x14ac:dyDescent="0.25">
      <c r="B644" s="53">
        <f t="shared" si="9"/>
        <v>126</v>
      </c>
      <c r="C644" s="7"/>
      <c r="D644" s="17"/>
      <c r="E644" s="7"/>
      <c r="F644" s="18"/>
      <c r="G644" s="18"/>
      <c r="K644" s="13"/>
      <c r="L644" s="17"/>
      <c r="M644" s="13"/>
      <c r="N644" s="14"/>
      <c r="O644" s="14"/>
      <c r="S644" s="13"/>
      <c r="T644" s="17"/>
      <c r="U644" s="13"/>
      <c r="V644" s="14"/>
      <c r="W644" s="14"/>
      <c r="AA644" s="13"/>
      <c r="AB644" s="17"/>
      <c r="AC644" s="13"/>
      <c r="AD644" s="14"/>
      <c r="AE644" s="30"/>
    </row>
    <row r="645" spans="2:31" x14ac:dyDescent="0.25">
      <c r="B645" s="53">
        <f t="shared" si="9"/>
        <v>127</v>
      </c>
      <c r="C645" s="59" t="str">
        <f>IFERROR(VLOOKUP(C$13&amp;$B649,Aux!$B:$M,5,0),"")</f>
        <v/>
      </c>
      <c r="D645" s="60" t="str">
        <f>IFERROR(VLOOKUP(C$13&amp;$B645,Aux!$B:$M,3,0),"")</f>
        <v/>
      </c>
      <c r="E645" s="60"/>
      <c r="F645" s="60"/>
      <c r="G645" s="61" t="str">
        <f>IFERROR(VLOOKUP(C$13&amp;$B645,Aux!$B:$M,9,0),"")</f>
        <v/>
      </c>
      <c r="K645" s="59" t="str">
        <f>IFERROR(VLOOKUP(K$13&amp;$B649,Aux!$B:$M,5,0),"")</f>
        <v/>
      </c>
      <c r="L645" s="60" t="str">
        <f>IFERROR(VLOOKUP(K$13&amp;$B645,Aux!$B:$M,3,0),"")</f>
        <v/>
      </c>
      <c r="M645" s="60"/>
      <c r="N645" s="60"/>
      <c r="O645" s="61" t="str">
        <f>IFERROR(VLOOKUP(K$13&amp;$B645,Aux!$B:$M,9,0),"")</f>
        <v/>
      </c>
      <c r="S645" s="59" t="str">
        <f>IFERROR(VLOOKUP(S$13&amp;$B649,Aux!$B:$M,5,0),"")</f>
        <v/>
      </c>
      <c r="T645" s="60" t="str">
        <f>IFERROR(VLOOKUP(S$13&amp;$B645,Aux!$B:$M,3,0),"")</f>
        <v/>
      </c>
      <c r="U645" s="60"/>
      <c r="V645" s="60"/>
      <c r="W645" s="61" t="str">
        <f>IFERROR(VLOOKUP(S$13&amp;$B645,Aux!$B:$M,9,0),"")</f>
        <v/>
      </c>
      <c r="AA645" s="59" t="str">
        <f>IFERROR(VLOOKUP(AA$13&amp;$B649,Aux!$B:$M,5,0),"")</f>
        <v/>
      </c>
      <c r="AB645" s="60" t="str">
        <f>IFERROR(VLOOKUP(AA$13&amp;$B645,Aux!$B:$M,3,0),"")</f>
        <v/>
      </c>
      <c r="AC645" s="60"/>
      <c r="AD645" s="60"/>
      <c r="AE645" s="61" t="str">
        <f>IFERROR(VLOOKUP(AA$13&amp;$B645,Aux!$B:$M,9,0),"")</f>
        <v/>
      </c>
    </row>
    <row r="646" spans="2:31" x14ac:dyDescent="0.25">
      <c r="B646" s="53">
        <f t="shared" si="9"/>
        <v>127</v>
      </c>
      <c r="C646" s="59"/>
      <c r="D646" s="60"/>
      <c r="E646" s="60"/>
      <c r="F646" s="60"/>
      <c r="G646" s="61"/>
      <c r="K646" s="59"/>
      <c r="L646" s="60"/>
      <c r="M646" s="60"/>
      <c r="N646" s="60"/>
      <c r="O646" s="61"/>
      <c r="S646" s="59"/>
      <c r="T646" s="60"/>
      <c r="U646" s="60"/>
      <c r="V646" s="60"/>
      <c r="W646" s="61"/>
      <c r="AA646" s="59"/>
      <c r="AB646" s="60"/>
      <c r="AC646" s="60"/>
      <c r="AD646" s="60"/>
      <c r="AE646" s="61"/>
    </row>
    <row r="647" spans="2:31" x14ac:dyDescent="0.25">
      <c r="B647" s="53">
        <f t="shared" si="9"/>
        <v>127</v>
      </c>
      <c r="C647" s="59"/>
      <c r="D647" s="15" t="str">
        <f>IF(D645="","","Исполнитель"&amp;": ")</f>
        <v/>
      </c>
      <c r="E647" s="62" t="str">
        <f>IFERROR(VLOOKUP(C$13&amp;$B647,Aux!$B:$M,4,0),"")</f>
        <v/>
      </c>
      <c r="F647" s="62"/>
      <c r="G647" s="63" t="str">
        <f>IFERROR(IF(VLOOKUP(C$13&amp;$B645,Aux!$B:$M,8,0)="Да","✔","🕓"),"")</f>
        <v/>
      </c>
      <c r="K647" s="59"/>
      <c r="L647" s="15" t="str">
        <f>IF(L645="","","Исполнитель"&amp;": ")</f>
        <v/>
      </c>
      <c r="M647" s="62" t="str">
        <f>IFERROR(VLOOKUP(K$13&amp;$B647,Aux!$B:$M,4,0),"")</f>
        <v/>
      </c>
      <c r="N647" s="62"/>
      <c r="O647" s="63" t="str">
        <f>IFERROR(IF(VLOOKUP(K$13&amp;$B645,Aux!$B:$M,8,0)="Да","✔","🕓"),"")</f>
        <v/>
      </c>
      <c r="S647" s="59"/>
      <c r="T647" s="15" t="str">
        <f>IF(T645="","","Исполнитель"&amp;": ")</f>
        <v/>
      </c>
      <c r="U647" s="62" t="str">
        <f>IFERROR(VLOOKUP(S$13&amp;$B647,Aux!$B:$M,4,0),"")</f>
        <v/>
      </c>
      <c r="V647" s="62"/>
      <c r="W647" s="63" t="str">
        <f>IFERROR(IF(VLOOKUP(S$13&amp;$B645,Aux!$B:$M,8,0)="Да","✔","🕓"),"")</f>
        <v/>
      </c>
      <c r="AA647" s="59"/>
      <c r="AB647" s="15" t="str">
        <f>IF(AB645="","","Исполнитель"&amp;": ")</f>
        <v/>
      </c>
      <c r="AC647" s="62" t="str">
        <f>IFERROR(VLOOKUP(AA$13&amp;$B647,Aux!$B:$M,4,0),"")</f>
        <v/>
      </c>
      <c r="AD647" s="62"/>
      <c r="AE647" s="63" t="str">
        <f>IFERROR(IF(VLOOKUP(AA$13&amp;$B645,Aux!$B:$M,8,0)="Да","✔","🕓"),"")</f>
        <v/>
      </c>
    </row>
    <row r="648" spans="2:31" x14ac:dyDescent="0.25">
      <c r="B648" s="53">
        <f t="shared" si="9"/>
        <v>127</v>
      </c>
      <c r="C648" s="59"/>
      <c r="D648" s="16" t="str">
        <f>IF(D645="","","Срок сдачи"&amp;": ")</f>
        <v/>
      </c>
      <c r="E648" s="64" t="str">
        <f>IFERROR(VLOOKUP(C$13&amp;$B648,Aux!$B:$M,6,0),"")</f>
        <v/>
      </c>
      <c r="F648" s="64"/>
      <c r="G648" s="63"/>
      <c r="K648" s="59"/>
      <c r="L648" s="16" t="str">
        <f>IF(L645="","","Срок сдачи"&amp;": ")</f>
        <v/>
      </c>
      <c r="M648" s="64" t="str">
        <f>IFERROR(VLOOKUP(K$13&amp;$B648,Aux!$B:$M,6,0),"")</f>
        <v/>
      </c>
      <c r="N648" s="64"/>
      <c r="O648" s="63"/>
      <c r="S648" s="59"/>
      <c r="T648" s="16" t="str">
        <f>IF(T645="","","Срок сдачи"&amp;": ")</f>
        <v/>
      </c>
      <c r="U648" s="64" t="str">
        <f>IFERROR(VLOOKUP(S$13&amp;$B648,Aux!$B:$M,6,0),"")</f>
        <v/>
      </c>
      <c r="V648" s="64"/>
      <c r="W648" s="63"/>
      <c r="AA648" s="59"/>
      <c r="AB648" s="16" t="str">
        <f>IF(AB645="","","Срок сдачи"&amp;": ")</f>
        <v/>
      </c>
      <c r="AC648" s="64" t="str">
        <f>IFERROR(VLOOKUP(AA$13&amp;$B648,Aux!$B:$M,6,0),"")</f>
        <v/>
      </c>
      <c r="AD648" s="64"/>
      <c r="AE648" s="63"/>
    </row>
    <row r="649" spans="2:31" x14ac:dyDescent="0.25">
      <c r="B649" s="53">
        <f t="shared" si="9"/>
        <v>127</v>
      </c>
      <c r="C649" s="7"/>
      <c r="D649" s="17"/>
      <c r="E649" s="7"/>
      <c r="F649" s="18"/>
      <c r="G649" s="18"/>
      <c r="K649" s="13"/>
      <c r="L649" s="17"/>
      <c r="M649" s="13"/>
      <c r="N649" s="14"/>
      <c r="O649" s="14"/>
      <c r="S649" s="13"/>
      <c r="T649" s="17"/>
      <c r="U649" s="13"/>
      <c r="V649" s="14"/>
      <c r="W649" s="14"/>
      <c r="AA649" s="13"/>
      <c r="AB649" s="17"/>
      <c r="AC649" s="13"/>
      <c r="AD649" s="14"/>
      <c r="AE649" s="30"/>
    </row>
    <row r="650" spans="2:31" x14ac:dyDescent="0.25">
      <c r="B650" s="53">
        <f t="shared" si="9"/>
        <v>128</v>
      </c>
      <c r="C650" s="59" t="str">
        <f>IFERROR(VLOOKUP(C$13&amp;$B654,Aux!$B:$M,5,0),"")</f>
        <v/>
      </c>
      <c r="D650" s="60" t="str">
        <f>IFERROR(VLOOKUP(C$13&amp;$B650,Aux!$B:$M,3,0),"")</f>
        <v/>
      </c>
      <c r="E650" s="60"/>
      <c r="F650" s="60"/>
      <c r="G650" s="61" t="str">
        <f>IFERROR(VLOOKUP(C$13&amp;$B650,Aux!$B:$M,9,0),"")</f>
        <v/>
      </c>
      <c r="K650" s="59" t="str">
        <f>IFERROR(VLOOKUP(K$13&amp;$B654,Aux!$B:$M,5,0),"")</f>
        <v/>
      </c>
      <c r="L650" s="60" t="str">
        <f>IFERROR(VLOOKUP(K$13&amp;$B650,Aux!$B:$M,3,0),"")</f>
        <v/>
      </c>
      <c r="M650" s="60"/>
      <c r="N650" s="60"/>
      <c r="O650" s="61" t="str">
        <f>IFERROR(VLOOKUP(K$13&amp;$B650,Aux!$B:$M,9,0),"")</f>
        <v/>
      </c>
      <c r="S650" s="59" t="str">
        <f>IFERROR(VLOOKUP(S$13&amp;$B654,Aux!$B:$M,5,0),"")</f>
        <v/>
      </c>
      <c r="T650" s="60" t="str">
        <f>IFERROR(VLOOKUP(S$13&amp;$B650,Aux!$B:$M,3,0),"")</f>
        <v/>
      </c>
      <c r="U650" s="60"/>
      <c r="V650" s="60"/>
      <c r="W650" s="61" t="str">
        <f>IFERROR(VLOOKUP(S$13&amp;$B650,Aux!$B:$M,9,0),"")</f>
        <v/>
      </c>
      <c r="AA650" s="59" t="str">
        <f>IFERROR(VLOOKUP(AA$13&amp;$B654,Aux!$B:$M,5,0),"")</f>
        <v/>
      </c>
      <c r="AB650" s="60" t="str">
        <f>IFERROR(VLOOKUP(AA$13&amp;$B650,Aux!$B:$M,3,0),"")</f>
        <v/>
      </c>
      <c r="AC650" s="60"/>
      <c r="AD650" s="60"/>
      <c r="AE650" s="61" t="str">
        <f>IFERROR(VLOOKUP(AA$13&amp;$B650,Aux!$B:$M,9,0),"")</f>
        <v/>
      </c>
    </row>
    <row r="651" spans="2:31" x14ac:dyDescent="0.25">
      <c r="B651" s="53">
        <f t="shared" si="9"/>
        <v>128</v>
      </c>
      <c r="C651" s="59"/>
      <c r="D651" s="60"/>
      <c r="E651" s="60"/>
      <c r="F651" s="60"/>
      <c r="G651" s="61"/>
      <c r="K651" s="59"/>
      <c r="L651" s="60"/>
      <c r="M651" s="60"/>
      <c r="N651" s="60"/>
      <c r="O651" s="61"/>
      <c r="S651" s="59"/>
      <c r="T651" s="60"/>
      <c r="U651" s="60"/>
      <c r="V651" s="60"/>
      <c r="W651" s="61"/>
      <c r="AA651" s="59"/>
      <c r="AB651" s="60"/>
      <c r="AC651" s="60"/>
      <c r="AD651" s="60"/>
      <c r="AE651" s="61"/>
    </row>
    <row r="652" spans="2:31" x14ac:dyDescent="0.25">
      <c r="B652" s="53">
        <f t="shared" si="9"/>
        <v>128</v>
      </c>
      <c r="C652" s="59"/>
      <c r="D652" s="15" t="str">
        <f>IF(D650="","","Исполнитель"&amp;": ")</f>
        <v/>
      </c>
      <c r="E652" s="62" t="str">
        <f>IFERROR(VLOOKUP(C$13&amp;$B652,Aux!$B:$M,4,0),"")</f>
        <v/>
      </c>
      <c r="F652" s="62"/>
      <c r="G652" s="63" t="str">
        <f>IFERROR(IF(VLOOKUP(C$13&amp;$B650,Aux!$B:$M,8,0)="Да","✔","🕓"),"")</f>
        <v/>
      </c>
      <c r="K652" s="59"/>
      <c r="L652" s="15" t="str">
        <f>IF(L650="","","Исполнитель"&amp;": ")</f>
        <v/>
      </c>
      <c r="M652" s="62" t="str">
        <f>IFERROR(VLOOKUP(K$13&amp;$B652,Aux!$B:$M,4,0),"")</f>
        <v/>
      </c>
      <c r="N652" s="62"/>
      <c r="O652" s="63" t="str">
        <f>IFERROR(IF(VLOOKUP(K$13&amp;$B650,Aux!$B:$M,8,0)="Да","✔","🕓"),"")</f>
        <v/>
      </c>
      <c r="S652" s="59"/>
      <c r="T652" s="15" t="str">
        <f>IF(T650="","","Исполнитель"&amp;": ")</f>
        <v/>
      </c>
      <c r="U652" s="62" t="str">
        <f>IFERROR(VLOOKUP(S$13&amp;$B652,Aux!$B:$M,4,0),"")</f>
        <v/>
      </c>
      <c r="V652" s="62"/>
      <c r="W652" s="63" t="str">
        <f>IFERROR(IF(VLOOKUP(S$13&amp;$B650,Aux!$B:$M,8,0)="Да","✔","🕓"),"")</f>
        <v/>
      </c>
      <c r="AA652" s="59"/>
      <c r="AB652" s="15" t="str">
        <f>IF(AB650="","","Исполнитель"&amp;": ")</f>
        <v/>
      </c>
      <c r="AC652" s="62" t="str">
        <f>IFERROR(VLOOKUP(AA$13&amp;$B652,Aux!$B:$M,4,0),"")</f>
        <v/>
      </c>
      <c r="AD652" s="62"/>
      <c r="AE652" s="63" t="str">
        <f>IFERROR(IF(VLOOKUP(AA$13&amp;$B650,Aux!$B:$M,8,0)="Да","✔","🕓"),"")</f>
        <v/>
      </c>
    </row>
    <row r="653" spans="2:31" x14ac:dyDescent="0.25">
      <c r="B653" s="53">
        <f t="shared" si="9"/>
        <v>128</v>
      </c>
      <c r="C653" s="59"/>
      <c r="D653" s="16" t="str">
        <f>IF(D650="","","Срок сдачи"&amp;": ")</f>
        <v/>
      </c>
      <c r="E653" s="64" t="str">
        <f>IFERROR(VLOOKUP(C$13&amp;$B653,Aux!$B:$M,6,0),"")</f>
        <v/>
      </c>
      <c r="F653" s="64"/>
      <c r="G653" s="63"/>
      <c r="K653" s="59"/>
      <c r="L653" s="16" t="str">
        <f>IF(L650="","","Срок сдачи"&amp;": ")</f>
        <v/>
      </c>
      <c r="M653" s="64" t="str">
        <f>IFERROR(VLOOKUP(K$13&amp;$B653,Aux!$B:$M,6,0),"")</f>
        <v/>
      </c>
      <c r="N653" s="64"/>
      <c r="O653" s="63"/>
      <c r="S653" s="59"/>
      <c r="T653" s="16" t="str">
        <f>IF(T650="","","Срок сдачи"&amp;": ")</f>
        <v/>
      </c>
      <c r="U653" s="64" t="str">
        <f>IFERROR(VLOOKUP(S$13&amp;$B653,Aux!$B:$M,6,0),"")</f>
        <v/>
      </c>
      <c r="V653" s="64"/>
      <c r="W653" s="63"/>
      <c r="AA653" s="59"/>
      <c r="AB653" s="16" t="str">
        <f>IF(AB650="","","Срок сдачи"&amp;": ")</f>
        <v/>
      </c>
      <c r="AC653" s="64" t="str">
        <f>IFERROR(VLOOKUP(AA$13&amp;$B653,Aux!$B:$M,6,0),"")</f>
        <v/>
      </c>
      <c r="AD653" s="64"/>
      <c r="AE653" s="63"/>
    </row>
    <row r="654" spans="2:31" x14ac:dyDescent="0.25">
      <c r="B654" s="53">
        <f t="shared" si="9"/>
        <v>128</v>
      </c>
      <c r="C654" s="7"/>
      <c r="D654" s="17"/>
      <c r="E654" s="7"/>
      <c r="F654" s="18"/>
      <c r="G654" s="18"/>
      <c r="K654" s="13"/>
      <c r="L654" s="17"/>
      <c r="M654" s="13"/>
      <c r="N654" s="14"/>
      <c r="O654" s="14"/>
      <c r="S654" s="13"/>
      <c r="T654" s="17"/>
      <c r="U654" s="13"/>
      <c r="V654" s="14"/>
      <c r="W654" s="14"/>
      <c r="AA654" s="13"/>
      <c r="AB654" s="17"/>
      <c r="AC654" s="13"/>
      <c r="AD654" s="14"/>
      <c r="AE654" s="30"/>
    </row>
    <row r="655" spans="2:31" x14ac:dyDescent="0.25">
      <c r="B655" s="53">
        <f t="shared" si="9"/>
        <v>129</v>
      </c>
      <c r="C655" s="59" t="str">
        <f>IFERROR(VLOOKUP(C$13&amp;$B659,Aux!$B:$M,5,0),"")</f>
        <v/>
      </c>
      <c r="D655" s="60" t="str">
        <f>IFERROR(VLOOKUP(C$13&amp;$B655,Aux!$B:$M,3,0),"")</f>
        <v/>
      </c>
      <c r="E655" s="60"/>
      <c r="F655" s="60"/>
      <c r="G655" s="61" t="str">
        <f>IFERROR(VLOOKUP(C$13&amp;$B655,Aux!$B:$M,9,0),"")</f>
        <v/>
      </c>
      <c r="K655" s="59" t="str">
        <f>IFERROR(VLOOKUP(K$13&amp;$B659,Aux!$B:$M,5,0),"")</f>
        <v/>
      </c>
      <c r="L655" s="60" t="str">
        <f>IFERROR(VLOOKUP(K$13&amp;$B655,Aux!$B:$M,3,0),"")</f>
        <v/>
      </c>
      <c r="M655" s="60"/>
      <c r="N655" s="60"/>
      <c r="O655" s="61" t="str">
        <f>IFERROR(VLOOKUP(K$13&amp;$B655,Aux!$B:$M,9,0),"")</f>
        <v/>
      </c>
      <c r="S655" s="59" t="str">
        <f>IFERROR(VLOOKUP(S$13&amp;$B659,Aux!$B:$M,5,0),"")</f>
        <v/>
      </c>
      <c r="T655" s="60" t="str">
        <f>IFERROR(VLOOKUP(S$13&amp;$B655,Aux!$B:$M,3,0),"")</f>
        <v/>
      </c>
      <c r="U655" s="60"/>
      <c r="V655" s="60"/>
      <c r="W655" s="61" t="str">
        <f>IFERROR(VLOOKUP(S$13&amp;$B655,Aux!$B:$M,9,0),"")</f>
        <v/>
      </c>
      <c r="AA655" s="59" t="str">
        <f>IFERROR(VLOOKUP(AA$13&amp;$B659,Aux!$B:$M,5,0),"")</f>
        <v/>
      </c>
      <c r="AB655" s="60" t="str">
        <f>IFERROR(VLOOKUP(AA$13&amp;$B655,Aux!$B:$M,3,0),"")</f>
        <v/>
      </c>
      <c r="AC655" s="60"/>
      <c r="AD655" s="60"/>
      <c r="AE655" s="61" t="str">
        <f>IFERROR(VLOOKUP(AA$13&amp;$B655,Aux!$B:$M,9,0),"")</f>
        <v/>
      </c>
    </row>
    <row r="656" spans="2:31" x14ac:dyDescent="0.25">
      <c r="B656" s="53">
        <f t="shared" si="9"/>
        <v>129</v>
      </c>
      <c r="C656" s="59"/>
      <c r="D656" s="60"/>
      <c r="E656" s="60"/>
      <c r="F656" s="60"/>
      <c r="G656" s="61"/>
      <c r="K656" s="59"/>
      <c r="L656" s="60"/>
      <c r="M656" s="60"/>
      <c r="N656" s="60"/>
      <c r="O656" s="61"/>
      <c r="S656" s="59"/>
      <c r="T656" s="60"/>
      <c r="U656" s="60"/>
      <c r="V656" s="60"/>
      <c r="W656" s="61"/>
      <c r="AA656" s="59"/>
      <c r="AB656" s="60"/>
      <c r="AC656" s="60"/>
      <c r="AD656" s="60"/>
      <c r="AE656" s="61"/>
    </row>
    <row r="657" spans="2:31" x14ac:dyDescent="0.25">
      <c r="B657" s="53">
        <f t="shared" si="9"/>
        <v>129</v>
      </c>
      <c r="C657" s="59"/>
      <c r="D657" s="15" t="str">
        <f>IF(D655="","","Исполнитель"&amp;": ")</f>
        <v/>
      </c>
      <c r="E657" s="62" t="str">
        <f>IFERROR(VLOOKUP(C$13&amp;$B657,Aux!$B:$M,4,0),"")</f>
        <v/>
      </c>
      <c r="F657" s="62"/>
      <c r="G657" s="63" t="str">
        <f>IFERROR(IF(VLOOKUP(C$13&amp;$B655,Aux!$B:$M,8,0)="Да","✔","🕓"),"")</f>
        <v/>
      </c>
      <c r="K657" s="59"/>
      <c r="L657" s="15" t="str">
        <f>IF(L655="","","Исполнитель"&amp;": ")</f>
        <v/>
      </c>
      <c r="M657" s="62" t="str">
        <f>IFERROR(VLOOKUP(K$13&amp;$B657,Aux!$B:$M,4,0),"")</f>
        <v/>
      </c>
      <c r="N657" s="62"/>
      <c r="O657" s="63" t="str">
        <f>IFERROR(IF(VLOOKUP(K$13&amp;$B655,Aux!$B:$M,8,0)="Да","✔","🕓"),"")</f>
        <v/>
      </c>
      <c r="S657" s="59"/>
      <c r="T657" s="15" t="str">
        <f>IF(T655="","","Исполнитель"&amp;": ")</f>
        <v/>
      </c>
      <c r="U657" s="62" t="str">
        <f>IFERROR(VLOOKUP(S$13&amp;$B657,Aux!$B:$M,4,0),"")</f>
        <v/>
      </c>
      <c r="V657" s="62"/>
      <c r="W657" s="63" t="str">
        <f>IFERROR(IF(VLOOKUP(S$13&amp;$B655,Aux!$B:$M,8,0)="Да","✔","🕓"),"")</f>
        <v/>
      </c>
      <c r="AA657" s="59"/>
      <c r="AB657" s="15" t="str">
        <f>IF(AB655="","","Исполнитель"&amp;": ")</f>
        <v/>
      </c>
      <c r="AC657" s="62" t="str">
        <f>IFERROR(VLOOKUP(AA$13&amp;$B657,Aux!$B:$M,4,0),"")</f>
        <v/>
      </c>
      <c r="AD657" s="62"/>
      <c r="AE657" s="63" t="str">
        <f>IFERROR(IF(VLOOKUP(AA$13&amp;$B655,Aux!$B:$M,8,0)="Да","✔","🕓"),"")</f>
        <v/>
      </c>
    </row>
    <row r="658" spans="2:31" x14ac:dyDescent="0.25">
      <c r="B658" s="53">
        <f t="shared" si="9"/>
        <v>129</v>
      </c>
      <c r="C658" s="59"/>
      <c r="D658" s="16" t="str">
        <f>IF(D655="","","Срок сдачи"&amp;": ")</f>
        <v/>
      </c>
      <c r="E658" s="64" t="str">
        <f>IFERROR(VLOOKUP(C$13&amp;$B658,Aux!$B:$M,6,0),"")</f>
        <v/>
      </c>
      <c r="F658" s="64"/>
      <c r="G658" s="63"/>
      <c r="K658" s="59"/>
      <c r="L658" s="16" t="str">
        <f>IF(L655="","","Срок сдачи"&amp;": ")</f>
        <v/>
      </c>
      <c r="M658" s="64" t="str">
        <f>IFERROR(VLOOKUP(K$13&amp;$B658,Aux!$B:$M,6,0),"")</f>
        <v/>
      </c>
      <c r="N658" s="64"/>
      <c r="O658" s="63"/>
      <c r="S658" s="59"/>
      <c r="T658" s="16" t="str">
        <f>IF(T655="","","Срок сдачи"&amp;": ")</f>
        <v/>
      </c>
      <c r="U658" s="64" t="str">
        <f>IFERROR(VLOOKUP(S$13&amp;$B658,Aux!$B:$M,6,0),"")</f>
        <v/>
      </c>
      <c r="V658" s="64"/>
      <c r="W658" s="63"/>
      <c r="AA658" s="59"/>
      <c r="AB658" s="16" t="str">
        <f>IF(AB655="","","Срок сдачи"&amp;": ")</f>
        <v/>
      </c>
      <c r="AC658" s="64" t="str">
        <f>IFERROR(VLOOKUP(AA$13&amp;$B658,Aux!$B:$M,6,0),"")</f>
        <v/>
      </c>
      <c r="AD658" s="64"/>
      <c r="AE658" s="63"/>
    </row>
    <row r="659" spans="2:31" x14ac:dyDescent="0.25">
      <c r="B659" s="53">
        <f t="shared" si="9"/>
        <v>129</v>
      </c>
      <c r="C659" s="7"/>
      <c r="D659" s="17"/>
      <c r="E659" s="7"/>
      <c r="F659" s="18"/>
      <c r="G659" s="18"/>
      <c r="K659" s="13"/>
      <c r="L659" s="17"/>
      <c r="M659" s="13"/>
      <c r="N659" s="14"/>
      <c r="O659" s="14"/>
      <c r="S659" s="13"/>
      <c r="T659" s="17"/>
      <c r="U659" s="13"/>
      <c r="V659" s="14"/>
      <c r="W659" s="14"/>
      <c r="AA659" s="13"/>
      <c r="AB659" s="17"/>
      <c r="AC659" s="13"/>
      <c r="AD659" s="14"/>
      <c r="AE659" s="30"/>
    </row>
    <row r="660" spans="2:31" x14ac:dyDescent="0.25">
      <c r="B660" s="53">
        <f t="shared" si="9"/>
        <v>130</v>
      </c>
      <c r="C660" s="59" t="str">
        <f>IFERROR(VLOOKUP(C$13&amp;$B664,Aux!$B:$M,5,0),"")</f>
        <v/>
      </c>
      <c r="D660" s="60" t="str">
        <f>IFERROR(VLOOKUP(C$13&amp;$B660,Aux!$B:$M,3,0),"")</f>
        <v/>
      </c>
      <c r="E660" s="60"/>
      <c r="F660" s="60"/>
      <c r="G660" s="61" t="str">
        <f>IFERROR(VLOOKUP(C$13&amp;$B660,Aux!$B:$M,9,0),"")</f>
        <v/>
      </c>
      <c r="K660" s="59" t="str">
        <f>IFERROR(VLOOKUP(K$13&amp;$B664,Aux!$B:$M,5,0),"")</f>
        <v/>
      </c>
      <c r="L660" s="60" t="str">
        <f>IFERROR(VLOOKUP(K$13&amp;$B660,Aux!$B:$M,3,0),"")</f>
        <v/>
      </c>
      <c r="M660" s="60"/>
      <c r="N660" s="60"/>
      <c r="O660" s="61" t="str">
        <f>IFERROR(VLOOKUP(K$13&amp;$B660,Aux!$B:$M,9,0),"")</f>
        <v/>
      </c>
      <c r="S660" s="59" t="str">
        <f>IFERROR(VLOOKUP(S$13&amp;$B664,Aux!$B:$M,5,0),"")</f>
        <v/>
      </c>
      <c r="T660" s="60" t="str">
        <f>IFERROR(VLOOKUP(S$13&amp;$B660,Aux!$B:$M,3,0),"")</f>
        <v/>
      </c>
      <c r="U660" s="60"/>
      <c r="V660" s="60"/>
      <c r="W660" s="61" t="str">
        <f>IFERROR(VLOOKUP(S$13&amp;$B660,Aux!$B:$M,9,0),"")</f>
        <v/>
      </c>
      <c r="AA660" s="59" t="str">
        <f>IFERROR(VLOOKUP(AA$13&amp;$B664,Aux!$B:$M,5,0),"")</f>
        <v/>
      </c>
      <c r="AB660" s="60" t="str">
        <f>IFERROR(VLOOKUP(AA$13&amp;$B660,Aux!$B:$M,3,0),"")</f>
        <v/>
      </c>
      <c r="AC660" s="60"/>
      <c r="AD660" s="60"/>
      <c r="AE660" s="61" t="str">
        <f>IFERROR(VLOOKUP(AA$13&amp;$B660,Aux!$B:$M,9,0),"")</f>
        <v/>
      </c>
    </row>
    <row r="661" spans="2:31" x14ac:dyDescent="0.25">
      <c r="B661" s="53">
        <f t="shared" ref="B661:B724" si="10">B656+1</f>
        <v>130</v>
      </c>
      <c r="C661" s="59"/>
      <c r="D661" s="60"/>
      <c r="E661" s="60"/>
      <c r="F661" s="60"/>
      <c r="G661" s="61"/>
      <c r="K661" s="59"/>
      <c r="L661" s="60"/>
      <c r="M661" s="60"/>
      <c r="N661" s="60"/>
      <c r="O661" s="61"/>
      <c r="S661" s="59"/>
      <c r="T661" s="60"/>
      <c r="U661" s="60"/>
      <c r="V661" s="60"/>
      <c r="W661" s="61"/>
      <c r="AA661" s="59"/>
      <c r="AB661" s="60"/>
      <c r="AC661" s="60"/>
      <c r="AD661" s="60"/>
      <c r="AE661" s="61"/>
    </row>
    <row r="662" spans="2:31" x14ac:dyDescent="0.25">
      <c r="B662" s="53">
        <f t="shared" si="10"/>
        <v>130</v>
      </c>
      <c r="C662" s="59"/>
      <c r="D662" s="15" t="str">
        <f>IF(D660="","","Исполнитель"&amp;": ")</f>
        <v/>
      </c>
      <c r="E662" s="62" t="str">
        <f>IFERROR(VLOOKUP(C$13&amp;$B662,Aux!$B:$M,4,0),"")</f>
        <v/>
      </c>
      <c r="F662" s="62"/>
      <c r="G662" s="63" t="str">
        <f>IFERROR(IF(VLOOKUP(C$13&amp;$B660,Aux!$B:$M,8,0)="Да","✔","🕓"),"")</f>
        <v/>
      </c>
      <c r="K662" s="59"/>
      <c r="L662" s="15" t="str">
        <f>IF(L660="","","Исполнитель"&amp;": ")</f>
        <v/>
      </c>
      <c r="M662" s="62" t="str">
        <f>IFERROR(VLOOKUP(K$13&amp;$B662,Aux!$B:$M,4,0),"")</f>
        <v/>
      </c>
      <c r="N662" s="62"/>
      <c r="O662" s="63" t="str">
        <f>IFERROR(IF(VLOOKUP(K$13&amp;$B660,Aux!$B:$M,8,0)="Да","✔","🕓"),"")</f>
        <v/>
      </c>
      <c r="S662" s="59"/>
      <c r="T662" s="15" t="str">
        <f>IF(T660="","","Исполнитель"&amp;": ")</f>
        <v/>
      </c>
      <c r="U662" s="62" t="str">
        <f>IFERROR(VLOOKUP(S$13&amp;$B662,Aux!$B:$M,4,0),"")</f>
        <v/>
      </c>
      <c r="V662" s="62"/>
      <c r="W662" s="63" t="str">
        <f>IFERROR(IF(VLOOKUP(S$13&amp;$B660,Aux!$B:$M,8,0)="Да","✔","🕓"),"")</f>
        <v/>
      </c>
      <c r="AA662" s="59"/>
      <c r="AB662" s="15" t="str">
        <f>IF(AB660="","","Исполнитель"&amp;": ")</f>
        <v/>
      </c>
      <c r="AC662" s="62" t="str">
        <f>IFERROR(VLOOKUP(AA$13&amp;$B662,Aux!$B:$M,4,0),"")</f>
        <v/>
      </c>
      <c r="AD662" s="62"/>
      <c r="AE662" s="63" t="str">
        <f>IFERROR(IF(VLOOKUP(AA$13&amp;$B660,Aux!$B:$M,8,0)="Да","✔","🕓"),"")</f>
        <v/>
      </c>
    </row>
    <row r="663" spans="2:31" x14ac:dyDescent="0.25">
      <c r="B663" s="53">
        <f t="shared" si="10"/>
        <v>130</v>
      </c>
      <c r="C663" s="59"/>
      <c r="D663" s="16" t="str">
        <f>IF(D660="","","Срок сдачи"&amp;": ")</f>
        <v/>
      </c>
      <c r="E663" s="64" t="str">
        <f>IFERROR(VLOOKUP(C$13&amp;$B663,Aux!$B:$M,6,0),"")</f>
        <v/>
      </c>
      <c r="F663" s="64"/>
      <c r="G663" s="63"/>
      <c r="K663" s="59"/>
      <c r="L663" s="16" t="str">
        <f>IF(L660="","","Срок сдачи"&amp;": ")</f>
        <v/>
      </c>
      <c r="M663" s="64" t="str">
        <f>IFERROR(VLOOKUP(K$13&amp;$B663,Aux!$B:$M,6,0),"")</f>
        <v/>
      </c>
      <c r="N663" s="64"/>
      <c r="O663" s="63"/>
      <c r="S663" s="59"/>
      <c r="T663" s="16" t="str">
        <f>IF(T660="","","Срок сдачи"&amp;": ")</f>
        <v/>
      </c>
      <c r="U663" s="64" t="str">
        <f>IFERROR(VLOOKUP(S$13&amp;$B663,Aux!$B:$M,6,0),"")</f>
        <v/>
      </c>
      <c r="V663" s="64"/>
      <c r="W663" s="63"/>
      <c r="AA663" s="59"/>
      <c r="AB663" s="16" t="str">
        <f>IF(AB660="","","Срок сдачи"&amp;": ")</f>
        <v/>
      </c>
      <c r="AC663" s="64" t="str">
        <f>IFERROR(VLOOKUP(AA$13&amp;$B663,Aux!$B:$M,6,0),"")</f>
        <v/>
      </c>
      <c r="AD663" s="64"/>
      <c r="AE663" s="63"/>
    </row>
    <row r="664" spans="2:31" x14ac:dyDescent="0.25">
      <c r="B664" s="53">
        <f t="shared" si="10"/>
        <v>130</v>
      </c>
      <c r="C664" s="7"/>
      <c r="D664" s="17"/>
      <c r="E664" s="7"/>
      <c r="F664" s="18"/>
      <c r="G664" s="18"/>
      <c r="K664" s="13"/>
      <c r="L664" s="17"/>
      <c r="M664" s="13"/>
      <c r="N664" s="14"/>
      <c r="O664" s="14"/>
      <c r="S664" s="13"/>
      <c r="T664" s="17"/>
      <c r="U664" s="13"/>
      <c r="V664" s="14"/>
      <c r="W664" s="14"/>
      <c r="AA664" s="13"/>
      <c r="AB664" s="17"/>
      <c r="AC664" s="13"/>
      <c r="AD664" s="14"/>
      <c r="AE664" s="30"/>
    </row>
    <row r="665" spans="2:31" x14ac:dyDescent="0.25">
      <c r="B665" s="53">
        <f t="shared" si="10"/>
        <v>131</v>
      </c>
      <c r="C665" s="59" t="str">
        <f>IFERROR(VLOOKUP(C$13&amp;$B669,Aux!$B:$M,5,0),"")</f>
        <v/>
      </c>
      <c r="D665" s="60" t="str">
        <f>IFERROR(VLOOKUP(C$13&amp;$B665,Aux!$B:$M,3,0),"")</f>
        <v/>
      </c>
      <c r="E665" s="60"/>
      <c r="F665" s="60"/>
      <c r="G665" s="61" t="str">
        <f>IFERROR(VLOOKUP(C$13&amp;$B665,Aux!$B:$M,9,0),"")</f>
        <v/>
      </c>
      <c r="K665" s="59" t="str">
        <f>IFERROR(VLOOKUP(K$13&amp;$B669,Aux!$B:$M,5,0),"")</f>
        <v/>
      </c>
      <c r="L665" s="60" t="str">
        <f>IFERROR(VLOOKUP(K$13&amp;$B665,Aux!$B:$M,3,0),"")</f>
        <v/>
      </c>
      <c r="M665" s="60"/>
      <c r="N665" s="60"/>
      <c r="O665" s="61" t="str">
        <f>IFERROR(VLOOKUP(K$13&amp;$B665,Aux!$B:$M,9,0),"")</f>
        <v/>
      </c>
      <c r="S665" s="59" t="str">
        <f>IFERROR(VLOOKUP(S$13&amp;$B669,Aux!$B:$M,5,0),"")</f>
        <v/>
      </c>
      <c r="T665" s="60" t="str">
        <f>IFERROR(VLOOKUP(S$13&amp;$B665,Aux!$B:$M,3,0),"")</f>
        <v/>
      </c>
      <c r="U665" s="60"/>
      <c r="V665" s="60"/>
      <c r="W665" s="61" t="str">
        <f>IFERROR(VLOOKUP(S$13&amp;$B665,Aux!$B:$M,9,0),"")</f>
        <v/>
      </c>
      <c r="AA665" s="59" t="str">
        <f>IFERROR(VLOOKUP(AA$13&amp;$B669,Aux!$B:$M,5,0),"")</f>
        <v/>
      </c>
      <c r="AB665" s="60" t="str">
        <f>IFERROR(VLOOKUP(AA$13&amp;$B665,Aux!$B:$M,3,0),"")</f>
        <v/>
      </c>
      <c r="AC665" s="60"/>
      <c r="AD665" s="60"/>
      <c r="AE665" s="61" t="str">
        <f>IFERROR(VLOOKUP(AA$13&amp;$B665,Aux!$B:$M,9,0),"")</f>
        <v/>
      </c>
    </row>
    <row r="666" spans="2:31" x14ac:dyDescent="0.25">
      <c r="B666" s="53">
        <f t="shared" si="10"/>
        <v>131</v>
      </c>
      <c r="C666" s="59"/>
      <c r="D666" s="60"/>
      <c r="E666" s="60"/>
      <c r="F666" s="60"/>
      <c r="G666" s="61"/>
      <c r="K666" s="59"/>
      <c r="L666" s="60"/>
      <c r="M666" s="60"/>
      <c r="N666" s="60"/>
      <c r="O666" s="61"/>
      <c r="S666" s="59"/>
      <c r="T666" s="60"/>
      <c r="U666" s="60"/>
      <c r="V666" s="60"/>
      <c r="W666" s="61"/>
      <c r="AA666" s="59"/>
      <c r="AB666" s="60"/>
      <c r="AC666" s="60"/>
      <c r="AD666" s="60"/>
      <c r="AE666" s="61"/>
    </row>
    <row r="667" spans="2:31" x14ac:dyDescent="0.25">
      <c r="B667" s="53">
        <f t="shared" si="10"/>
        <v>131</v>
      </c>
      <c r="C667" s="59"/>
      <c r="D667" s="15" t="str">
        <f>IF(D665="","","Исполнитель"&amp;": ")</f>
        <v/>
      </c>
      <c r="E667" s="62" t="str">
        <f>IFERROR(VLOOKUP(C$13&amp;$B667,Aux!$B:$M,4,0),"")</f>
        <v/>
      </c>
      <c r="F667" s="62"/>
      <c r="G667" s="63" t="str">
        <f>IFERROR(IF(VLOOKUP(C$13&amp;$B665,Aux!$B:$M,8,0)="Да","✔","🕓"),"")</f>
        <v/>
      </c>
      <c r="K667" s="59"/>
      <c r="L667" s="15" t="str">
        <f>IF(L665="","","Исполнитель"&amp;": ")</f>
        <v/>
      </c>
      <c r="M667" s="62" t="str">
        <f>IFERROR(VLOOKUP(K$13&amp;$B667,Aux!$B:$M,4,0),"")</f>
        <v/>
      </c>
      <c r="N667" s="62"/>
      <c r="O667" s="63" t="str">
        <f>IFERROR(IF(VLOOKUP(K$13&amp;$B665,Aux!$B:$M,8,0)="Да","✔","🕓"),"")</f>
        <v/>
      </c>
      <c r="S667" s="59"/>
      <c r="T667" s="15" t="str">
        <f>IF(T665="","","Исполнитель"&amp;": ")</f>
        <v/>
      </c>
      <c r="U667" s="62" t="str">
        <f>IFERROR(VLOOKUP(S$13&amp;$B667,Aux!$B:$M,4,0),"")</f>
        <v/>
      </c>
      <c r="V667" s="62"/>
      <c r="W667" s="63" t="str">
        <f>IFERROR(IF(VLOOKUP(S$13&amp;$B665,Aux!$B:$M,8,0)="Да","✔","🕓"),"")</f>
        <v/>
      </c>
      <c r="AA667" s="59"/>
      <c r="AB667" s="15" t="str">
        <f>IF(AB665="","","Исполнитель"&amp;": ")</f>
        <v/>
      </c>
      <c r="AC667" s="62" t="str">
        <f>IFERROR(VLOOKUP(AA$13&amp;$B667,Aux!$B:$M,4,0),"")</f>
        <v/>
      </c>
      <c r="AD667" s="62"/>
      <c r="AE667" s="63" t="str">
        <f>IFERROR(IF(VLOOKUP(AA$13&amp;$B665,Aux!$B:$M,8,0)="Да","✔","🕓"),"")</f>
        <v/>
      </c>
    </row>
    <row r="668" spans="2:31" x14ac:dyDescent="0.25">
      <c r="B668" s="53">
        <f t="shared" si="10"/>
        <v>131</v>
      </c>
      <c r="C668" s="59"/>
      <c r="D668" s="16" t="str">
        <f>IF(D665="","","Срок сдачи"&amp;": ")</f>
        <v/>
      </c>
      <c r="E668" s="64" t="str">
        <f>IFERROR(VLOOKUP(C$13&amp;$B668,Aux!$B:$M,6,0),"")</f>
        <v/>
      </c>
      <c r="F668" s="64"/>
      <c r="G668" s="63"/>
      <c r="K668" s="59"/>
      <c r="L668" s="16" t="str">
        <f>IF(L665="","","Срок сдачи"&amp;": ")</f>
        <v/>
      </c>
      <c r="M668" s="64" t="str">
        <f>IFERROR(VLOOKUP(K$13&amp;$B668,Aux!$B:$M,6,0),"")</f>
        <v/>
      </c>
      <c r="N668" s="64"/>
      <c r="O668" s="63"/>
      <c r="S668" s="59"/>
      <c r="T668" s="16" t="str">
        <f>IF(T665="","","Срок сдачи"&amp;": ")</f>
        <v/>
      </c>
      <c r="U668" s="64" t="str">
        <f>IFERROR(VLOOKUP(S$13&amp;$B668,Aux!$B:$M,6,0),"")</f>
        <v/>
      </c>
      <c r="V668" s="64"/>
      <c r="W668" s="63"/>
      <c r="AA668" s="59"/>
      <c r="AB668" s="16" t="str">
        <f>IF(AB665="","","Срок сдачи"&amp;": ")</f>
        <v/>
      </c>
      <c r="AC668" s="64" t="str">
        <f>IFERROR(VLOOKUP(AA$13&amp;$B668,Aux!$B:$M,6,0),"")</f>
        <v/>
      </c>
      <c r="AD668" s="64"/>
      <c r="AE668" s="63"/>
    </row>
    <row r="669" spans="2:31" x14ac:dyDescent="0.25">
      <c r="B669" s="53">
        <f t="shared" si="10"/>
        <v>131</v>
      </c>
      <c r="C669" s="7"/>
      <c r="D669" s="17"/>
      <c r="E669" s="7"/>
      <c r="F669" s="18"/>
      <c r="G669" s="18"/>
      <c r="K669" s="13"/>
      <c r="L669" s="17"/>
      <c r="M669" s="13"/>
      <c r="N669" s="14"/>
      <c r="O669" s="14"/>
      <c r="S669" s="13"/>
      <c r="T669" s="17"/>
      <c r="U669" s="13"/>
      <c r="V669" s="14"/>
      <c r="W669" s="14"/>
      <c r="AA669" s="13"/>
      <c r="AB669" s="17"/>
      <c r="AC669" s="13"/>
      <c r="AD669" s="14"/>
      <c r="AE669" s="30"/>
    </row>
    <row r="670" spans="2:31" x14ac:dyDescent="0.25">
      <c r="B670" s="53">
        <f t="shared" si="10"/>
        <v>132</v>
      </c>
      <c r="C670" s="59" t="str">
        <f>IFERROR(VLOOKUP(C$13&amp;$B674,Aux!$B:$M,5,0),"")</f>
        <v/>
      </c>
      <c r="D670" s="60" t="str">
        <f>IFERROR(VLOOKUP(C$13&amp;$B670,Aux!$B:$M,3,0),"")</f>
        <v/>
      </c>
      <c r="E670" s="60"/>
      <c r="F670" s="60"/>
      <c r="G670" s="61" t="str">
        <f>IFERROR(VLOOKUP(C$13&amp;$B670,Aux!$B:$M,9,0),"")</f>
        <v/>
      </c>
      <c r="K670" s="59" t="str">
        <f>IFERROR(VLOOKUP(K$13&amp;$B674,Aux!$B:$M,5,0),"")</f>
        <v/>
      </c>
      <c r="L670" s="60" t="str">
        <f>IFERROR(VLOOKUP(K$13&amp;$B670,Aux!$B:$M,3,0),"")</f>
        <v/>
      </c>
      <c r="M670" s="60"/>
      <c r="N670" s="60"/>
      <c r="O670" s="61" t="str">
        <f>IFERROR(VLOOKUP(K$13&amp;$B670,Aux!$B:$M,9,0),"")</f>
        <v/>
      </c>
      <c r="S670" s="59" t="str">
        <f>IFERROR(VLOOKUP(S$13&amp;$B674,Aux!$B:$M,5,0),"")</f>
        <v/>
      </c>
      <c r="T670" s="60" t="str">
        <f>IFERROR(VLOOKUP(S$13&amp;$B670,Aux!$B:$M,3,0),"")</f>
        <v/>
      </c>
      <c r="U670" s="60"/>
      <c r="V670" s="60"/>
      <c r="W670" s="61" t="str">
        <f>IFERROR(VLOOKUP(S$13&amp;$B670,Aux!$B:$M,9,0),"")</f>
        <v/>
      </c>
      <c r="AA670" s="59" t="str">
        <f>IFERROR(VLOOKUP(AA$13&amp;$B674,Aux!$B:$M,5,0),"")</f>
        <v/>
      </c>
      <c r="AB670" s="60" t="str">
        <f>IFERROR(VLOOKUP(AA$13&amp;$B670,Aux!$B:$M,3,0),"")</f>
        <v/>
      </c>
      <c r="AC670" s="60"/>
      <c r="AD670" s="60"/>
      <c r="AE670" s="61" t="str">
        <f>IFERROR(VLOOKUP(AA$13&amp;$B670,Aux!$B:$M,9,0),"")</f>
        <v/>
      </c>
    </row>
    <row r="671" spans="2:31" x14ac:dyDescent="0.25">
      <c r="B671" s="53">
        <f t="shared" si="10"/>
        <v>132</v>
      </c>
      <c r="C671" s="59"/>
      <c r="D671" s="60"/>
      <c r="E671" s="60"/>
      <c r="F671" s="60"/>
      <c r="G671" s="61"/>
      <c r="K671" s="59"/>
      <c r="L671" s="60"/>
      <c r="M671" s="60"/>
      <c r="N671" s="60"/>
      <c r="O671" s="61"/>
      <c r="S671" s="59"/>
      <c r="T671" s="60"/>
      <c r="U671" s="60"/>
      <c r="V671" s="60"/>
      <c r="W671" s="61"/>
      <c r="AA671" s="59"/>
      <c r="AB671" s="60"/>
      <c r="AC671" s="60"/>
      <c r="AD671" s="60"/>
      <c r="AE671" s="61"/>
    </row>
    <row r="672" spans="2:31" x14ac:dyDescent="0.25">
      <c r="B672" s="53">
        <f t="shared" si="10"/>
        <v>132</v>
      </c>
      <c r="C672" s="59"/>
      <c r="D672" s="15" t="str">
        <f>IF(D670="","","Исполнитель"&amp;": ")</f>
        <v/>
      </c>
      <c r="E672" s="62" t="str">
        <f>IFERROR(VLOOKUP(C$13&amp;$B672,Aux!$B:$M,4,0),"")</f>
        <v/>
      </c>
      <c r="F672" s="62"/>
      <c r="G672" s="63" t="str">
        <f>IFERROR(IF(VLOOKUP(C$13&amp;$B670,Aux!$B:$M,8,0)="Да","✔","🕓"),"")</f>
        <v/>
      </c>
      <c r="K672" s="59"/>
      <c r="L672" s="15" t="str">
        <f>IF(L670="","","Исполнитель"&amp;": ")</f>
        <v/>
      </c>
      <c r="M672" s="62" t="str">
        <f>IFERROR(VLOOKUP(K$13&amp;$B672,Aux!$B:$M,4,0),"")</f>
        <v/>
      </c>
      <c r="N672" s="62"/>
      <c r="O672" s="63" t="str">
        <f>IFERROR(IF(VLOOKUP(K$13&amp;$B670,Aux!$B:$M,8,0)="Да","✔","🕓"),"")</f>
        <v/>
      </c>
      <c r="S672" s="59"/>
      <c r="T672" s="15" t="str">
        <f>IF(T670="","","Исполнитель"&amp;": ")</f>
        <v/>
      </c>
      <c r="U672" s="62" t="str">
        <f>IFERROR(VLOOKUP(S$13&amp;$B672,Aux!$B:$M,4,0),"")</f>
        <v/>
      </c>
      <c r="V672" s="62"/>
      <c r="W672" s="63" t="str">
        <f>IFERROR(IF(VLOOKUP(S$13&amp;$B670,Aux!$B:$M,8,0)="Да","✔","🕓"),"")</f>
        <v/>
      </c>
      <c r="AA672" s="59"/>
      <c r="AB672" s="15" t="str">
        <f>IF(AB670="","","Исполнитель"&amp;": ")</f>
        <v/>
      </c>
      <c r="AC672" s="62" t="str">
        <f>IFERROR(VLOOKUP(AA$13&amp;$B672,Aux!$B:$M,4,0),"")</f>
        <v/>
      </c>
      <c r="AD672" s="62"/>
      <c r="AE672" s="63" t="str">
        <f>IFERROR(IF(VLOOKUP(AA$13&amp;$B670,Aux!$B:$M,8,0)="Да","✔","🕓"),"")</f>
        <v/>
      </c>
    </row>
    <row r="673" spans="2:31" x14ac:dyDescent="0.25">
      <c r="B673" s="53">
        <f t="shared" si="10"/>
        <v>132</v>
      </c>
      <c r="C673" s="59"/>
      <c r="D673" s="16" t="str">
        <f>IF(D670="","","Срок сдачи"&amp;": ")</f>
        <v/>
      </c>
      <c r="E673" s="64" t="str">
        <f>IFERROR(VLOOKUP(C$13&amp;$B673,Aux!$B:$M,6,0),"")</f>
        <v/>
      </c>
      <c r="F673" s="64"/>
      <c r="G673" s="63"/>
      <c r="K673" s="59"/>
      <c r="L673" s="16" t="str">
        <f>IF(L670="","","Срок сдачи"&amp;": ")</f>
        <v/>
      </c>
      <c r="M673" s="64" t="str">
        <f>IFERROR(VLOOKUP(K$13&amp;$B673,Aux!$B:$M,6,0),"")</f>
        <v/>
      </c>
      <c r="N673" s="64"/>
      <c r="O673" s="63"/>
      <c r="S673" s="59"/>
      <c r="T673" s="16" t="str">
        <f>IF(T670="","","Срок сдачи"&amp;": ")</f>
        <v/>
      </c>
      <c r="U673" s="64" t="str">
        <f>IFERROR(VLOOKUP(S$13&amp;$B673,Aux!$B:$M,6,0),"")</f>
        <v/>
      </c>
      <c r="V673" s="64"/>
      <c r="W673" s="63"/>
      <c r="AA673" s="59"/>
      <c r="AB673" s="16" t="str">
        <f>IF(AB670="","","Срок сдачи"&amp;": ")</f>
        <v/>
      </c>
      <c r="AC673" s="64" t="str">
        <f>IFERROR(VLOOKUP(AA$13&amp;$B673,Aux!$B:$M,6,0),"")</f>
        <v/>
      </c>
      <c r="AD673" s="64"/>
      <c r="AE673" s="63"/>
    </row>
    <row r="674" spans="2:31" x14ac:dyDescent="0.25">
      <c r="B674" s="53">
        <f t="shared" si="10"/>
        <v>132</v>
      </c>
      <c r="C674" s="7"/>
      <c r="D674" s="17"/>
      <c r="E674" s="7"/>
      <c r="F674" s="18"/>
      <c r="G674" s="18"/>
      <c r="K674" s="13"/>
      <c r="L674" s="17"/>
      <c r="M674" s="13"/>
      <c r="N674" s="14"/>
      <c r="O674" s="14"/>
      <c r="S674" s="13"/>
      <c r="T674" s="17"/>
      <c r="U674" s="13"/>
      <c r="V674" s="14"/>
      <c r="W674" s="14"/>
      <c r="AA674" s="13"/>
      <c r="AB674" s="17"/>
      <c r="AC674" s="13"/>
      <c r="AD674" s="14"/>
      <c r="AE674" s="30"/>
    </row>
    <row r="675" spans="2:31" x14ac:dyDescent="0.25">
      <c r="B675" s="53">
        <f t="shared" si="10"/>
        <v>133</v>
      </c>
      <c r="C675" s="59" t="str">
        <f>IFERROR(VLOOKUP(C$13&amp;$B679,Aux!$B:$M,5,0),"")</f>
        <v/>
      </c>
      <c r="D675" s="60" t="str">
        <f>IFERROR(VLOOKUP(C$13&amp;$B675,Aux!$B:$M,3,0),"")</f>
        <v/>
      </c>
      <c r="E675" s="60"/>
      <c r="F675" s="60"/>
      <c r="G675" s="61" t="str">
        <f>IFERROR(VLOOKUP(C$13&amp;$B675,Aux!$B:$M,9,0),"")</f>
        <v/>
      </c>
      <c r="K675" s="59" t="str">
        <f>IFERROR(VLOOKUP(K$13&amp;$B679,Aux!$B:$M,5,0),"")</f>
        <v/>
      </c>
      <c r="L675" s="60" t="str">
        <f>IFERROR(VLOOKUP(K$13&amp;$B675,Aux!$B:$M,3,0),"")</f>
        <v/>
      </c>
      <c r="M675" s="60"/>
      <c r="N675" s="60"/>
      <c r="O675" s="61" t="str">
        <f>IFERROR(VLOOKUP(K$13&amp;$B675,Aux!$B:$M,9,0),"")</f>
        <v/>
      </c>
      <c r="S675" s="59" t="str">
        <f>IFERROR(VLOOKUP(S$13&amp;$B679,Aux!$B:$M,5,0),"")</f>
        <v/>
      </c>
      <c r="T675" s="60" t="str">
        <f>IFERROR(VLOOKUP(S$13&amp;$B675,Aux!$B:$M,3,0),"")</f>
        <v/>
      </c>
      <c r="U675" s="60"/>
      <c r="V675" s="60"/>
      <c r="W675" s="61" t="str">
        <f>IFERROR(VLOOKUP(S$13&amp;$B675,Aux!$B:$M,9,0),"")</f>
        <v/>
      </c>
      <c r="AA675" s="59" t="str">
        <f>IFERROR(VLOOKUP(AA$13&amp;$B679,Aux!$B:$M,5,0),"")</f>
        <v/>
      </c>
      <c r="AB675" s="60" t="str">
        <f>IFERROR(VLOOKUP(AA$13&amp;$B675,Aux!$B:$M,3,0),"")</f>
        <v/>
      </c>
      <c r="AC675" s="60"/>
      <c r="AD675" s="60"/>
      <c r="AE675" s="61" t="str">
        <f>IFERROR(VLOOKUP(AA$13&amp;$B675,Aux!$B:$M,9,0),"")</f>
        <v/>
      </c>
    </row>
    <row r="676" spans="2:31" x14ac:dyDescent="0.25">
      <c r="B676" s="53">
        <f t="shared" si="10"/>
        <v>133</v>
      </c>
      <c r="C676" s="59"/>
      <c r="D676" s="60"/>
      <c r="E676" s="60"/>
      <c r="F676" s="60"/>
      <c r="G676" s="61"/>
      <c r="K676" s="59"/>
      <c r="L676" s="60"/>
      <c r="M676" s="60"/>
      <c r="N676" s="60"/>
      <c r="O676" s="61"/>
      <c r="S676" s="59"/>
      <c r="T676" s="60"/>
      <c r="U676" s="60"/>
      <c r="V676" s="60"/>
      <c r="W676" s="61"/>
      <c r="AA676" s="59"/>
      <c r="AB676" s="60"/>
      <c r="AC676" s="60"/>
      <c r="AD676" s="60"/>
      <c r="AE676" s="61"/>
    </row>
    <row r="677" spans="2:31" x14ac:dyDescent="0.25">
      <c r="B677" s="53">
        <f t="shared" si="10"/>
        <v>133</v>
      </c>
      <c r="C677" s="59"/>
      <c r="D677" s="15" t="str">
        <f>IF(D675="","","Исполнитель"&amp;": ")</f>
        <v/>
      </c>
      <c r="E677" s="62" t="str">
        <f>IFERROR(VLOOKUP(C$13&amp;$B677,Aux!$B:$M,4,0),"")</f>
        <v/>
      </c>
      <c r="F677" s="62"/>
      <c r="G677" s="63" t="str">
        <f>IFERROR(IF(VLOOKUP(C$13&amp;$B675,Aux!$B:$M,8,0)="Да","✔","🕓"),"")</f>
        <v/>
      </c>
      <c r="K677" s="59"/>
      <c r="L677" s="15" t="str">
        <f>IF(L675="","","Исполнитель"&amp;": ")</f>
        <v/>
      </c>
      <c r="M677" s="62" t="str">
        <f>IFERROR(VLOOKUP(K$13&amp;$B677,Aux!$B:$M,4,0),"")</f>
        <v/>
      </c>
      <c r="N677" s="62"/>
      <c r="O677" s="63" t="str">
        <f>IFERROR(IF(VLOOKUP(K$13&amp;$B675,Aux!$B:$M,8,0)="Да","✔","🕓"),"")</f>
        <v/>
      </c>
      <c r="S677" s="59"/>
      <c r="T677" s="15" t="str">
        <f>IF(T675="","","Исполнитель"&amp;": ")</f>
        <v/>
      </c>
      <c r="U677" s="62" t="str">
        <f>IFERROR(VLOOKUP(S$13&amp;$B677,Aux!$B:$M,4,0),"")</f>
        <v/>
      </c>
      <c r="V677" s="62"/>
      <c r="W677" s="63" t="str">
        <f>IFERROR(IF(VLOOKUP(S$13&amp;$B675,Aux!$B:$M,8,0)="Да","✔","🕓"),"")</f>
        <v/>
      </c>
      <c r="AA677" s="59"/>
      <c r="AB677" s="15" t="str">
        <f>IF(AB675="","","Исполнитель"&amp;": ")</f>
        <v/>
      </c>
      <c r="AC677" s="62" t="str">
        <f>IFERROR(VLOOKUP(AA$13&amp;$B677,Aux!$B:$M,4,0),"")</f>
        <v/>
      </c>
      <c r="AD677" s="62"/>
      <c r="AE677" s="63" t="str">
        <f>IFERROR(IF(VLOOKUP(AA$13&amp;$B675,Aux!$B:$M,8,0)="Да","✔","🕓"),"")</f>
        <v/>
      </c>
    </row>
    <row r="678" spans="2:31" x14ac:dyDescent="0.25">
      <c r="B678" s="53">
        <f t="shared" si="10"/>
        <v>133</v>
      </c>
      <c r="C678" s="59"/>
      <c r="D678" s="16" t="str">
        <f>IF(D675="","","Срок сдачи"&amp;": ")</f>
        <v/>
      </c>
      <c r="E678" s="64" t="str">
        <f>IFERROR(VLOOKUP(C$13&amp;$B678,Aux!$B:$M,6,0),"")</f>
        <v/>
      </c>
      <c r="F678" s="64"/>
      <c r="G678" s="63"/>
      <c r="K678" s="59"/>
      <c r="L678" s="16" t="str">
        <f>IF(L675="","","Срок сдачи"&amp;": ")</f>
        <v/>
      </c>
      <c r="M678" s="64" t="str">
        <f>IFERROR(VLOOKUP(K$13&amp;$B678,Aux!$B:$M,6,0),"")</f>
        <v/>
      </c>
      <c r="N678" s="64"/>
      <c r="O678" s="63"/>
      <c r="S678" s="59"/>
      <c r="T678" s="16" t="str">
        <f>IF(T675="","","Срок сдачи"&amp;": ")</f>
        <v/>
      </c>
      <c r="U678" s="64" t="str">
        <f>IFERROR(VLOOKUP(S$13&amp;$B678,Aux!$B:$M,6,0),"")</f>
        <v/>
      </c>
      <c r="V678" s="64"/>
      <c r="W678" s="63"/>
      <c r="AA678" s="59"/>
      <c r="AB678" s="16" t="str">
        <f>IF(AB675="","","Срок сдачи"&amp;": ")</f>
        <v/>
      </c>
      <c r="AC678" s="64" t="str">
        <f>IFERROR(VLOOKUP(AA$13&amp;$B678,Aux!$B:$M,6,0),"")</f>
        <v/>
      </c>
      <c r="AD678" s="64"/>
      <c r="AE678" s="63"/>
    </row>
    <row r="679" spans="2:31" x14ac:dyDescent="0.25">
      <c r="B679" s="53">
        <f t="shared" si="10"/>
        <v>133</v>
      </c>
      <c r="C679" s="7"/>
      <c r="D679" s="17"/>
      <c r="E679" s="7"/>
      <c r="F679" s="18"/>
      <c r="G679" s="18"/>
      <c r="K679" s="13"/>
      <c r="L679" s="17"/>
      <c r="M679" s="13"/>
      <c r="N679" s="14"/>
      <c r="O679" s="14"/>
      <c r="S679" s="13"/>
      <c r="T679" s="17"/>
      <c r="U679" s="13"/>
      <c r="V679" s="14"/>
      <c r="W679" s="14"/>
      <c r="AA679" s="13"/>
      <c r="AB679" s="17"/>
      <c r="AC679" s="13"/>
      <c r="AD679" s="14"/>
      <c r="AE679" s="30"/>
    </row>
    <row r="680" spans="2:31" x14ac:dyDescent="0.25">
      <c r="B680" s="53">
        <f t="shared" si="10"/>
        <v>134</v>
      </c>
      <c r="C680" s="59" t="str">
        <f>IFERROR(VLOOKUP(C$13&amp;$B684,Aux!$B:$M,5,0),"")</f>
        <v/>
      </c>
      <c r="D680" s="60" t="str">
        <f>IFERROR(VLOOKUP(C$13&amp;$B680,Aux!$B:$M,3,0),"")</f>
        <v/>
      </c>
      <c r="E680" s="60"/>
      <c r="F680" s="60"/>
      <c r="G680" s="61" t="str">
        <f>IFERROR(VLOOKUP(C$13&amp;$B680,Aux!$B:$M,9,0),"")</f>
        <v/>
      </c>
      <c r="K680" s="59" t="str">
        <f>IFERROR(VLOOKUP(K$13&amp;$B684,Aux!$B:$M,5,0),"")</f>
        <v/>
      </c>
      <c r="L680" s="60" t="str">
        <f>IFERROR(VLOOKUP(K$13&amp;$B680,Aux!$B:$M,3,0),"")</f>
        <v/>
      </c>
      <c r="M680" s="60"/>
      <c r="N680" s="60"/>
      <c r="O680" s="61" t="str">
        <f>IFERROR(VLOOKUP(K$13&amp;$B680,Aux!$B:$M,9,0),"")</f>
        <v/>
      </c>
      <c r="S680" s="59" t="str">
        <f>IFERROR(VLOOKUP(S$13&amp;$B684,Aux!$B:$M,5,0),"")</f>
        <v/>
      </c>
      <c r="T680" s="60" t="str">
        <f>IFERROR(VLOOKUP(S$13&amp;$B680,Aux!$B:$M,3,0),"")</f>
        <v/>
      </c>
      <c r="U680" s="60"/>
      <c r="V680" s="60"/>
      <c r="W680" s="61" t="str">
        <f>IFERROR(VLOOKUP(S$13&amp;$B680,Aux!$B:$M,9,0),"")</f>
        <v/>
      </c>
      <c r="AA680" s="59" t="str">
        <f>IFERROR(VLOOKUP(AA$13&amp;$B684,Aux!$B:$M,5,0),"")</f>
        <v/>
      </c>
      <c r="AB680" s="60" t="str">
        <f>IFERROR(VLOOKUP(AA$13&amp;$B680,Aux!$B:$M,3,0),"")</f>
        <v/>
      </c>
      <c r="AC680" s="60"/>
      <c r="AD680" s="60"/>
      <c r="AE680" s="61" t="str">
        <f>IFERROR(VLOOKUP(AA$13&amp;$B680,Aux!$B:$M,9,0),"")</f>
        <v/>
      </c>
    </row>
    <row r="681" spans="2:31" x14ac:dyDescent="0.25">
      <c r="B681" s="53">
        <f t="shared" si="10"/>
        <v>134</v>
      </c>
      <c r="C681" s="59"/>
      <c r="D681" s="60"/>
      <c r="E681" s="60"/>
      <c r="F681" s="60"/>
      <c r="G681" s="61"/>
      <c r="K681" s="59"/>
      <c r="L681" s="60"/>
      <c r="M681" s="60"/>
      <c r="N681" s="60"/>
      <c r="O681" s="61"/>
      <c r="S681" s="59"/>
      <c r="T681" s="60"/>
      <c r="U681" s="60"/>
      <c r="V681" s="60"/>
      <c r="W681" s="61"/>
      <c r="AA681" s="59"/>
      <c r="AB681" s="60"/>
      <c r="AC681" s="60"/>
      <c r="AD681" s="60"/>
      <c r="AE681" s="61"/>
    </row>
    <row r="682" spans="2:31" x14ac:dyDescent="0.25">
      <c r="B682" s="53">
        <f t="shared" si="10"/>
        <v>134</v>
      </c>
      <c r="C682" s="59"/>
      <c r="D682" s="15" t="str">
        <f>IF(D680="","","Исполнитель"&amp;": ")</f>
        <v/>
      </c>
      <c r="E682" s="62" t="str">
        <f>IFERROR(VLOOKUP(C$13&amp;$B682,Aux!$B:$M,4,0),"")</f>
        <v/>
      </c>
      <c r="F682" s="62"/>
      <c r="G682" s="63" t="str">
        <f>IFERROR(IF(VLOOKUP(C$13&amp;$B680,Aux!$B:$M,8,0)="Да","✔","🕓"),"")</f>
        <v/>
      </c>
      <c r="K682" s="59"/>
      <c r="L682" s="15" t="str">
        <f>IF(L680="","","Исполнитель"&amp;": ")</f>
        <v/>
      </c>
      <c r="M682" s="62" t="str">
        <f>IFERROR(VLOOKUP(K$13&amp;$B682,Aux!$B:$M,4,0),"")</f>
        <v/>
      </c>
      <c r="N682" s="62"/>
      <c r="O682" s="63" t="str">
        <f>IFERROR(IF(VLOOKUP(K$13&amp;$B680,Aux!$B:$M,8,0)="Да","✔","🕓"),"")</f>
        <v/>
      </c>
      <c r="S682" s="59"/>
      <c r="T682" s="15" t="str">
        <f>IF(T680="","","Исполнитель"&amp;": ")</f>
        <v/>
      </c>
      <c r="U682" s="62" t="str">
        <f>IFERROR(VLOOKUP(S$13&amp;$B682,Aux!$B:$M,4,0),"")</f>
        <v/>
      </c>
      <c r="V682" s="62"/>
      <c r="W682" s="63" t="str">
        <f>IFERROR(IF(VLOOKUP(S$13&amp;$B680,Aux!$B:$M,8,0)="Да","✔","🕓"),"")</f>
        <v/>
      </c>
      <c r="AA682" s="59"/>
      <c r="AB682" s="15" t="str">
        <f>IF(AB680="","","Исполнитель"&amp;": ")</f>
        <v/>
      </c>
      <c r="AC682" s="62" t="str">
        <f>IFERROR(VLOOKUP(AA$13&amp;$B682,Aux!$B:$M,4,0),"")</f>
        <v/>
      </c>
      <c r="AD682" s="62"/>
      <c r="AE682" s="63" t="str">
        <f>IFERROR(IF(VLOOKUP(AA$13&amp;$B680,Aux!$B:$M,8,0)="Да","✔","🕓"),"")</f>
        <v/>
      </c>
    </row>
    <row r="683" spans="2:31" x14ac:dyDescent="0.25">
      <c r="B683" s="53">
        <f t="shared" si="10"/>
        <v>134</v>
      </c>
      <c r="C683" s="59"/>
      <c r="D683" s="16" t="str">
        <f>IF(D680="","","Срок сдачи"&amp;": ")</f>
        <v/>
      </c>
      <c r="E683" s="64" t="str">
        <f>IFERROR(VLOOKUP(C$13&amp;$B683,Aux!$B:$M,6,0),"")</f>
        <v/>
      </c>
      <c r="F683" s="64"/>
      <c r="G683" s="63"/>
      <c r="K683" s="59"/>
      <c r="L683" s="16" t="str">
        <f>IF(L680="","","Срок сдачи"&amp;": ")</f>
        <v/>
      </c>
      <c r="M683" s="64" t="str">
        <f>IFERROR(VLOOKUP(K$13&amp;$B683,Aux!$B:$M,6,0),"")</f>
        <v/>
      </c>
      <c r="N683" s="64"/>
      <c r="O683" s="63"/>
      <c r="S683" s="59"/>
      <c r="T683" s="16" t="str">
        <f>IF(T680="","","Срок сдачи"&amp;": ")</f>
        <v/>
      </c>
      <c r="U683" s="64" t="str">
        <f>IFERROR(VLOOKUP(S$13&amp;$B683,Aux!$B:$M,6,0),"")</f>
        <v/>
      </c>
      <c r="V683" s="64"/>
      <c r="W683" s="63"/>
      <c r="AA683" s="59"/>
      <c r="AB683" s="16" t="str">
        <f>IF(AB680="","","Срок сдачи"&amp;": ")</f>
        <v/>
      </c>
      <c r="AC683" s="64" t="str">
        <f>IFERROR(VLOOKUP(AA$13&amp;$B683,Aux!$B:$M,6,0),"")</f>
        <v/>
      </c>
      <c r="AD683" s="64"/>
      <c r="AE683" s="63"/>
    </row>
    <row r="684" spans="2:31" x14ac:dyDescent="0.25">
      <c r="B684" s="53">
        <f t="shared" si="10"/>
        <v>134</v>
      </c>
      <c r="C684" s="7"/>
      <c r="D684" s="17"/>
      <c r="E684" s="7"/>
      <c r="F684" s="18"/>
      <c r="G684" s="18"/>
      <c r="K684" s="13"/>
      <c r="L684" s="17"/>
      <c r="M684" s="13"/>
      <c r="N684" s="14"/>
      <c r="O684" s="14"/>
      <c r="S684" s="13"/>
      <c r="T684" s="17"/>
      <c r="U684" s="13"/>
      <c r="V684" s="14"/>
      <c r="W684" s="14"/>
      <c r="AA684" s="13"/>
      <c r="AB684" s="17"/>
      <c r="AC684" s="13"/>
      <c r="AD684" s="14"/>
      <c r="AE684" s="30"/>
    </row>
    <row r="685" spans="2:31" x14ac:dyDescent="0.25">
      <c r="B685" s="53">
        <f t="shared" si="10"/>
        <v>135</v>
      </c>
      <c r="C685" s="59" t="str">
        <f>IFERROR(VLOOKUP(C$13&amp;$B689,Aux!$B:$M,5,0),"")</f>
        <v/>
      </c>
      <c r="D685" s="60" t="str">
        <f>IFERROR(VLOOKUP(C$13&amp;$B685,Aux!$B:$M,3,0),"")</f>
        <v/>
      </c>
      <c r="E685" s="60"/>
      <c r="F685" s="60"/>
      <c r="G685" s="61" t="str">
        <f>IFERROR(VLOOKUP(C$13&amp;$B685,Aux!$B:$M,9,0),"")</f>
        <v/>
      </c>
      <c r="K685" s="59" t="str">
        <f>IFERROR(VLOOKUP(K$13&amp;$B689,Aux!$B:$M,5,0),"")</f>
        <v/>
      </c>
      <c r="L685" s="60" t="str">
        <f>IFERROR(VLOOKUP(K$13&amp;$B685,Aux!$B:$M,3,0),"")</f>
        <v/>
      </c>
      <c r="M685" s="60"/>
      <c r="N685" s="60"/>
      <c r="O685" s="61" t="str">
        <f>IFERROR(VLOOKUP(K$13&amp;$B685,Aux!$B:$M,9,0),"")</f>
        <v/>
      </c>
      <c r="S685" s="59" t="str">
        <f>IFERROR(VLOOKUP(S$13&amp;$B689,Aux!$B:$M,5,0),"")</f>
        <v/>
      </c>
      <c r="T685" s="60" t="str">
        <f>IFERROR(VLOOKUP(S$13&amp;$B685,Aux!$B:$M,3,0),"")</f>
        <v/>
      </c>
      <c r="U685" s="60"/>
      <c r="V685" s="60"/>
      <c r="W685" s="61" t="str">
        <f>IFERROR(VLOOKUP(S$13&amp;$B685,Aux!$B:$M,9,0),"")</f>
        <v/>
      </c>
      <c r="AA685" s="59" t="str">
        <f>IFERROR(VLOOKUP(AA$13&amp;$B689,Aux!$B:$M,5,0),"")</f>
        <v/>
      </c>
      <c r="AB685" s="60" t="str">
        <f>IFERROR(VLOOKUP(AA$13&amp;$B685,Aux!$B:$M,3,0),"")</f>
        <v/>
      </c>
      <c r="AC685" s="60"/>
      <c r="AD685" s="60"/>
      <c r="AE685" s="61" t="str">
        <f>IFERROR(VLOOKUP(AA$13&amp;$B685,Aux!$B:$M,9,0),"")</f>
        <v/>
      </c>
    </row>
    <row r="686" spans="2:31" x14ac:dyDescent="0.25">
      <c r="B686" s="53">
        <f t="shared" si="10"/>
        <v>135</v>
      </c>
      <c r="C686" s="59"/>
      <c r="D686" s="60"/>
      <c r="E686" s="60"/>
      <c r="F686" s="60"/>
      <c r="G686" s="61"/>
      <c r="K686" s="59"/>
      <c r="L686" s="60"/>
      <c r="M686" s="60"/>
      <c r="N686" s="60"/>
      <c r="O686" s="61"/>
      <c r="S686" s="59"/>
      <c r="T686" s="60"/>
      <c r="U686" s="60"/>
      <c r="V686" s="60"/>
      <c r="W686" s="61"/>
      <c r="AA686" s="59"/>
      <c r="AB686" s="60"/>
      <c r="AC686" s="60"/>
      <c r="AD686" s="60"/>
      <c r="AE686" s="61"/>
    </row>
    <row r="687" spans="2:31" x14ac:dyDescent="0.25">
      <c r="B687" s="53">
        <f t="shared" si="10"/>
        <v>135</v>
      </c>
      <c r="C687" s="59"/>
      <c r="D687" s="15" t="str">
        <f>IF(D685="","","Исполнитель"&amp;": ")</f>
        <v/>
      </c>
      <c r="E687" s="62" t="str">
        <f>IFERROR(VLOOKUP(C$13&amp;$B687,Aux!$B:$M,4,0),"")</f>
        <v/>
      </c>
      <c r="F687" s="62"/>
      <c r="G687" s="63" t="str">
        <f>IFERROR(IF(VLOOKUP(C$13&amp;$B685,Aux!$B:$M,8,0)="Да","✔","🕓"),"")</f>
        <v/>
      </c>
      <c r="K687" s="59"/>
      <c r="L687" s="15" t="str">
        <f>IF(L685="","","Исполнитель"&amp;": ")</f>
        <v/>
      </c>
      <c r="M687" s="62" t="str">
        <f>IFERROR(VLOOKUP(K$13&amp;$B687,Aux!$B:$M,4,0),"")</f>
        <v/>
      </c>
      <c r="N687" s="62"/>
      <c r="O687" s="63" t="str">
        <f>IFERROR(IF(VLOOKUP(K$13&amp;$B685,Aux!$B:$M,8,0)="Да","✔","🕓"),"")</f>
        <v/>
      </c>
      <c r="S687" s="59"/>
      <c r="T687" s="15" t="str">
        <f>IF(T685="","","Исполнитель"&amp;": ")</f>
        <v/>
      </c>
      <c r="U687" s="62" t="str">
        <f>IFERROR(VLOOKUP(S$13&amp;$B687,Aux!$B:$M,4,0),"")</f>
        <v/>
      </c>
      <c r="V687" s="62"/>
      <c r="W687" s="63" t="str">
        <f>IFERROR(IF(VLOOKUP(S$13&amp;$B685,Aux!$B:$M,8,0)="Да","✔","🕓"),"")</f>
        <v/>
      </c>
      <c r="AA687" s="59"/>
      <c r="AB687" s="15" t="str">
        <f>IF(AB685="","","Исполнитель"&amp;": ")</f>
        <v/>
      </c>
      <c r="AC687" s="62" t="str">
        <f>IFERROR(VLOOKUP(AA$13&amp;$B687,Aux!$B:$M,4,0),"")</f>
        <v/>
      </c>
      <c r="AD687" s="62"/>
      <c r="AE687" s="63" t="str">
        <f>IFERROR(IF(VLOOKUP(AA$13&amp;$B685,Aux!$B:$M,8,0)="Да","✔","🕓"),"")</f>
        <v/>
      </c>
    </row>
    <row r="688" spans="2:31" x14ac:dyDescent="0.25">
      <c r="B688" s="53">
        <f t="shared" si="10"/>
        <v>135</v>
      </c>
      <c r="C688" s="59"/>
      <c r="D688" s="16" t="str">
        <f>IF(D685="","","Срок сдачи"&amp;": ")</f>
        <v/>
      </c>
      <c r="E688" s="64" t="str">
        <f>IFERROR(VLOOKUP(C$13&amp;$B688,Aux!$B:$M,6,0),"")</f>
        <v/>
      </c>
      <c r="F688" s="64"/>
      <c r="G688" s="63"/>
      <c r="K688" s="59"/>
      <c r="L688" s="16" t="str">
        <f>IF(L685="","","Срок сдачи"&amp;": ")</f>
        <v/>
      </c>
      <c r="M688" s="64" t="str">
        <f>IFERROR(VLOOKUP(K$13&amp;$B688,Aux!$B:$M,6,0),"")</f>
        <v/>
      </c>
      <c r="N688" s="64"/>
      <c r="O688" s="63"/>
      <c r="S688" s="59"/>
      <c r="T688" s="16" t="str">
        <f>IF(T685="","","Срок сдачи"&amp;": ")</f>
        <v/>
      </c>
      <c r="U688" s="64" t="str">
        <f>IFERROR(VLOOKUP(S$13&amp;$B688,Aux!$B:$M,6,0),"")</f>
        <v/>
      </c>
      <c r="V688" s="64"/>
      <c r="W688" s="63"/>
      <c r="AA688" s="59"/>
      <c r="AB688" s="16" t="str">
        <f>IF(AB685="","","Срок сдачи"&amp;": ")</f>
        <v/>
      </c>
      <c r="AC688" s="64" t="str">
        <f>IFERROR(VLOOKUP(AA$13&amp;$B688,Aux!$B:$M,6,0),"")</f>
        <v/>
      </c>
      <c r="AD688" s="64"/>
      <c r="AE688" s="63"/>
    </row>
    <row r="689" spans="2:31" x14ac:dyDescent="0.25">
      <c r="B689" s="53">
        <f t="shared" si="10"/>
        <v>135</v>
      </c>
      <c r="C689" s="7"/>
      <c r="D689" s="17"/>
      <c r="E689" s="7"/>
      <c r="F689" s="18"/>
      <c r="G689" s="18"/>
      <c r="K689" s="13"/>
      <c r="L689" s="17"/>
      <c r="M689" s="13"/>
      <c r="N689" s="14"/>
      <c r="O689" s="14"/>
      <c r="S689" s="13"/>
      <c r="T689" s="17"/>
      <c r="U689" s="13"/>
      <c r="V689" s="14"/>
      <c r="W689" s="14"/>
      <c r="AA689" s="13"/>
      <c r="AB689" s="17"/>
      <c r="AC689" s="13"/>
      <c r="AD689" s="14"/>
      <c r="AE689" s="30"/>
    </row>
    <row r="690" spans="2:31" x14ac:dyDescent="0.25">
      <c r="B690" s="53">
        <f t="shared" si="10"/>
        <v>136</v>
      </c>
      <c r="C690" s="59" t="str">
        <f>IFERROR(VLOOKUP(C$13&amp;$B694,Aux!$B:$M,5,0),"")</f>
        <v/>
      </c>
      <c r="D690" s="60" t="str">
        <f>IFERROR(VLOOKUP(C$13&amp;$B690,Aux!$B:$M,3,0),"")</f>
        <v/>
      </c>
      <c r="E690" s="60"/>
      <c r="F690" s="60"/>
      <c r="G690" s="61" t="str">
        <f>IFERROR(VLOOKUP(C$13&amp;$B690,Aux!$B:$M,9,0),"")</f>
        <v/>
      </c>
      <c r="K690" s="59" t="str">
        <f>IFERROR(VLOOKUP(K$13&amp;$B694,Aux!$B:$M,5,0),"")</f>
        <v/>
      </c>
      <c r="L690" s="60" t="str">
        <f>IFERROR(VLOOKUP(K$13&amp;$B690,Aux!$B:$M,3,0),"")</f>
        <v/>
      </c>
      <c r="M690" s="60"/>
      <c r="N690" s="60"/>
      <c r="O690" s="61" t="str">
        <f>IFERROR(VLOOKUP(K$13&amp;$B690,Aux!$B:$M,9,0),"")</f>
        <v/>
      </c>
      <c r="S690" s="59" t="str">
        <f>IFERROR(VLOOKUP(S$13&amp;$B694,Aux!$B:$M,5,0),"")</f>
        <v/>
      </c>
      <c r="T690" s="60" t="str">
        <f>IFERROR(VLOOKUP(S$13&amp;$B690,Aux!$B:$M,3,0),"")</f>
        <v/>
      </c>
      <c r="U690" s="60"/>
      <c r="V690" s="60"/>
      <c r="W690" s="61" t="str">
        <f>IFERROR(VLOOKUP(S$13&amp;$B690,Aux!$B:$M,9,0),"")</f>
        <v/>
      </c>
      <c r="AA690" s="59" t="str">
        <f>IFERROR(VLOOKUP(AA$13&amp;$B694,Aux!$B:$M,5,0),"")</f>
        <v/>
      </c>
      <c r="AB690" s="60" t="str">
        <f>IFERROR(VLOOKUP(AA$13&amp;$B690,Aux!$B:$M,3,0),"")</f>
        <v/>
      </c>
      <c r="AC690" s="60"/>
      <c r="AD690" s="60"/>
      <c r="AE690" s="61" t="str">
        <f>IFERROR(VLOOKUP(AA$13&amp;$B690,Aux!$B:$M,9,0),"")</f>
        <v/>
      </c>
    </row>
    <row r="691" spans="2:31" x14ac:dyDescent="0.25">
      <c r="B691" s="53">
        <f t="shared" si="10"/>
        <v>136</v>
      </c>
      <c r="C691" s="59"/>
      <c r="D691" s="60"/>
      <c r="E691" s="60"/>
      <c r="F691" s="60"/>
      <c r="G691" s="61"/>
      <c r="K691" s="59"/>
      <c r="L691" s="60"/>
      <c r="M691" s="60"/>
      <c r="N691" s="60"/>
      <c r="O691" s="61"/>
      <c r="S691" s="59"/>
      <c r="T691" s="60"/>
      <c r="U691" s="60"/>
      <c r="V691" s="60"/>
      <c r="W691" s="61"/>
      <c r="AA691" s="59"/>
      <c r="AB691" s="60"/>
      <c r="AC691" s="60"/>
      <c r="AD691" s="60"/>
      <c r="AE691" s="61"/>
    </row>
    <row r="692" spans="2:31" x14ac:dyDescent="0.25">
      <c r="B692" s="53">
        <f t="shared" si="10"/>
        <v>136</v>
      </c>
      <c r="C692" s="59"/>
      <c r="D692" s="15" t="str">
        <f>IF(D690="","","Исполнитель"&amp;": ")</f>
        <v/>
      </c>
      <c r="E692" s="62" t="str">
        <f>IFERROR(VLOOKUP(C$13&amp;$B692,Aux!$B:$M,4,0),"")</f>
        <v/>
      </c>
      <c r="F692" s="62"/>
      <c r="G692" s="63" t="str">
        <f>IFERROR(IF(VLOOKUP(C$13&amp;$B690,Aux!$B:$M,8,0)="Да","✔","🕓"),"")</f>
        <v/>
      </c>
      <c r="K692" s="59"/>
      <c r="L692" s="15" t="str">
        <f>IF(L690="","","Исполнитель"&amp;": ")</f>
        <v/>
      </c>
      <c r="M692" s="62" t="str">
        <f>IFERROR(VLOOKUP(K$13&amp;$B692,Aux!$B:$M,4,0),"")</f>
        <v/>
      </c>
      <c r="N692" s="62"/>
      <c r="O692" s="63" t="str">
        <f>IFERROR(IF(VLOOKUP(K$13&amp;$B690,Aux!$B:$M,8,0)="Да","✔","🕓"),"")</f>
        <v/>
      </c>
      <c r="S692" s="59"/>
      <c r="T692" s="15" t="str">
        <f>IF(T690="","","Исполнитель"&amp;": ")</f>
        <v/>
      </c>
      <c r="U692" s="62" t="str">
        <f>IFERROR(VLOOKUP(S$13&amp;$B692,Aux!$B:$M,4,0),"")</f>
        <v/>
      </c>
      <c r="V692" s="62"/>
      <c r="W692" s="63" t="str">
        <f>IFERROR(IF(VLOOKUP(S$13&amp;$B690,Aux!$B:$M,8,0)="Да","✔","🕓"),"")</f>
        <v/>
      </c>
      <c r="AA692" s="59"/>
      <c r="AB692" s="15" t="str">
        <f>IF(AB690="","","Исполнитель"&amp;": ")</f>
        <v/>
      </c>
      <c r="AC692" s="62" t="str">
        <f>IFERROR(VLOOKUP(AA$13&amp;$B692,Aux!$B:$M,4,0),"")</f>
        <v/>
      </c>
      <c r="AD692" s="62"/>
      <c r="AE692" s="63" t="str">
        <f>IFERROR(IF(VLOOKUP(AA$13&amp;$B690,Aux!$B:$M,8,0)="Да","✔","🕓"),"")</f>
        <v/>
      </c>
    </row>
    <row r="693" spans="2:31" x14ac:dyDescent="0.25">
      <c r="B693" s="53">
        <f t="shared" si="10"/>
        <v>136</v>
      </c>
      <c r="C693" s="59"/>
      <c r="D693" s="16" t="str">
        <f>IF(D690="","","Срок сдачи"&amp;": ")</f>
        <v/>
      </c>
      <c r="E693" s="64" t="str">
        <f>IFERROR(VLOOKUP(C$13&amp;$B693,Aux!$B:$M,6,0),"")</f>
        <v/>
      </c>
      <c r="F693" s="64"/>
      <c r="G693" s="63"/>
      <c r="K693" s="59"/>
      <c r="L693" s="16" t="str">
        <f>IF(L690="","","Срок сдачи"&amp;": ")</f>
        <v/>
      </c>
      <c r="M693" s="64" t="str">
        <f>IFERROR(VLOOKUP(K$13&amp;$B693,Aux!$B:$M,6,0),"")</f>
        <v/>
      </c>
      <c r="N693" s="64"/>
      <c r="O693" s="63"/>
      <c r="S693" s="59"/>
      <c r="T693" s="16" t="str">
        <f>IF(T690="","","Срок сдачи"&amp;": ")</f>
        <v/>
      </c>
      <c r="U693" s="64" t="str">
        <f>IFERROR(VLOOKUP(S$13&amp;$B693,Aux!$B:$M,6,0),"")</f>
        <v/>
      </c>
      <c r="V693" s="64"/>
      <c r="W693" s="63"/>
      <c r="AA693" s="59"/>
      <c r="AB693" s="16" t="str">
        <f>IF(AB690="","","Срок сдачи"&amp;": ")</f>
        <v/>
      </c>
      <c r="AC693" s="64" t="str">
        <f>IFERROR(VLOOKUP(AA$13&amp;$B693,Aux!$B:$M,6,0),"")</f>
        <v/>
      </c>
      <c r="AD693" s="64"/>
      <c r="AE693" s="63"/>
    </row>
    <row r="694" spans="2:31" x14ac:dyDescent="0.25">
      <c r="B694" s="53">
        <f t="shared" si="10"/>
        <v>136</v>
      </c>
      <c r="C694" s="7"/>
      <c r="D694" s="17"/>
      <c r="E694" s="7"/>
      <c r="F694" s="18"/>
      <c r="G694" s="18"/>
      <c r="K694" s="13"/>
      <c r="L694" s="17"/>
      <c r="M694" s="13"/>
      <c r="N694" s="14"/>
      <c r="O694" s="14"/>
      <c r="S694" s="13"/>
      <c r="T694" s="17"/>
      <c r="U694" s="13"/>
      <c r="V694" s="14"/>
      <c r="W694" s="14"/>
      <c r="AA694" s="13"/>
      <c r="AB694" s="17"/>
      <c r="AC694" s="13"/>
      <c r="AD694" s="14"/>
      <c r="AE694" s="30"/>
    </row>
    <row r="695" spans="2:31" x14ac:dyDescent="0.25">
      <c r="B695" s="53">
        <f t="shared" si="10"/>
        <v>137</v>
      </c>
      <c r="C695" s="59" t="str">
        <f>IFERROR(VLOOKUP(C$13&amp;$B699,Aux!$B:$M,5,0),"")</f>
        <v/>
      </c>
      <c r="D695" s="60" t="str">
        <f>IFERROR(VLOOKUP(C$13&amp;$B695,Aux!$B:$M,3,0),"")</f>
        <v/>
      </c>
      <c r="E695" s="60"/>
      <c r="F695" s="60"/>
      <c r="G695" s="61" t="str">
        <f>IFERROR(VLOOKUP(C$13&amp;$B695,Aux!$B:$M,9,0),"")</f>
        <v/>
      </c>
      <c r="K695" s="59" t="str">
        <f>IFERROR(VLOOKUP(K$13&amp;$B699,Aux!$B:$M,5,0),"")</f>
        <v/>
      </c>
      <c r="L695" s="60" t="str">
        <f>IFERROR(VLOOKUP(K$13&amp;$B695,Aux!$B:$M,3,0),"")</f>
        <v/>
      </c>
      <c r="M695" s="60"/>
      <c r="N695" s="60"/>
      <c r="O695" s="61" t="str">
        <f>IFERROR(VLOOKUP(K$13&amp;$B695,Aux!$B:$M,9,0),"")</f>
        <v/>
      </c>
      <c r="S695" s="59" t="str">
        <f>IFERROR(VLOOKUP(S$13&amp;$B699,Aux!$B:$M,5,0),"")</f>
        <v/>
      </c>
      <c r="T695" s="60" t="str">
        <f>IFERROR(VLOOKUP(S$13&amp;$B695,Aux!$B:$M,3,0),"")</f>
        <v/>
      </c>
      <c r="U695" s="60"/>
      <c r="V695" s="60"/>
      <c r="W695" s="61" t="str">
        <f>IFERROR(VLOOKUP(S$13&amp;$B695,Aux!$B:$M,9,0),"")</f>
        <v/>
      </c>
      <c r="AA695" s="59" t="str">
        <f>IFERROR(VLOOKUP(AA$13&amp;$B699,Aux!$B:$M,5,0),"")</f>
        <v/>
      </c>
      <c r="AB695" s="60" t="str">
        <f>IFERROR(VLOOKUP(AA$13&amp;$B695,Aux!$B:$M,3,0),"")</f>
        <v/>
      </c>
      <c r="AC695" s="60"/>
      <c r="AD695" s="60"/>
      <c r="AE695" s="61" t="str">
        <f>IFERROR(VLOOKUP(AA$13&amp;$B695,Aux!$B:$M,9,0),"")</f>
        <v/>
      </c>
    </row>
    <row r="696" spans="2:31" x14ac:dyDescent="0.25">
      <c r="B696" s="53">
        <f t="shared" si="10"/>
        <v>137</v>
      </c>
      <c r="C696" s="59"/>
      <c r="D696" s="60"/>
      <c r="E696" s="60"/>
      <c r="F696" s="60"/>
      <c r="G696" s="61"/>
      <c r="K696" s="59"/>
      <c r="L696" s="60"/>
      <c r="M696" s="60"/>
      <c r="N696" s="60"/>
      <c r="O696" s="61"/>
      <c r="S696" s="59"/>
      <c r="T696" s="60"/>
      <c r="U696" s="60"/>
      <c r="V696" s="60"/>
      <c r="W696" s="61"/>
      <c r="AA696" s="59"/>
      <c r="AB696" s="60"/>
      <c r="AC696" s="60"/>
      <c r="AD696" s="60"/>
      <c r="AE696" s="61"/>
    </row>
    <row r="697" spans="2:31" x14ac:dyDescent="0.25">
      <c r="B697" s="53">
        <f t="shared" si="10"/>
        <v>137</v>
      </c>
      <c r="C697" s="59"/>
      <c r="D697" s="15" t="str">
        <f>IF(D695="","","Исполнитель"&amp;": ")</f>
        <v/>
      </c>
      <c r="E697" s="62" t="str">
        <f>IFERROR(VLOOKUP(C$13&amp;$B697,Aux!$B:$M,4,0),"")</f>
        <v/>
      </c>
      <c r="F697" s="62"/>
      <c r="G697" s="63" t="str">
        <f>IFERROR(IF(VLOOKUP(C$13&amp;$B695,Aux!$B:$M,8,0)="Да","✔","🕓"),"")</f>
        <v/>
      </c>
      <c r="K697" s="59"/>
      <c r="L697" s="15" t="str">
        <f>IF(L695="","","Исполнитель"&amp;": ")</f>
        <v/>
      </c>
      <c r="M697" s="62" t="str">
        <f>IFERROR(VLOOKUP(K$13&amp;$B697,Aux!$B:$M,4,0),"")</f>
        <v/>
      </c>
      <c r="N697" s="62"/>
      <c r="O697" s="63" t="str">
        <f>IFERROR(IF(VLOOKUP(K$13&amp;$B695,Aux!$B:$M,8,0)="Да","✔","🕓"),"")</f>
        <v/>
      </c>
      <c r="S697" s="59"/>
      <c r="T697" s="15" t="str">
        <f>IF(T695="","","Исполнитель"&amp;": ")</f>
        <v/>
      </c>
      <c r="U697" s="62" t="str">
        <f>IFERROR(VLOOKUP(S$13&amp;$B697,Aux!$B:$M,4,0),"")</f>
        <v/>
      </c>
      <c r="V697" s="62"/>
      <c r="W697" s="63" t="str">
        <f>IFERROR(IF(VLOOKUP(S$13&amp;$B695,Aux!$B:$M,8,0)="Да","✔","🕓"),"")</f>
        <v/>
      </c>
      <c r="AA697" s="59"/>
      <c r="AB697" s="15" t="str">
        <f>IF(AB695="","","Исполнитель"&amp;": ")</f>
        <v/>
      </c>
      <c r="AC697" s="62" t="str">
        <f>IFERROR(VLOOKUP(AA$13&amp;$B697,Aux!$B:$M,4,0),"")</f>
        <v/>
      </c>
      <c r="AD697" s="62"/>
      <c r="AE697" s="63" t="str">
        <f>IFERROR(IF(VLOOKUP(AA$13&amp;$B695,Aux!$B:$M,8,0)="Да","✔","🕓"),"")</f>
        <v/>
      </c>
    </row>
    <row r="698" spans="2:31" x14ac:dyDescent="0.25">
      <c r="B698" s="53">
        <f t="shared" si="10"/>
        <v>137</v>
      </c>
      <c r="C698" s="59"/>
      <c r="D698" s="16" t="str">
        <f>IF(D695="","","Срок сдачи"&amp;": ")</f>
        <v/>
      </c>
      <c r="E698" s="64" t="str">
        <f>IFERROR(VLOOKUP(C$13&amp;$B698,Aux!$B:$M,6,0),"")</f>
        <v/>
      </c>
      <c r="F698" s="64"/>
      <c r="G698" s="63"/>
      <c r="K698" s="59"/>
      <c r="L698" s="16" t="str">
        <f>IF(L695="","","Срок сдачи"&amp;": ")</f>
        <v/>
      </c>
      <c r="M698" s="64" t="str">
        <f>IFERROR(VLOOKUP(K$13&amp;$B698,Aux!$B:$M,6,0),"")</f>
        <v/>
      </c>
      <c r="N698" s="64"/>
      <c r="O698" s="63"/>
      <c r="S698" s="59"/>
      <c r="T698" s="16" t="str">
        <f>IF(T695="","","Срок сдачи"&amp;": ")</f>
        <v/>
      </c>
      <c r="U698" s="64" t="str">
        <f>IFERROR(VLOOKUP(S$13&amp;$B698,Aux!$B:$M,6,0),"")</f>
        <v/>
      </c>
      <c r="V698" s="64"/>
      <c r="W698" s="63"/>
      <c r="AA698" s="59"/>
      <c r="AB698" s="16" t="str">
        <f>IF(AB695="","","Срок сдачи"&amp;": ")</f>
        <v/>
      </c>
      <c r="AC698" s="64" t="str">
        <f>IFERROR(VLOOKUP(AA$13&amp;$B698,Aux!$B:$M,6,0),"")</f>
        <v/>
      </c>
      <c r="AD698" s="64"/>
      <c r="AE698" s="63"/>
    </row>
    <row r="699" spans="2:31" x14ac:dyDescent="0.25">
      <c r="B699" s="53">
        <f t="shared" si="10"/>
        <v>137</v>
      </c>
      <c r="C699" s="7"/>
      <c r="D699" s="17"/>
      <c r="E699" s="7"/>
      <c r="F699" s="18"/>
      <c r="G699" s="18"/>
      <c r="K699" s="13"/>
      <c r="L699" s="17"/>
      <c r="M699" s="13"/>
      <c r="N699" s="14"/>
      <c r="O699" s="14"/>
      <c r="S699" s="13"/>
      <c r="T699" s="17"/>
      <c r="U699" s="13"/>
      <c r="V699" s="14"/>
      <c r="W699" s="14"/>
      <c r="AA699" s="13"/>
      <c r="AB699" s="17"/>
      <c r="AC699" s="13"/>
      <c r="AD699" s="14"/>
      <c r="AE699" s="30"/>
    </row>
    <row r="700" spans="2:31" x14ac:dyDescent="0.25">
      <c r="B700" s="53">
        <f t="shared" si="10"/>
        <v>138</v>
      </c>
      <c r="C700" s="59" t="str">
        <f>IFERROR(VLOOKUP(C$13&amp;$B704,Aux!$B:$M,5,0),"")</f>
        <v/>
      </c>
      <c r="D700" s="60" t="str">
        <f>IFERROR(VLOOKUP(C$13&amp;$B700,Aux!$B:$M,3,0),"")</f>
        <v/>
      </c>
      <c r="E700" s="60"/>
      <c r="F700" s="60"/>
      <c r="G700" s="61" t="str">
        <f>IFERROR(VLOOKUP(C$13&amp;$B700,Aux!$B:$M,9,0),"")</f>
        <v/>
      </c>
      <c r="K700" s="59" t="str">
        <f>IFERROR(VLOOKUP(K$13&amp;$B704,Aux!$B:$M,5,0),"")</f>
        <v/>
      </c>
      <c r="L700" s="60" t="str">
        <f>IFERROR(VLOOKUP(K$13&amp;$B700,Aux!$B:$M,3,0),"")</f>
        <v/>
      </c>
      <c r="M700" s="60"/>
      <c r="N700" s="60"/>
      <c r="O700" s="61" t="str">
        <f>IFERROR(VLOOKUP(K$13&amp;$B700,Aux!$B:$M,9,0),"")</f>
        <v/>
      </c>
      <c r="S700" s="59" t="str">
        <f>IFERROR(VLOOKUP(S$13&amp;$B704,Aux!$B:$M,5,0),"")</f>
        <v/>
      </c>
      <c r="T700" s="60" t="str">
        <f>IFERROR(VLOOKUP(S$13&amp;$B700,Aux!$B:$M,3,0),"")</f>
        <v/>
      </c>
      <c r="U700" s="60"/>
      <c r="V700" s="60"/>
      <c r="W700" s="61" t="str">
        <f>IFERROR(VLOOKUP(S$13&amp;$B700,Aux!$B:$M,9,0),"")</f>
        <v/>
      </c>
      <c r="AA700" s="59" t="str">
        <f>IFERROR(VLOOKUP(AA$13&amp;$B704,Aux!$B:$M,5,0),"")</f>
        <v/>
      </c>
      <c r="AB700" s="60" t="str">
        <f>IFERROR(VLOOKUP(AA$13&amp;$B700,Aux!$B:$M,3,0),"")</f>
        <v/>
      </c>
      <c r="AC700" s="60"/>
      <c r="AD700" s="60"/>
      <c r="AE700" s="61" t="str">
        <f>IFERROR(VLOOKUP(AA$13&amp;$B700,Aux!$B:$M,9,0),"")</f>
        <v/>
      </c>
    </row>
    <row r="701" spans="2:31" x14ac:dyDescent="0.25">
      <c r="B701" s="53">
        <f t="shared" si="10"/>
        <v>138</v>
      </c>
      <c r="C701" s="59"/>
      <c r="D701" s="60"/>
      <c r="E701" s="60"/>
      <c r="F701" s="60"/>
      <c r="G701" s="61"/>
      <c r="K701" s="59"/>
      <c r="L701" s="60"/>
      <c r="M701" s="60"/>
      <c r="N701" s="60"/>
      <c r="O701" s="61"/>
      <c r="S701" s="59"/>
      <c r="T701" s="60"/>
      <c r="U701" s="60"/>
      <c r="V701" s="60"/>
      <c r="W701" s="61"/>
      <c r="AA701" s="59"/>
      <c r="AB701" s="60"/>
      <c r="AC701" s="60"/>
      <c r="AD701" s="60"/>
      <c r="AE701" s="61"/>
    </row>
    <row r="702" spans="2:31" x14ac:dyDescent="0.25">
      <c r="B702" s="53">
        <f t="shared" si="10"/>
        <v>138</v>
      </c>
      <c r="C702" s="59"/>
      <c r="D702" s="15" t="str">
        <f>IF(D700="","","Исполнитель"&amp;": ")</f>
        <v/>
      </c>
      <c r="E702" s="62" t="str">
        <f>IFERROR(VLOOKUP(C$13&amp;$B702,Aux!$B:$M,4,0),"")</f>
        <v/>
      </c>
      <c r="F702" s="62"/>
      <c r="G702" s="63" t="str">
        <f>IFERROR(IF(VLOOKUP(C$13&amp;$B700,Aux!$B:$M,8,0)="Да","✔","🕓"),"")</f>
        <v/>
      </c>
      <c r="K702" s="59"/>
      <c r="L702" s="15" t="str">
        <f>IF(L700="","","Исполнитель"&amp;": ")</f>
        <v/>
      </c>
      <c r="M702" s="62" t="str">
        <f>IFERROR(VLOOKUP(K$13&amp;$B702,Aux!$B:$M,4,0),"")</f>
        <v/>
      </c>
      <c r="N702" s="62"/>
      <c r="O702" s="63" t="str">
        <f>IFERROR(IF(VLOOKUP(K$13&amp;$B700,Aux!$B:$M,8,0)="Да","✔","🕓"),"")</f>
        <v/>
      </c>
      <c r="S702" s="59"/>
      <c r="T702" s="15" t="str">
        <f>IF(T700="","","Исполнитель"&amp;": ")</f>
        <v/>
      </c>
      <c r="U702" s="62" t="str">
        <f>IFERROR(VLOOKUP(S$13&amp;$B702,Aux!$B:$M,4,0),"")</f>
        <v/>
      </c>
      <c r="V702" s="62"/>
      <c r="W702" s="63" t="str">
        <f>IFERROR(IF(VLOOKUP(S$13&amp;$B700,Aux!$B:$M,8,0)="Да","✔","🕓"),"")</f>
        <v/>
      </c>
      <c r="AA702" s="59"/>
      <c r="AB702" s="15" t="str">
        <f>IF(AB700="","","Исполнитель"&amp;": ")</f>
        <v/>
      </c>
      <c r="AC702" s="62" t="str">
        <f>IFERROR(VLOOKUP(AA$13&amp;$B702,Aux!$B:$M,4,0),"")</f>
        <v/>
      </c>
      <c r="AD702" s="62"/>
      <c r="AE702" s="63" t="str">
        <f>IFERROR(IF(VLOOKUP(AA$13&amp;$B700,Aux!$B:$M,8,0)="Да","✔","🕓"),"")</f>
        <v/>
      </c>
    </row>
    <row r="703" spans="2:31" x14ac:dyDescent="0.25">
      <c r="B703" s="53">
        <f t="shared" si="10"/>
        <v>138</v>
      </c>
      <c r="C703" s="59"/>
      <c r="D703" s="16" t="str">
        <f>IF(D700="","","Срок сдачи"&amp;": ")</f>
        <v/>
      </c>
      <c r="E703" s="64" t="str">
        <f>IFERROR(VLOOKUP(C$13&amp;$B703,Aux!$B:$M,6,0),"")</f>
        <v/>
      </c>
      <c r="F703" s="64"/>
      <c r="G703" s="63"/>
      <c r="K703" s="59"/>
      <c r="L703" s="16" t="str">
        <f>IF(L700="","","Срок сдачи"&amp;": ")</f>
        <v/>
      </c>
      <c r="M703" s="64" t="str">
        <f>IFERROR(VLOOKUP(K$13&amp;$B703,Aux!$B:$M,6,0),"")</f>
        <v/>
      </c>
      <c r="N703" s="64"/>
      <c r="O703" s="63"/>
      <c r="S703" s="59"/>
      <c r="T703" s="16" t="str">
        <f>IF(T700="","","Срок сдачи"&amp;": ")</f>
        <v/>
      </c>
      <c r="U703" s="64" t="str">
        <f>IFERROR(VLOOKUP(S$13&amp;$B703,Aux!$B:$M,6,0),"")</f>
        <v/>
      </c>
      <c r="V703" s="64"/>
      <c r="W703" s="63"/>
      <c r="AA703" s="59"/>
      <c r="AB703" s="16" t="str">
        <f>IF(AB700="","","Срок сдачи"&amp;": ")</f>
        <v/>
      </c>
      <c r="AC703" s="64" t="str">
        <f>IFERROR(VLOOKUP(AA$13&amp;$B703,Aux!$B:$M,6,0),"")</f>
        <v/>
      </c>
      <c r="AD703" s="64"/>
      <c r="AE703" s="63"/>
    </row>
    <row r="704" spans="2:31" x14ac:dyDescent="0.25">
      <c r="B704" s="53">
        <f t="shared" si="10"/>
        <v>138</v>
      </c>
      <c r="C704" s="7"/>
      <c r="D704" s="17"/>
      <c r="E704" s="7"/>
      <c r="F704" s="18"/>
      <c r="G704" s="18"/>
      <c r="K704" s="13"/>
      <c r="L704" s="17"/>
      <c r="M704" s="13"/>
      <c r="N704" s="14"/>
      <c r="O704" s="14"/>
      <c r="S704" s="13"/>
      <c r="T704" s="17"/>
      <c r="U704" s="13"/>
      <c r="V704" s="14"/>
      <c r="W704" s="14"/>
      <c r="AA704" s="13"/>
      <c r="AB704" s="17"/>
      <c r="AC704" s="13"/>
      <c r="AD704" s="14"/>
      <c r="AE704" s="30"/>
    </row>
    <row r="705" spans="2:31" x14ac:dyDescent="0.25">
      <c r="B705" s="53">
        <f t="shared" si="10"/>
        <v>139</v>
      </c>
      <c r="C705" s="59" t="str">
        <f>IFERROR(VLOOKUP(C$13&amp;$B709,Aux!$B:$M,5,0),"")</f>
        <v/>
      </c>
      <c r="D705" s="60" t="str">
        <f>IFERROR(VLOOKUP(C$13&amp;$B705,Aux!$B:$M,3,0),"")</f>
        <v/>
      </c>
      <c r="E705" s="60"/>
      <c r="F705" s="60"/>
      <c r="G705" s="61" t="str">
        <f>IFERROR(VLOOKUP(C$13&amp;$B705,Aux!$B:$M,9,0),"")</f>
        <v/>
      </c>
      <c r="K705" s="59" t="str">
        <f>IFERROR(VLOOKUP(K$13&amp;$B709,Aux!$B:$M,5,0),"")</f>
        <v/>
      </c>
      <c r="L705" s="60" t="str">
        <f>IFERROR(VLOOKUP(K$13&amp;$B705,Aux!$B:$M,3,0),"")</f>
        <v/>
      </c>
      <c r="M705" s="60"/>
      <c r="N705" s="60"/>
      <c r="O705" s="61" t="str">
        <f>IFERROR(VLOOKUP(K$13&amp;$B705,Aux!$B:$M,9,0),"")</f>
        <v/>
      </c>
      <c r="S705" s="59" t="str">
        <f>IFERROR(VLOOKUP(S$13&amp;$B709,Aux!$B:$M,5,0),"")</f>
        <v/>
      </c>
      <c r="T705" s="60" t="str">
        <f>IFERROR(VLOOKUP(S$13&amp;$B705,Aux!$B:$M,3,0),"")</f>
        <v/>
      </c>
      <c r="U705" s="60"/>
      <c r="V705" s="60"/>
      <c r="W705" s="61" t="str">
        <f>IFERROR(VLOOKUP(S$13&amp;$B705,Aux!$B:$M,9,0),"")</f>
        <v/>
      </c>
      <c r="AA705" s="59" t="str">
        <f>IFERROR(VLOOKUP(AA$13&amp;$B709,Aux!$B:$M,5,0),"")</f>
        <v/>
      </c>
      <c r="AB705" s="60" t="str">
        <f>IFERROR(VLOOKUP(AA$13&amp;$B705,Aux!$B:$M,3,0),"")</f>
        <v/>
      </c>
      <c r="AC705" s="60"/>
      <c r="AD705" s="60"/>
      <c r="AE705" s="61" t="str">
        <f>IFERROR(VLOOKUP(AA$13&amp;$B705,Aux!$B:$M,9,0),"")</f>
        <v/>
      </c>
    </row>
    <row r="706" spans="2:31" x14ac:dyDescent="0.25">
      <c r="B706" s="53">
        <f t="shared" si="10"/>
        <v>139</v>
      </c>
      <c r="C706" s="59"/>
      <c r="D706" s="60"/>
      <c r="E706" s="60"/>
      <c r="F706" s="60"/>
      <c r="G706" s="61"/>
      <c r="K706" s="59"/>
      <c r="L706" s="60"/>
      <c r="M706" s="60"/>
      <c r="N706" s="60"/>
      <c r="O706" s="61"/>
      <c r="S706" s="59"/>
      <c r="T706" s="60"/>
      <c r="U706" s="60"/>
      <c r="V706" s="60"/>
      <c r="W706" s="61"/>
      <c r="AA706" s="59"/>
      <c r="AB706" s="60"/>
      <c r="AC706" s="60"/>
      <c r="AD706" s="60"/>
      <c r="AE706" s="61"/>
    </row>
    <row r="707" spans="2:31" x14ac:dyDescent="0.25">
      <c r="B707" s="53">
        <f t="shared" si="10"/>
        <v>139</v>
      </c>
      <c r="C707" s="59"/>
      <c r="D707" s="15" t="str">
        <f>IF(D705="","","Исполнитель"&amp;": ")</f>
        <v/>
      </c>
      <c r="E707" s="62" t="str">
        <f>IFERROR(VLOOKUP(C$13&amp;$B707,Aux!$B:$M,4,0),"")</f>
        <v/>
      </c>
      <c r="F707" s="62"/>
      <c r="G707" s="63" t="str">
        <f>IFERROR(IF(VLOOKUP(C$13&amp;$B705,Aux!$B:$M,8,0)="Да","✔","🕓"),"")</f>
        <v/>
      </c>
      <c r="K707" s="59"/>
      <c r="L707" s="15" t="str">
        <f>IF(L705="","","Исполнитель"&amp;": ")</f>
        <v/>
      </c>
      <c r="M707" s="62" t="str">
        <f>IFERROR(VLOOKUP(K$13&amp;$B707,Aux!$B:$M,4,0),"")</f>
        <v/>
      </c>
      <c r="N707" s="62"/>
      <c r="O707" s="63" t="str">
        <f>IFERROR(IF(VLOOKUP(K$13&amp;$B705,Aux!$B:$M,8,0)="Да","✔","🕓"),"")</f>
        <v/>
      </c>
      <c r="S707" s="59"/>
      <c r="T707" s="15" t="str">
        <f>IF(T705="","","Исполнитель"&amp;": ")</f>
        <v/>
      </c>
      <c r="U707" s="62" t="str">
        <f>IFERROR(VLOOKUP(S$13&amp;$B707,Aux!$B:$M,4,0),"")</f>
        <v/>
      </c>
      <c r="V707" s="62"/>
      <c r="W707" s="63" t="str">
        <f>IFERROR(IF(VLOOKUP(S$13&amp;$B705,Aux!$B:$M,8,0)="Да","✔","🕓"),"")</f>
        <v/>
      </c>
      <c r="AA707" s="59"/>
      <c r="AB707" s="15" t="str">
        <f>IF(AB705="","","Исполнитель"&amp;": ")</f>
        <v/>
      </c>
      <c r="AC707" s="62" t="str">
        <f>IFERROR(VLOOKUP(AA$13&amp;$B707,Aux!$B:$M,4,0),"")</f>
        <v/>
      </c>
      <c r="AD707" s="62"/>
      <c r="AE707" s="63" t="str">
        <f>IFERROR(IF(VLOOKUP(AA$13&amp;$B705,Aux!$B:$M,8,0)="Да","✔","🕓"),"")</f>
        <v/>
      </c>
    </row>
    <row r="708" spans="2:31" x14ac:dyDescent="0.25">
      <c r="B708" s="53">
        <f t="shared" si="10"/>
        <v>139</v>
      </c>
      <c r="C708" s="59"/>
      <c r="D708" s="16" t="str">
        <f>IF(D705="","","Срок сдачи"&amp;": ")</f>
        <v/>
      </c>
      <c r="E708" s="64" t="str">
        <f>IFERROR(VLOOKUP(C$13&amp;$B708,Aux!$B:$M,6,0),"")</f>
        <v/>
      </c>
      <c r="F708" s="64"/>
      <c r="G708" s="63"/>
      <c r="K708" s="59"/>
      <c r="L708" s="16" t="str">
        <f>IF(L705="","","Срок сдачи"&amp;": ")</f>
        <v/>
      </c>
      <c r="M708" s="64" t="str">
        <f>IFERROR(VLOOKUP(K$13&amp;$B708,Aux!$B:$M,6,0),"")</f>
        <v/>
      </c>
      <c r="N708" s="64"/>
      <c r="O708" s="63"/>
      <c r="S708" s="59"/>
      <c r="T708" s="16" t="str">
        <f>IF(T705="","","Срок сдачи"&amp;": ")</f>
        <v/>
      </c>
      <c r="U708" s="64" t="str">
        <f>IFERROR(VLOOKUP(S$13&amp;$B708,Aux!$B:$M,6,0),"")</f>
        <v/>
      </c>
      <c r="V708" s="64"/>
      <c r="W708" s="63"/>
      <c r="AA708" s="59"/>
      <c r="AB708" s="16" t="str">
        <f>IF(AB705="","","Срок сдачи"&amp;": ")</f>
        <v/>
      </c>
      <c r="AC708" s="64" t="str">
        <f>IFERROR(VLOOKUP(AA$13&amp;$B708,Aux!$B:$M,6,0),"")</f>
        <v/>
      </c>
      <c r="AD708" s="64"/>
      <c r="AE708" s="63"/>
    </row>
    <row r="709" spans="2:31" x14ac:dyDescent="0.25">
      <c r="B709" s="53">
        <f t="shared" si="10"/>
        <v>139</v>
      </c>
      <c r="C709" s="7"/>
      <c r="D709" s="17"/>
      <c r="E709" s="7"/>
      <c r="F709" s="18"/>
      <c r="G709" s="18"/>
      <c r="K709" s="13"/>
      <c r="L709" s="17"/>
      <c r="M709" s="13"/>
      <c r="N709" s="14"/>
      <c r="O709" s="14"/>
      <c r="S709" s="13"/>
      <c r="T709" s="17"/>
      <c r="U709" s="13"/>
      <c r="V709" s="14"/>
      <c r="W709" s="14"/>
      <c r="AA709" s="13"/>
      <c r="AB709" s="17"/>
      <c r="AC709" s="13"/>
      <c r="AD709" s="14"/>
      <c r="AE709" s="30"/>
    </row>
    <row r="710" spans="2:31" x14ac:dyDescent="0.25">
      <c r="B710" s="53">
        <f t="shared" si="10"/>
        <v>140</v>
      </c>
      <c r="C710" s="59" t="str">
        <f>IFERROR(VLOOKUP(C$13&amp;$B714,Aux!$B:$M,5,0),"")</f>
        <v/>
      </c>
      <c r="D710" s="60" t="str">
        <f>IFERROR(VLOOKUP(C$13&amp;$B710,Aux!$B:$M,3,0),"")</f>
        <v/>
      </c>
      <c r="E710" s="60"/>
      <c r="F710" s="60"/>
      <c r="G710" s="61" t="str">
        <f>IFERROR(VLOOKUP(C$13&amp;$B710,Aux!$B:$M,9,0),"")</f>
        <v/>
      </c>
      <c r="K710" s="59" t="str">
        <f>IFERROR(VLOOKUP(K$13&amp;$B714,Aux!$B:$M,5,0),"")</f>
        <v/>
      </c>
      <c r="L710" s="60" t="str">
        <f>IFERROR(VLOOKUP(K$13&amp;$B710,Aux!$B:$M,3,0),"")</f>
        <v/>
      </c>
      <c r="M710" s="60"/>
      <c r="N710" s="60"/>
      <c r="O710" s="61" t="str">
        <f>IFERROR(VLOOKUP(K$13&amp;$B710,Aux!$B:$M,9,0),"")</f>
        <v/>
      </c>
      <c r="S710" s="59" t="str">
        <f>IFERROR(VLOOKUP(S$13&amp;$B714,Aux!$B:$M,5,0),"")</f>
        <v/>
      </c>
      <c r="T710" s="60" t="str">
        <f>IFERROR(VLOOKUP(S$13&amp;$B710,Aux!$B:$M,3,0),"")</f>
        <v/>
      </c>
      <c r="U710" s="60"/>
      <c r="V710" s="60"/>
      <c r="W710" s="61" t="str">
        <f>IFERROR(VLOOKUP(S$13&amp;$B710,Aux!$B:$M,9,0),"")</f>
        <v/>
      </c>
      <c r="AA710" s="59" t="str">
        <f>IFERROR(VLOOKUP(AA$13&amp;$B714,Aux!$B:$M,5,0),"")</f>
        <v/>
      </c>
      <c r="AB710" s="60" t="str">
        <f>IFERROR(VLOOKUP(AA$13&amp;$B710,Aux!$B:$M,3,0),"")</f>
        <v/>
      </c>
      <c r="AC710" s="60"/>
      <c r="AD710" s="60"/>
      <c r="AE710" s="61" t="str">
        <f>IFERROR(VLOOKUP(AA$13&amp;$B710,Aux!$B:$M,9,0),"")</f>
        <v/>
      </c>
    </row>
    <row r="711" spans="2:31" x14ac:dyDescent="0.25">
      <c r="B711" s="53">
        <f t="shared" si="10"/>
        <v>140</v>
      </c>
      <c r="C711" s="59"/>
      <c r="D711" s="60"/>
      <c r="E711" s="60"/>
      <c r="F711" s="60"/>
      <c r="G711" s="61"/>
      <c r="K711" s="59"/>
      <c r="L711" s="60"/>
      <c r="M711" s="60"/>
      <c r="N711" s="60"/>
      <c r="O711" s="61"/>
      <c r="S711" s="59"/>
      <c r="T711" s="60"/>
      <c r="U711" s="60"/>
      <c r="V711" s="60"/>
      <c r="W711" s="61"/>
      <c r="AA711" s="59"/>
      <c r="AB711" s="60"/>
      <c r="AC711" s="60"/>
      <c r="AD711" s="60"/>
      <c r="AE711" s="61"/>
    </row>
    <row r="712" spans="2:31" x14ac:dyDescent="0.25">
      <c r="B712" s="53">
        <f t="shared" si="10"/>
        <v>140</v>
      </c>
      <c r="C712" s="59"/>
      <c r="D712" s="15" t="str">
        <f>IF(D710="","","Исполнитель"&amp;": ")</f>
        <v/>
      </c>
      <c r="E712" s="62" t="str">
        <f>IFERROR(VLOOKUP(C$13&amp;$B712,Aux!$B:$M,4,0),"")</f>
        <v/>
      </c>
      <c r="F712" s="62"/>
      <c r="G712" s="63" t="str">
        <f>IFERROR(IF(VLOOKUP(C$13&amp;$B710,Aux!$B:$M,8,0)="Да","✔","🕓"),"")</f>
        <v/>
      </c>
      <c r="K712" s="59"/>
      <c r="L712" s="15" t="str">
        <f>IF(L710="","","Исполнитель"&amp;": ")</f>
        <v/>
      </c>
      <c r="M712" s="62" t="str">
        <f>IFERROR(VLOOKUP(K$13&amp;$B712,Aux!$B:$M,4,0),"")</f>
        <v/>
      </c>
      <c r="N712" s="62"/>
      <c r="O712" s="63" t="str">
        <f>IFERROR(IF(VLOOKUP(K$13&amp;$B710,Aux!$B:$M,8,0)="Да","✔","🕓"),"")</f>
        <v/>
      </c>
      <c r="S712" s="59"/>
      <c r="T712" s="15" t="str">
        <f>IF(T710="","","Исполнитель"&amp;": ")</f>
        <v/>
      </c>
      <c r="U712" s="62" t="str">
        <f>IFERROR(VLOOKUP(S$13&amp;$B712,Aux!$B:$M,4,0),"")</f>
        <v/>
      </c>
      <c r="V712" s="62"/>
      <c r="W712" s="63" t="str">
        <f>IFERROR(IF(VLOOKUP(S$13&amp;$B710,Aux!$B:$M,8,0)="Да","✔","🕓"),"")</f>
        <v/>
      </c>
      <c r="AA712" s="59"/>
      <c r="AB712" s="15" t="str">
        <f>IF(AB710="","","Исполнитель"&amp;": ")</f>
        <v/>
      </c>
      <c r="AC712" s="62" t="str">
        <f>IFERROR(VLOOKUP(AA$13&amp;$B712,Aux!$B:$M,4,0),"")</f>
        <v/>
      </c>
      <c r="AD712" s="62"/>
      <c r="AE712" s="63" t="str">
        <f>IFERROR(IF(VLOOKUP(AA$13&amp;$B710,Aux!$B:$M,8,0)="Да","✔","🕓"),"")</f>
        <v/>
      </c>
    </row>
    <row r="713" spans="2:31" x14ac:dyDescent="0.25">
      <c r="B713" s="53">
        <f t="shared" si="10"/>
        <v>140</v>
      </c>
      <c r="C713" s="59"/>
      <c r="D713" s="16" t="str">
        <f>IF(D710="","","Срок сдачи"&amp;": ")</f>
        <v/>
      </c>
      <c r="E713" s="64" t="str">
        <f>IFERROR(VLOOKUP(C$13&amp;$B713,Aux!$B:$M,6,0),"")</f>
        <v/>
      </c>
      <c r="F713" s="64"/>
      <c r="G713" s="63"/>
      <c r="K713" s="59"/>
      <c r="L713" s="16" t="str">
        <f>IF(L710="","","Срок сдачи"&amp;": ")</f>
        <v/>
      </c>
      <c r="M713" s="64" t="str">
        <f>IFERROR(VLOOKUP(K$13&amp;$B713,Aux!$B:$M,6,0),"")</f>
        <v/>
      </c>
      <c r="N713" s="64"/>
      <c r="O713" s="63"/>
      <c r="S713" s="59"/>
      <c r="T713" s="16" t="str">
        <f>IF(T710="","","Срок сдачи"&amp;": ")</f>
        <v/>
      </c>
      <c r="U713" s="64" t="str">
        <f>IFERROR(VLOOKUP(S$13&amp;$B713,Aux!$B:$M,6,0),"")</f>
        <v/>
      </c>
      <c r="V713" s="64"/>
      <c r="W713" s="63"/>
      <c r="AA713" s="59"/>
      <c r="AB713" s="16" t="str">
        <f>IF(AB710="","","Срок сдачи"&amp;": ")</f>
        <v/>
      </c>
      <c r="AC713" s="64" t="str">
        <f>IFERROR(VLOOKUP(AA$13&amp;$B713,Aux!$B:$M,6,0),"")</f>
        <v/>
      </c>
      <c r="AD713" s="64"/>
      <c r="AE713" s="63"/>
    </row>
    <row r="714" spans="2:31" x14ac:dyDescent="0.25">
      <c r="B714" s="53">
        <f t="shared" si="10"/>
        <v>140</v>
      </c>
      <c r="C714" s="7"/>
      <c r="D714" s="17"/>
      <c r="E714" s="7"/>
      <c r="F714" s="18"/>
      <c r="G714" s="18"/>
      <c r="K714" s="13"/>
      <c r="L714" s="17"/>
      <c r="M714" s="13"/>
      <c r="N714" s="14"/>
      <c r="O714" s="14"/>
      <c r="S714" s="13"/>
      <c r="T714" s="17"/>
      <c r="U714" s="13"/>
      <c r="V714" s="14"/>
      <c r="W714" s="14"/>
      <c r="AA714" s="13"/>
      <c r="AB714" s="17"/>
      <c r="AC714" s="13"/>
      <c r="AD714" s="14"/>
      <c r="AE714" s="30"/>
    </row>
    <row r="715" spans="2:31" x14ac:dyDescent="0.25">
      <c r="B715" s="53">
        <f t="shared" si="10"/>
        <v>141</v>
      </c>
      <c r="C715" s="59" t="str">
        <f>IFERROR(VLOOKUP(C$13&amp;$B719,Aux!$B:$M,5,0),"")</f>
        <v/>
      </c>
      <c r="D715" s="60" t="str">
        <f>IFERROR(VLOOKUP(C$13&amp;$B715,Aux!$B:$M,3,0),"")</f>
        <v/>
      </c>
      <c r="E715" s="60"/>
      <c r="F715" s="60"/>
      <c r="G715" s="61" t="str">
        <f>IFERROR(VLOOKUP(C$13&amp;$B715,Aux!$B:$M,9,0),"")</f>
        <v/>
      </c>
      <c r="K715" s="59" t="str">
        <f>IFERROR(VLOOKUP(K$13&amp;$B719,Aux!$B:$M,5,0),"")</f>
        <v/>
      </c>
      <c r="L715" s="60" t="str">
        <f>IFERROR(VLOOKUP(K$13&amp;$B715,Aux!$B:$M,3,0),"")</f>
        <v/>
      </c>
      <c r="M715" s="60"/>
      <c r="N715" s="60"/>
      <c r="O715" s="61" t="str">
        <f>IFERROR(VLOOKUP(K$13&amp;$B715,Aux!$B:$M,9,0),"")</f>
        <v/>
      </c>
      <c r="S715" s="59" t="str">
        <f>IFERROR(VLOOKUP(S$13&amp;$B719,Aux!$B:$M,5,0),"")</f>
        <v/>
      </c>
      <c r="T715" s="60" t="str">
        <f>IFERROR(VLOOKUP(S$13&amp;$B715,Aux!$B:$M,3,0),"")</f>
        <v/>
      </c>
      <c r="U715" s="60"/>
      <c r="V715" s="60"/>
      <c r="W715" s="61" t="str">
        <f>IFERROR(VLOOKUP(S$13&amp;$B715,Aux!$B:$M,9,0),"")</f>
        <v/>
      </c>
      <c r="AA715" s="59" t="str">
        <f>IFERROR(VLOOKUP(AA$13&amp;$B719,Aux!$B:$M,5,0),"")</f>
        <v/>
      </c>
      <c r="AB715" s="60" t="str">
        <f>IFERROR(VLOOKUP(AA$13&amp;$B715,Aux!$B:$M,3,0),"")</f>
        <v/>
      </c>
      <c r="AC715" s="60"/>
      <c r="AD715" s="60"/>
      <c r="AE715" s="61" t="str">
        <f>IFERROR(VLOOKUP(AA$13&amp;$B715,Aux!$B:$M,9,0),"")</f>
        <v/>
      </c>
    </row>
    <row r="716" spans="2:31" x14ac:dyDescent="0.25">
      <c r="B716" s="53">
        <f t="shared" si="10"/>
        <v>141</v>
      </c>
      <c r="C716" s="59"/>
      <c r="D716" s="60"/>
      <c r="E716" s="60"/>
      <c r="F716" s="60"/>
      <c r="G716" s="61"/>
      <c r="K716" s="59"/>
      <c r="L716" s="60"/>
      <c r="M716" s="60"/>
      <c r="N716" s="60"/>
      <c r="O716" s="61"/>
      <c r="S716" s="59"/>
      <c r="T716" s="60"/>
      <c r="U716" s="60"/>
      <c r="V716" s="60"/>
      <c r="W716" s="61"/>
      <c r="AA716" s="59"/>
      <c r="AB716" s="60"/>
      <c r="AC716" s="60"/>
      <c r="AD716" s="60"/>
      <c r="AE716" s="61"/>
    </row>
    <row r="717" spans="2:31" x14ac:dyDescent="0.25">
      <c r="B717" s="53">
        <f t="shared" si="10"/>
        <v>141</v>
      </c>
      <c r="C717" s="59"/>
      <c r="D717" s="15" t="str">
        <f>IF(D715="","","Исполнитель"&amp;": ")</f>
        <v/>
      </c>
      <c r="E717" s="62" t="str">
        <f>IFERROR(VLOOKUP(C$13&amp;$B717,Aux!$B:$M,4,0),"")</f>
        <v/>
      </c>
      <c r="F717" s="62"/>
      <c r="G717" s="63" t="str">
        <f>IFERROR(IF(VLOOKUP(C$13&amp;$B715,Aux!$B:$M,8,0)="Да","✔","🕓"),"")</f>
        <v/>
      </c>
      <c r="K717" s="59"/>
      <c r="L717" s="15" t="str">
        <f>IF(L715="","","Исполнитель"&amp;": ")</f>
        <v/>
      </c>
      <c r="M717" s="62" t="str">
        <f>IFERROR(VLOOKUP(K$13&amp;$B717,Aux!$B:$M,4,0),"")</f>
        <v/>
      </c>
      <c r="N717" s="62"/>
      <c r="O717" s="63" t="str">
        <f>IFERROR(IF(VLOOKUP(K$13&amp;$B715,Aux!$B:$M,8,0)="Да","✔","🕓"),"")</f>
        <v/>
      </c>
      <c r="S717" s="59"/>
      <c r="T717" s="15" t="str">
        <f>IF(T715="","","Исполнитель"&amp;": ")</f>
        <v/>
      </c>
      <c r="U717" s="62" t="str">
        <f>IFERROR(VLOOKUP(S$13&amp;$B717,Aux!$B:$M,4,0),"")</f>
        <v/>
      </c>
      <c r="V717" s="62"/>
      <c r="W717" s="63" t="str">
        <f>IFERROR(IF(VLOOKUP(S$13&amp;$B715,Aux!$B:$M,8,0)="Да","✔","🕓"),"")</f>
        <v/>
      </c>
      <c r="AA717" s="59"/>
      <c r="AB717" s="15" t="str">
        <f>IF(AB715="","","Исполнитель"&amp;": ")</f>
        <v/>
      </c>
      <c r="AC717" s="62" t="str">
        <f>IFERROR(VLOOKUP(AA$13&amp;$B717,Aux!$B:$M,4,0),"")</f>
        <v/>
      </c>
      <c r="AD717" s="62"/>
      <c r="AE717" s="63" t="str">
        <f>IFERROR(IF(VLOOKUP(AA$13&amp;$B715,Aux!$B:$M,8,0)="Да","✔","🕓"),"")</f>
        <v/>
      </c>
    </row>
    <row r="718" spans="2:31" x14ac:dyDescent="0.25">
      <c r="B718" s="53">
        <f t="shared" si="10"/>
        <v>141</v>
      </c>
      <c r="C718" s="59"/>
      <c r="D718" s="16" t="str">
        <f>IF(D715="","","Срок сдачи"&amp;": ")</f>
        <v/>
      </c>
      <c r="E718" s="64" t="str">
        <f>IFERROR(VLOOKUP(C$13&amp;$B718,Aux!$B:$M,6,0),"")</f>
        <v/>
      </c>
      <c r="F718" s="64"/>
      <c r="G718" s="63"/>
      <c r="K718" s="59"/>
      <c r="L718" s="16" t="str">
        <f>IF(L715="","","Срок сдачи"&amp;": ")</f>
        <v/>
      </c>
      <c r="M718" s="64" t="str">
        <f>IFERROR(VLOOKUP(K$13&amp;$B718,Aux!$B:$M,6,0),"")</f>
        <v/>
      </c>
      <c r="N718" s="64"/>
      <c r="O718" s="63"/>
      <c r="S718" s="59"/>
      <c r="T718" s="16" t="str">
        <f>IF(T715="","","Срок сдачи"&amp;": ")</f>
        <v/>
      </c>
      <c r="U718" s="64" t="str">
        <f>IFERROR(VLOOKUP(S$13&amp;$B718,Aux!$B:$M,6,0),"")</f>
        <v/>
      </c>
      <c r="V718" s="64"/>
      <c r="W718" s="63"/>
      <c r="AA718" s="59"/>
      <c r="AB718" s="16" t="str">
        <f>IF(AB715="","","Срок сдачи"&amp;": ")</f>
        <v/>
      </c>
      <c r="AC718" s="64" t="str">
        <f>IFERROR(VLOOKUP(AA$13&amp;$B718,Aux!$B:$M,6,0),"")</f>
        <v/>
      </c>
      <c r="AD718" s="64"/>
      <c r="AE718" s="63"/>
    </row>
    <row r="719" spans="2:31" x14ac:dyDescent="0.25">
      <c r="B719" s="53">
        <f t="shared" si="10"/>
        <v>141</v>
      </c>
      <c r="C719" s="7"/>
      <c r="D719" s="17"/>
      <c r="E719" s="7"/>
      <c r="F719" s="18"/>
      <c r="G719" s="18"/>
      <c r="K719" s="13"/>
      <c r="L719" s="17"/>
      <c r="M719" s="13"/>
      <c r="N719" s="14"/>
      <c r="O719" s="14"/>
      <c r="S719" s="13"/>
      <c r="T719" s="17"/>
      <c r="U719" s="13"/>
      <c r="V719" s="14"/>
      <c r="W719" s="14"/>
      <c r="AA719" s="13"/>
      <c r="AB719" s="17"/>
      <c r="AC719" s="13"/>
      <c r="AD719" s="14"/>
      <c r="AE719" s="30"/>
    </row>
    <row r="720" spans="2:31" x14ac:dyDescent="0.25">
      <c r="B720" s="53">
        <f t="shared" si="10"/>
        <v>142</v>
      </c>
      <c r="C720" s="59" t="str">
        <f>IFERROR(VLOOKUP(C$13&amp;$B724,Aux!$B:$M,5,0),"")</f>
        <v/>
      </c>
      <c r="D720" s="60" t="str">
        <f>IFERROR(VLOOKUP(C$13&amp;$B720,Aux!$B:$M,3,0),"")</f>
        <v/>
      </c>
      <c r="E720" s="60"/>
      <c r="F720" s="60"/>
      <c r="G720" s="61" t="str">
        <f>IFERROR(VLOOKUP(C$13&amp;$B720,Aux!$B:$M,9,0),"")</f>
        <v/>
      </c>
      <c r="K720" s="59" t="str">
        <f>IFERROR(VLOOKUP(K$13&amp;$B724,Aux!$B:$M,5,0),"")</f>
        <v/>
      </c>
      <c r="L720" s="60" t="str">
        <f>IFERROR(VLOOKUP(K$13&amp;$B720,Aux!$B:$M,3,0),"")</f>
        <v/>
      </c>
      <c r="M720" s="60"/>
      <c r="N720" s="60"/>
      <c r="O720" s="61" t="str">
        <f>IFERROR(VLOOKUP(K$13&amp;$B720,Aux!$B:$M,9,0),"")</f>
        <v/>
      </c>
      <c r="S720" s="59" t="str">
        <f>IFERROR(VLOOKUP(S$13&amp;$B724,Aux!$B:$M,5,0),"")</f>
        <v/>
      </c>
      <c r="T720" s="60" t="str">
        <f>IFERROR(VLOOKUP(S$13&amp;$B720,Aux!$B:$M,3,0),"")</f>
        <v/>
      </c>
      <c r="U720" s="60"/>
      <c r="V720" s="60"/>
      <c r="W720" s="61" t="str">
        <f>IFERROR(VLOOKUP(S$13&amp;$B720,Aux!$B:$M,9,0),"")</f>
        <v/>
      </c>
      <c r="AA720" s="59" t="str">
        <f>IFERROR(VLOOKUP(AA$13&amp;$B724,Aux!$B:$M,5,0),"")</f>
        <v/>
      </c>
      <c r="AB720" s="60" t="str">
        <f>IFERROR(VLOOKUP(AA$13&amp;$B720,Aux!$B:$M,3,0),"")</f>
        <v/>
      </c>
      <c r="AC720" s="60"/>
      <c r="AD720" s="60"/>
      <c r="AE720" s="61" t="str">
        <f>IFERROR(VLOOKUP(AA$13&amp;$B720,Aux!$B:$M,9,0),"")</f>
        <v/>
      </c>
    </row>
    <row r="721" spans="2:31" x14ac:dyDescent="0.25">
      <c r="B721" s="53">
        <f t="shared" si="10"/>
        <v>142</v>
      </c>
      <c r="C721" s="59"/>
      <c r="D721" s="60"/>
      <c r="E721" s="60"/>
      <c r="F721" s="60"/>
      <c r="G721" s="61"/>
      <c r="K721" s="59"/>
      <c r="L721" s="60"/>
      <c r="M721" s="60"/>
      <c r="N721" s="60"/>
      <c r="O721" s="61"/>
      <c r="S721" s="59"/>
      <c r="T721" s="60"/>
      <c r="U721" s="60"/>
      <c r="V721" s="60"/>
      <c r="W721" s="61"/>
      <c r="AA721" s="59"/>
      <c r="AB721" s="60"/>
      <c r="AC721" s="60"/>
      <c r="AD721" s="60"/>
      <c r="AE721" s="61"/>
    </row>
    <row r="722" spans="2:31" x14ac:dyDescent="0.25">
      <c r="B722" s="53">
        <f t="shared" si="10"/>
        <v>142</v>
      </c>
      <c r="C722" s="59"/>
      <c r="D722" s="15" t="str">
        <f>IF(D720="","","Исполнитель"&amp;": ")</f>
        <v/>
      </c>
      <c r="E722" s="62" t="str">
        <f>IFERROR(VLOOKUP(C$13&amp;$B722,Aux!$B:$M,4,0),"")</f>
        <v/>
      </c>
      <c r="F722" s="62"/>
      <c r="G722" s="63" t="str">
        <f>IFERROR(IF(VLOOKUP(C$13&amp;$B720,Aux!$B:$M,8,0)="Да","✔","🕓"),"")</f>
        <v/>
      </c>
      <c r="K722" s="59"/>
      <c r="L722" s="15" t="str">
        <f>IF(L720="","","Исполнитель"&amp;": ")</f>
        <v/>
      </c>
      <c r="M722" s="62" t="str">
        <f>IFERROR(VLOOKUP(K$13&amp;$B722,Aux!$B:$M,4,0),"")</f>
        <v/>
      </c>
      <c r="N722" s="62"/>
      <c r="O722" s="63" t="str">
        <f>IFERROR(IF(VLOOKUP(K$13&amp;$B720,Aux!$B:$M,8,0)="Да","✔","🕓"),"")</f>
        <v/>
      </c>
      <c r="S722" s="59"/>
      <c r="T722" s="15" t="str">
        <f>IF(T720="","","Исполнитель"&amp;": ")</f>
        <v/>
      </c>
      <c r="U722" s="62" t="str">
        <f>IFERROR(VLOOKUP(S$13&amp;$B722,Aux!$B:$M,4,0),"")</f>
        <v/>
      </c>
      <c r="V722" s="62"/>
      <c r="W722" s="63" t="str">
        <f>IFERROR(IF(VLOOKUP(S$13&amp;$B720,Aux!$B:$M,8,0)="Да","✔","🕓"),"")</f>
        <v/>
      </c>
      <c r="AA722" s="59"/>
      <c r="AB722" s="15" t="str">
        <f>IF(AB720="","","Исполнитель"&amp;": ")</f>
        <v/>
      </c>
      <c r="AC722" s="62" t="str">
        <f>IFERROR(VLOOKUP(AA$13&amp;$B722,Aux!$B:$M,4,0),"")</f>
        <v/>
      </c>
      <c r="AD722" s="62"/>
      <c r="AE722" s="63" t="str">
        <f>IFERROR(IF(VLOOKUP(AA$13&amp;$B720,Aux!$B:$M,8,0)="Да","✔","🕓"),"")</f>
        <v/>
      </c>
    </row>
    <row r="723" spans="2:31" x14ac:dyDescent="0.25">
      <c r="B723" s="53">
        <f t="shared" si="10"/>
        <v>142</v>
      </c>
      <c r="C723" s="59"/>
      <c r="D723" s="16" t="str">
        <f>IF(D720="","","Срок сдачи"&amp;": ")</f>
        <v/>
      </c>
      <c r="E723" s="64" t="str">
        <f>IFERROR(VLOOKUP(C$13&amp;$B723,Aux!$B:$M,6,0),"")</f>
        <v/>
      </c>
      <c r="F723" s="64"/>
      <c r="G723" s="63"/>
      <c r="K723" s="59"/>
      <c r="L723" s="16" t="str">
        <f>IF(L720="","","Срок сдачи"&amp;": ")</f>
        <v/>
      </c>
      <c r="M723" s="64" t="str">
        <f>IFERROR(VLOOKUP(K$13&amp;$B723,Aux!$B:$M,6,0),"")</f>
        <v/>
      </c>
      <c r="N723" s="64"/>
      <c r="O723" s="63"/>
      <c r="S723" s="59"/>
      <c r="T723" s="16" t="str">
        <f>IF(T720="","","Срок сдачи"&amp;": ")</f>
        <v/>
      </c>
      <c r="U723" s="64" t="str">
        <f>IFERROR(VLOOKUP(S$13&amp;$B723,Aux!$B:$M,6,0),"")</f>
        <v/>
      </c>
      <c r="V723" s="64"/>
      <c r="W723" s="63"/>
      <c r="AA723" s="59"/>
      <c r="AB723" s="16" t="str">
        <f>IF(AB720="","","Срок сдачи"&amp;": ")</f>
        <v/>
      </c>
      <c r="AC723" s="64" t="str">
        <f>IFERROR(VLOOKUP(AA$13&amp;$B723,Aux!$B:$M,6,0),"")</f>
        <v/>
      </c>
      <c r="AD723" s="64"/>
      <c r="AE723" s="63"/>
    </row>
    <row r="724" spans="2:31" x14ac:dyDescent="0.25">
      <c r="B724" s="53">
        <f t="shared" si="10"/>
        <v>142</v>
      </c>
      <c r="C724" s="7"/>
      <c r="D724" s="17"/>
      <c r="E724" s="7"/>
      <c r="F724" s="18"/>
      <c r="G724" s="18"/>
      <c r="K724" s="13"/>
      <c r="L724" s="17"/>
      <c r="M724" s="13"/>
      <c r="N724" s="14"/>
      <c r="O724" s="14"/>
      <c r="S724" s="13"/>
      <c r="T724" s="17"/>
      <c r="U724" s="13"/>
      <c r="V724" s="14"/>
      <c r="W724" s="14"/>
      <c r="AA724" s="13"/>
      <c r="AB724" s="17"/>
      <c r="AC724" s="13"/>
      <c r="AD724" s="14"/>
      <c r="AE724" s="30"/>
    </row>
    <row r="725" spans="2:31" x14ac:dyDescent="0.25">
      <c r="B725" s="53">
        <f t="shared" ref="B725:B788" si="11">B720+1</f>
        <v>143</v>
      </c>
      <c r="C725" s="59" t="str">
        <f>IFERROR(VLOOKUP(C$13&amp;$B729,Aux!$B:$M,5,0),"")</f>
        <v/>
      </c>
      <c r="D725" s="60" t="str">
        <f>IFERROR(VLOOKUP(C$13&amp;$B725,Aux!$B:$M,3,0),"")</f>
        <v/>
      </c>
      <c r="E725" s="60"/>
      <c r="F725" s="60"/>
      <c r="G725" s="61" t="str">
        <f>IFERROR(VLOOKUP(C$13&amp;$B725,Aux!$B:$M,9,0),"")</f>
        <v/>
      </c>
      <c r="K725" s="59" t="str">
        <f>IFERROR(VLOOKUP(K$13&amp;$B729,Aux!$B:$M,5,0),"")</f>
        <v/>
      </c>
      <c r="L725" s="60" t="str">
        <f>IFERROR(VLOOKUP(K$13&amp;$B725,Aux!$B:$M,3,0),"")</f>
        <v/>
      </c>
      <c r="M725" s="60"/>
      <c r="N725" s="60"/>
      <c r="O725" s="61" t="str">
        <f>IFERROR(VLOOKUP(K$13&amp;$B725,Aux!$B:$M,9,0),"")</f>
        <v/>
      </c>
      <c r="S725" s="59" t="str">
        <f>IFERROR(VLOOKUP(S$13&amp;$B729,Aux!$B:$M,5,0),"")</f>
        <v/>
      </c>
      <c r="T725" s="60" t="str">
        <f>IFERROR(VLOOKUP(S$13&amp;$B725,Aux!$B:$M,3,0),"")</f>
        <v/>
      </c>
      <c r="U725" s="60"/>
      <c r="V725" s="60"/>
      <c r="W725" s="61" t="str">
        <f>IFERROR(VLOOKUP(S$13&amp;$B725,Aux!$B:$M,9,0),"")</f>
        <v/>
      </c>
      <c r="AA725" s="59" t="str">
        <f>IFERROR(VLOOKUP(AA$13&amp;$B729,Aux!$B:$M,5,0),"")</f>
        <v/>
      </c>
      <c r="AB725" s="60" t="str">
        <f>IFERROR(VLOOKUP(AA$13&amp;$B725,Aux!$B:$M,3,0),"")</f>
        <v/>
      </c>
      <c r="AC725" s="60"/>
      <c r="AD725" s="60"/>
      <c r="AE725" s="61" t="str">
        <f>IFERROR(VLOOKUP(AA$13&amp;$B725,Aux!$B:$M,9,0),"")</f>
        <v/>
      </c>
    </row>
    <row r="726" spans="2:31" x14ac:dyDescent="0.25">
      <c r="B726" s="53">
        <f t="shared" si="11"/>
        <v>143</v>
      </c>
      <c r="C726" s="59"/>
      <c r="D726" s="60"/>
      <c r="E726" s="60"/>
      <c r="F726" s="60"/>
      <c r="G726" s="61"/>
      <c r="K726" s="59"/>
      <c r="L726" s="60"/>
      <c r="M726" s="60"/>
      <c r="N726" s="60"/>
      <c r="O726" s="61"/>
      <c r="S726" s="59"/>
      <c r="T726" s="60"/>
      <c r="U726" s="60"/>
      <c r="V726" s="60"/>
      <c r="W726" s="61"/>
      <c r="AA726" s="59"/>
      <c r="AB726" s="60"/>
      <c r="AC726" s="60"/>
      <c r="AD726" s="60"/>
      <c r="AE726" s="61"/>
    </row>
    <row r="727" spans="2:31" x14ac:dyDescent="0.25">
      <c r="B727" s="53">
        <f t="shared" si="11"/>
        <v>143</v>
      </c>
      <c r="C727" s="59"/>
      <c r="D727" s="15" t="str">
        <f>IF(D725="","","Исполнитель"&amp;": ")</f>
        <v/>
      </c>
      <c r="E727" s="62" t="str">
        <f>IFERROR(VLOOKUP(C$13&amp;$B727,Aux!$B:$M,4,0),"")</f>
        <v/>
      </c>
      <c r="F727" s="62"/>
      <c r="G727" s="63" t="str">
        <f>IFERROR(IF(VLOOKUP(C$13&amp;$B725,Aux!$B:$M,8,0)="Да","✔","🕓"),"")</f>
        <v/>
      </c>
      <c r="K727" s="59"/>
      <c r="L727" s="15" t="str">
        <f>IF(L725="","","Исполнитель"&amp;": ")</f>
        <v/>
      </c>
      <c r="M727" s="62" t="str">
        <f>IFERROR(VLOOKUP(K$13&amp;$B727,Aux!$B:$M,4,0),"")</f>
        <v/>
      </c>
      <c r="N727" s="62"/>
      <c r="O727" s="63" t="str">
        <f>IFERROR(IF(VLOOKUP(K$13&amp;$B725,Aux!$B:$M,8,0)="Да","✔","🕓"),"")</f>
        <v/>
      </c>
      <c r="S727" s="59"/>
      <c r="T727" s="15" t="str">
        <f>IF(T725="","","Исполнитель"&amp;": ")</f>
        <v/>
      </c>
      <c r="U727" s="62" t="str">
        <f>IFERROR(VLOOKUP(S$13&amp;$B727,Aux!$B:$M,4,0),"")</f>
        <v/>
      </c>
      <c r="V727" s="62"/>
      <c r="W727" s="63" t="str">
        <f>IFERROR(IF(VLOOKUP(S$13&amp;$B725,Aux!$B:$M,8,0)="Да","✔","🕓"),"")</f>
        <v/>
      </c>
      <c r="AA727" s="59"/>
      <c r="AB727" s="15" t="str">
        <f>IF(AB725="","","Исполнитель"&amp;": ")</f>
        <v/>
      </c>
      <c r="AC727" s="62" t="str">
        <f>IFERROR(VLOOKUP(AA$13&amp;$B727,Aux!$B:$M,4,0),"")</f>
        <v/>
      </c>
      <c r="AD727" s="62"/>
      <c r="AE727" s="63" t="str">
        <f>IFERROR(IF(VLOOKUP(AA$13&amp;$B725,Aux!$B:$M,8,0)="Да","✔","🕓"),"")</f>
        <v/>
      </c>
    </row>
    <row r="728" spans="2:31" x14ac:dyDescent="0.25">
      <c r="B728" s="53">
        <f t="shared" si="11"/>
        <v>143</v>
      </c>
      <c r="C728" s="59"/>
      <c r="D728" s="16" t="str">
        <f>IF(D725="","","Срок сдачи"&amp;": ")</f>
        <v/>
      </c>
      <c r="E728" s="64" t="str">
        <f>IFERROR(VLOOKUP(C$13&amp;$B728,Aux!$B:$M,6,0),"")</f>
        <v/>
      </c>
      <c r="F728" s="64"/>
      <c r="G728" s="63"/>
      <c r="K728" s="59"/>
      <c r="L728" s="16" t="str">
        <f>IF(L725="","","Срок сдачи"&amp;": ")</f>
        <v/>
      </c>
      <c r="M728" s="64" t="str">
        <f>IFERROR(VLOOKUP(K$13&amp;$B728,Aux!$B:$M,6,0),"")</f>
        <v/>
      </c>
      <c r="N728" s="64"/>
      <c r="O728" s="63"/>
      <c r="S728" s="59"/>
      <c r="T728" s="16" t="str">
        <f>IF(T725="","","Срок сдачи"&amp;": ")</f>
        <v/>
      </c>
      <c r="U728" s="64" t="str">
        <f>IFERROR(VLOOKUP(S$13&amp;$B728,Aux!$B:$M,6,0),"")</f>
        <v/>
      </c>
      <c r="V728" s="64"/>
      <c r="W728" s="63"/>
      <c r="AA728" s="59"/>
      <c r="AB728" s="16" t="str">
        <f>IF(AB725="","","Срок сдачи"&amp;": ")</f>
        <v/>
      </c>
      <c r="AC728" s="64" t="str">
        <f>IFERROR(VLOOKUP(AA$13&amp;$B728,Aux!$B:$M,6,0),"")</f>
        <v/>
      </c>
      <c r="AD728" s="64"/>
      <c r="AE728" s="63"/>
    </row>
    <row r="729" spans="2:31" x14ac:dyDescent="0.25">
      <c r="B729" s="53">
        <f t="shared" si="11"/>
        <v>143</v>
      </c>
      <c r="C729" s="7"/>
      <c r="D729" s="17"/>
      <c r="E729" s="7"/>
      <c r="F729" s="18"/>
      <c r="G729" s="18"/>
      <c r="K729" s="13"/>
      <c r="L729" s="17"/>
      <c r="M729" s="13"/>
      <c r="N729" s="14"/>
      <c r="O729" s="14"/>
      <c r="S729" s="13"/>
      <c r="T729" s="17"/>
      <c r="U729" s="13"/>
      <c r="V729" s="14"/>
      <c r="W729" s="14"/>
      <c r="AA729" s="13"/>
      <c r="AB729" s="17"/>
      <c r="AC729" s="13"/>
      <c r="AD729" s="14"/>
      <c r="AE729" s="30"/>
    </row>
    <row r="730" spans="2:31" x14ac:dyDescent="0.25">
      <c r="B730" s="53">
        <f t="shared" si="11"/>
        <v>144</v>
      </c>
      <c r="C730" s="59" t="str">
        <f>IFERROR(VLOOKUP(C$13&amp;$B734,Aux!$B:$M,5,0),"")</f>
        <v/>
      </c>
      <c r="D730" s="60" t="str">
        <f>IFERROR(VLOOKUP(C$13&amp;$B730,Aux!$B:$M,3,0),"")</f>
        <v/>
      </c>
      <c r="E730" s="60"/>
      <c r="F730" s="60"/>
      <c r="G730" s="61" t="str">
        <f>IFERROR(VLOOKUP(C$13&amp;$B730,Aux!$B:$M,9,0),"")</f>
        <v/>
      </c>
      <c r="K730" s="59" t="str">
        <f>IFERROR(VLOOKUP(K$13&amp;$B734,Aux!$B:$M,5,0),"")</f>
        <v/>
      </c>
      <c r="L730" s="60" t="str">
        <f>IFERROR(VLOOKUP(K$13&amp;$B730,Aux!$B:$M,3,0),"")</f>
        <v/>
      </c>
      <c r="M730" s="60"/>
      <c r="N730" s="60"/>
      <c r="O730" s="61" t="str">
        <f>IFERROR(VLOOKUP(K$13&amp;$B730,Aux!$B:$M,9,0),"")</f>
        <v/>
      </c>
      <c r="S730" s="59" t="str">
        <f>IFERROR(VLOOKUP(S$13&amp;$B734,Aux!$B:$M,5,0),"")</f>
        <v/>
      </c>
      <c r="T730" s="60" t="str">
        <f>IFERROR(VLOOKUP(S$13&amp;$B730,Aux!$B:$M,3,0),"")</f>
        <v/>
      </c>
      <c r="U730" s="60"/>
      <c r="V730" s="60"/>
      <c r="W730" s="61" t="str">
        <f>IFERROR(VLOOKUP(S$13&amp;$B730,Aux!$B:$M,9,0),"")</f>
        <v/>
      </c>
      <c r="AA730" s="59" t="str">
        <f>IFERROR(VLOOKUP(AA$13&amp;$B734,Aux!$B:$M,5,0),"")</f>
        <v/>
      </c>
      <c r="AB730" s="60" t="str">
        <f>IFERROR(VLOOKUP(AA$13&amp;$B730,Aux!$B:$M,3,0),"")</f>
        <v/>
      </c>
      <c r="AC730" s="60"/>
      <c r="AD730" s="60"/>
      <c r="AE730" s="61" t="str">
        <f>IFERROR(VLOOKUP(AA$13&amp;$B730,Aux!$B:$M,9,0),"")</f>
        <v/>
      </c>
    </row>
    <row r="731" spans="2:31" x14ac:dyDescent="0.25">
      <c r="B731" s="53">
        <f t="shared" si="11"/>
        <v>144</v>
      </c>
      <c r="C731" s="59"/>
      <c r="D731" s="60"/>
      <c r="E731" s="60"/>
      <c r="F731" s="60"/>
      <c r="G731" s="61"/>
      <c r="K731" s="59"/>
      <c r="L731" s="60"/>
      <c r="M731" s="60"/>
      <c r="N731" s="60"/>
      <c r="O731" s="61"/>
      <c r="S731" s="59"/>
      <c r="T731" s="60"/>
      <c r="U731" s="60"/>
      <c r="V731" s="60"/>
      <c r="W731" s="61"/>
      <c r="AA731" s="59"/>
      <c r="AB731" s="60"/>
      <c r="AC731" s="60"/>
      <c r="AD731" s="60"/>
      <c r="AE731" s="61"/>
    </row>
    <row r="732" spans="2:31" x14ac:dyDescent="0.25">
      <c r="B732" s="53">
        <f t="shared" si="11"/>
        <v>144</v>
      </c>
      <c r="C732" s="59"/>
      <c r="D732" s="15" t="str">
        <f>IF(D730="","","Исполнитель"&amp;": ")</f>
        <v/>
      </c>
      <c r="E732" s="62" t="str">
        <f>IFERROR(VLOOKUP(C$13&amp;$B732,Aux!$B:$M,4,0),"")</f>
        <v/>
      </c>
      <c r="F732" s="62"/>
      <c r="G732" s="63" t="str">
        <f>IFERROR(IF(VLOOKUP(C$13&amp;$B730,Aux!$B:$M,8,0)="Да","✔","🕓"),"")</f>
        <v/>
      </c>
      <c r="K732" s="59"/>
      <c r="L732" s="15" t="str">
        <f>IF(L730="","","Исполнитель"&amp;": ")</f>
        <v/>
      </c>
      <c r="M732" s="62" t="str">
        <f>IFERROR(VLOOKUP(K$13&amp;$B732,Aux!$B:$M,4,0),"")</f>
        <v/>
      </c>
      <c r="N732" s="62"/>
      <c r="O732" s="63" t="str">
        <f>IFERROR(IF(VLOOKUP(K$13&amp;$B730,Aux!$B:$M,8,0)="Да","✔","🕓"),"")</f>
        <v/>
      </c>
      <c r="S732" s="59"/>
      <c r="T732" s="15" t="str">
        <f>IF(T730="","","Исполнитель"&amp;": ")</f>
        <v/>
      </c>
      <c r="U732" s="62" t="str">
        <f>IFERROR(VLOOKUP(S$13&amp;$B732,Aux!$B:$M,4,0),"")</f>
        <v/>
      </c>
      <c r="V732" s="62"/>
      <c r="W732" s="63" t="str">
        <f>IFERROR(IF(VLOOKUP(S$13&amp;$B730,Aux!$B:$M,8,0)="Да","✔","🕓"),"")</f>
        <v/>
      </c>
      <c r="AA732" s="59"/>
      <c r="AB732" s="15" t="str">
        <f>IF(AB730="","","Исполнитель"&amp;": ")</f>
        <v/>
      </c>
      <c r="AC732" s="62" t="str">
        <f>IFERROR(VLOOKUP(AA$13&amp;$B732,Aux!$B:$M,4,0),"")</f>
        <v/>
      </c>
      <c r="AD732" s="62"/>
      <c r="AE732" s="63" t="str">
        <f>IFERROR(IF(VLOOKUP(AA$13&amp;$B730,Aux!$B:$M,8,0)="Да","✔","🕓"),"")</f>
        <v/>
      </c>
    </row>
    <row r="733" spans="2:31" x14ac:dyDescent="0.25">
      <c r="B733" s="53">
        <f t="shared" si="11"/>
        <v>144</v>
      </c>
      <c r="C733" s="59"/>
      <c r="D733" s="16" t="str">
        <f>IF(D730="","","Срок сдачи"&amp;": ")</f>
        <v/>
      </c>
      <c r="E733" s="64" t="str">
        <f>IFERROR(VLOOKUP(C$13&amp;$B733,Aux!$B:$M,6,0),"")</f>
        <v/>
      </c>
      <c r="F733" s="64"/>
      <c r="G733" s="63"/>
      <c r="K733" s="59"/>
      <c r="L733" s="16" t="str">
        <f>IF(L730="","","Срок сдачи"&amp;": ")</f>
        <v/>
      </c>
      <c r="M733" s="64" t="str">
        <f>IFERROR(VLOOKUP(K$13&amp;$B733,Aux!$B:$M,6,0),"")</f>
        <v/>
      </c>
      <c r="N733" s="64"/>
      <c r="O733" s="63"/>
      <c r="S733" s="59"/>
      <c r="T733" s="16" t="str">
        <f>IF(T730="","","Срок сдачи"&amp;": ")</f>
        <v/>
      </c>
      <c r="U733" s="64" t="str">
        <f>IFERROR(VLOOKUP(S$13&amp;$B733,Aux!$B:$M,6,0),"")</f>
        <v/>
      </c>
      <c r="V733" s="64"/>
      <c r="W733" s="63"/>
      <c r="AA733" s="59"/>
      <c r="AB733" s="16" t="str">
        <f>IF(AB730="","","Срок сдачи"&amp;": ")</f>
        <v/>
      </c>
      <c r="AC733" s="64" t="str">
        <f>IFERROR(VLOOKUP(AA$13&amp;$B733,Aux!$B:$M,6,0),"")</f>
        <v/>
      </c>
      <c r="AD733" s="64"/>
      <c r="AE733" s="63"/>
    </row>
    <row r="734" spans="2:31" x14ac:dyDescent="0.25">
      <c r="B734" s="53">
        <f t="shared" si="11"/>
        <v>144</v>
      </c>
      <c r="C734" s="7"/>
      <c r="D734" s="17"/>
      <c r="E734" s="7"/>
      <c r="F734" s="18"/>
      <c r="G734" s="18"/>
      <c r="K734" s="13"/>
      <c r="L734" s="17"/>
      <c r="M734" s="13"/>
      <c r="N734" s="14"/>
      <c r="O734" s="14"/>
      <c r="S734" s="13"/>
      <c r="T734" s="17"/>
      <c r="U734" s="13"/>
      <c r="V734" s="14"/>
      <c r="W734" s="14"/>
      <c r="AA734" s="13"/>
      <c r="AB734" s="17"/>
      <c r="AC734" s="13"/>
      <c r="AD734" s="14"/>
      <c r="AE734" s="30"/>
    </row>
    <row r="735" spans="2:31" x14ac:dyDescent="0.25">
      <c r="B735" s="53">
        <f t="shared" si="11"/>
        <v>145</v>
      </c>
      <c r="C735" s="59" t="str">
        <f>IFERROR(VLOOKUP(C$13&amp;$B739,Aux!$B:$M,5,0),"")</f>
        <v/>
      </c>
      <c r="D735" s="60" t="str">
        <f>IFERROR(VLOOKUP(C$13&amp;$B735,Aux!$B:$M,3,0),"")</f>
        <v/>
      </c>
      <c r="E735" s="60"/>
      <c r="F735" s="60"/>
      <c r="G735" s="61" t="str">
        <f>IFERROR(VLOOKUP(C$13&amp;$B735,Aux!$B:$M,9,0),"")</f>
        <v/>
      </c>
      <c r="K735" s="59" t="str">
        <f>IFERROR(VLOOKUP(K$13&amp;$B739,Aux!$B:$M,5,0),"")</f>
        <v/>
      </c>
      <c r="L735" s="60" t="str">
        <f>IFERROR(VLOOKUP(K$13&amp;$B735,Aux!$B:$M,3,0),"")</f>
        <v/>
      </c>
      <c r="M735" s="60"/>
      <c r="N735" s="60"/>
      <c r="O735" s="61" t="str">
        <f>IFERROR(VLOOKUP(K$13&amp;$B735,Aux!$B:$M,9,0),"")</f>
        <v/>
      </c>
      <c r="S735" s="59" t="str">
        <f>IFERROR(VLOOKUP(S$13&amp;$B739,Aux!$B:$M,5,0),"")</f>
        <v/>
      </c>
      <c r="T735" s="60" t="str">
        <f>IFERROR(VLOOKUP(S$13&amp;$B735,Aux!$B:$M,3,0),"")</f>
        <v/>
      </c>
      <c r="U735" s="60"/>
      <c r="V735" s="60"/>
      <c r="W735" s="61" t="str">
        <f>IFERROR(VLOOKUP(S$13&amp;$B735,Aux!$B:$M,9,0),"")</f>
        <v/>
      </c>
      <c r="AA735" s="59" t="str">
        <f>IFERROR(VLOOKUP(AA$13&amp;$B739,Aux!$B:$M,5,0),"")</f>
        <v/>
      </c>
      <c r="AB735" s="60" t="str">
        <f>IFERROR(VLOOKUP(AA$13&amp;$B735,Aux!$B:$M,3,0),"")</f>
        <v/>
      </c>
      <c r="AC735" s="60"/>
      <c r="AD735" s="60"/>
      <c r="AE735" s="61" t="str">
        <f>IFERROR(VLOOKUP(AA$13&amp;$B735,Aux!$B:$M,9,0),"")</f>
        <v/>
      </c>
    </row>
    <row r="736" spans="2:31" x14ac:dyDescent="0.25">
      <c r="B736" s="53">
        <f t="shared" si="11"/>
        <v>145</v>
      </c>
      <c r="C736" s="59"/>
      <c r="D736" s="60"/>
      <c r="E736" s="60"/>
      <c r="F736" s="60"/>
      <c r="G736" s="61"/>
      <c r="K736" s="59"/>
      <c r="L736" s="60"/>
      <c r="M736" s="60"/>
      <c r="N736" s="60"/>
      <c r="O736" s="61"/>
      <c r="S736" s="59"/>
      <c r="T736" s="60"/>
      <c r="U736" s="60"/>
      <c r="V736" s="60"/>
      <c r="W736" s="61"/>
      <c r="AA736" s="59"/>
      <c r="AB736" s="60"/>
      <c r="AC736" s="60"/>
      <c r="AD736" s="60"/>
      <c r="AE736" s="61"/>
    </row>
    <row r="737" spans="2:31" x14ac:dyDescent="0.25">
      <c r="B737" s="53">
        <f t="shared" si="11"/>
        <v>145</v>
      </c>
      <c r="C737" s="59"/>
      <c r="D737" s="15" t="str">
        <f>IF(D735="","","Исполнитель"&amp;": ")</f>
        <v/>
      </c>
      <c r="E737" s="62" t="str">
        <f>IFERROR(VLOOKUP(C$13&amp;$B737,Aux!$B:$M,4,0),"")</f>
        <v/>
      </c>
      <c r="F737" s="62"/>
      <c r="G737" s="63" t="str">
        <f>IFERROR(IF(VLOOKUP(C$13&amp;$B735,Aux!$B:$M,8,0)="Да","✔","🕓"),"")</f>
        <v/>
      </c>
      <c r="K737" s="59"/>
      <c r="L737" s="15" t="str">
        <f>IF(L735="","","Исполнитель"&amp;": ")</f>
        <v/>
      </c>
      <c r="M737" s="62" t="str">
        <f>IFERROR(VLOOKUP(K$13&amp;$B737,Aux!$B:$M,4,0),"")</f>
        <v/>
      </c>
      <c r="N737" s="62"/>
      <c r="O737" s="63" t="str">
        <f>IFERROR(IF(VLOOKUP(K$13&amp;$B735,Aux!$B:$M,8,0)="Да","✔","🕓"),"")</f>
        <v/>
      </c>
      <c r="S737" s="59"/>
      <c r="T737" s="15" t="str">
        <f>IF(T735="","","Исполнитель"&amp;": ")</f>
        <v/>
      </c>
      <c r="U737" s="62" t="str">
        <f>IFERROR(VLOOKUP(S$13&amp;$B737,Aux!$B:$M,4,0),"")</f>
        <v/>
      </c>
      <c r="V737" s="62"/>
      <c r="W737" s="63" t="str">
        <f>IFERROR(IF(VLOOKUP(S$13&amp;$B735,Aux!$B:$M,8,0)="Да","✔","🕓"),"")</f>
        <v/>
      </c>
      <c r="AA737" s="59"/>
      <c r="AB737" s="15" t="str">
        <f>IF(AB735="","","Исполнитель"&amp;": ")</f>
        <v/>
      </c>
      <c r="AC737" s="62" t="str">
        <f>IFERROR(VLOOKUP(AA$13&amp;$B737,Aux!$B:$M,4,0),"")</f>
        <v/>
      </c>
      <c r="AD737" s="62"/>
      <c r="AE737" s="63" t="str">
        <f>IFERROR(IF(VLOOKUP(AA$13&amp;$B735,Aux!$B:$M,8,0)="Да","✔","🕓"),"")</f>
        <v/>
      </c>
    </row>
    <row r="738" spans="2:31" x14ac:dyDescent="0.25">
      <c r="B738" s="53">
        <f t="shared" si="11"/>
        <v>145</v>
      </c>
      <c r="C738" s="59"/>
      <c r="D738" s="16" t="str">
        <f>IF(D735="","","Срок сдачи"&amp;": ")</f>
        <v/>
      </c>
      <c r="E738" s="64" t="str">
        <f>IFERROR(VLOOKUP(C$13&amp;$B738,Aux!$B:$M,6,0),"")</f>
        <v/>
      </c>
      <c r="F738" s="64"/>
      <c r="G738" s="63"/>
      <c r="K738" s="59"/>
      <c r="L738" s="16" t="str">
        <f>IF(L735="","","Срок сдачи"&amp;": ")</f>
        <v/>
      </c>
      <c r="M738" s="64" t="str">
        <f>IFERROR(VLOOKUP(K$13&amp;$B738,Aux!$B:$M,6,0),"")</f>
        <v/>
      </c>
      <c r="N738" s="64"/>
      <c r="O738" s="63"/>
      <c r="S738" s="59"/>
      <c r="T738" s="16" t="str">
        <f>IF(T735="","","Срок сдачи"&amp;": ")</f>
        <v/>
      </c>
      <c r="U738" s="64" t="str">
        <f>IFERROR(VLOOKUP(S$13&amp;$B738,Aux!$B:$M,6,0),"")</f>
        <v/>
      </c>
      <c r="V738" s="64"/>
      <c r="W738" s="63"/>
      <c r="AA738" s="59"/>
      <c r="AB738" s="16" t="str">
        <f>IF(AB735="","","Срок сдачи"&amp;": ")</f>
        <v/>
      </c>
      <c r="AC738" s="64" t="str">
        <f>IFERROR(VLOOKUP(AA$13&amp;$B738,Aux!$B:$M,6,0),"")</f>
        <v/>
      </c>
      <c r="AD738" s="64"/>
      <c r="AE738" s="63"/>
    </row>
    <row r="739" spans="2:31" x14ac:dyDescent="0.25">
      <c r="B739" s="53">
        <f t="shared" si="11"/>
        <v>145</v>
      </c>
      <c r="C739" s="7"/>
      <c r="D739" s="17"/>
      <c r="E739" s="7"/>
      <c r="F739" s="18"/>
      <c r="G739" s="18"/>
      <c r="K739" s="13"/>
      <c r="L739" s="17"/>
      <c r="M739" s="13"/>
      <c r="N739" s="14"/>
      <c r="O739" s="14"/>
      <c r="S739" s="13"/>
      <c r="T739" s="17"/>
      <c r="U739" s="13"/>
      <c r="V739" s="14"/>
      <c r="W739" s="14"/>
      <c r="AA739" s="13"/>
      <c r="AB739" s="17"/>
      <c r="AC739" s="13"/>
      <c r="AD739" s="14"/>
      <c r="AE739" s="30"/>
    </row>
    <row r="740" spans="2:31" x14ac:dyDescent="0.25">
      <c r="B740" s="53">
        <f t="shared" si="11"/>
        <v>146</v>
      </c>
      <c r="C740" s="59" t="str">
        <f>IFERROR(VLOOKUP(C$13&amp;$B744,Aux!$B:$M,5,0),"")</f>
        <v/>
      </c>
      <c r="D740" s="60" t="str">
        <f>IFERROR(VLOOKUP(C$13&amp;$B740,Aux!$B:$M,3,0),"")</f>
        <v/>
      </c>
      <c r="E740" s="60"/>
      <c r="F740" s="60"/>
      <c r="G740" s="61" t="str">
        <f>IFERROR(VLOOKUP(C$13&amp;$B740,Aux!$B:$M,9,0),"")</f>
        <v/>
      </c>
      <c r="K740" s="59" t="str">
        <f>IFERROR(VLOOKUP(K$13&amp;$B744,Aux!$B:$M,5,0),"")</f>
        <v/>
      </c>
      <c r="L740" s="60" t="str">
        <f>IFERROR(VLOOKUP(K$13&amp;$B740,Aux!$B:$M,3,0),"")</f>
        <v/>
      </c>
      <c r="M740" s="60"/>
      <c r="N740" s="60"/>
      <c r="O740" s="61" t="str">
        <f>IFERROR(VLOOKUP(K$13&amp;$B740,Aux!$B:$M,9,0),"")</f>
        <v/>
      </c>
      <c r="S740" s="59" t="str">
        <f>IFERROR(VLOOKUP(S$13&amp;$B744,Aux!$B:$M,5,0),"")</f>
        <v/>
      </c>
      <c r="T740" s="60" t="str">
        <f>IFERROR(VLOOKUP(S$13&amp;$B740,Aux!$B:$M,3,0),"")</f>
        <v/>
      </c>
      <c r="U740" s="60"/>
      <c r="V740" s="60"/>
      <c r="W740" s="61" t="str">
        <f>IFERROR(VLOOKUP(S$13&amp;$B740,Aux!$B:$M,9,0),"")</f>
        <v/>
      </c>
      <c r="AA740" s="59" t="str">
        <f>IFERROR(VLOOKUP(AA$13&amp;$B744,Aux!$B:$M,5,0),"")</f>
        <v/>
      </c>
      <c r="AB740" s="60" t="str">
        <f>IFERROR(VLOOKUP(AA$13&amp;$B740,Aux!$B:$M,3,0),"")</f>
        <v/>
      </c>
      <c r="AC740" s="60"/>
      <c r="AD740" s="60"/>
      <c r="AE740" s="61" t="str">
        <f>IFERROR(VLOOKUP(AA$13&amp;$B740,Aux!$B:$M,9,0),"")</f>
        <v/>
      </c>
    </row>
    <row r="741" spans="2:31" x14ac:dyDescent="0.25">
      <c r="B741" s="53">
        <f t="shared" si="11"/>
        <v>146</v>
      </c>
      <c r="C741" s="59"/>
      <c r="D741" s="60"/>
      <c r="E741" s="60"/>
      <c r="F741" s="60"/>
      <c r="G741" s="61"/>
      <c r="K741" s="59"/>
      <c r="L741" s="60"/>
      <c r="M741" s="60"/>
      <c r="N741" s="60"/>
      <c r="O741" s="61"/>
      <c r="S741" s="59"/>
      <c r="T741" s="60"/>
      <c r="U741" s="60"/>
      <c r="V741" s="60"/>
      <c r="W741" s="61"/>
      <c r="AA741" s="59"/>
      <c r="AB741" s="60"/>
      <c r="AC741" s="60"/>
      <c r="AD741" s="60"/>
      <c r="AE741" s="61"/>
    </row>
    <row r="742" spans="2:31" x14ac:dyDescent="0.25">
      <c r="B742" s="53">
        <f t="shared" si="11"/>
        <v>146</v>
      </c>
      <c r="C742" s="59"/>
      <c r="D742" s="15" t="str">
        <f>IF(D740="","","Исполнитель"&amp;": ")</f>
        <v/>
      </c>
      <c r="E742" s="62" t="str">
        <f>IFERROR(VLOOKUP(C$13&amp;$B742,Aux!$B:$M,4,0),"")</f>
        <v/>
      </c>
      <c r="F742" s="62"/>
      <c r="G742" s="63" t="str">
        <f>IFERROR(IF(VLOOKUP(C$13&amp;$B740,Aux!$B:$M,8,0)="Да","✔","🕓"),"")</f>
        <v/>
      </c>
      <c r="K742" s="59"/>
      <c r="L742" s="15" t="str">
        <f>IF(L740="","","Исполнитель"&amp;": ")</f>
        <v/>
      </c>
      <c r="M742" s="62" t="str">
        <f>IFERROR(VLOOKUP(K$13&amp;$B742,Aux!$B:$M,4,0),"")</f>
        <v/>
      </c>
      <c r="N742" s="62"/>
      <c r="O742" s="63" t="str">
        <f>IFERROR(IF(VLOOKUP(K$13&amp;$B740,Aux!$B:$M,8,0)="Да","✔","🕓"),"")</f>
        <v/>
      </c>
      <c r="S742" s="59"/>
      <c r="T742" s="15" t="str">
        <f>IF(T740="","","Исполнитель"&amp;": ")</f>
        <v/>
      </c>
      <c r="U742" s="62" t="str">
        <f>IFERROR(VLOOKUP(S$13&amp;$B742,Aux!$B:$M,4,0),"")</f>
        <v/>
      </c>
      <c r="V742" s="62"/>
      <c r="W742" s="63" t="str">
        <f>IFERROR(IF(VLOOKUP(S$13&amp;$B740,Aux!$B:$M,8,0)="Да","✔","🕓"),"")</f>
        <v/>
      </c>
      <c r="AA742" s="59"/>
      <c r="AB742" s="15" t="str">
        <f>IF(AB740="","","Исполнитель"&amp;": ")</f>
        <v/>
      </c>
      <c r="AC742" s="62" t="str">
        <f>IFERROR(VLOOKUP(AA$13&amp;$B742,Aux!$B:$M,4,0),"")</f>
        <v/>
      </c>
      <c r="AD742" s="62"/>
      <c r="AE742" s="63" t="str">
        <f>IFERROR(IF(VLOOKUP(AA$13&amp;$B740,Aux!$B:$M,8,0)="Да","✔","🕓"),"")</f>
        <v/>
      </c>
    </row>
    <row r="743" spans="2:31" x14ac:dyDescent="0.25">
      <c r="B743" s="53">
        <f t="shared" si="11"/>
        <v>146</v>
      </c>
      <c r="C743" s="59"/>
      <c r="D743" s="16" t="str">
        <f>IF(D740="","","Срок сдачи"&amp;": ")</f>
        <v/>
      </c>
      <c r="E743" s="64" t="str">
        <f>IFERROR(VLOOKUP(C$13&amp;$B743,Aux!$B:$M,6,0),"")</f>
        <v/>
      </c>
      <c r="F743" s="64"/>
      <c r="G743" s="63"/>
      <c r="K743" s="59"/>
      <c r="L743" s="16" t="str">
        <f>IF(L740="","","Срок сдачи"&amp;": ")</f>
        <v/>
      </c>
      <c r="M743" s="64" t="str">
        <f>IFERROR(VLOOKUP(K$13&amp;$B743,Aux!$B:$M,6,0),"")</f>
        <v/>
      </c>
      <c r="N743" s="64"/>
      <c r="O743" s="63"/>
      <c r="S743" s="59"/>
      <c r="T743" s="16" t="str">
        <f>IF(T740="","","Срок сдачи"&amp;": ")</f>
        <v/>
      </c>
      <c r="U743" s="64" t="str">
        <f>IFERROR(VLOOKUP(S$13&amp;$B743,Aux!$B:$M,6,0),"")</f>
        <v/>
      </c>
      <c r="V743" s="64"/>
      <c r="W743" s="63"/>
      <c r="AA743" s="59"/>
      <c r="AB743" s="16" t="str">
        <f>IF(AB740="","","Срок сдачи"&amp;": ")</f>
        <v/>
      </c>
      <c r="AC743" s="64" t="str">
        <f>IFERROR(VLOOKUP(AA$13&amp;$B743,Aux!$B:$M,6,0),"")</f>
        <v/>
      </c>
      <c r="AD743" s="64"/>
      <c r="AE743" s="63"/>
    </row>
    <row r="744" spans="2:31" x14ac:dyDescent="0.25">
      <c r="B744" s="53">
        <f t="shared" si="11"/>
        <v>146</v>
      </c>
      <c r="C744" s="7"/>
      <c r="D744" s="17"/>
      <c r="E744" s="7"/>
      <c r="F744" s="18"/>
      <c r="G744" s="18"/>
      <c r="K744" s="13"/>
      <c r="L744" s="17"/>
      <c r="M744" s="13"/>
      <c r="N744" s="14"/>
      <c r="O744" s="14"/>
      <c r="S744" s="13"/>
      <c r="T744" s="17"/>
      <c r="U744" s="13"/>
      <c r="V744" s="14"/>
      <c r="W744" s="14"/>
      <c r="AA744" s="13"/>
      <c r="AB744" s="17"/>
      <c r="AC744" s="13"/>
      <c r="AD744" s="14"/>
      <c r="AE744" s="30"/>
    </row>
    <row r="745" spans="2:31" x14ac:dyDescent="0.25">
      <c r="B745" s="53">
        <f t="shared" si="11"/>
        <v>147</v>
      </c>
      <c r="C745" s="59" t="str">
        <f>IFERROR(VLOOKUP(C$13&amp;$B749,Aux!$B:$M,5,0),"")</f>
        <v/>
      </c>
      <c r="D745" s="60" t="str">
        <f>IFERROR(VLOOKUP(C$13&amp;$B745,Aux!$B:$M,3,0),"")</f>
        <v/>
      </c>
      <c r="E745" s="60"/>
      <c r="F745" s="60"/>
      <c r="G745" s="61" t="str">
        <f>IFERROR(VLOOKUP(C$13&amp;$B745,Aux!$B:$M,9,0),"")</f>
        <v/>
      </c>
      <c r="K745" s="59" t="str">
        <f>IFERROR(VLOOKUP(K$13&amp;$B749,Aux!$B:$M,5,0),"")</f>
        <v/>
      </c>
      <c r="L745" s="60" t="str">
        <f>IFERROR(VLOOKUP(K$13&amp;$B745,Aux!$B:$M,3,0),"")</f>
        <v/>
      </c>
      <c r="M745" s="60"/>
      <c r="N745" s="60"/>
      <c r="O745" s="61" t="str">
        <f>IFERROR(VLOOKUP(K$13&amp;$B745,Aux!$B:$M,9,0),"")</f>
        <v/>
      </c>
      <c r="S745" s="59" t="str">
        <f>IFERROR(VLOOKUP(S$13&amp;$B749,Aux!$B:$M,5,0),"")</f>
        <v/>
      </c>
      <c r="T745" s="60" t="str">
        <f>IFERROR(VLOOKUP(S$13&amp;$B745,Aux!$B:$M,3,0),"")</f>
        <v/>
      </c>
      <c r="U745" s="60"/>
      <c r="V745" s="60"/>
      <c r="W745" s="61" t="str">
        <f>IFERROR(VLOOKUP(S$13&amp;$B745,Aux!$B:$M,9,0),"")</f>
        <v/>
      </c>
      <c r="AA745" s="59" t="str">
        <f>IFERROR(VLOOKUP(AA$13&amp;$B749,Aux!$B:$M,5,0),"")</f>
        <v/>
      </c>
      <c r="AB745" s="60" t="str">
        <f>IFERROR(VLOOKUP(AA$13&amp;$B745,Aux!$B:$M,3,0),"")</f>
        <v/>
      </c>
      <c r="AC745" s="60"/>
      <c r="AD745" s="60"/>
      <c r="AE745" s="61" t="str">
        <f>IFERROR(VLOOKUP(AA$13&amp;$B745,Aux!$B:$M,9,0),"")</f>
        <v/>
      </c>
    </row>
    <row r="746" spans="2:31" x14ac:dyDescent="0.25">
      <c r="B746" s="53">
        <f t="shared" si="11"/>
        <v>147</v>
      </c>
      <c r="C746" s="59"/>
      <c r="D746" s="60"/>
      <c r="E746" s="60"/>
      <c r="F746" s="60"/>
      <c r="G746" s="61"/>
      <c r="K746" s="59"/>
      <c r="L746" s="60"/>
      <c r="M746" s="60"/>
      <c r="N746" s="60"/>
      <c r="O746" s="61"/>
      <c r="S746" s="59"/>
      <c r="T746" s="60"/>
      <c r="U746" s="60"/>
      <c r="V746" s="60"/>
      <c r="W746" s="61"/>
      <c r="AA746" s="59"/>
      <c r="AB746" s="60"/>
      <c r="AC746" s="60"/>
      <c r="AD746" s="60"/>
      <c r="AE746" s="61"/>
    </row>
    <row r="747" spans="2:31" x14ac:dyDescent="0.25">
      <c r="B747" s="53">
        <f t="shared" si="11"/>
        <v>147</v>
      </c>
      <c r="C747" s="59"/>
      <c r="D747" s="15" t="str">
        <f>IF(D745="","","Исполнитель"&amp;": ")</f>
        <v/>
      </c>
      <c r="E747" s="62" t="str">
        <f>IFERROR(VLOOKUP(C$13&amp;$B747,Aux!$B:$M,4,0),"")</f>
        <v/>
      </c>
      <c r="F747" s="62"/>
      <c r="G747" s="63" t="str">
        <f>IFERROR(IF(VLOOKUP(C$13&amp;$B745,Aux!$B:$M,8,0)="Да","✔","🕓"),"")</f>
        <v/>
      </c>
      <c r="K747" s="59"/>
      <c r="L747" s="15" t="str">
        <f>IF(L745="","","Исполнитель"&amp;": ")</f>
        <v/>
      </c>
      <c r="M747" s="62" t="str">
        <f>IFERROR(VLOOKUP(K$13&amp;$B747,Aux!$B:$M,4,0),"")</f>
        <v/>
      </c>
      <c r="N747" s="62"/>
      <c r="O747" s="63" t="str">
        <f>IFERROR(IF(VLOOKUP(K$13&amp;$B745,Aux!$B:$M,8,0)="Да","✔","🕓"),"")</f>
        <v/>
      </c>
      <c r="S747" s="59"/>
      <c r="T747" s="15" t="str">
        <f>IF(T745="","","Исполнитель"&amp;": ")</f>
        <v/>
      </c>
      <c r="U747" s="62" t="str">
        <f>IFERROR(VLOOKUP(S$13&amp;$B747,Aux!$B:$M,4,0),"")</f>
        <v/>
      </c>
      <c r="V747" s="62"/>
      <c r="W747" s="63" t="str">
        <f>IFERROR(IF(VLOOKUP(S$13&amp;$B745,Aux!$B:$M,8,0)="Да","✔","🕓"),"")</f>
        <v/>
      </c>
      <c r="AA747" s="59"/>
      <c r="AB747" s="15" t="str">
        <f>IF(AB745="","","Исполнитель"&amp;": ")</f>
        <v/>
      </c>
      <c r="AC747" s="62" t="str">
        <f>IFERROR(VLOOKUP(AA$13&amp;$B747,Aux!$B:$M,4,0),"")</f>
        <v/>
      </c>
      <c r="AD747" s="62"/>
      <c r="AE747" s="63" t="str">
        <f>IFERROR(IF(VLOOKUP(AA$13&amp;$B745,Aux!$B:$M,8,0)="Да","✔","🕓"),"")</f>
        <v/>
      </c>
    </row>
    <row r="748" spans="2:31" x14ac:dyDescent="0.25">
      <c r="B748" s="53">
        <f t="shared" si="11"/>
        <v>147</v>
      </c>
      <c r="C748" s="59"/>
      <c r="D748" s="16" t="str">
        <f>IF(D745="","","Срок сдачи"&amp;": ")</f>
        <v/>
      </c>
      <c r="E748" s="64" t="str">
        <f>IFERROR(VLOOKUP(C$13&amp;$B748,Aux!$B:$M,6,0),"")</f>
        <v/>
      </c>
      <c r="F748" s="64"/>
      <c r="G748" s="63"/>
      <c r="K748" s="59"/>
      <c r="L748" s="16" t="str">
        <f>IF(L745="","","Срок сдачи"&amp;": ")</f>
        <v/>
      </c>
      <c r="M748" s="64" t="str">
        <f>IFERROR(VLOOKUP(K$13&amp;$B748,Aux!$B:$M,6,0),"")</f>
        <v/>
      </c>
      <c r="N748" s="64"/>
      <c r="O748" s="63"/>
      <c r="S748" s="59"/>
      <c r="T748" s="16" t="str">
        <f>IF(T745="","","Срок сдачи"&amp;": ")</f>
        <v/>
      </c>
      <c r="U748" s="64" t="str">
        <f>IFERROR(VLOOKUP(S$13&amp;$B748,Aux!$B:$M,6,0),"")</f>
        <v/>
      </c>
      <c r="V748" s="64"/>
      <c r="W748" s="63"/>
      <c r="AA748" s="59"/>
      <c r="AB748" s="16" t="str">
        <f>IF(AB745="","","Срок сдачи"&amp;": ")</f>
        <v/>
      </c>
      <c r="AC748" s="64" t="str">
        <f>IFERROR(VLOOKUP(AA$13&amp;$B748,Aux!$B:$M,6,0),"")</f>
        <v/>
      </c>
      <c r="AD748" s="64"/>
      <c r="AE748" s="63"/>
    </row>
    <row r="749" spans="2:31" x14ac:dyDescent="0.25">
      <c r="B749" s="53">
        <f t="shared" si="11"/>
        <v>147</v>
      </c>
      <c r="C749" s="7"/>
      <c r="D749" s="17"/>
      <c r="E749" s="7"/>
      <c r="F749" s="18"/>
      <c r="G749" s="18"/>
      <c r="K749" s="13"/>
      <c r="L749" s="17"/>
      <c r="M749" s="13"/>
      <c r="N749" s="14"/>
      <c r="O749" s="14"/>
      <c r="S749" s="13"/>
      <c r="T749" s="17"/>
      <c r="U749" s="13"/>
      <c r="V749" s="14"/>
      <c r="W749" s="14"/>
      <c r="AA749" s="13"/>
      <c r="AB749" s="17"/>
      <c r="AC749" s="13"/>
      <c r="AD749" s="14"/>
      <c r="AE749" s="30"/>
    </row>
    <row r="750" spans="2:31" x14ac:dyDescent="0.25">
      <c r="B750" s="53">
        <f t="shared" si="11"/>
        <v>148</v>
      </c>
      <c r="C750" s="59" t="str">
        <f>IFERROR(VLOOKUP(C$13&amp;$B754,Aux!$B:$M,5,0),"")</f>
        <v/>
      </c>
      <c r="D750" s="60" t="str">
        <f>IFERROR(VLOOKUP(C$13&amp;$B750,Aux!$B:$M,3,0),"")</f>
        <v/>
      </c>
      <c r="E750" s="60"/>
      <c r="F750" s="60"/>
      <c r="G750" s="61" t="str">
        <f>IFERROR(VLOOKUP(C$13&amp;$B750,Aux!$B:$M,9,0),"")</f>
        <v/>
      </c>
      <c r="K750" s="59" t="str">
        <f>IFERROR(VLOOKUP(K$13&amp;$B754,Aux!$B:$M,5,0),"")</f>
        <v/>
      </c>
      <c r="L750" s="60" t="str">
        <f>IFERROR(VLOOKUP(K$13&amp;$B750,Aux!$B:$M,3,0),"")</f>
        <v/>
      </c>
      <c r="M750" s="60"/>
      <c r="N750" s="60"/>
      <c r="O750" s="61" t="str">
        <f>IFERROR(VLOOKUP(K$13&amp;$B750,Aux!$B:$M,9,0),"")</f>
        <v/>
      </c>
      <c r="S750" s="59" t="str">
        <f>IFERROR(VLOOKUP(S$13&amp;$B754,Aux!$B:$M,5,0),"")</f>
        <v/>
      </c>
      <c r="T750" s="60" t="str">
        <f>IFERROR(VLOOKUP(S$13&amp;$B750,Aux!$B:$M,3,0),"")</f>
        <v/>
      </c>
      <c r="U750" s="60"/>
      <c r="V750" s="60"/>
      <c r="W750" s="61" t="str">
        <f>IFERROR(VLOOKUP(S$13&amp;$B750,Aux!$B:$M,9,0),"")</f>
        <v/>
      </c>
      <c r="AA750" s="59" t="str">
        <f>IFERROR(VLOOKUP(AA$13&amp;$B754,Aux!$B:$M,5,0),"")</f>
        <v/>
      </c>
      <c r="AB750" s="60" t="str">
        <f>IFERROR(VLOOKUP(AA$13&amp;$B750,Aux!$B:$M,3,0),"")</f>
        <v/>
      </c>
      <c r="AC750" s="60"/>
      <c r="AD750" s="60"/>
      <c r="AE750" s="61" t="str">
        <f>IFERROR(VLOOKUP(AA$13&amp;$B750,Aux!$B:$M,9,0),"")</f>
        <v/>
      </c>
    </row>
    <row r="751" spans="2:31" x14ac:dyDescent="0.25">
      <c r="B751" s="53">
        <f t="shared" si="11"/>
        <v>148</v>
      </c>
      <c r="C751" s="59"/>
      <c r="D751" s="60"/>
      <c r="E751" s="60"/>
      <c r="F751" s="60"/>
      <c r="G751" s="61"/>
      <c r="K751" s="59"/>
      <c r="L751" s="60"/>
      <c r="M751" s="60"/>
      <c r="N751" s="60"/>
      <c r="O751" s="61"/>
      <c r="S751" s="59"/>
      <c r="T751" s="60"/>
      <c r="U751" s="60"/>
      <c r="V751" s="60"/>
      <c r="W751" s="61"/>
      <c r="AA751" s="59"/>
      <c r="AB751" s="60"/>
      <c r="AC751" s="60"/>
      <c r="AD751" s="60"/>
      <c r="AE751" s="61"/>
    </row>
    <row r="752" spans="2:31" x14ac:dyDescent="0.25">
      <c r="B752" s="53">
        <f t="shared" si="11"/>
        <v>148</v>
      </c>
      <c r="C752" s="59"/>
      <c r="D752" s="15" t="str">
        <f>IF(D750="","","Исполнитель"&amp;": ")</f>
        <v/>
      </c>
      <c r="E752" s="62" t="str">
        <f>IFERROR(VLOOKUP(C$13&amp;$B752,Aux!$B:$M,4,0),"")</f>
        <v/>
      </c>
      <c r="F752" s="62"/>
      <c r="G752" s="63" t="str">
        <f>IFERROR(IF(VLOOKUP(C$13&amp;$B750,Aux!$B:$M,8,0)="Да","✔","🕓"),"")</f>
        <v/>
      </c>
      <c r="K752" s="59"/>
      <c r="L752" s="15" t="str">
        <f>IF(L750="","","Исполнитель"&amp;": ")</f>
        <v/>
      </c>
      <c r="M752" s="62" t="str">
        <f>IFERROR(VLOOKUP(K$13&amp;$B752,Aux!$B:$M,4,0),"")</f>
        <v/>
      </c>
      <c r="N752" s="62"/>
      <c r="O752" s="63" t="str">
        <f>IFERROR(IF(VLOOKUP(K$13&amp;$B750,Aux!$B:$M,8,0)="Да","✔","🕓"),"")</f>
        <v/>
      </c>
      <c r="S752" s="59"/>
      <c r="T752" s="15" t="str">
        <f>IF(T750="","","Исполнитель"&amp;": ")</f>
        <v/>
      </c>
      <c r="U752" s="62" t="str">
        <f>IFERROR(VLOOKUP(S$13&amp;$B752,Aux!$B:$M,4,0),"")</f>
        <v/>
      </c>
      <c r="V752" s="62"/>
      <c r="W752" s="63" t="str">
        <f>IFERROR(IF(VLOOKUP(S$13&amp;$B750,Aux!$B:$M,8,0)="Да","✔","🕓"),"")</f>
        <v/>
      </c>
      <c r="AA752" s="59"/>
      <c r="AB752" s="15" t="str">
        <f>IF(AB750="","","Исполнитель"&amp;": ")</f>
        <v/>
      </c>
      <c r="AC752" s="62" t="str">
        <f>IFERROR(VLOOKUP(AA$13&amp;$B752,Aux!$B:$M,4,0),"")</f>
        <v/>
      </c>
      <c r="AD752" s="62"/>
      <c r="AE752" s="63" t="str">
        <f>IFERROR(IF(VLOOKUP(AA$13&amp;$B750,Aux!$B:$M,8,0)="Да","✔","🕓"),"")</f>
        <v/>
      </c>
    </row>
    <row r="753" spans="2:31" x14ac:dyDescent="0.25">
      <c r="B753" s="53">
        <f t="shared" si="11"/>
        <v>148</v>
      </c>
      <c r="C753" s="59"/>
      <c r="D753" s="16" t="str">
        <f>IF(D750="","","Срок сдачи"&amp;": ")</f>
        <v/>
      </c>
      <c r="E753" s="64" t="str">
        <f>IFERROR(VLOOKUP(C$13&amp;$B753,Aux!$B:$M,6,0),"")</f>
        <v/>
      </c>
      <c r="F753" s="64"/>
      <c r="G753" s="63"/>
      <c r="K753" s="59"/>
      <c r="L753" s="16" t="str">
        <f>IF(L750="","","Срок сдачи"&amp;": ")</f>
        <v/>
      </c>
      <c r="M753" s="64" t="str">
        <f>IFERROR(VLOOKUP(K$13&amp;$B753,Aux!$B:$M,6,0),"")</f>
        <v/>
      </c>
      <c r="N753" s="64"/>
      <c r="O753" s="63"/>
      <c r="S753" s="59"/>
      <c r="T753" s="16" t="str">
        <f>IF(T750="","","Срок сдачи"&amp;": ")</f>
        <v/>
      </c>
      <c r="U753" s="64" t="str">
        <f>IFERROR(VLOOKUP(S$13&amp;$B753,Aux!$B:$M,6,0),"")</f>
        <v/>
      </c>
      <c r="V753" s="64"/>
      <c r="W753" s="63"/>
      <c r="AA753" s="59"/>
      <c r="AB753" s="16" t="str">
        <f>IF(AB750="","","Срок сдачи"&amp;": ")</f>
        <v/>
      </c>
      <c r="AC753" s="64" t="str">
        <f>IFERROR(VLOOKUP(AA$13&amp;$B753,Aux!$B:$M,6,0),"")</f>
        <v/>
      </c>
      <c r="AD753" s="64"/>
      <c r="AE753" s="63"/>
    </row>
    <row r="754" spans="2:31" x14ac:dyDescent="0.25">
      <c r="B754" s="53">
        <f t="shared" si="11"/>
        <v>148</v>
      </c>
      <c r="C754" s="7"/>
      <c r="D754" s="17"/>
      <c r="E754" s="7"/>
      <c r="F754" s="18"/>
      <c r="G754" s="18"/>
      <c r="K754" s="13"/>
      <c r="L754" s="17"/>
      <c r="M754" s="13"/>
      <c r="N754" s="14"/>
      <c r="O754" s="14"/>
      <c r="S754" s="13"/>
      <c r="T754" s="17"/>
      <c r="U754" s="13"/>
      <c r="V754" s="14"/>
      <c r="W754" s="14"/>
      <c r="AA754" s="13"/>
      <c r="AB754" s="17"/>
      <c r="AC754" s="13"/>
      <c r="AD754" s="14"/>
      <c r="AE754" s="30"/>
    </row>
    <row r="755" spans="2:31" x14ac:dyDescent="0.25">
      <c r="B755" s="53">
        <f t="shared" si="11"/>
        <v>149</v>
      </c>
      <c r="C755" s="59" t="str">
        <f>IFERROR(VLOOKUP(C$13&amp;$B759,Aux!$B:$M,5,0),"")</f>
        <v/>
      </c>
      <c r="D755" s="60" t="str">
        <f>IFERROR(VLOOKUP(C$13&amp;$B755,Aux!$B:$M,3,0),"")</f>
        <v/>
      </c>
      <c r="E755" s="60"/>
      <c r="F755" s="60"/>
      <c r="G755" s="61" t="str">
        <f>IFERROR(VLOOKUP(C$13&amp;$B755,Aux!$B:$M,9,0),"")</f>
        <v/>
      </c>
      <c r="K755" s="59" t="str">
        <f>IFERROR(VLOOKUP(K$13&amp;$B759,Aux!$B:$M,5,0),"")</f>
        <v/>
      </c>
      <c r="L755" s="60" t="str">
        <f>IFERROR(VLOOKUP(K$13&amp;$B755,Aux!$B:$M,3,0),"")</f>
        <v/>
      </c>
      <c r="M755" s="60"/>
      <c r="N755" s="60"/>
      <c r="O755" s="61" t="str">
        <f>IFERROR(VLOOKUP(K$13&amp;$B755,Aux!$B:$M,9,0),"")</f>
        <v/>
      </c>
      <c r="S755" s="59" t="str">
        <f>IFERROR(VLOOKUP(S$13&amp;$B759,Aux!$B:$M,5,0),"")</f>
        <v/>
      </c>
      <c r="T755" s="60" t="str">
        <f>IFERROR(VLOOKUP(S$13&amp;$B755,Aux!$B:$M,3,0),"")</f>
        <v/>
      </c>
      <c r="U755" s="60"/>
      <c r="V755" s="60"/>
      <c r="W755" s="61" t="str">
        <f>IFERROR(VLOOKUP(S$13&amp;$B755,Aux!$B:$M,9,0),"")</f>
        <v/>
      </c>
      <c r="AA755" s="59" t="str">
        <f>IFERROR(VLOOKUP(AA$13&amp;$B759,Aux!$B:$M,5,0),"")</f>
        <v/>
      </c>
      <c r="AB755" s="60" t="str">
        <f>IFERROR(VLOOKUP(AA$13&amp;$B755,Aux!$B:$M,3,0),"")</f>
        <v/>
      </c>
      <c r="AC755" s="60"/>
      <c r="AD755" s="60"/>
      <c r="AE755" s="61" t="str">
        <f>IFERROR(VLOOKUP(AA$13&amp;$B755,Aux!$B:$M,9,0),"")</f>
        <v/>
      </c>
    </row>
    <row r="756" spans="2:31" x14ac:dyDescent="0.25">
      <c r="B756" s="53">
        <f t="shared" si="11"/>
        <v>149</v>
      </c>
      <c r="C756" s="59"/>
      <c r="D756" s="60"/>
      <c r="E756" s="60"/>
      <c r="F756" s="60"/>
      <c r="G756" s="61"/>
      <c r="K756" s="59"/>
      <c r="L756" s="60"/>
      <c r="M756" s="60"/>
      <c r="N756" s="60"/>
      <c r="O756" s="61"/>
      <c r="S756" s="59"/>
      <c r="T756" s="60"/>
      <c r="U756" s="60"/>
      <c r="V756" s="60"/>
      <c r="W756" s="61"/>
      <c r="AA756" s="59"/>
      <c r="AB756" s="60"/>
      <c r="AC756" s="60"/>
      <c r="AD756" s="60"/>
      <c r="AE756" s="61"/>
    </row>
    <row r="757" spans="2:31" x14ac:dyDescent="0.25">
      <c r="B757" s="53">
        <f t="shared" si="11"/>
        <v>149</v>
      </c>
      <c r="C757" s="59"/>
      <c r="D757" s="15" t="str">
        <f>IF(D755="","","Исполнитель"&amp;": ")</f>
        <v/>
      </c>
      <c r="E757" s="62" t="str">
        <f>IFERROR(VLOOKUP(C$13&amp;$B757,Aux!$B:$M,4,0),"")</f>
        <v/>
      </c>
      <c r="F757" s="62"/>
      <c r="G757" s="63" t="str">
        <f>IFERROR(IF(VLOOKUP(C$13&amp;$B755,Aux!$B:$M,8,0)="Да","✔","🕓"),"")</f>
        <v/>
      </c>
      <c r="K757" s="59"/>
      <c r="L757" s="15" t="str">
        <f>IF(L755="","","Исполнитель"&amp;": ")</f>
        <v/>
      </c>
      <c r="M757" s="62" t="str">
        <f>IFERROR(VLOOKUP(K$13&amp;$B757,Aux!$B:$M,4,0),"")</f>
        <v/>
      </c>
      <c r="N757" s="62"/>
      <c r="O757" s="63" t="str">
        <f>IFERROR(IF(VLOOKUP(K$13&amp;$B755,Aux!$B:$M,8,0)="Да","✔","🕓"),"")</f>
        <v/>
      </c>
      <c r="S757" s="59"/>
      <c r="T757" s="15" t="str">
        <f>IF(T755="","","Исполнитель"&amp;": ")</f>
        <v/>
      </c>
      <c r="U757" s="62" t="str">
        <f>IFERROR(VLOOKUP(S$13&amp;$B757,Aux!$B:$M,4,0),"")</f>
        <v/>
      </c>
      <c r="V757" s="62"/>
      <c r="W757" s="63" t="str">
        <f>IFERROR(IF(VLOOKUP(S$13&amp;$B755,Aux!$B:$M,8,0)="Да","✔","🕓"),"")</f>
        <v/>
      </c>
      <c r="AA757" s="59"/>
      <c r="AB757" s="15" t="str">
        <f>IF(AB755="","","Исполнитель"&amp;": ")</f>
        <v/>
      </c>
      <c r="AC757" s="62" t="str">
        <f>IFERROR(VLOOKUP(AA$13&amp;$B757,Aux!$B:$M,4,0),"")</f>
        <v/>
      </c>
      <c r="AD757" s="62"/>
      <c r="AE757" s="63" t="str">
        <f>IFERROR(IF(VLOOKUP(AA$13&amp;$B755,Aux!$B:$M,8,0)="Да","✔","🕓"),"")</f>
        <v/>
      </c>
    </row>
    <row r="758" spans="2:31" x14ac:dyDescent="0.25">
      <c r="B758" s="53">
        <f t="shared" si="11"/>
        <v>149</v>
      </c>
      <c r="C758" s="59"/>
      <c r="D758" s="16" t="str">
        <f>IF(D755="","","Срок сдачи"&amp;": ")</f>
        <v/>
      </c>
      <c r="E758" s="64" t="str">
        <f>IFERROR(VLOOKUP(C$13&amp;$B758,Aux!$B:$M,6,0),"")</f>
        <v/>
      </c>
      <c r="F758" s="64"/>
      <c r="G758" s="63"/>
      <c r="K758" s="59"/>
      <c r="L758" s="16" t="str">
        <f>IF(L755="","","Срок сдачи"&amp;": ")</f>
        <v/>
      </c>
      <c r="M758" s="64" t="str">
        <f>IFERROR(VLOOKUP(K$13&amp;$B758,Aux!$B:$M,6,0),"")</f>
        <v/>
      </c>
      <c r="N758" s="64"/>
      <c r="O758" s="63"/>
      <c r="S758" s="59"/>
      <c r="T758" s="16" t="str">
        <f>IF(T755="","","Срок сдачи"&amp;": ")</f>
        <v/>
      </c>
      <c r="U758" s="64" t="str">
        <f>IFERROR(VLOOKUP(S$13&amp;$B758,Aux!$B:$M,6,0),"")</f>
        <v/>
      </c>
      <c r="V758" s="64"/>
      <c r="W758" s="63"/>
      <c r="AA758" s="59"/>
      <c r="AB758" s="16" t="str">
        <f>IF(AB755="","","Срок сдачи"&amp;": ")</f>
        <v/>
      </c>
      <c r="AC758" s="64" t="str">
        <f>IFERROR(VLOOKUP(AA$13&amp;$B758,Aux!$B:$M,6,0),"")</f>
        <v/>
      </c>
      <c r="AD758" s="64"/>
      <c r="AE758" s="63"/>
    </row>
    <row r="759" spans="2:31" x14ac:dyDescent="0.25">
      <c r="B759" s="53">
        <f t="shared" si="11"/>
        <v>149</v>
      </c>
      <c r="C759" s="7"/>
      <c r="D759" s="17"/>
      <c r="E759" s="7"/>
      <c r="F759" s="18"/>
      <c r="G759" s="18"/>
      <c r="K759" s="13"/>
      <c r="L759" s="17"/>
      <c r="M759" s="13"/>
      <c r="N759" s="14"/>
      <c r="O759" s="14"/>
      <c r="S759" s="13"/>
      <c r="T759" s="17"/>
      <c r="U759" s="13"/>
      <c r="V759" s="14"/>
      <c r="W759" s="14"/>
      <c r="AA759" s="13"/>
      <c r="AB759" s="17"/>
      <c r="AC759" s="13"/>
      <c r="AD759" s="14"/>
      <c r="AE759" s="30"/>
    </row>
    <row r="760" spans="2:31" x14ac:dyDescent="0.25">
      <c r="B760" s="53">
        <f t="shared" si="11"/>
        <v>150</v>
      </c>
      <c r="C760" s="59" t="str">
        <f>IFERROR(VLOOKUP(C$13&amp;$B764,Aux!$B:$M,5,0),"")</f>
        <v/>
      </c>
      <c r="D760" s="60" t="str">
        <f>IFERROR(VLOOKUP(C$13&amp;$B760,Aux!$B:$M,3,0),"")</f>
        <v/>
      </c>
      <c r="E760" s="60"/>
      <c r="F760" s="60"/>
      <c r="G760" s="61" t="str">
        <f>IFERROR(VLOOKUP(C$13&amp;$B760,Aux!$B:$M,9,0),"")</f>
        <v/>
      </c>
      <c r="K760" s="59" t="str">
        <f>IFERROR(VLOOKUP(K$13&amp;$B764,Aux!$B:$M,5,0),"")</f>
        <v/>
      </c>
      <c r="L760" s="60" t="str">
        <f>IFERROR(VLOOKUP(K$13&amp;$B760,Aux!$B:$M,3,0),"")</f>
        <v/>
      </c>
      <c r="M760" s="60"/>
      <c r="N760" s="60"/>
      <c r="O760" s="61" t="str">
        <f>IFERROR(VLOOKUP(K$13&amp;$B760,Aux!$B:$M,9,0),"")</f>
        <v/>
      </c>
      <c r="S760" s="59" t="str">
        <f>IFERROR(VLOOKUP(S$13&amp;$B764,Aux!$B:$M,5,0),"")</f>
        <v/>
      </c>
      <c r="T760" s="60" t="str">
        <f>IFERROR(VLOOKUP(S$13&amp;$B760,Aux!$B:$M,3,0),"")</f>
        <v/>
      </c>
      <c r="U760" s="60"/>
      <c r="V760" s="60"/>
      <c r="W760" s="61" t="str">
        <f>IFERROR(VLOOKUP(S$13&amp;$B760,Aux!$B:$M,9,0),"")</f>
        <v/>
      </c>
      <c r="AA760" s="59" t="str">
        <f>IFERROR(VLOOKUP(AA$13&amp;$B764,Aux!$B:$M,5,0),"")</f>
        <v/>
      </c>
      <c r="AB760" s="60" t="str">
        <f>IFERROR(VLOOKUP(AA$13&amp;$B760,Aux!$B:$M,3,0),"")</f>
        <v/>
      </c>
      <c r="AC760" s="60"/>
      <c r="AD760" s="60"/>
      <c r="AE760" s="61" t="str">
        <f>IFERROR(VLOOKUP(AA$13&amp;$B760,Aux!$B:$M,9,0),"")</f>
        <v/>
      </c>
    </row>
    <row r="761" spans="2:31" x14ac:dyDescent="0.25">
      <c r="B761" s="53">
        <f t="shared" si="11"/>
        <v>150</v>
      </c>
      <c r="C761" s="59"/>
      <c r="D761" s="60"/>
      <c r="E761" s="60"/>
      <c r="F761" s="60"/>
      <c r="G761" s="61"/>
      <c r="K761" s="59"/>
      <c r="L761" s="60"/>
      <c r="M761" s="60"/>
      <c r="N761" s="60"/>
      <c r="O761" s="61"/>
      <c r="S761" s="59"/>
      <c r="T761" s="60"/>
      <c r="U761" s="60"/>
      <c r="V761" s="60"/>
      <c r="W761" s="61"/>
      <c r="AA761" s="59"/>
      <c r="AB761" s="60"/>
      <c r="AC761" s="60"/>
      <c r="AD761" s="60"/>
      <c r="AE761" s="61"/>
    </row>
    <row r="762" spans="2:31" x14ac:dyDescent="0.25">
      <c r="B762" s="53">
        <f t="shared" si="11"/>
        <v>150</v>
      </c>
      <c r="C762" s="59"/>
      <c r="D762" s="15" t="str">
        <f>IF(D760="","","Исполнитель"&amp;": ")</f>
        <v/>
      </c>
      <c r="E762" s="62" t="str">
        <f>IFERROR(VLOOKUP(C$13&amp;$B762,Aux!$B:$M,4,0),"")</f>
        <v/>
      </c>
      <c r="F762" s="62"/>
      <c r="G762" s="63" t="str">
        <f>IFERROR(IF(VLOOKUP(C$13&amp;$B760,Aux!$B:$M,8,0)="Да","✔","🕓"),"")</f>
        <v/>
      </c>
      <c r="K762" s="59"/>
      <c r="L762" s="15" t="str">
        <f>IF(L760="","","Исполнитель"&amp;": ")</f>
        <v/>
      </c>
      <c r="M762" s="62" t="str">
        <f>IFERROR(VLOOKUP(K$13&amp;$B762,Aux!$B:$M,4,0),"")</f>
        <v/>
      </c>
      <c r="N762" s="62"/>
      <c r="O762" s="63" t="str">
        <f>IFERROR(IF(VLOOKUP(K$13&amp;$B760,Aux!$B:$M,8,0)="Да","✔","🕓"),"")</f>
        <v/>
      </c>
      <c r="S762" s="59"/>
      <c r="T762" s="15" t="str">
        <f>IF(T760="","","Исполнитель"&amp;": ")</f>
        <v/>
      </c>
      <c r="U762" s="62" t="str">
        <f>IFERROR(VLOOKUP(S$13&amp;$B762,Aux!$B:$M,4,0),"")</f>
        <v/>
      </c>
      <c r="V762" s="62"/>
      <c r="W762" s="63" t="str">
        <f>IFERROR(IF(VLOOKUP(S$13&amp;$B760,Aux!$B:$M,8,0)="Да","✔","🕓"),"")</f>
        <v/>
      </c>
      <c r="AA762" s="59"/>
      <c r="AB762" s="15" t="str">
        <f>IF(AB760="","","Исполнитель"&amp;": ")</f>
        <v/>
      </c>
      <c r="AC762" s="62" t="str">
        <f>IFERROR(VLOOKUP(AA$13&amp;$B762,Aux!$B:$M,4,0),"")</f>
        <v/>
      </c>
      <c r="AD762" s="62"/>
      <c r="AE762" s="63" t="str">
        <f>IFERROR(IF(VLOOKUP(AA$13&amp;$B760,Aux!$B:$M,8,0)="Да","✔","🕓"),"")</f>
        <v/>
      </c>
    </row>
    <row r="763" spans="2:31" x14ac:dyDescent="0.25">
      <c r="B763" s="53">
        <f t="shared" si="11"/>
        <v>150</v>
      </c>
      <c r="C763" s="59"/>
      <c r="D763" s="16" t="str">
        <f>IF(D760="","","Срок сдачи"&amp;": ")</f>
        <v/>
      </c>
      <c r="E763" s="64" t="str">
        <f>IFERROR(VLOOKUP(C$13&amp;$B763,Aux!$B:$M,6,0),"")</f>
        <v/>
      </c>
      <c r="F763" s="64"/>
      <c r="G763" s="63"/>
      <c r="K763" s="59"/>
      <c r="L763" s="16" t="str">
        <f>IF(L760="","","Срок сдачи"&amp;": ")</f>
        <v/>
      </c>
      <c r="M763" s="64" t="str">
        <f>IFERROR(VLOOKUP(K$13&amp;$B763,Aux!$B:$M,6,0),"")</f>
        <v/>
      </c>
      <c r="N763" s="64"/>
      <c r="O763" s="63"/>
      <c r="S763" s="59"/>
      <c r="T763" s="16" t="str">
        <f>IF(T760="","","Срок сдачи"&amp;": ")</f>
        <v/>
      </c>
      <c r="U763" s="64" t="str">
        <f>IFERROR(VLOOKUP(S$13&amp;$B763,Aux!$B:$M,6,0),"")</f>
        <v/>
      </c>
      <c r="V763" s="64"/>
      <c r="W763" s="63"/>
      <c r="AA763" s="59"/>
      <c r="AB763" s="16" t="str">
        <f>IF(AB760="","","Срок сдачи"&amp;": ")</f>
        <v/>
      </c>
      <c r="AC763" s="64" t="str">
        <f>IFERROR(VLOOKUP(AA$13&amp;$B763,Aux!$B:$M,6,0),"")</f>
        <v/>
      </c>
      <c r="AD763" s="64"/>
      <c r="AE763" s="63"/>
    </row>
    <row r="764" spans="2:31" x14ac:dyDescent="0.25">
      <c r="B764" s="53">
        <f t="shared" si="11"/>
        <v>150</v>
      </c>
      <c r="C764" s="7"/>
      <c r="D764" s="17"/>
      <c r="E764" s="7"/>
      <c r="F764" s="18"/>
      <c r="G764" s="18"/>
      <c r="K764" s="13"/>
      <c r="L764" s="17"/>
      <c r="M764" s="13"/>
      <c r="N764" s="14"/>
      <c r="O764" s="14"/>
      <c r="S764" s="13"/>
      <c r="T764" s="17"/>
      <c r="U764" s="13"/>
      <c r="V764" s="14"/>
      <c r="W764" s="14"/>
      <c r="AA764" s="13"/>
      <c r="AB764" s="17"/>
      <c r="AC764" s="13"/>
      <c r="AD764" s="14"/>
      <c r="AE764" s="30"/>
    </row>
    <row r="765" spans="2:31" x14ac:dyDescent="0.25">
      <c r="B765" s="53">
        <f t="shared" si="11"/>
        <v>151</v>
      </c>
      <c r="C765" s="59" t="str">
        <f>IFERROR(VLOOKUP(C$13&amp;$B769,Aux!$B:$M,5,0),"")</f>
        <v/>
      </c>
      <c r="D765" s="60" t="str">
        <f>IFERROR(VLOOKUP(C$13&amp;$B765,Aux!$B:$M,3,0),"")</f>
        <v/>
      </c>
      <c r="E765" s="60"/>
      <c r="F765" s="60"/>
      <c r="G765" s="61" t="str">
        <f>IFERROR(VLOOKUP(C$13&amp;$B765,Aux!$B:$M,9,0),"")</f>
        <v/>
      </c>
      <c r="K765" s="59" t="str">
        <f>IFERROR(VLOOKUP(K$13&amp;$B769,Aux!$B:$M,5,0),"")</f>
        <v/>
      </c>
      <c r="L765" s="60" t="str">
        <f>IFERROR(VLOOKUP(K$13&amp;$B765,Aux!$B:$M,3,0),"")</f>
        <v/>
      </c>
      <c r="M765" s="60"/>
      <c r="N765" s="60"/>
      <c r="O765" s="61" t="str">
        <f>IFERROR(VLOOKUP(K$13&amp;$B765,Aux!$B:$M,9,0),"")</f>
        <v/>
      </c>
      <c r="S765" s="59" t="str">
        <f>IFERROR(VLOOKUP(S$13&amp;$B769,Aux!$B:$M,5,0),"")</f>
        <v/>
      </c>
      <c r="T765" s="60" t="str">
        <f>IFERROR(VLOOKUP(S$13&amp;$B765,Aux!$B:$M,3,0),"")</f>
        <v/>
      </c>
      <c r="U765" s="60"/>
      <c r="V765" s="60"/>
      <c r="W765" s="61" t="str">
        <f>IFERROR(VLOOKUP(S$13&amp;$B765,Aux!$B:$M,9,0),"")</f>
        <v/>
      </c>
      <c r="AA765" s="59" t="str">
        <f>IFERROR(VLOOKUP(AA$13&amp;$B769,Aux!$B:$M,5,0),"")</f>
        <v/>
      </c>
      <c r="AB765" s="60" t="str">
        <f>IFERROR(VLOOKUP(AA$13&amp;$B765,Aux!$B:$M,3,0),"")</f>
        <v/>
      </c>
      <c r="AC765" s="60"/>
      <c r="AD765" s="60"/>
      <c r="AE765" s="61" t="str">
        <f>IFERROR(VLOOKUP(AA$13&amp;$B765,Aux!$B:$M,9,0),"")</f>
        <v/>
      </c>
    </row>
    <row r="766" spans="2:31" x14ac:dyDescent="0.25">
      <c r="B766" s="53">
        <f t="shared" si="11"/>
        <v>151</v>
      </c>
      <c r="C766" s="59"/>
      <c r="D766" s="60"/>
      <c r="E766" s="60"/>
      <c r="F766" s="60"/>
      <c r="G766" s="61"/>
      <c r="K766" s="59"/>
      <c r="L766" s="60"/>
      <c r="M766" s="60"/>
      <c r="N766" s="60"/>
      <c r="O766" s="61"/>
      <c r="S766" s="59"/>
      <c r="T766" s="60"/>
      <c r="U766" s="60"/>
      <c r="V766" s="60"/>
      <c r="W766" s="61"/>
      <c r="AA766" s="59"/>
      <c r="AB766" s="60"/>
      <c r="AC766" s="60"/>
      <c r="AD766" s="60"/>
      <c r="AE766" s="61"/>
    </row>
    <row r="767" spans="2:31" x14ac:dyDescent="0.25">
      <c r="B767" s="53">
        <f t="shared" si="11"/>
        <v>151</v>
      </c>
      <c r="C767" s="59"/>
      <c r="D767" s="15" t="str">
        <f>IF(D765="","","Исполнитель"&amp;": ")</f>
        <v/>
      </c>
      <c r="E767" s="62" t="str">
        <f>IFERROR(VLOOKUP(C$13&amp;$B767,Aux!$B:$M,4,0),"")</f>
        <v/>
      </c>
      <c r="F767" s="62"/>
      <c r="G767" s="63" t="str">
        <f>IFERROR(IF(VLOOKUP(C$13&amp;$B765,Aux!$B:$M,8,0)="Да","✔","🕓"),"")</f>
        <v/>
      </c>
      <c r="K767" s="59"/>
      <c r="L767" s="15" t="str">
        <f>IF(L765="","","Исполнитель"&amp;": ")</f>
        <v/>
      </c>
      <c r="M767" s="62" t="str">
        <f>IFERROR(VLOOKUP(K$13&amp;$B767,Aux!$B:$M,4,0),"")</f>
        <v/>
      </c>
      <c r="N767" s="62"/>
      <c r="O767" s="63" t="str">
        <f>IFERROR(IF(VLOOKUP(K$13&amp;$B765,Aux!$B:$M,8,0)="Да","✔","🕓"),"")</f>
        <v/>
      </c>
      <c r="S767" s="59"/>
      <c r="T767" s="15" t="str">
        <f>IF(T765="","","Исполнитель"&amp;": ")</f>
        <v/>
      </c>
      <c r="U767" s="62" t="str">
        <f>IFERROR(VLOOKUP(S$13&amp;$B767,Aux!$B:$M,4,0),"")</f>
        <v/>
      </c>
      <c r="V767" s="62"/>
      <c r="W767" s="63" t="str">
        <f>IFERROR(IF(VLOOKUP(S$13&amp;$B765,Aux!$B:$M,8,0)="Да","✔","🕓"),"")</f>
        <v/>
      </c>
      <c r="AA767" s="59"/>
      <c r="AB767" s="15" t="str">
        <f>IF(AB765="","","Исполнитель"&amp;": ")</f>
        <v/>
      </c>
      <c r="AC767" s="62" t="str">
        <f>IFERROR(VLOOKUP(AA$13&amp;$B767,Aux!$B:$M,4,0),"")</f>
        <v/>
      </c>
      <c r="AD767" s="62"/>
      <c r="AE767" s="63" t="str">
        <f>IFERROR(IF(VLOOKUP(AA$13&amp;$B765,Aux!$B:$M,8,0)="Да","✔","🕓"),"")</f>
        <v/>
      </c>
    </row>
    <row r="768" spans="2:31" x14ac:dyDescent="0.25">
      <c r="B768" s="53">
        <f t="shared" si="11"/>
        <v>151</v>
      </c>
      <c r="C768" s="59"/>
      <c r="D768" s="16" t="str">
        <f>IF(D765="","","Срок сдачи"&amp;": ")</f>
        <v/>
      </c>
      <c r="E768" s="64" t="str">
        <f>IFERROR(VLOOKUP(C$13&amp;$B768,Aux!$B:$M,6,0),"")</f>
        <v/>
      </c>
      <c r="F768" s="64"/>
      <c r="G768" s="63"/>
      <c r="K768" s="59"/>
      <c r="L768" s="16" t="str">
        <f>IF(L765="","","Срок сдачи"&amp;": ")</f>
        <v/>
      </c>
      <c r="M768" s="64" t="str">
        <f>IFERROR(VLOOKUP(K$13&amp;$B768,Aux!$B:$M,6,0),"")</f>
        <v/>
      </c>
      <c r="N768" s="64"/>
      <c r="O768" s="63"/>
      <c r="S768" s="59"/>
      <c r="T768" s="16" t="str">
        <f>IF(T765="","","Срок сдачи"&amp;": ")</f>
        <v/>
      </c>
      <c r="U768" s="64" t="str">
        <f>IFERROR(VLOOKUP(S$13&amp;$B768,Aux!$B:$M,6,0),"")</f>
        <v/>
      </c>
      <c r="V768" s="64"/>
      <c r="W768" s="63"/>
      <c r="AA768" s="59"/>
      <c r="AB768" s="16" t="str">
        <f>IF(AB765="","","Срок сдачи"&amp;": ")</f>
        <v/>
      </c>
      <c r="AC768" s="64" t="str">
        <f>IFERROR(VLOOKUP(AA$13&amp;$B768,Aux!$B:$M,6,0),"")</f>
        <v/>
      </c>
      <c r="AD768" s="64"/>
      <c r="AE768" s="63"/>
    </row>
    <row r="769" spans="2:31" x14ac:dyDescent="0.25">
      <c r="B769" s="53">
        <f t="shared" si="11"/>
        <v>151</v>
      </c>
      <c r="C769" s="7"/>
      <c r="D769" s="17"/>
      <c r="E769" s="7"/>
      <c r="F769" s="18"/>
      <c r="G769" s="18"/>
      <c r="K769" s="13"/>
      <c r="L769" s="17"/>
      <c r="M769" s="13"/>
      <c r="N769" s="14"/>
      <c r="O769" s="14"/>
      <c r="S769" s="13"/>
      <c r="T769" s="17"/>
      <c r="U769" s="13"/>
      <c r="V769" s="14"/>
      <c r="W769" s="14"/>
      <c r="AA769" s="13"/>
      <c r="AB769" s="17"/>
      <c r="AC769" s="13"/>
      <c r="AD769" s="14"/>
      <c r="AE769" s="30"/>
    </row>
    <row r="770" spans="2:31" x14ac:dyDescent="0.25">
      <c r="B770" s="53">
        <f t="shared" si="11"/>
        <v>152</v>
      </c>
      <c r="C770" s="59" t="str">
        <f>IFERROR(VLOOKUP(C$13&amp;$B774,Aux!$B:$M,5,0),"")</f>
        <v/>
      </c>
      <c r="D770" s="60" t="str">
        <f>IFERROR(VLOOKUP(C$13&amp;$B770,Aux!$B:$M,3,0),"")</f>
        <v/>
      </c>
      <c r="E770" s="60"/>
      <c r="F770" s="60"/>
      <c r="G770" s="61" t="str">
        <f>IFERROR(VLOOKUP(C$13&amp;$B770,Aux!$B:$M,9,0),"")</f>
        <v/>
      </c>
      <c r="K770" s="59" t="str">
        <f>IFERROR(VLOOKUP(K$13&amp;$B774,Aux!$B:$M,5,0),"")</f>
        <v/>
      </c>
      <c r="L770" s="60" t="str">
        <f>IFERROR(VLOOKUP(K$13&amp;$B770,Aux!$B:$M,3,0),"")</f>
        <v/>
      </c>
      <c r="M770" s="60"/>
      <c r="N770" s="60"/>
      <c r="O770" s="61" t="str">
        <f>IFERROR(VLOOKUP(K$13&amp;$B770,Aux!$B:$M,9,0),"")</f>
        <v/>
      </c>
      <c r="S770" s="59" t="str">
        <f>IFERROR(VLOOKUP(S$13&amp;$B774,Aux!$B:$M,5,0),"")</f>
        <v/>
      </c>
      <c r="T770" s="60" t="str">
        <f>IFERROR(VLOOKUP(S$13&amp;$B770,Aux!$B:$M,3,0),"")</f>
        <v/>
      </c>
      <c r="U770" s="60"/>
      <c r="V770" s="60"/>
      <c r="W770" s="61" t="str">
        <f>IFERROR(VLOOKUP(S$13&amp;$B770,Aux!$B:$M,9,0),"")</f>
        <v/>
      </c>
      <c r="AA770" s="59" t="str">
        <f>IFERROR(VLOOKUP(AA$13&amp;$B774,Aux!$B:$M,5,0),"")</f>
        <v/>
      </c>
      <c r="AB770" s="60" t="str">
        <f>IFERROR(VLOOKUP(AA$13&amp;$B770,Aux!$B:$M,3,0),"")</f>
        <v/>
      </c>
      <c r="AC770" s="60"/>
      <c r="AD770" s="60"/>
      <c r="AE770" s="61" t="str">
        <f>IFERROR(VLOOKUP(AA$13&amp;$B770,Aux!$B:$M,9,0),"")</f>
        <v/>
      </c>
    </row>
    <row r="771" spans="2:31" x14ac:dyDescent="0.25">
      <c r="B771" s="53">
        <f t="shared" si="11"/>
        <v>152</v>
      </c>
      <c r="C771" s="59"/>
      <c r="D771" s="60"/>
      <c r="E771" s="60"/>
      <c r="F771" s="60"/>
      <c r="G771" s="61"/>
      <c r="K771" s="59"/>
      <c r="L771" s="60"/>
      <c r="M771" s="60"/>
      <c r="N771" s="60"/>
      <c r="O771" s="61"/>
      <c r="S771" s="59"/>
      <c r="T771" s="60"/>
      <c r="U771" s="60"/>
      <c r="V771" s="60"/>
      <c r="W771" s="61"/>
      <c r="AA771" s="59"/>
      <c r="AB771" s="60"/>
      <c r="AC771" s="60"/>
      <c r="AD771" s="60"/>
      <c r="AE771" s="61"/>
    </row>
    <row r="772" spans="2:31" x14ac:dyDescent="0.25">
      <c r="B772" s="53">
        <f t="shared" si="11"/>
        <v>152</v>
      </c>
      <c r="C772" s="59"/>
      <c r="D772" s="15" t="str">
        <f>IF(D770="","","Исполнитель"&amp;": ")</f>
        <v/>
      </c>
      <c r="E772" s="62" t="str">
        <f>IFERROR(VLOOKUP(C$13&amp;$B772,Aux!$B:$M,4,0),"")</f>
        <v/>
      </c>
      <c r="F772" s="62"/>
      <c r="G772" s="63" t="str">
        <f>IFERROR(IF(VLOOKUP(C$13&amp;$B770,Aux!$B:$M,8,0)="Да","✔","🕓"),"")</f>
        <v/>
      </c>
      <c r="K772" s="59"/>
      <c r="L772" s="15" t="str">
        <f>IF(L770="","","Исполнитель"&amp;": ")</f>
        <v/>
      </c>
      <c r="M772" s="62" t="str">
        <f>IFERROR(VLOOKUP(K$13&amp;$B772,Aux!$B:$M,4,0),"")</f>
        <v/>
      </c>
      <c r="N772" s="62"/>
      <c r="O772" s="63" t="str">
        <f>IFERROR(IF(VLOOKUP(K$13&amp;$B770,Aux!$B:$M,8,0)="Да","✔","🕓"),"")</f>
        <v/>
      </c>
      <c r="S772" s="59"/>
      <c r="T772" s="15" t="str">
        <f>IF(T770="","","Исполнитель"&amp;": ")</f>
        <v/>
      </c>
      <c r="U772" s="62" t="str">
        <f>IFERROR(VLOOKUP(S$13&amp;$B772,Aux!$B:$M,4,0),"")</f>
        <v/>
      </c>
      <c r="V772" s="62"/>
      <c r="W772" s="63" t="str">
        <f>IFERROR(IF(VLOOKUP(S$13&amp;$B770,Aux!$B:$M,8,0)="Да","✔","🕓"),"")</f>
        <v/>
      </c>
      <c r="AA772" s="59"/>
      <c r="AB772" s="15" t="str">
        <f>IF(AB770="","","Исполнитель"&amp;": ")</f>
        <v/>
      </c>
      <c r="AC772" s="62" t="str">
        <f>IFERROR(VLOOKUP(AA$13&amp;$B772,Aux!$B:$M,4,0),"")</f>
        <v/>
      </c>
      <c r="AD772" s="62"/>
      <c r="AE772" s="63" t="str">
        <f>IFERROR(IF(VLOOKUP(AA$13&amp;$B770,Aux!$B:$M,8,0)="Да","✔","🕓"),"")</f>
        <v/>
      </c>
    </row>
    <row r="773" spans="2:31" x14ac:dyDescent="0.25">
      <c r="B773" s="53">
        <f t="shared" si="11"/>
        <v>152</v>
      </c>
      <c r="C773" s="59"/>
      <c r="D773" s="16" t="str">
        <f>IF(D770="","","Срок сдачи"&amp;": ")</f>
        <v/>
      </c>
      <c r="E773" s="64" t="str">
        <f>IFERROR(VLOOKUP(C$13&amp;$B773,Aux!$B:$M,6,0),"")</f>
        <v/>
      </c>
      <c r="F773" s="64"/>
      <c r="G773" s="63"/>
      <c r="K773" s="59"/>
      <c r="L773" s="16" t="str">
        <f>IF(L770="","","Срок сдачи"&amp;": ")</f>
        <v/>
      </c>
      <c r="M773" s="64" t="str">
        <f>IFERROR(VLOOKUP(K$13&amp;$B773,Aux!$B:$M,6,0),"")</f>
        <v/>
      </c>
      <c r="N773" s="64"/>
      <c r="O773" s="63"/>
      <c r="S773" s="59"/>
      <c r="T773" s="16" t="str">
        <f>IF(T770="","","Срок сдачи"&amp;": ")</f>
        <v/>
      </c>
      <c r="U773" s="64" t="str">
        <f>IFERROR(VLOOKUP(S$13&amp;$B773,Aux!$B:$M,6,0),"")</f>
        <v/>
      </c>
      <c r="V773" s="64"/>
      <c r="W773" s="63"/>
      <c r="AA773" s="59"/>
      <c r="AB773" s="16" t="str">
        <f>IF(AB770="","","Срок сдачи"&amp;": ")</f>
        <v/>
      </c>
      <c r="AC773" s="64" t="str">
        <f>IFERROR(VLOOKUP(AA$13&amp;$B773,Aux!$B:$M,6,0),"")</f>
        <v/>
      </c>
      <c r="AD773" s="64"/>
      <c r="AE773" s="63"/>
    </row>
    <row r="774" spans="2:31" x14ac:dyDescent="0.25">
      <c r="B774" s="53">
        <f t="shared" si="11"/>
        <v>152</v>
      </c>
      <c r="C774" s="7"/>
      <c r="D774" s="17"/>
      <c r="E774" s="7"/>
      <c r="F774" s="18"/>
      <c r="G774" s="18"/>
      <c r="K774" s="13"/>
      <c r="L774" s="17"/>
      <c r="M774" s="13"/>
      <c r="N774" s="14"/>
      <c r="O774" s="14"/>
      <c r="S774" s="13"/>
      <c r="T774" s="17"/>
      <c r="U774" s="13"/>
      <c r="V774" s="14"/>
      <c r="W774" s="14"/>
      <c r="AA774" s="13"/>
      <c r="AB774" s="17"/>
      <c r="AC774" s="13"/>
      <c r="AD774" s="14"/>
      <c r="AE774" s="30"/>
    </row>
    <row r="775" spans="2:31" x14ac:dyDescent="0.25">
      <c r="B775" s="53">
        <f t="shared" si="11"/>
        <v>153</v>
      </c>
      <c r="C775" s="59" t="str">
        <f>IFERROR(VLOOKUP(C$13&amp;$B779,Aux!$B:$M,5,0),"")</f>
        <v/>
      </c>
      <c r="D775" s="60" t="str">
        <f>IFERROR(VLOOKUP(C$13&amp;$B775,Aux!$B:$M,3,0),"")</f>
        <v/>
      </c>
      <c r="E775" s="60"/>
      <c r="F775" s="60"/>
      <c r="G775" s="61" t="str">
        <f>IFERROR(VLOOKUP(C$13&amp;$B775,Aux!$B:$M,9,0),"")</f>
        <v/>
      </c>
      <c r="K775" s="59" t="str">
        <f>IFERROR(VLOOKUP(K$13&amp;$B779,Aux!$B:$M,5,0),"")</f>
        <v/>
      </c>
      <c r="L775" s="60" t="str">
        <f>IFERROR(VLOOKUP(K$13&amp;$B775,Aux!$B:$M,3,0),"")</f>
        <v/>
      </c>
      <c r="M775" s="60"/>
      <c r="N775" s="60"/>
      <c r="O775" s="61" t="str">
        <f>IFERROR(VLOOKUP(K$13&amp;$B775,Aux!$B:$M,9,0),"")</f>
        <v/>
      </c>
      <c r="S775" s="59" t="str">
        <f>IFERROR(VLOOKUP(S$13&amp;$B779,Aux!$B:$M,5,0),"")</f>
        <v/>
      </c>
      <c r="T775" s="60" t="str">
        <f>IFERROR(VLOOKUP(S$13&amp;$B775,Aux!$B:$M,3,0),"")</f>
        <v/>
      </c>
      <c r="U775" s="60"/>
      <c r="V775" s="60"/>
      <c r="W775" s="61" t="str">
        <f>IFERROR(VLOOKUP(S$13&amp;$B775,Aux!$B:$M,9,0),"")</f>
        <v/>
      </c>
      <c r="AA775" s="59" t="str">
        <f>IFERROR(VLOOKUP(AA$13&amp;$B779,Aux!$B:$M,5,0),"")</f>
        <v/>
      </c>
      <c r="AB775" s="60" t="str">
        <f>IFERROR(VLOOKUP(AA$13&amp;$B775,Aux!$B:$M,3,0),"")</f>
        <v/>
      </c>
      <c r="AC775" s="60"/>
      <c r="AD775" s="60"/>
      <c r="AE775" s="61" t="str">
        <f>IFERROR(VLOOKUP(AA$13&amp;$B775,Aux!$B:$M,9,0),"")</f>
        <v/>
      </c>
    </row>
    <row r="776" spans="2:31" x14ac:dyDescent="0.25">
      <c r="B776" s="53">
        <f t="shared" si="11"/>
        <v>153</v>
      </c>
      <c r="C776" s="59"/>
      <c r="D776" s="60"/>
      <c r="E776" s="60"/>
      <c r="F776" s="60"/>
      <c r="G776" s="61"/>
      <c r="K776" s="59"/>
      <c r="L776" s="60"/>
      <c r="M776" s="60"/>
      <c r="N776" s="60"/>
      <c r="O776" s="61"/>
      <c r="S776" s="59"/>
      <c r="T776" s="60"/>
      <c r="U776" s="60"/>
      <c r="V776" s="60"/>
      <c r="W776" s="61"/>
      <c r="AA776" s="59"/>
      <c r="AB776" s="60"/>
      <c r="AC776" s="60"/>
      <c r="AD776" s="60"/>
      <c r="AE776" s="61"/>
    </row>
    <row r="777" spans="2:31" x14ac:dyDescent="0.25">
      <c r="B777" s="53">
        <f t="shared" si="11"/>
        <v>153</v>
      </c>
      <c r="C777" s="59"/>
      <c r="D777" s="15" t="str">
        <f>IF(D775="","","Исполнитель"&amp;": ")</f>
        <v/>
      </c>
      <c r="E777" s="62" t="str">
        <f>IFERROR(VLOOKUP(C$13&amp;$B777,Aux!$B:$M,4,0),"")</f>
        <v/>
      </c>
      <c r="F777" s="62"/>
      <c r="G777" s="63" t="str">
        <f>IFERROR(IF(VLOOKUP(C$13&amp;$B775,Aux!$B:$M,8,0)="Да","✔","🕓"),"")</f>
        <v/>
      </c>
      <c r="K777" s="59"/>
      <c r="L777" s="15" t="str">
        <f>IF(L775="","","Исполнитель"&amp;": ")</f>
        <v/>
      </c>
      <c r="M777" s="62" t="str">
        <f>IFERROR(VLOOKUP(K$13&amp;$B777,Aux!$B:$M,4,0),"")</f>
        <v/>
      </c>
      <c r="N777" s="62"/>
      <c r="O777" s="63" t="str">
        <f>IFERROR(IF(VLOOKUP(K$13&amp;$B775,Aux!$B:$M,8,0)="Да","✔","🕓"),"")</f>
        <v/>
      </c>
      <c r="S777" s="59"/>
      <c r="T777" s="15" t="str">
        <f>IF(T775="","","Исполнитель"&amp;": ")</f>
        <v/>
      </c>
      <c r="U777" s="62" t="str">
        <f>IFERROR(VLOOKUP(S$13&amp;$B777,Aux!$B:$M,4,0),"")</f>
        <v/>
      </c>
      <c r="V777" s="62"/>
      <c r="W777" s="63" t="str">
        <f>IFERROR(IF(VLOOKUP(S$13&amp;$B775,Aux!$B:$M,8,0)="Да","✔","🕓"),"")</f>
        <v/>
      </c>
      <c r="AA777" s="59"/>
      <c r="AB777" s="15" t="str">
        <f>IF(AB775="","","Исполнитель"&amp;": ")</f>
        <v/>
      </c>
      <c r="AC777" s="62" t="str">
        <f>IFERROR(VLOOKUP(AA$13&amp;$B777,Aux!$B:$M,4,0),"")</f>
        <v/>
      </c>
      <c r="AD777" s="62"/>
      <c r="AE777" s="63" t="str">
        <f>IFERROR(IF(VLOOKUP(AA$13&amp;$B775,Aux!$B:$M,8,0)="Да","✔","🕓"),"")</f>
        <v/>
      </c>
    </row>
    <row r="778" spans="2:31" x14ac:dyDescent="0.25">
      <c r="B778" s="53">
        <f t="shared" si="11"/>
        <v>153</v>
      </c>
      <c r="C778" s="59"/>
      <c r="D778" s="16" t="str">
        <f>IF(D775="","","Срок сдачи"&amp;": ")</f>
        <v/>
      </c>
      <c r="E778" s="64" t="str">
        <f>IFERROR(VLOOKUP(C$13&amp;$B778,Aux!$B:$M,6,0),"")</f>
        <v/>
      </c>
      <c r="F778" s="64"/>
      <c r="G778" s="63"/>
      <c r="K778" s="59"/>
      <c r="L778" s="16" t="str">
        <f>IF(L775="","","Срок сдачи"&amp;": ")</f>
        <v/>
      </c>
      <c r="M778" s="64" t="str">
        <f>IFERROR(VLOOKUP(K$13&amp;$B778,Aux!$B:$M,6,0),"")</f>
        <v/>
      </c>
      <c r="N778" s="64"/>
      <c r="O778" s="63"/>
      <c r="S778" s="59"/>
      <c r="T778" s="16" t="str">
        <f>IF(T775="","","Срок сдачи"&amp;": ")</f>
        <v/>
      </c>
      <c r="U778" s="64" t="str">
        <f>IFERROR(VLOOKUP(S$13&amp;$B778,Aux!$B:$M,6,0),"")</f>
        <v/>
      </c>
      <c r="V778" s="64"/>
      <c r="W778" s="63"/>
      <c r="AA778" s="59"/>
      <c r="AB778" s="16" t="str">
        <f>IF(AB775="","","Срок сдачи"&amp;": ")</f>
        <v/>
      </c>
      <c r="AC778" s="64" t="str">
        <f>IFERROR(VLOOKUP(AA$13&amp;$B778,Aux!$B:$M,6,0),"")</f>
        <v/>
      </c>
      <c r="AD778" s="64"/>
      <c r="AE778" s="63"/>
    </row>
    <row r="779" spans="2:31" x14ac:dyDescent="0.25">
      <c r="B779" s="53">
        <f t="shared" si="11"/>
        <v>153</v>
      </c>
      <c r="C779" s="7"/>
      <c r="D779" s="17"/>
      <c r="E779" s="7"/>
      <c r="F779" s="18"/>
      <c r="G779" s="18"/>
      <c r="K779" s="13"/>
      <c r="L779" s="17"/>
      <c r="M779" s="13"/>
      <c r="N779" s="14"/>
      <c r="O779" s="14"/>
      <c r="S779" s="13"/>
      <c r="T779" s="17"/>
      <c r="U779" s="13"/>
      <c r="V779" s="14"/>
      <c r="W779" s="14"/>
      <c r="AA779" s="13"/>
      <c r="AB779" s="17"/>
      <c r="AC779" s="13"/>
      <c r="AD779" s="14"/>
      <c r="AE779" s="30"/>
    </row>
    <row r="780" spans="2:31" x14ac:dyDescent="0.25">
      <c r="B780" s="53">
        <f t="shared" si="11"/>
        <v>154</v>
      </c>
      <c r="C780" s="59" t="str">
        <f>IFERROR(VLOOKUP(C$13&amp;$B784,Aux!$B:$M,5,0),"")</f>
        <v/>
      </c>
      <c r="D780" s="60" t="str">
        <f>IFERROR(VLOOKUP(C$13&amp;$B780,Aux!$B:$M,3,0),"")</f>
        <v/>
      </c>
      <c r="E780" s="60"/>
      <c r="F780" s="60"/>
      <c r="G780" s="61" t="str">
        <f>IFERROR(VLOOKUP(C$13&amp;$B780,Aux!$B:$M,9,0),"")</f>
        <v/>
      </c>
      <c r="K780" s="59" t="str">
        <f>IFERROR(VLOOKUP(K$13&amp;$B784,Aux!$B:$M,5,0),"")</f>
        <v/>
      </c>
      <c r="L780" s="60" t="str">
        <f>IFERROR(VLOOKUP(K$13&amp;$B780,Aux!$B:$M,3,0),"")</f>
        <v/>
      </c>
      <c r="M780" s="60"/>
      <c r="N780" s="60"/>
      <c r="O780" s="61" t="str">
        <f>IFERROR(VLOOKUP(K$13&amp;$B780,Aux!$B:$M,9,0),"")</f>
        <v/>
      </c>
      <c r="S780" s="59" t="str">
        <f>IFERROR(VLOOKUP(S$13&amp;$B784,Aux!$B:$M,5,0),"")</f>
        <v/>
      </c>
      <c r="T780" s="60" t="str">
        <f>IFERROR(VLOOKUP(S$13&amp;$B780,Aux!$B:$M,3,0),"")</f>
        <v/>
      </c>
      <c r="U780" s="60"/>
      <c r="V780" s="60"/>
      <c r="W780" s="61" t="str">
        <f>IFERROR(VLOOKUP(S$13&amp;$B780,Aux!$B:$M,9,0),"")</f>
        <v/>
      </c>
      <c r="AA780" s="59" t="str">
        <f>IFERROR(VLOOKUP(AA$13&amp;$B784,Aux!$B:$M,5,0),"")</f>
        <v/>
      </c>
      <c r="AB780" s="60" t="str">
        <f>IFERROR(VLOOKUP(AA$13&amp;$B780,Aux!$B:$M,3,0),"")</f>
        <v/>
      </c>
      <c r="AC780" s="60"/>
      <c r="AD780" s="60"/>
      <c r="AE780" s="61" t="str">
        <f>IFERROR(VLOOKUP(AA$13&amp;$B780,Aux!$B:$M,9,0),"")</f>
        <v/>
      </c>
    </row>
    <row r="781" spans="2:31" x14ac:dyDescent="0.25">
      <c r="B781" s="53">
        <f t="shared" si="11"/>
        <v>154</v>
      </c>
      <c r="C781" s="59"/>
      <c r="D781" s="60"/>
      <c r="E781" s="60"/>
      <c r="F781" s="60"/>
      <c r="G781" s="61"/>
      <c r="K781" s="59"/>
      <c r="L781" s="60"/>
      <c r="M781" s="60"/>
      <c r="N781" s="60"/>
      <c r="O781" s="61"/>
      <c r="S781" s="59"/>
      <c r="T781" s="60"/>
      <c r="U781" s="60"/>
      <c r="V781" s="60"/>
      <c r="W781" s="61"/>
      <c r="AA781" s="59"/>
      <c r="AB781" s="60"/>
      <c r="AC781" s="60"/>
      <c r="AD781" s="60"/>
      <c r="AE781" s="61"/>
    </row>
    <row r="782" spans="2:31" x14ac:dyDescent="0.25">
      <c r="B782" s="53">
        <f t="shared" si="11"/>
        <v>154</v>
      </c>
      <c r="C782" s="59"/>
      <c r="D782" s="15" t="str">
        <f>IF(D780="","","Исполнитель"&amp;": ")</f>
        <v/>
      </c>
      <c r="E782" s="62" t="str">
        <f>IFERROR(VLOOKUP(C$13&amp;$B782,Aux!$B:$M,4,0),"")</f>
        <v/>
      </c>
      <c r="F782" s="62"/>
      <c r="G782" s="63" t="str">
        <f>IFERROR(IF(VLOOKUP(C$13&amp;$B780,Aux!$B:$M,8,0)="Да","✔","🕓"),"")</f>
        <v/>
      </c>
      <c r="K782" s="59"/>
      <c r="L782" s="15" t="str">
        <f>IF(L780="","","Исполнитель"&amp;": ")</f>
        <v/>
      </c>
      <c r="M782" s="62" t="str">
        <f>IFERROR(VLOOKUP(K$13&amp;$B782,Aux!$B:$M,4,0),"")</f>
        <v/>
      </c>
      <c r="N782" s="62"/>
      <c r="O782" s="63" t="str">
        <f>IFERROR(IF(VLOOKUP(K$13&amp;$B780,Aux!$B:$M,8,0)="Да","✔","🕓"),"")</f>
        <v/>
      </c>
      <c r="S782" s="59"/>
      <c r="T782" s="15" t="str">
        <f>IF(T780="","","Исполнитель"&amp;": ")</f>
        <v/>
      </c>
      <c r="U782" s="62" t="str">
        <f>IFERROR(VLOOKUP(S$13&amp;$B782,Aux!$B:$M,4,0),"")</f>
        <v/>
      </c>
      <c r="V782" s="62"/>
      <c r="W782" s="63" t="str">
        <f>IFERROR(IF(VLOOKUP(S$13&amp;$B780,Aux!$B:$M,8,0)="Да","✔","🕓"),"")</f>
        <v/>
      </c>
      <c r="AA782" s="59"/>
      <c r="AB782" s="15" t="str">
        <f>IF(AB780="","","Исполнитель"&amp;": ")</f>
        <v/>
      </c>
      <c r="AC782" s="62" t="str">
        <f>IFERROR(VLOOKUP(AA$13&amp;$B782,Aux!$B:$M,4,0),"")</f>
        <v/>
      </c>
      <c r="AD782" s="62"/>
      <c r="AE782" s="63" t="str">
        <f>IFERROR(IF(VLOOKUP(AA$13&amp;$B780,Aux!$B:$M,8,0)="Да","✔","🕓"),"")</f>
        <v/>
      </c>
    </row>
    <row r="783" spans="2:31" x14ac:dyDescent="0.25">
      <c r="B783" s="53">
        <f t="shared" si="11"/>
        <v>154</v>
      </c>
      <c r="C783" s="59"/>
      <c r="D783" s="16" t="str">
        <f>IF(D780="","","Срок сдачи"&amp;": ")</f>
        <v/>
      </c>
      <c r="E783" s="64" t="str">
        <f>IFERROR(VLOOKUP(C$13&amp;$B783,Aux!$B:$M,6,0),"")</f>
        <v/>
      </c>
      <c r="F783" s="64"/>
      <c r="G783" s="63"/>
      <c r="K783" s="59"/>
      <c r="L783" s="16" t="str">
        <f>IF(L780="","","Срок сдачи"&amp;": ")</f>
        <v/>
      </c>
      <c r="M783" s="64" t="str">
        <f>IFERROR(VLOOKUP(K$13&amp;$B783,Aux!$B:$M,6,0),"")</f>
        <v/>
      </c>
      <c r="N783" s="64"/>
      <c r="O783" s="63"/>
      <c r="S783" s="59"/>
      <c r="T783" s="16" t="str">
        <f>IF(T780="","","Срок сдачи"&amp;": ")</f>
        <v/>
      </c>
      <c r="U783" s="64" t="str">
        <f>IFERROR(VLOOKUP(S$13&amp;$B783,Aux!$B:$M,6,0),"")</f>
        <v/>
      </c>
      <c r="V783" s="64"/>
      <c r="W783" s="63"/>
      <c r="AA783" s="59"/>
      <c r="AB783" s="16" t="str">
        <f>IF(AB780="","","Срок сдачи"&amp;": ")</f>
        <v/>
      </c>
      <c r="AC783" s="64" t="str">
        <f>IFERROR(VLOOKUP(AA$13&amp;$B783,Aux!$B:$M,6,0),"")</f>
        <v/>
      </c>
      <c r="AD783" s="64"/>
      <c r="AE783" s="63"/>
    </row>
    <row r="784" spans="2:31" x14ac:dyDescent="0.25">
      <c r="B784" s="53">
        <f t="shared" si="11"/>
        <v>154</v>
      </c>
      <c r="C784" s="7"/>
      <c r="D784" s="17"/>
      <c r="E784" s="7"/>
      <c r="F784" s="18"/>
      <c r="G784" s="18"/>
      <c r="K784" s="13"/>
      <c r="L784" s="17"/>
      <c r="M784" s="13"/>
      <c r="N784" s="14"/>
      <c r="O784" s="14"/>
      <c r="S784" s="13"/>
      <c r="T784" s="17"/>
      <c r="U784" s="13"/>
      <c r="V784" s="14"/>
      <c r="W784" s="14"/>
      <c r="AA784" s="13"/>
      <c r="AB784" s="17"/>
      <c r="AC784" s="13"/>
      <c r="AD784" s="14"/>
      <c r="AE784" s="30"/>
    </row>
    <row r="785" spans="2:31" x14ac:dyDescent="0.25">
      <c r="B785" s="53">
        <f t="shared" si="11"/>
        <v>155</v>
      </c>
      <c r="C785" s="59" t="str">
        <f>IFERROR(VLOOKUP(C$13&amp;$B789,Aux!$B:$M,5,0),"")</f>
        <v/>
      </c>
      <c r="D785" s="60" t="str">
        <f>IFERROR(VLOOKUP(C$13&amp;$B785,Aux!$B:$M,3,0),"")</f>
        <v/>
      </c>
      <c r="E785" s="60"/>
      <c r="F785" s="60"/>
      <c r="G785" s="61" t="str">
        <f>IFERROR(VLOOKUP(C$13&amp;$B785,Aux!$B:$M,9,0),"")</f>
        <v/>
      </c>
      <c r="K785" s="59" t="str">
        <f>IFERROR(VLOOKUP(K$13&amp;$B789,Aux!$B:$M,5,0),"")</f>
        <v/>
      </c>
      <c r="L785" s="60" t="str">
        <f>IFERROR(VLOOKUP(K$13&amp;$B785,Aux!$B:$M,3,0),"")</f>
        <v/>
      </c>
      <c r="M785" s="60"/>
      <c r="N785" s="60"/>
      <c r="O785" s="61" t="str">
        <f>IFERROR(VLOOKUP(K$13&amp;$B785,Aux!$B:$M,9,0),"")</f>
        <v/>
      </c>
      <c r="S785" s="59" t="str">
        <f>IFERROR(VLOOKUP(S$13&amp;$B789,Aux!$B:$M,5,0),"")</f>
        <v/>
      </c>
      <c r="T785" s="60" t="str">
        <f>IFERROR(VLOOKUP(S$13&amp;$B785,Aux!$B:$M,3,0),"")</f>
        <v/>
      </c>
      <c r="U785" s="60"/>
      <c r="V785" s="60"/>
      <c r="W785" s="61" t="str">
        <f>IFERROR(VLOOKUP(S$13&amp;$B785,Aux!$B:$M,9,0),"")</f>
        <v/>
      </c>
      <c r="AA785" s="59" t="str">
        <f>IFERROR(VLOOKUP(AA$13&amp;$B789,Aux!$B:$M,5,0),"")</f>
        <v/>
      </c>
      <c r="AB785" s="60" t="str">
        <f>IFERROR(VLOOKUP(AA$13&amp;$B785,Aux!$B:$M,3,0),"")</f>
        <v/>
      </c>
      <c r="AC785" s="60"/>
      <c r="AD785" s="60"/>
      <c r="AE785" s="61" t="str">
        <f>IFERROR(VLOOKUP(AA$13&amp;$B785,Aux!$B:$M,9,0),"")</f>
        <v/>
      </c>
    </row>
    <row r="786" spans="2:31" x14ac:dyDescent="0.25">
      <c r="B786" s="53">
        <f t="shared" si="11"/>
        <v>155</v>
      </c>
      <c r="C786" s="59"/>
      <c r="D786" s="60"/>
      <c r="E786" s="60"/>
      <c r="F786" s="60"/>
      <c r="G786" s="61"/>
      <c r="K786" s="59"/>
      <c r="L786" s="60"/>
      <c r="M786" s="60"/>
      <c r="N786" s="60"/>
      <c r="O786" s="61"/>
      <c r="S786" s="59"/>
      <c r="T786" s="60"/>
      <c r="U786" s="60"/>
      <c r="V786" s="60"/>
      <c r="W786" s="61"/>
      <c r="AA786" s="59"/>
      <c r="AB786" s="60"/>
      <c r="AC786" s="60"/>
      <c r="AD786" s="60"/>
      <c r="AE786" s="61"/>
    </row>
    <row r="787" spans="2:31" x14ac:dyDescent="0.25">
      <c r="B787" s="53">
        <f t="shared" si="11"/>
        <v>155</v>
      </c>
      <c r="C787" s="59"/>
      <c r="D787" s="15" t="str">
        <f>IF(D785="","","Исполнитель"&amp;": ")</f>
        <v/>
      </c>
      <c r="E787" s="62" t="str">
        <f>IFERROR(VLOOKUP(C$13&amp;$B787,Aux!$B:$M,4,0),"")</f>
        <v/>
      </c>
      <c r="F787" s="62"/>
      <c r="G787" s="63" t="str">
        <f>IFERROR(IF(VLOOKUP(C$13&amp;$B785,Aux!$B:$M,8,0)="Да","✔","🕓"),"")</f>
        <v/>
      </c>
      <c r="K787" s="59"/>
      <c r="L787" s="15" t="str">
        <f>IF(L785="","","Исполнитель"&amp;": ")</f>
        <v/>
      </c>
      <c r="M787" s="62" t="str">
        <f>IFERROR(VLOOKUP(K$13&amp;$B787,Aux!$B:$M,4,0),"")</f>
        <v/>
      </c>
      <c r="N787" s="62"/>
      <c r="O787" s="63" t="str">
        <f>IFERROR(IF(VLOOKUP(K$13&amp;$B785,Aux!$B:$M,8,0)="Да","✔","🕓"),"")</f>
        <v/>
      </c>
      <c r="S787" s="59"/>
      <c r="T787" s="15" t="str">
        <f>IF(T785="","","Исполнитель"&amp;": ")</f>
        <v/>
      </c>
      <c r="U787" s="62" t="str">
        <f>IFERROR(VLOOKUP(S$13&amp;$B787,Aux!$B:$M,4,0),"")</f>
        <v/>
      </c>
      <c r="V787" s="62"/>
      <c r="W787" s="63" t="str">
        <f>IFERROR(IF(VLOOKUP(S$13&amp;$B785,Aux!$B:$M,8,0)="Да","✔","🕓"),"")</f>
        <v/>
      </c>
      <c r="AA787" s="59"/>
      <c r="AB787" s="15" t="str">
        <f>IF(AB785="","","Исполнитель"&amp;": ")</f>
        <v/>
      </c>
      <c r="AC787" s="62" t="str">
        <f>IFERROR(VLOOKUP(AA$13&amp;$B787,Aux!$B:$M,4,0),"")</f>
        <v/>
      </c>
      <c r="AD787" s="62"/>
      <c r="AE787" s="63" t="str">
        <f>IFERROR(IF(VLOOKUP(AA$13&amp;$B785,Aux!$B:$M,8,0)="Да","✔","🕓"),"")</f>
        <v/>
      </c>
    </row>
    <row r="788" spans="2:31" x14ac:dyDescent="0.25">
      <c r="B788" s="53">
        <f t="shared" si="11"/>
        <v>155</v>
      </c>
      <c r="C788" s="59"/>
      <c r="D788" s="16" t="str">
        <f>IF(D785="","","Срок сдачи"&amp;": ")</f>
        <v/>
      </c>
      <c r="E788" s="64" t="str">
        <f>IFERROR(VLOOKUP(C$13&amp;$B788,Aux!$B:$M,6,0),"")</f>
        <v/>
      </c>
      <c r="F788" s="64"/>
      <c r="G788" s="63"/>
      <c r="K788" s="59"/>
      <c r="L788" s="16" t="str">
        <f>IF(L785="","","Срок сдачи"&amp;": ")</f>
        <v/>
      </c>
      <c r="M788" s="64" t="str">
        <f>IFERROR(VLOOKUP(K$13&amp;$B788,Aux!$B:$M,6,0),"")</f>
        <v/>
      </c>
      <c r="N788" s="64"/>
      <c r="O788" s="63"/>
      <c r="S788" s="59"/>
      <c r="T788" s="16" t="str">
        <f>IF(T785="","","Срок сдачи"&amp;": ")</f>
        <v/>
      </c>
      <c r="U788" s="64" t="str">
        <f>IFERROR(VLOOKUP(S$13&amp;$B788,Aux!$B:$M,6,0),"")</f>
        <v/>
      </c>
      <c r="V788" s="64"/>
      <c r="W788" s="63"/>
      <c r="AA788" s="59"/>
      <c r="AB788" s="16" t="str">
        <f>IF(AB785="","","Срок сдачи"&amp;": ")</f>
        <v/>
      </c>
      <c r="AC788" s="64" t="str">
        <f>IFERROR(VLOOKUP(AA$13&amp;$B788,Aux!$B:$M,6,0),"")</f>
        <v/>
      </c>
      <c r="AD788" s="64"/>
      <c r="AE788" s="63"/>
    </row>
    <row r="789" spans="2:31" x14ac:dyDescent="0.25">
      <c r="B789" s="53">
        <f t="shared" ref="B789:B852" si="12">B784+1</f>
        <v>155</v>
      </c>
      <c r="C789" s="7"/>
      <c r="D789" s="17"/>
      <c r="E789" s="7"/>
      <c r="F789" s="18"/>
      <c r="G789" s="18"/>
      <c r="K789" s="13"/>
      <c r="L789" s="17"/>
      <c r="M789" s="13"/>
      <c r="N789" s="14"/>
      <c r="O789" s="14"/>
      <c r="S789" s="13"/>
      <c r="T789" s="17"/>
      <c r="U789" s="13"/>
      <c r="V789" s="14"/>
      <c r="W789" s="14"/>
      <c r="AA789" s="13"/>
      <c r="AB789" s="17"/>
      <c r="AC789" s="13"/>
      <c r="AD789" s="14"/>
      <c r="AE789" s="30"/>
    </row>
    <row r="790" spans="2:31" x14ac:dyDescent="0.25">
      <c r="B790" s="53">
        <f t="shared" si="12"/>
        <v>156</v>
      </c>
      <c r="C790" s="59" t="str">
        <f>IFERROR(VLOOKUP(C$13&amp;$B794,Aux!$B:$M,5,0),"")</f>
        <v/>
      </c>
      <c r="D790" s="60" t="str">
        <f>IFERROR(VLOOKUP(C$13&amp;$B790,Aux!$B:$M,3,0),"")</f>
        <v/>
      </c>
      <c r="E790" s="60"/>
      <c r="F790" s="60"/>
      <c r="G790" s="61" t="str">
        <f>IFERROR(VLOOKUP(C$13&amp;$B790,Aux!$B:$M,9,0),"")</f>
        <v/>
      </c>
      <c r="K790" s="59" t="str">
        <f>IFERROR(VLOOKUP(K$13&amp;$B794,Aux!$B:$M,5,0),"")</f>
        <v/>
      </c>
      <c r="L790" s="60" t="str">
        <f>IFERROR(VLOOKUP(K$13&amp;$B790,Aux!$B:$M,3,0),"")</f>
        <v/>
      </c>
      <c r="M790" s="60"/>
      <c r="N790" s="60"/>
      <c r="O790" s="61" t="str">
        <f>IFERROR(VLOOKUP(K$13&amp;$B790,Aux!$B:$M,9,0),"")</f>
        <v/>
      </c>
      <c r="S790" s="59" t="str">
        <f>IFERROR(VLOOKUP(S$13&amp;$B794,Aux!$B:$M,5,0),"")</f>
        <v/>
      </c>
      <c r="T790" s="60" t="str">
        <f>IFERROR(VLOOKUP(S$13&amp;$B790,Aux!$B:$M,3,0),"")</f>
        <v/>
      </c>
      <c r="U790" s="60"/>
      <c r="V790" s="60"/>
      <c r="W790" s="61" t="str">
        <f>IFERROR(VLOOKUP(S$13&amp;$B790,Aux!$B:$M,9,0),"")</f>
        <v/>
      </c>
      <c r="AA790" s="59" t="str">
        <f>IFERROR(VLOOKUP(AA$13&amp;$B794,Aux!$B:$M,5,0),"")</f>
        <v/>
      </c>
      <c r="AB790" s="60" t="str">
        <f>IFERROR(VLOOKUP(AA$13&amp;$B790,Aux!$B:$M,3,0),"")</f>
        <v/>
      </c>
      <c r="AC790" s="60"/>
      <c r="AD790" s="60"/>
      <c r="AE790" s="61" t="str">
        <f>IFERROR(VLOOKUP(AA$13&amp;$B790,Aux!$B:$M,9,0),"")</f>
        <v/>
      </c>
    </row>
    <row r="791" spans="2:31" x14ac:dyDescent="0.25">
      <c r="B791" s="53">
        <f t="shared" si="12"/>
        <v>156</v>
      </c>
      <c r="C791" s="59"/>
      <c r="D791" s="60"/>
      <c r="E791" s="60"/>
      <c r="F791" s="60"/>
      <c r="G791" s="61"/>
      <c r="K791" s="59"/>
      <c r="L791" s="60"/>
      <c r="M791" s="60"/>
      <c r="N791" s="60"/>
      <c r="O791" s="61"/>
      <c r="S791" s="59"/>
      <c r="T791" s="60"/>
      <c r="U791" s="60"/>
      <c r="V791" s="60"/>
      <c r="W791" s="61"/>
      <c r="AA791" s="59"/>
      <c r="AB791" s="60"/>
      <c r="AC791" s="60"/>
      <c r="AD791" s="60"/>
      <c r="AE791" s="61"/>
    </row>
    <row r="792" spans="2:31" x14ac:dyDescent="0.25">
      <c r="B792" s="53">
        <f t="shared" si="12"/>
        <v>156</v>
      </c>
      <c r="C792" s="59"/>
      <c r="D792" s="15" t="str">
        <f>IF(D790="","","Исполнитель"&amp;": ")</f>
        <v/>
      </c>
      <c r="E792" s="62" t="str">
        <f>IFERROR(VLOOKUP(C$13&amp;$B792,Aux!$B:$M,4,0),"")</f>
        <v/>
      </c>
      <c r="F792" s="62"/>
      <c r="G792" s="63" t="str">
        <f>IFERROR(IF(VLOOKUP(C$13&amp;$B790,Aux!$B:$M,8,0)="Да","✔","🕓"),"")</f>
        <v/>
      </c>
      <c r="K792" s="59"/>
      <c r="L792" s="15" t="str">
        <f>IF(L790="","","Исполнитель"&amp;": ")</f>
        <v/>
      </c>
      <c r="M792" s="62" t="str">
        <f>IFERROR(VLOOKUP(K$13&amp;$B792,Aux!$B:$M,4,0),"")</f>
        <v/>
      </c>
      <c r="N792" s="62"/>
      <c r="O792" s="63" t="str">
        <f>IFERROR(IF(VLOOKUP(K$13&amp;$B790,Aux!$B:$M,8,0)="Да","✔","🕓"),"")</f>
        <v/>
      </c>
      <c r="S792" s="59"/>
      <c r="T792" s="15" t="str">
        <f>IF(T790="","","Исполнитель"&amp;": ")</f>
        <v/>
      </c>
      <c r="U792" s="62" t="str">
        <f>IFERROR(VLOOKUP(S$13&amp;$B792,Aux!$B:$M,4,0),"")</f>
        <v/>
      </c>
      <c r="V792" s="62"/>
      <c r="W792" s="63" t="str">
        <f>IFERROR(IF(VLOOKUP(S$13&amp;$B790,Aux!$B:$M,8,0)="Да","✔","🕓"),"")</f>
        <v/>
      </c>
      <c r="AA792" s="59"/>
      <c r="AB792" s="15" t="str">
        <f>IF(AB790="","","Исполнитель"&amp;": ")</f>
        <v/>
      </c>
      <c r="AC792" s="62" t="str">
        <f>IFERROR(VLOOKUP(AA$13&amp;$B792,Aux!$B:$M,4,0),"")</f>
        <v/>
      </c>
      <c r="AD792" s="62"/>
      <c r="AE792" s="63" t="str">
        <f>IFERROR(IF(VLOOKUP(AA$13&amp;$B790,Aux!$B:$M,8,0)="Да","✔","🕓"),"")</f>
        <v/>
      </c>
    </row>
    <row r="793" spans="2:31" x14ac:dyDescent="0.25">
      <c r="B793" s="53">
        <f t="shared" si="12"/>
        <v>156</v>
      </c>
      <c r="C793" s="59"/>
      <c r="D793" s="16" t="str">
        <f>IF(D790="","","Срок сдачи"&amp;": ")</f>
        <v/>
      </c>
      <c r="E793" s="64" t="str">
        <f>IFERROR(VLOOKUP(C$13&amp;$B793,Aux!$B:$M,6,0),"")</f>
        <v/>
      </c>
      <c r="F793" s="64"/>
      <c r="G793" s="63"/>
      <c r="K793" s="59"/>
      <c r="L793" s="16" t="str">
        <f>IF(L790="","","Срок сдачи"&amp;": ")</f>
        <v/>
      </c>
      <c r="M793" s="64" t="str">
        <f>IFERROR(VLOOKUP(K$13&amp;$B793,Aux!$B:$M,6,0),"")</f>
        <v/>
      </c>
      <c r="N793" s="64"/>
      <c r="O793" s="63"/>
      <c r="S793" s="59"/>
      <c r="T793" s="16" t="str">
        <f>IF(T790="","","Срок сдачи"&amp;": ")</f>
        <v/>
      </c>
      <c r="U793" s="64" t="str">
        <f>IFERROR(VLOOKUP(S$13&amp;$B793,Aux!$B:$M,6,0),"")</f>
        <v/>
      </c>
      <c r="V793" s="64"/>
      <c r="W793" s="63"/>
      <c r="AA793" s="59"/>
      <c r="AB793" s="16" t="str">
        <f>IF(AB790="","","Срок сдачи"&amp;": ")</f>
        <v/>
      </c>
      <c r="AC793" s="64" t="str">
        <f>IFERROR(VLOOKUP(AA$13&amp;$B793,Aux!$B:$M,6,0),"")</f>
        <v/>
      </c>
      <c r="AD793" s="64"/>
      <c r="AE793" s="63"/>
    </row>
    <row r="794" spans="2:31" x14ac:dyDescent="0.25">
      <c r="B794" s="53">
        <f t="shared" si="12"/>
        <v>156</v>
      </c>
      <c r="C794" s="7"/>
      <c r="D794" s="17"/>
      <c r="E794" s="7"/>
      <c r="F794" s="18"/>
      <c r="G794" s="18"/>
      <c r="K794" s="13"/>
      <c r="L794" s="17"/>
      <c r="M794" s="13"/>
      <c r="N794" s="14"/>
      <c r="O794" s="14"/>
      <c r="S794" s="13"/>
      <c r="T794" s="17"/>
      <c r="U794" s="13"/>
      <c r="V794" s="14"/>
      <c r="W794" s="14"/>
      <c r="AA794" s="13"/>
      <c r="AB794" s="17"/>
      <c r="AC794" s="13"/>
      <c r="AD794" s="14"/>
      <c r="AE794" s="30"/>
    </row>
    <row r="795" spans="2:31" x14ac:dyDescent="0.25">
      <c r="B795" s="53">
        <f t="shared" si="12"/>
        <v>157</v>
      </c>
      <c r="C795" s="59" t="str">
        <f>IFERROR(VLOOKUP(C$13&amp;$B799,Aux!$B:$M,5,0),"")</f>
        <v/>
      </c>
      <c r="D795" s="60" t="str">
        <f>IFERROR(VLOOKUP(C$13&amp;$B795,Aux!$B:$M,3,0),"")</f>
        <v/>
      </c>
      <c r="E795" s="60"/>
      <c r="F795" s="60"/>
      <c r="G795" s="61" t="str">
        <f>IFERROR(VLOOKUP(C$13&amp;$B795,Aux!$B:$M,9,0),"")</f>
        <v/>
      </c>
      <c r="K795" s="59" t="str">
        <f>IFERROR(VLOOKUP(K$13&amp;$B799,Aux!$B:$M,5,0),"")</f>
        <v/>
      </c>
      <c r="L795" s="60" t="str">
        <f>IFERROR(VLOOKUP(K$13&amp;$B795,Aux!$B:$M,3,0),"")</f>
        <v/>
      </c>
      <c r="M795" s="60"/>
      <c r="N795" s="60"/>
      <c r="O795" s="61" t="str">
        <f>IFERROR(VLOOKUP(K$13&amp;$B795,Aux!$B:$M,9,0),"")</f>
        <v/>
      </c>
      <c r="S795" s="59" t="str">
        <f>IFERROR(VLOOKUP(S$13&amp;$B799,Aux!$B:$M,5,0),"")</f>
        <v/>
      </c>
      <c r="T795" s="60" t="str">
        <f>IFERROR(VLOOKUP(S$13&amp;$B795,Aux!$B:$M,3,0),"")</f>
        <v/>
      </c>
      <c r="U795" s="60"/>
      <c r="V795" s="60"/>
      <c r="W795" s="61" t="str">
        <f>IFERROR(VLOOKUP(S$13&amp;$B795,Aux!$B:$M,9,0),"")</f>
        <v/>
      </c>
      <c r="AA795" s="59" t="str">
        <f>IFERROR(VLOOKUP(AA$13&amp;$B799,Aux!$B:$M,5,0),"")</f>
        <v/>
      </c>
      <c r="AB795" s="60" t="str">
        <f>IFERROR(VLOOKUP(AA$13&amp;$B795,Aux!$B:$M,3,0),"")</f>
        <v/>
      </c>
      <c r="AC795" s="60"/>
      <c r="AD795" s="60"/>
      <c r="AE795" s="61" t="str">
        <f>IFERROR(VLOOKUP(AA$13&amp;$B795,Aux!$B:$M,9,0),"")</f>
        <v/>
      </c>
    </row>
    <row r="796" spans="2:31" x14ac:dyDescent="0.25">
      <c r="B796" s="53">
        <f t="shared" si="12"/>
        <v>157</v>
      </c>
      <c r="C796" s="59"/>
      <c r="D796" s="60"/>
      <c r="E796" s="60"/>
      <c r="F796" s="60"/>
      <c r="G796" s="61"/>
      <c r="K796" s="59"/>
      <c r="L796" s="60"/>
      <c r="M796" s="60"/>
      <c r="N796" s="60"/>
      <c r="O796" s="61"/>
      <c r="S796" s="59"/>
      <c r="T796" s="60"/>
      <c r="U796" s="60"/>
      <c r="V796" s="60"/>
      <c r="W796" s="61"/>
      <c r="AA796" s="59"/>
      <c r="AB796" s="60"/>
      <c r="AC796" s="60"/>
      <c r="AD796" s="60"/>
      <c r="AE796" s="61"/>
    </row>
    <row r="797" spans="2:31" x14ac:dyDescent="0.25">
      <c r="B797" s="53">
        <f t="shared" si="12"/>
        <v>157</v>
      </c>
      <c r="C797" s="59"/>
      <c r="D797" s="15" t="str">
        <f>IF(D795="","","Исполнитель"&amp;": ")</f>
        <v/>
      </c>
      <c r="E797" s="62" t="str">
        <f>IFERROR(VLOOKUP(C$13&amp;$B797,Aux!$B:$M,4,0),"")</f>
        <v/>
      </c>
      <c r="F797" s="62"/>
      <c r="G797" s="63" t="str">
        <f>IFERROR(IF(VLOOKUP(C$13&amp;$B795,Aux!$B:$M,8,0)="Да","✔","🕓"),"")</f>
        <v/>
      </c>
      <c r="K797" s="59"/>
      <c r="L797" s="15" t="str">
        <f>IF(L795="","","Исполнитель"&amp;": ")</f>
        <v/>
      </c>
      <c r="M797" s="62" t="str">
        <f>IFERROR(VLOOKUP(K$13&amp;$B797,Aux!$B:$M,4,0),"")</f>
        <v/>
      </c>
      <c r="N797" s="62"/>
      <c r="O797" s="63" t="str">
        <f>IFERROR(IF(VLOOKUP(K$13&amp;$B795,Aux!$B:$M,8,0)="Да","✔","🕓"),"")</f>
        <v/>
      </c>
      <c r="S797" s="59"/>
      <c r="T797" s="15" t="str">
        <f>IF(T795="","","Исполнитель"&amp;": ")</f>
        <v/>
      </c>
      <c r="U797" s="62" t="str">
        <f>IFERROR(VLOOKUP(S$13&amp;$B797,Aux!$B:$M,4,0),"")</f>
        <v/>
      </c>
      <c r="V797" s="62"/>
      <c r="W797" s="63" t="str">
        <f>IFERROR(IF(VLOOKUP(S$13&amp;$B795,Aux!$B:$M,8,0)="Да","✔","🕓"),"")</f>
        <v/>
      </c>
      <c r="AA797" s="59"/>
      <c r="AB797" s="15" t="str">
        <f>IF(AB795="","","Исполнитель"&amp;": ")</f>
        <v/>
      </c>
      <c r="AC797" s="62" t="str">
        <f>IFERROR(VLOOKUP(AA$13&amp;$B797,Aux!$B:$M,4,0),"")</f>
        <v/>
      </c>
      <c r="AD797" s="62"/>
      <c r="AE797" s="63" t="str">
        <f>IFERROR(IF(VLOOKUP(AA$13&amp;$B795,Aux!$B:$M,8,0)="Да","✔","🕓"),"")</f>
        <v/>
      </c>
    </row>
    <row r="798" spans="2:31" x14ac:dyDescent="0.25">
      <c r="B798" s="53">
        <f t="shared" si="12"/>
        <v>157</v>
      </c>
      <c r="C798" s="59"/>
      <c r="D798" s="16" t="str">
        <f>IF(D795="","","Срок сдачи"&amp;": ")</f>
        <v/>
      </c>
      <c r="E798" s="64" t="str">
        <f>IFERROR(VLOOKUP(C$13&amp;$B798,Aux!$B:$M,6,0),"")</f>
        <v/>
      </c>
      <c r="F798" s="64"/>
      <c r="G798" s="63"/>
      <c r="K798" s="59"/>
      <c r="L798" s="16" t="str">
        <f>IF(L795="","","Срок сдачи"&amp;": ")</f>
        <v/>
      </c>
      <c r="M798" s="64" t="str">
        <f>IFERROR(VLOOKUP(K$13&amp;$B798,Aux!$B:$M,6,0),"")</f>
        <v/>
      </c>
      <c r="N798" s="64"/>
      <c r="O798" s="63"/>
      <c r="S798" s="59"/>
      <c r="T798" s="16" t="str">
        <f>IF(T795="","","Срок сдачи"&amp;": ")</f>
        <v/>
      </c>
      <c r="U798" s="64" t="str">
        <f>IFERROR(VLOOKUP(S$13&amp;$B798,Aux!$B:$M,6,0),"")</f>
        <v/>
      </c>
      <c r="V798" s="64"/>
      <c r="W798" s="63"/>
      <c r="AA798" s="59"/>
      <c r="AB798" s="16" t="str">
        <f>IF(AB795="","","Срок сдачи"&amp;": ")</f>
        <v/>
      </c>
      <c r="AC798" s="64" t="str">
        <f>IFERROR(VLOOKUP(AA$13&amp;$B798,Aux!$B:$M,6,0),"")</f>
        <v/>
      </c>
      <c r="AD798" s="64"/>
      <c r="AE798" s="63"/>
    </row>
    <row r="799" spans="2:31" x14ac:dyDescent="0.25">
      <c r="B799" s="53">
        <f t="shared" si="12"/>
        <v>157</v>
      </c>
      <c r="C799" s="7"/>
      <c r="D799" s="17"/>
      <c r="E799" s="7"/>
      <c r="F799" s="18"/>
      <c r="G799" s="18"/>
      <c r="K799" s="13"/>
      <c r="L799" s="17"/>
      <c r="M799" s="13"/>
      <c r="N799" s="14"/>
      <c r="O799" s="14"/>
      <c r="S799" s="13"/>
      <c r="T799" s="17"/>
      <c r="U799" s="13"/>
      <c r="V799" s="14"/>
      <c r="W799" s="14"/>
      <c r="AA799" s="13"/>
      <c r="AB799" s="17"/>
      <c r="AC799" s="13"/>
      <c r="AD799" s="14"/>
      <c r="AE799" s="30"/>
    </row>
    <row r="800" spans="2:31" x14ac:dyDescent="0.25">
      <c r="B800" s="53">
        <f t="shared" si="12"/>
        <v>158</v>
      </c>
      <c r="C800" s="59" t="str">
        <f>IFERROR(VLOOKUP(C$13&amp;$B804,Aux!$B:$M,5,0),"")</f>
        <v/>
      </c>
      <c r="D800" s="60" t="str">
        <f>IFERROR(VLOOKUP(C$13&amp;$B800,Aux!$B:$M,3,0),"")</f>
        <v/>
      </c>
      <c r="E800" s="60"/>
      <c r="F800" s="60"/>
      <c r="G800" s="61" t="str">
        <f>IFERROR(VLOOKUP(C$13&amp;$B800,Aux!$B:$M,9,0),"")</f>
        <v/>
      </c>
      <c r="K800" s="59" t="str">
        <f>IFERROR(VLOOKUP(K$13&amp;$B804,Aux!$B:$M,5,0),"")</f>
        <v/>
      </c>
      <c r="L800" s="60" t="str">
        <f>IFERROR(VLOOKUP(K$13&amp;$B800,Aux!$B:$M,3,0),"")</f>
        <v/>
      </c>
      <c r="M800" s="60"/>
      <c r="N800" s="60"/>
      <c r="O800" s="61" t="str">
        <f>IFERROR(VLOOKUP(K$13&amp;$B800,Aux!$B:$M,9,0),"")</f>
        <v/>
      </c>
      <c r="S800" s="59" t="str">
        <f>IFERROR(VLOOKUP(S$13&amp;$B804,Aux!$B:$M,5,0),"")</f>
        <v/>
      </c>
      <c r="T800" s="60" t="str">
        <f>IFERROR(VLOOKUP(S$13&amp;$B800,Aux!$B:$M,3,0),"")</f>
        <v/>
      </c>
      <c r="U800" s="60"/>
      <c r="V800" s="60"/>
      <c r="W800" s="61" t="str">
        <f>IFERROR(VLOOKUP(S$13&amp;$B800,Aux!$B:$M,9,0),"")</f>
        <v/>
      </c>
      <c r="AA800" s="59" t="str">
        <f>IFERROR(VLOOKUP(AA$13&amp;$B804,Aux!$B:$M,5,0),"")</f>
        <v/>
      </c>
      <c r="AB800" s="60" t="str">
        <f>IFERROR(VLOOKUP(AA$13&amp;$B800,Aux!$B:$M,3,0),"")</f>
        <v/>
      </c>
      <c r="AC800" s="60"/>
      <c r="AD800" s="60"/>
      <c r="AE800" s="61" t="str">
        <f>IFERROR(VLOOKUP(AA$13&amp;$B800,Aux!$B:$M,9,0),"")</f>
        <v/>
      </c>
    </row>
    <row r="801" spans="2:31" x14ac:dyDescent="0.25">
      <c r="B801" s="53">
        <f t="shared" si="12"/>
        <v>158</v>
      </c>
      <c r="C801" s="59"/>
      <c r="D801" s="60"/>
      <c r="E801" s="60"/>
      <c r="F801" s="60"/>
      <c r="G801" s="61"/>
      <c r="K801" s="59"/>
      <c r="L801" s="60"/>
      <c r="M801" s="60"/>
      <c r="N801" s="60"/>
      <c r="O801" s="61"/>
      <c r="S801" s="59"/>
      <c r="T801" s="60"/>
      <c r="U801" s="60"/>
      <c r="V801" s="60"/>
      <c r="W801" s="61"/>
      <c r="AA801" s="59"/>
      <c r="AB801" s="60"/>
      <c r="AC801" s="60"/>
      <c r="AD801" s="60"/>
      <c r="AE801" s="61"/>
    </row>
    <row r="802" spans="2:31" x14ac:dyDescent="0.25">
      <c r="B802" s="53">
        <f t="shared" si="12"/>
        <v>158</v>
      </c>
      <c r="C802" s="59"/>
      <c r="D802" s="15" t="str">
        <f>IF(D800="","","Исполнитель"&amp;": ")</f>
        <v/>
      </c>
      <c r="E802" s="62" t="str">
        <f>IFERROR(VLOOKUP(C$13&amp;$B802,Aux!$B:$M,4,0),"")</f>
        <v/>
      </c>
      <c r="F802" s="62"/>
      <c r="G802" s="63" t="str">
        <f>IFERROR(IF(VLOOKUP(C$13&amp;$B800,Aux!$B:$M,8,0)="Да","✔","🕓"),"")</f>
        <v/>
      </c>
      <c r="K802" s="59"/>
      <c r="L802" s="15" t="str">
        <f>IF(L800="","","Исполнитель"&amp;": ")</f>
        <v/>
      </c>
      <c r="M802" s="62" t="str">
        <f>IFERROR(VLOOKUP(K$13&amp;$B802,Aux!$B:$M,4,0),"")</f>
        <v/>
      </c>
      <c r="N802" s="62"/>
      <c r="O802" s="63" t="str">
        <f>IFERROR(IF(VLOOKUP(K$13&amp;$B800,Aux!$B:$M,8,0)="Да","✔","🕓"),"")</f>
        <v/>
      </c>
      <c r="S802" s="59"/>
      <c r="T802" s="15" t="str">
        <f>IF(T800="","","Исполнитель"&amp;": ")</f>
        <v/>
      </c>
      <c r="U802" s="62" t="str">
        <f>IFERROR(VLOOKUP(S$13&amp;$B802,Aux!$B:$M,4,0),"")</f>
        <v/>
      </c>
      <c r="V802" s="62"/>
      <c r="W802" s="63" t="str">
        <f>IFERROR(IF(VLOOKUP(S$13&amp;$B800,Aux!$B:$M,8,0)="Да","✔","🕓"),"")</f>
        <v/>
      </c>
      <c r="AA802" s="59"/>
      <c r="AB802" s="15" t="str">
        <f>IF(AB800="","","Исполнитель"&amp;": ")</f>
        <v/>
      </c>
      <c r="AC802" s="62" t="str">
        <f>IFERROR(VLOOKUP(AA$13&amp;$B802,Aux!$B:$M,4,0),"")</f>
        <v/>
      </c>
      <c r="AD802" s="62"/>
      <c r="AE802" s="63" t="str">
        <f>IFERROR(IF(VLOOKUP(AA$13&amp;$B800,Aux!$B:$M,8,0)="Да","✔","🕓"),"")</f>
        <v/>
      </c>
    </row>
    <row r="803" spans="2:31" x14ac:dyDescent="0.25">
      <c r="B803" s="53">
        <f t="shared" si="12"/>
        <v>158</v>
      </c>
      <c r="C803" s="59"/>
      <c r="D803" s="16" t="str">
        <f>IF(D800="","","Срок сдачи"&amp;": ")</f>
        <v/>
      </c>
      <c r="E803" s="64" t="str">
        <f>IFERROR(VLOOKUP(C$13&amp;$B803,Aux!$B:$M,6,0),"")</f>
        <v/>
      </c>
      <c r="F803" s="64"/>
      <c r="G803" s="63"/>
      <c r="K803" s="59"/>
      <c r="L803" s="16" t="str">
        <f>IF(L800="","","Срок сдачи"&amp;": ")</f>
        <v/>
      </c>
      <c r="M803" s="64" t="str">
        <f>IFERROR(VLOOKUP(K$13&amp;$B803,Aux!$B:$M,6,0),"")</f>
        <v/>
      </c>
      <c r="N803" s="64"/>
      <c r="O803" s="63"/>
      <c r="S803" s="59"/>
      <c r="T803" s="16" t="str">
        <f>IF(T800="","","Срок сдачи"&amp;": ")</f>
        <v/>
      </c>
      <c r="U803" s="64" t="str">
        <f>IFERROR(VLOOKUP(S$13&amp;$B803,Aux!$B:$M,6,0),"")</f>
        <v/>
      </c>
      <c r="V803" s="64"/>
      <c r="W803" s="63"/>
      <c r="AA803" s="59"/>
      <c r="AB803" s="16" t="str">
        <f>IF(AB800="","","Срок сдачи"&amp;": ")</f>
        <v/>
      </c>
      <c r="AC803" s="64" t="str">
        <f>IFERROR(VLOOKUP(AA$13&amp;$B803,Aux!$B:$M,6,0),"")</f>
        <v/>
      </c>
      <c r="AD803" s="64"/>
      <c r="AE803" s="63"/>
    </row>
    <row r="804" spans="2:31" x14ac:dyDescent="0.25">
      <c r="B804" s="53">
        <f t="shared" si="12"/>
        <v>158</v>
      </c>
      <c r="C804" s="7"/>
      <c r="D804" s="17"/>
      <c r="E804" s="7"/>
      <c r="F804" s="18"/>
      <c r="G804" s="18"/>
      <c r="K804" s="13"/>
      <c r="L804" s="17"/>
      <c r="M804" s="13"/>
      <c r="N804" s="14"/>
      <c r="O804" s="14"/>
      <c r="S804" s="13"/>
      <c r="T804" s="17"/>
      <c r="U804" s="13"/>
      <c r="V804" s="14"/>
      <c r="W804" s="14"/>
      <c r="AA804" s="13"/>
      <c r="AB804" s="17"/>
      <c r="AC804" s="13"/>
      <c r="AD804" s="14"/>
      <c r="AE804" s="30"/>
    </row>
    <row r="805" spans="2:31" x14ac:dyDescent="0.25">
      <c r="B805" s="53">
        <f t="shared" si="12"/>
        <v>159</v>
      </c>
      <c r="C805" s="59" t="str">
        <f>IFERROR(VLOOKUP(C$13&amp;$B809,Aux!$B:$M,5,0),"")</f>
        <v/>
      </c>
      <c r="D805" s="60" t="str">
        <f>IFERROR(VLOOKUP(C$13&amp;$B805,Aux!$B:$M,3,0),"")</f>
        <v/>
      </c>
      <c r="E805" s="60"/>
      <c r="F805" s="60"/>
      <c r="G805" s="61" t="str">
        <f>IFERROR(VLOOKUP(C$13&amp;$B805,Aux!$B:$M,9,0),"")</f>
        <v/>
      </c>
      <c r="K805" s="59" t="str">
        <f>IFERROR(VLOOKUP(K$13&amp;$B809,Aux!$B:$M,5,0),"")</f>
        <v/>
      </c>
      <c r="L805" s="60" t="str">
        <f>IFERROR(VLOOKUP(K$13&amp;$B805,Aux!$B:$M,3,0),"")</f>
        <v/>
      </c>
      <c r="M805" s="60"/>
      <c r="N805" s="60"/>
      <c r="O805" s="61" t="str">
        <f>IFERROR(VLOOKUP(K$13&amp;$B805,Aux!$B:$M,9,0),"")</f>
        <v/>
      </c>
      <c r="S805" s="59" t="str">
        <f>IFERROR(VLOOKUP(S$13&amp;$B809,Aux!$B:$M,5,0),"")</f>
        <v/>
      </c>
      <c r="T805" s="60" t="str">
        <f>IFERROR(VLOOKUP(S$13&amp;$B805,Aux!$B:$M,3,0),"")</f>
        <v/>
      </c>
      <c r="U805" s="60"/>
      <c r="V805" s="60"/>
      <c r="W805" s="61" t="str">
        <f>IFERROR(VLOOKUP(S$13&amp;$B805,Aux!$B:$M,9,0),"")</f>
        <v/>
      </c>
      <c r="AA805" s="59" t="str">
        <f>IFERROR(VLOOKUP(AA$13&amp;$B809,Aux!$B:$M,5,0),"")</f>
        <v/>
      </c>
      <c r="AB805" s="60" t="str">
        <f>IFERROR(VLOOKUP(AA$13&amp;$B805,Aux!$B:$M,3,0),"")</f>
        <v/>
      </c>
      <c r="AC805" s="60"/>
      <c r="AD805" s="60"/>
      <c r="AE805" s="61" t="str">
        <f>IFERROR(VLOOKUP(AA$13&amp;$B805,Aux!$B:$M,9,0),"")</f>
        <v/>
      </c>
    </row>
    <row r="806" spans="2:31" x14ac:dyDescent="0.25">
      <c r="B806" s="53">
        <f t="shared" si="12"/>
        <v>159</v>
      </c>
      <c r="C806" s="59"/>
      <c r="D806" s="60"/>
      <c r="E806" s="60"/>
      <c r="F806" s="60"/>
      <c r="G806" s="61"/>
      <c r="K806" s="59"/>
      <c r="L806" s="60"/>
      <c r="M806" s="60"/>
      <c r="N806" s="60"/>
      <c r="O806" s="61"/>
      <c r="S806" s="59"/>
      <c r="T806" s="60"/>
      <c r="U806" s="60"/>
      <c r="V806" s="60"/>
      <c r="W806" s="61"/>
      <c r="AA806" s="59"/>
      <c r="AB806" s="60"/>
      <c r="AC806" s="60"/>
      <c r="AD806" s="60"/>
      <c r="AE806" s="61"/>
    </row>
    <row r="807" spans="2:31" x14ac:dyDescent="0.25">
      <c r="B807" s="53">
        <f t="shared" si="12"/>
        <v>159</v>
      </c>
      <c r="C807" s="59"/>
      <c r="D807" s="15" t="str">
        <f>IF(D805="","","Исполнитель"&amp;": ")</f>
        <v/>
      </c>
      <c r="E807" s="62" t="str">
        <f>IFERROR(VLOOKUP(C$13&amp;$B807,Aux!$B:$M,4,0),"")</f>
        <v/>
      </c>
      <c r="F807" s="62"/>
      <c r="G807" s="63" t="str">
        <f>IFERROR(IF(VLOOKUP(C$13&amp;$B805,Aux!$B:$M,8,0)="Да","✔","🕓"),"")</f>
        <v/>
      </c>
      <c r="K807" s="59"/>
      <c r="L807" s="15" t="str">
        <f>IF(L805="","","Исполнитель"&amp;": ")</f>
        <v/>
      </c>
      <c r="M807" s="62" t="str">
        <f>IFERROR(VLOOKUP(K$13&amp;$B807,Aux!$B:$M,4,0),"")</f>
        <v/>
      </c>
      <c r="N807" s="62"/>
      <c r="O807" s="63" t="str">
        <f>IFERROR(IF(VLOOKUP(K$13&amp;$B805,Aux!$B:$M,8,0)="Да","✔","🕓"),"")</f>
        <v/>
      </c>
      <c r="S807" s="59"/>
      <c r="T807" s="15" t="str">
        <f>IF(T805="","","Исполнитель"&amp;": ")</f>
        <v/>
      </c>
      <c r="U807" s="62" t="str">
        <f>IFERROR(VLOOKUP(S$13&amp;$B807,Aux!$B:$M,4,0),"")</f>
        <v/>
      </c>
      <c r="V807" s="62"/>
      <c r="W807" s="63" t="str">
        <f>IFERROR(IF(VLOOKUP(S$13&amp;$B805,Aux!$B:$M,8,0)="Да","✔","🕓"),"")</f>
        <v/>
      </c>
      <c r="AA807" s="59"/>
      <c r="AB807" s="15" t="str">
        <f>IF(AB805="","","Исполнитель"&amp;": ")</f>
        <v/>
      </c>
      <c r="AC807" s="62" t="str">
        <f>IFERROR(VLOOKUP(AA$13&amp;$B807,Aux!$B:$M,4,0),"")</f>
        <v/>
      </c>
      <c r="AD807" s="62"/>
      <c r="AE807" s="63" t="str">
        <f>IFERROR(IF(VLOOKUP(AA$13&amp;$B805,Aux!$B:$M,8,0)="Да","✔","🕓"),"")</f>
        <v/>
      </c>
    </row>
    <row r="808" spans="2:31" x14ac:dyDescent="0.25">
      <c r="B808" s="53">
        <f t="shared" si="12"/>
        <v>159</v>
      </c>
      <c r="C808" s="59"/>
      <c r="D808" s="16" t="str">
        <f>IF(D805="","","Срок сдачи"&amp;": ")</f>
        <v/>
      </c>
      <c r="E808" s="64" t="str">
        <f>IFERROR(VLOOKUP(C$13&amp;$B808,Aux!$B:$M,6,0),"")</f>
        <v/>
      </c>
      <c r="F808" s="64"/>
      <c r="G808" s="63"/>
      <c r="K808" s="59"/>
      <c r="L808" s="16" t="str">
        <f>IF(L805="","","Срок сдачи"&amp;": ")</f>
        <v/>
      </c>
      <c r="M808" s="64" t="str">
        <f>IFERROR(VLOOKUP(K$13&amp;$B808,Aux!$B:$M,6,0),"")</f>
        <v/>
      </c>
      <c r="N808" s="64"/>
      <c r="O808" s="63"/>
      <c r="S808" s="59"/>
      <c r="T808" s="16" t="str">
        <f>IF(T805="","","Срок сдачи"&amp;": ")</f>
        <v/>
      </c>
      <c r="U808" s="64" t="str">
        <f>IFERROR(VLOOKUP(S$13&amp;$B808,Aux!$B:$M,6,0),"")</f>
        <v/>
      </c>
      <c r="V808" s="64"/>
      <c r="W808" s="63"/>
      <c r="AA808" s="59"/>
      <c r="AB808" s="16" t="str">
        <f>IF(AB805="","","Срок сдачи"&amp;": ")</f>
        <v/>
      </c>
      <c r="AC808" s="64" t="str">
        <f>IFERROR(VLOOKUP(AA$13&amp;$B808,Aux!$B:$M,6,0),"")</f>
        <v/>
      </c>
      <c r="AD808" s="64"/>
      <c r="AE808" s="63"/>
    </row>
    <row r="809" spans="2:31" x14ac:dyDescent="0.25">
      <c r="B809" s="53">
        <f t="shared" si="12"/>
        <v>159</v>
      </c>
      <c r="C809" s="7"/>
      <c r="D809" s="17"/>
      <c r="E809" s="7"/>
      <c r="F809" s="18"/>
      <c r="G809" s="18"/>
      <c r="K809" s="13"/>
      <c r="L809" s="17"/>
      <c r="M809" s="13"/>
      <c r="N809" s="14"/>
      <c r="O809" s="14"/>
      <c r="S809" s="13"/>
      <c r="T809" s="17"/>
      <c r="U809" s="13"/>
      <c r="V809" s="14"/>
      <c r="W809" s="14"/>
      <c r="AA809" s="13"/>
      <c r="AB809" s="17"/>
      <c r="AC809" s="13"/>
      <c r="AD809" s="14"/>
      <c r="AE809" s="30"/>
    </row>
    <row r="810" spans="2:31" x14ac:dyDescent="0.25">
      <c r="B810" s="53">
        <f t="shared" si="12"/>
        <v>160</v>
      </c>
      <c r="C810" s="59" t="str">
        <f>IFERROR(VLOOKUP(C$13&amp;$B814,Aux!$B:$M,5,0),"")</f>
        <v/>
      </c>
      <c r="D810" s="60" t="str">
        <f>IFERROR(VLOOKUP(C$13&amp;$B810,Aux!$B:$M,3,0),"")</f>
        <v/>
      </c>
      <c r="E810" s="60"/>
      <c r="F810" s="60"/>
      <c r="G810" s="61" t="str">
        <f>IFERROR(VLOOKUP(C$13&amp;$B810,Aux!$B:$M,9,0),"")</f>
        <v/>
      </c>
      <c r="K810" s="59" t="str">
        <f>IFERROR(VLOOKUP(K$13&amp;$B814,Aux!$B:$M,5,0),"")</f>
        <v/>
      </c>
      <c r="L810" s="60" t="str">
        <f>IFERROR(VLOOKUP(K$13&amp;$B810,Aux!$B:$M,3,0),"")</f>
        <v/>
      </c>
      <c r="M810" s="60"/>
      <c r="N810" s="60"/>
      <c r="O810" s="61" t="str">
        <f>IFERROR(VLOOKUP(K$13&amp;$B810,Aux!$B:$M,9,0),"")</f>
        <v/>
      </c>
      <c r="S810" s="59" t="str">
        <f>IFERROR(VLOOKUP(S$13&amp;$B814,Aux!$B:$M,5,0),"")</f>
        <v/>
      </c>
      <c r="T810" s="60" t="str">
        <f>IFERROR(VLOOKUP(S$13&amp;$B810,Aux!$B:$M,3,0),"")</f>
        <v/>
      </c>
      <c r="U810" s="60"/>
      <c r="V810" s="60"/>
      <c r="W810" s="61" t="str">
        <f>IFERROR(VLOOKUP(S$13&amp;$B810,Aux!$B:$M,9,0),"")</f>
        <v/>
      </c>
      <c r="AA810" s="59" t="str">
        <f>IFERROR(VLOOKUP(AA$13&amp;$B814,Aux!$B:$M,5,0),"")</f>
        <v/>
      </c>
      <c r="AB810" s="60" t="str">
        <f>IFERROR(VLOOKUP(AA$13&amp;$B810,Aux!$B:$M,3,0),"")</f>
        <v/>
      </c>
      <c r="AC810" s="60"/>
      <c r="AD810" s="60"/>
      <c r="AE810" s="61" t="str">
        <f>IFERROR(VLOOKUP(AA$13&amp;$B810,Aux!$B:$M,9,0),"")</f>
        <v/>
      </c>
    </row>
    <row r="811" spans="2:31" x14ac:dyDescent="0.25">
      <c r="B811" s="53">
        <f t="shared" si="12"/>
        <v>160</v>
      </c>
      <c r="C811" s="59"/>
      <c r="D811" s="60"/>
      <c r="E811" s="60"/>
      <c r="F811" s="60"/>
      <c r="G811" s="61"/>
      <c r="K811" s="59"/>
      <c r="L811" s="60"/>
      <c r="M811" s="60"/>
      <c r="N811" s="60"/>
      <c r="O811" s="61"/>
      <c r="S811" s="59"/>
      <c r="T811" s="60"/>
      <c r="U811" s="60"/>
      <c r="V811" s="60"/>
      <c r="W811" s="61"/>
      <c r="AA811" s="59"/>
      <c r="AB811" s="60"/>
      <c r="AC811" s="60"/>
      <c r="AD811" s="60"/>
      <c r="AE811" s="61"/>
    </row>
    <row r="812" spans="2:31" x14ac:dyDescent="0.25">
      <c r="B812" s="53">
        <f t="shared" si="12"/>
        <v>160</v>
      </c>
      <c r="C812" s="59"/>
      <c r="D812" s="15" t="str">
        <f>IF(D810="","","Исполнитель"&amp;": ")</f>
        <v/>
      </c>
      <c r="E812" s="62" t="str">
        <f>IFERROR(VLOOKUP(C$13&amp;$B812,Aux!$B:$M,4,0),"")</f>
        <v/>
      </c>
      <c r="F812" s="62"/>
      <c r="G812" s="63" t="str">
        <f>IFERROR(IF(VLOOKUP(C$13&amp;$B810,Aux!$B:$M,8,0)="Да","✔","🕓"),"")</f>
        <v/>
      </c>
      <c r="K812" s="59"/>
      <c r="L812" s="15" t="str">
        <f>IF(L810="","","Исполнитель"&amp;": ")</f>
        <v/>
      </c>
      <c r="M812" s="62" t="str">
        <f>IFERROR(VLOOKUP(K$13&amp;$B812,Aux!$B:$M,4,0),"")</f>
        <v/>
      </c>
      <c r="N812" s="62"/>
      <c r="O812" s="63" t="str">
        <f>IFERROR(IF(VLOOKUP(K$13&amp;$B810,Aux!$B:$M,8,0)="Да","✔","🕓"),"")</f>
        <v/>
      </c>
      <c r="S812" s="59"/>
      <c r="T812" s="15" t="str">
        <f>IF(T810="","","Исполнитель"&amp;": ")</f>
        <v/>
      </c>
      <c r="U812" s="62" t="str">
        <f>IFERROR(VLOOKUP(S$13&amp;$B812,Aux!$B:$M,4,0),"")</f>
        <v/>
      </c>
      <c r="V812" s="62"/>
      <c r="W812" s="63" t="str">
        <f>IFERROR(IF(VLOOKUP(S$13&amp;$B810,Aux!$B:$M,8,0)="Да","✔","🕓"),"")</f>
        <v/>
      </c>
      <c r="AA812" s="59"/>
      <c r="AB812" s="15" t="str">
        <f>IF(AB810="","","Исполнитель"&amp;": ")</f>
        <v/>
      </c>
      <c r="AC812" s="62" t="str">
        <f>IFERROR(VLOOKUP(AA$13&amp;$B812,Aux!$B:$M,4,0),"")</f>
        <v/>
      </c>
      <c r="AD812" s="62"/>
      <c r="AE812" s="63" t="str">
        <f>IFERROR(IF(VLOOKUP(AA$13&amp;$B810,Aux!$B:$M,8,0)="Да","✔","🕓"),"")</f>
        <v/>
      </c>
    </row>
    <row r="813" spans="2:31" x14ac:dyDescent="0.25">
      <c r="B813" s="53">
        <f t="shared" si="12"/>
        <v>160</v>
      </c>
      <c r="C813" s="59"/>
      <c r="D813" s="16" t="str">
        <f>IF(D810="","","Срок сдачи"&amp;": ")</f>
        <v/>
      </c>
      <c r="E813" s="64" t="str">
        <f>IFERROR(VLOOKUP(C$13&amp;$B813,Aux!$B:$M,6,0),"")</f>
        <v/>
      </c>
      <c r="F813" s="64"/>
      <c r="G813" s="63"/>
      <c r="K813" s="59"/>
      <c r="L813" s="16" t="str">
        <f>IF(L810="","","Срок сдачи"&amp;": ")</f>
        <v/>
      </c>
      <c r="M813" s="64" t="str">
        <f>IFERROR(VLOOKUP(K$13&amp;$B813,Aux!$B:$M,6,0),"")</f>
        <v/>
      </c>
      <c r="N813" s="64"/>
      <c r="O813" s="63"/>
      <c r="S813" s="59"/>
      <c r="T813" s="16" t="str">
        <f>IF(T810="","","Срок сдачи"&amp;": ")</f>
        <v/>
      </c>
      <c r="U813" s="64" t="str">
        <f>IFERROR(VLOOKUP(S$13&amp;$B813,Aux!$B:$M,6,0),"")</f>
        <v/>
      </c>
      <c r="V813" s="64"/>
      <c r="W813" s="63"/>
      <c r="AA813" s="59"/>
      <c r="AB813" s="16" t="str">
        <f>IF(AB810="","","Срок сдачи"&amp;": ")</f>
        <v/>
      </c>
      <c r="AC813" s="64" t="str">
        <f>IFERROR(VLOOKUP(AA$13&amp;$B813,Aux!$B:$M,6,0),"")</f>
        <v/>
      </c>
      <c r="AD813" s="64"/>
      <c r="AE813" s="63"/>
    </row>
    <row r="814" spans="2:31" x14ac:dyDescent="0.25">
      <c r="B814" s="53">
        <f t="shared" si="12"/>
        <v>160</v>
      </c>
      <c r="C814" s="7"/>
      <c r="D814" s="17"/>
      <c r="E814" s="7"/>
      <c r="F814" s="18"/>
      <c r="G814" s="18"/>
      <c r="K814" s="13"/>
      <c r="L814" s="17"/>
      <c r="M814" s="13"/>
      <c r="N814" s="14"/>
      <c r="O814" s="14"/>
      <c r="S814" s="13"/>
      <c r="T814" s="17"/>
      <c r="U814" s="13"/>
      <c r="V814" s="14"/>
      <c r="W814" s="14"/>
      <c r="AA814" s="13"/>
      <c r="AB814" s="17"/>
      <c r="AC814" s="13"/>
      <c r="AD814" s="14"/>
      <c r="AE814" s="30"/>
    </row>
    <row r="815" spans="2:31" x14ac:dyDescent="0.25">
      <c r="B815" s="53">
        <f t="shared" si="12"/>
        <v>161</v>
      </c>
      <c r="C815" s="59" t="str">
        <f>IFERROR(VLOOKUP(C$13&amp;$B819,Aux!$B:$M,5,0),"")</f>
        <v/>
      </c>
      <c r="D815" s="60" t="str">
        <f>IFERROR(VLOOKUP(C$13&amp;$B815,Aux!$B:$M,3,0),"")</f>
        <v/>
      </c>
      <c r="E815" s="60"/>
      <c r="F815" s="60"/>
      <c r="G815" s="61" t="str">
        <f>IFERROR(VLOOKUP(C$13&amp;$B815,Aux!$B:$M,9,0),"")</f>
        <v/>
      </c>
      <c r="K815" s="59" t="str">
        <f>IFERROR(VLOOKUP(K$13&amp;$B819,Aux!$B:$M,5,0),"")</f>
        <v/>
      </c>
      <c r="L815" s="60" t="str">
        <f>IFERROR(VLOOKUP(K$13&amp;$B815,Aux!$B:$M,3,0),"")</f>
        <v/>
      </c>
      <c r="M815" s="60"/>
      <c r="N815" s="60"/>
      <c r="O815" s="61" t="str">
        <f>IFERROR(VLOOKUP(K$13&amp;$B815,Aux!$B:$M,9,0),"")</f>
        <v/>
      </c>
      <c r="S815" s="59" t="str">
        <f>IFERROR(VLOOKUP(S$13&amp;$B819,Aux!$B:$M,5,0),"")</f>
        <v/>
      </c>
      <c r="T815" s="60" t="str">
        <f>IFERROR(VLOOKUP(S$13&amp;$B815,Aux!$B:$M,3,0),"")</f>
        <v/>
      </c>
      <c r="U815" s="60"/>
      <c r="V815" s="60"/>
      <c r="W815" s="61" t="str">
        <f>IFERROR(VLOOKUP(S$13&amp;$B815,Aux!$B:$M,9,0),"")</f>
        <v/>
      </c>
      <c r="AA815" s="59" t="str">
        <f>IFERROR(VLOOKUP(AA$13&amp;$B819,Aux!$B:$M,5,0),"")</f>
        <v/>
      </c>
      <c r="AB815" s="60" t="str">
        <f>IFERROR(VLOOKUP(AA$13&amp;$B815,Aux!$B:$M,3,0),"")</f>
        <v/>
      </c>
      <c r="AC815" s="60"/>
      <c r="AD815" s="60"/>
      <c r="AE815" s="61" t="str">
        <f>IFERROR(VLOOKUP(AA$13&amp;$B815,Aux!$B:$M,9,0),"")</f>
        <v/>
      </c>
    </row>
    <row r="816" spans="2:31" x14ac:dyDescent="0.25">
      <c r="B816" s="53">
        <f t="shared" si="12"/>
        <v>161</v>
      </c>
      <c r="C816" s="59"/>
      <c r="D816" s="60"/>
      <c r="E816" s="60"/>
      <c r="F816" s="60"/>
      <c r="G816" s="61"/>
      <c r="K816" s="59"/>
      <c r="L816" s="60"/>
      <c r="M816" s="60"/>
      <c r="N816" s="60"/>
      <c r="O816" s="61"/>
      <c r="S816" s="59"/>
      <c r="T816" s="60"/>
      <c r="U816" s="60"/>
      <c r="V816" s="60"/>
      <c r="W816" s="61"/>
      <c r="AA816" s="59"/>
      <c r="AB816" s="60"/>
      <c r="AC816" s="60"/>
      <c r="AD816" s="60"/>
      <c r="AE816" s="61"/>
    </row>
    <row r="817" spans="2:31" x14ac:dyDescent="0.25">
      <c r="B817" s="53">
        <f t="shared" si="12"/>
        <v>161</v>
      </c>
      <c r="C817" s="59"/>
      <c r="D817" s="15" t="str">
        <f>IF(D815="","","Исполнитель"&amp;": ")</f>
        <v/>
      </c>
      <c r="E817" s="62" t="str">
        <f>IFERROR(VLOOKUP(C$13&amp;$B817,Aux!$B:$M,4,0),"")</f>
        <v/>
      </c>
      <c r="F817" s="62"/>
      <c r="G817" s="63" t="str">
        <f>IFERROR(IF(VLOOKUP(C$13&amp;$B815,Aux!$B:$M,8,0)="Да","✔","🕓"),"")</f>
        <v/>
      </c>
      <c r="K817" s="59"/>
      <c r="L817" s="15" t="str">
        <f>IF(L815="","","Исполнитель"&amp;": ")</f>
        <v/>
      </c>
      <c r="M817" s="62" t="str">
        <f>IFERROR(VLOOKUP(K$13&amp;$B817,Aux!$B:$M,4,0),"")</f>
        <v/>
      </c>
      <c r="N817" s="62"/>
      <c r="O817" s="63" t="str">
        <f>IFERROR(IF(VLOOKUP(K$13&amp;$B815,Aux!$B:$M,8,0)="Да","✔","🕓"),"")</f>
        <v/>
      </c>
      <c r="S817" s="59"/>
      <c r="T817" s="15" t="str">
        <f>IF(T815="","","Исполнитель"&amp;": ")</f>
        <v/>
      </c>
      <c r="U817" s="62" t="str">
        <f>IFERROR(VLOOKUP(S$13&amp;$B817,Aux!$B:$M,4,0),"")</f>
        <v/>
      </c>
      <c r="V817" s="62"/>
      <c r="W817" s="63" t="str">
        <f>IFERROR(IF(VLOOKUP(S$13&amp;$B815,Aux!$B:$M,8,0)="Да","✔","🕓"),"")</f>
        <v/>
      </c>
      <c r="AA817" s="59"/>
      <c r="AB817" s="15" t="str">
        <f>IF(AB815="","","Исполнитель"&amp;": ")</f>
        <v/>
      </c>
      <c r="AC817" s="62" t="str">
        <f>IFERROR(VLOOKUP(AA$13&amp;$B817,Aux!$B:$M,4,0),"")</f>
        <v/>
      </c>
      <c r="AD817" s="62"/>
      <c r="AE817" s="63" t="str">
        <f>IFERROR(IF(VLOOKUP(AA$13&amp;$B815,Aux!$B:$M,8,0)="Да","✔","🕓"),"")</f>
        <v/>
      </c>
    </row>
    <row r="818" spans="2:31" x14ac:dyDescent="0.25">
      <c r="B818" s="53">
        <f t="shared" si="12"/>
        <v>161</v>
      </c>
      <c r="C818" s="59"/>
      <c r="D818" s="16" t="str">
        <f>IF(D815="","","Срок сдачи"&amp;": ")</f>
        <v/>
      </c>
      <c r="E818" s="64" t="str">
        <f>IFERROR(VLOOKUP(C$13&amp;$B818,Aux!$B:$M,6,0),"")</f>
        <v/>
      </c>
      <c r="F818" s="64"/>
      <c r="G818" s="63"/>
      <c r="K818" s="59"/>
      <c r="L818" s="16" t="str">
        <f>IF(L815="","","Срок сдачи"&amp;": ")</f>
        <v/>
      </c>
      <c r="M818" s="64" t="str">
        <f>IFERROR(VLOOKUP(K$13&amp;$B818,Aux!$B:$M,6,0),"")</f>
        <v/>
      </c>
      <c r="N818" s="64"/>
      <c r="O818" s="63"/>
      <c r="S818" s="59"/>
      <c r="T818" s="16" t="str">
        <f>IF(T815="","","Срок сдачи"&amp;": ")</f>
        <v/>
      </c>
      <c r="U818" s="64" t="str">
        <f>IFERROR(VLOOKUP(S$13&amp;$B818,Aux!$B:$M,6,0),"")</f>
        <v/>
      </c>
      <c r="V818" s="64"/>
      <c r="W818" s="63"/>
      <c r="AA818" s="59"/>
      <c r="AB818" s="16" t="str">
        <f>IF(AB815="","","Срок сдачи"&amp;": ")</f>
        <v/>
      </c>
      <c r="AC818" s="64" t="str">
        <f>IFERROR(VLOOKUP(AA$13&amp;$B818,Aux!$B:$M,6,0),"")</f>
        <v/>
      </c>
      <c r="AD818" s="64"/>
      <c r="AE818" s="63"/>
    </row>
    <row r="819" spans="2:31" x14ac:dyDescent="0.25">
      <c r="B819" s="53">
        <f t="shared" si="12"/>
        <v>161</v>
      </c>
      <c r="C819" s="7"/>
      <c r="D819" s="17"/>
      <c r="E819" s="7"/>
      <c r="F819" s="18"/>
      <c r="G819" s="18"/>
      <c r="K819" s="13"/>
      <c r="L819" s="17"/>
      <c r="M819" s="13"/>
      <c r="N819" s="14"/>
      <c r="O819" s="14"/>
      <c r="S819" s="13"/>
      <c r="T819" s="17"/>
      <c r="U819" s="13"/>
      <c r="V819" s="14"/>
      <c r="W819" s="14"/>
      <c r="AA819" s="13"/>
      <c r="AB819" s="17"/>
      <c r="AC819" s="13"/>
      <c r="AD819" s="14"/>
      <c r="AE819" s="30"/>
    </row>
    <row r="820" spans="2:31" x14ac:dyDescent="0.25">
      <c r="B820" s="53">
        <f t="shared" si="12"/>
        <v>162</v>
      </c>
      <c r="C820" s="59" t="str">
        <f>IFERROR(VLOOKUP(C$13&amp;$B824,Aux!$B:$M,5,0),"")</f>
        <v/>
      </c>
      <c r="D820" s="60" t="str">
        <f>IFERROR(VLOOKUP(C$13&amp;$B820,Aux!$B:$M,3,0),"")</f>
        <v/>
      </c>
      <c r="E820" s="60"/>
      <c r="F820" s="60"/>
      <c r="G820" s="61" t="str">
        <f>IFERROR(VLOOKUP(C$13&amp;$B820,Aux!$B:$M,9,0),"")</f>
        <v/>
      </c>
      <c r="K820" s="59" t="str">
        <f>IFERROR(VLOOKUP(K$13&amp;$B824,Aux!$B:$M,5,0),"")</f>
        <v/>
      </c>
      <c r="L820" s="60" t="str">
        <f>IFERROR(VLOOKUP(K$13&amp;$B820,Aux!$B:$M,3,0),"")</f>
        <v/>
      </c>
      <c r="M820" s="60"/>
      <c r="N820" s="60"/>
      <c r="O820" s="61" t="str">
        <f>IFERROR(VLOOKUP(K$13&amp;$B820,Aux!$B:$M,9,0),"")</f>
        <v/>
      </c>
      <c r="S820" s="59" t="str">
        <f>IFERROR(VLOOKUP(S$13&amp;$B824,Aux!$B:$M,5,0),"")</f>
        <v/>
      </c>
      <c r="T820" s="60" t="str">
        <f>IFERROR(VLOOKUP(S$13&amp;$B820,Aux!$B:$M,3,0),"")</f>
        <v/>
      </c>
      <c r="U820" s="60"/>
      <c r="V820" s="60"/>
      <c r="W820" s="61" t="str">
        <f>IFERROR(VLOOKUP(S$13&amp;$B820,Aux!$B:$M,9,0),"")</f>
        <v/>
      </c>
      <c r="AA820" s="59" t="str">
        <f>IFERROR(VLOOKUP(AA$13&amp;$B824,Aux!$B:$M,5,0),"")</f>
        <v/>
      </c>
      <c r="AB820" s="60" t="str">
        <f>IFERROR(VLOOKUP(AA$13&amp;$B820,Aux!$B:$M,3,0),"")</f>
        <v/>
      </c>
      <c r="AC820" s="60"/>
      <c r="AD820" s="60"/>
      <c r="AE820" s="61" t="str">
        <f>IFERROR(VLOOKUP(AA$13&amp;$B820,Aux!$B:$M,9,0),"")</f>
        <v/>
      </c>
    </row>
    <row r="821" spans="2:31" x14ac:dyDescent="0.25">
      <c r="B821" s="53">
        <f t="shared" si="12"/>
        <v>162</v>
      </c>
      <c r="C821" s="59"/>
      <c r="D821" s="60"/>
      <c r="E821" s="60"/>
      <c r="F821" s="60"/>
      <c r="G821" s="61"/>
      <c r="K821" s="59"/>
      <c r="L821" s="60"/>
      <c r="M821" s="60"/>
      <c r="N821" s="60"/>
      <c r="O821" s="61"/>
      <c r="S821" s="59"/>
      <c r="T821" s="60"/>
      <c r="U821" s="60"/>
      <c r="V821" s="60"/>
      <c r="W821" s="61"/>
      <c r="AA821" s="59"/>
      <c r="AB821" s="60"/>
      <c r="AC821" s="60"/>
      <c r="AD821" s="60"/>
      <c r="AE821" s="61"/>
    </row>
    <row r="822" spans="2:31" x14ac:dyDescent="0.25">
      <c r="B822" s="53">
        <f t="shared" si="12"/>
        <v>162</v>
      </c>
      <c r="C822" s="59"/>
      <c r="D822" s="15" t="str">
        <f>IF(D820="","","Исполнитель"&amp;": ")</f>
        <v/>
      </c>
      <c r="E822" s="62" t="str">
        <f>IFERROR(VLOOKUP(C$13&amp;$B822,Aux!$B:$M,4,0),"")</f>
        <v/>
      </c>
      <c r="F822" s="62"/>
      <c r="G822" s="63" t="str">
        <f>IFERROR(IF(VLOOKUP(C$13&amp;$B820,Aux!$B:$M,8,0)="Да","✔","🕓"),"")</f>
        <v/>
      </c>
      <c r="K822" s="59"/>
      <c r="L822" s="15" t="str">
        <f>IF(L820="","","Исполнитель"&amp;": ")</f>
        <v/>
      </c>
      <c r="M822" s="62" t="str">
        <f>IFERROR(VLOOKUP(K$13&amp;$B822,Aux!$B:$M,4,0),"")</f>
        <v/>
      </c>
      <c r="N822" s="62"/>
      <c r="O822" s="63" t="str">
        <f>IFERROR(IF(VLOOKUP(K$13&amp;$B820,Aux!$B:$M,8,0)="Да","✔","🕓"),"")</f>
        <v/>
      </c>
      <c r="S822" s="59"/>
      <c r="T822" s="15" t="str">
        <f>IF(T820="","","Исполнитель"&amp;": ")</f>
        <v/>
      </c>
      <c r="U822" s="62" t="str">
        <f>IFERROR(VLOOKUP(S$13&amp;$B822,Aux!$B:$M,4,0),"")</f>
        <v/>
      </c>
      <c r="V822" s="62"/>
      <c r="W822" s="63" t="str">
        <f>IFERROR(IF(VLOOKUP(S$13&amp;$B820,Aux!$B:$M,8,0)="Да","✔","🕓"),"")</f>
        <v/>
      </c>
      <c r="AA822" s="59"/>
      <c r="AB822" s="15" t="str">
        <f>IF(AB820="","","Исполнитель"&amp;": ")</f>
        <v/>
      </c>
      <c r="AC822" s="62" t="str">
        <f>IFERROR(VLOOKUP(AA$13&amp;$B822,Aux!$B:$M,4,0),"")</f>
        <v/>
      </c>
      <c r="AD822" s="62"/>
      <c r="AE822" s="63" t="str">
        <f>IFERROR(IF(VLOOKUP(AA$13&amp;$B820,Aux!$B:$M,8,0)="Да","✔","🕓"),"")</f>
        <v/>
      </c>
    </row>
    <row r="823" spans="2:31" x14ac:dyDescent="0.25">
      <c r="B823" s="53">
        <f t="shared" si="12"/>
        <v>162</v>
      </c>
      <c r="C823" s="59"/>
      <c r="D823" s="16" t="str">
        <f>IF(D820="","","Срок сдачи"&amp;": ")</f>
        <v/>
      </c>
      <c r="E823" s="64" t="str">
        <f>IFERROR(VLOOKUP(C$13&amp;$B823,Aux!$B:$M,6,0),"")</f>
        <v/>
      </c>
      <c r="F823" s="64"/>
      <c r="G823" s="63"/>
      <c r="K823" s="59"/>
      <c r="L823" s="16" t="str">
        <f>IF(L820="","","Срок сдачи"&amp;": ")</f>
        <v/>
      </c>
      <c r="M823" s="64" t="str">
        <f>IFERROR(VLOOKUP(K$13&amp;$B823,Aux!$B:$M,6,0),"")</f>
        <v/>
      </c>
      <c r="N823" s="64"/>
      <c r="O823" s="63"/>
      <c r="S823" s="59"/>
      <c r="T823" s="16" t="str">
        <f>IF(T820="","","Срок сдачи"&amp;": ")</f>
        <v/>
      </c>
      <c r="U823" s="64" t="str">
        <f>IFERROR(VLOOKUP(S$13&amp;$B823,Aux!$B:$M,6,0),"")</f>
        <v/>
      </c>
      <c r="V823" s="64"/>
      <c r="W823" s="63"/>
      <c r="AA823" s="59"/>
      <c r="AB823" s="16" t="str">
        <f>IF(AB820="","","Срок сдачи"&amp;": ")</f>
        <v/>
      </c>
      <c r="AC823" s="64" t="str">
        <f>IFERROR(VLOOKUP(AA$13&amp;$B823,Aux!$B:$M,6,0),"")</f>
        <v/>
      </c>
      <c r="AD823" s="64"/>
      <c r="AE823" s="63"/>
    </row>
    <row r="824" spans="2:31" x14ac:dyDescent="0.25">
      <c r="B824" s="53">
        <f t="shared" si="12"/>
        <v>162</v>
      </c>
      <c r="C824" s="7"/>
      <c r="D824" s="17"/>
      <c r="E824" s="7"/>
      <c r="F824" s="18"/>
      <c r="G824" s="18"/>
      <c r="K824" s="13"/>
      <c r="L824" s="17"/>
      <c r="M824" s="13"/>
      <c r="N824" s="14"/>
      <c r="O824" s="14"/>
      <c r="S824" s="13"/>
      <c r="T824" s="17"/>
      <c r="U824" s="13"/>
      <c r="V824" s="14"/>
      <c r="W824" s="14"/>
      <c r="AA824" s="13"/>
      <c r="AB824" s="17"/>
      <c r="AC824" s="13"/>
      <c r="AD824" s="14"/>
      <c r="AE824" s="30"/>
    </row>
    <row r="825" spans="2:31" x14ac:dyDescent="0.25">
      <c r="B825" s="53">
        <f t="shared" si="12"/>
        <v>163</v>
      </c>
      <c r="C825" s="59" t="str">
        <f>IFERROR(VLOOKUP(C$13&amp;$B829,Aux!$B:$M,5,0),"")</f>
        <v/>
      </c>
      <c r="D825" s="60" t="str">
        <f>IFERROR(VLOOKUP(C$13&amp;$B825,Aux!$B:$M,3,0),"")</f>
        <v/>
      </c>
      <c r="E825" s="60"/>
      <c r="F825" s="60"/>
      <c r="G825" s="61" t="str">
        <f>IFERROR(VLOOKUP(C$13&amp;$B825,Aux!$B:$M,9,0),"")</f>
        <v/>
      </c>
      <c r="K825" s="59" t="str">
        <f>IFERROR(VLOOKUP(K$13&amp;$B829,Aux!$B:$M,5,0),"")</f>
        <v/>
      </c>
      <c r="L825" s="60" t="str">
        <f>IFERROR(VLOOKUP(K$13&amp;$B825,Aux!$B:$M,3,0),"")</f>
        <v/>
      </c>
      <c r="M825" s="60"/>
      <c r="N825" s="60"/>
      <c r="O825" s="61" t="str">
        <f>IFERROR(VLOOKUP(K$13&amp;$B825,Aux!$B:$M,9,0),"")</f>
        <v/>
      </c>
      <c r="S825" s="59" t="str">
        <f>IFERROR(VLOOKUP(S$13&amp;$B829,Aux!$B:$M,5,0),"")</f>
        <v/>
      </c>
      <c r="T825" s="60" t="str">
        <f>IFERROR(VLOOKUP(S$13&amp;$B825,Aux!$B:$M,3,0),"")</f>
        <v/>
      </c>
      <c r="U825" s="60"/>
      <c r="V825" s="60"/>
      <c r="W825" s="61" t="str">
        <f>IFERROR(VLOOKUP(S$13&amp;$B825,Aux!$B:$M,9,0),"")</f>
        <v/>
      </c>
      <c r="AA825" s="59" t="str">
        <f>IFERROR(VLOOKUP(AA$13&amp;$B829,Aux!$B:$M,5,0),"")</f>
        <v/>
      </c>
      <c r="AB825" s="60" t="str">
        <f>IFERROR(VLOOKUP(AA$13&amp;$B825,Aux!$B:$M,3,0),"")</f>
        <v/>
      </c>
      <c r="AC825" s="60"/>
      <c r="AD825" s="60"/>
      <c r="AE825" s="61" t="str">
        <f>IFERROR(VLOOKUP(AA$13&amp;$B825,Aux!$B:$M,9,0),"")</f>
        <v/>
      </c>
    </row>
    <row r="826" spans="2:31" x14ac:dyDescent="0.25">
      <c r="B826" s="53">
        <f t="shared" si="12"/>
        <v>163</v>
      </c>
      <c r="C826" s="59"/>
      <c r="D826" s="60"/>
      <c r="E826" s="60"/>
      <c r="F826" s="60"/>
      <c r="G826" s="61"/>
      <c r="K826" s="59"/>
      <c r="L826" s="60"/>
      <c r="M826" s="60"/>
      <c r="N826" s="60"/>
      <c r="O826" s="61"/>
      <c r="S826" s="59"/>
      <c r="T826" s="60"/>
      <c r="U826" s="60"/>
      <c r="V826" s="60"/>
      <c r="W826" s="61"/>
      <c r="AA826" s="59"/>
      <c r="AB826" s="60"/>
      <c r="AC826" s="60"/>
      <c r="AD826" s="60"/>
      <c r="AE826" s="61"/>
    </row>
    <row r="827" spans="2:31" x14ac:dyDescent="0.25">
      <c r="B827" s="53">
        <f t="shared" si="12"/>
        <v>163</v>
      </c>
      <c r="C827" s="59"/>
      <c r="D827" s="15" t="str">
        <f>IF(D825="","","Исполнитель"&amp;": ")</f>
        <v/>
      </c>
      <c r="E827" s="62" t="str">
        <f>IFERROR(VLOOKUP(C$13&amp;$B827,Aux!$B:$M,4,0),"")</f>
        <v/>
      </c>
      <c r="F827" s="62"/>
      <c r="G827" s="63" t="str">
        <f>IFERROR(IF(VLOOKUP(C$13&amp;$B825,Aux!$B:$M,8,0)="Да","✔","🕓"),"")</f>
        <v/>
      </c>
      <c r="K827" s="59"/>
      <c r="L827" s="15" t="str">
        <f>IF(L825="","","Исполнитель"&amp;": ")</f>
        <v/>
      </c>
      <c r="M827" s="62" t="str">
        <f>IFERROR(VLOOKUP(K$13&amp;$B827,Aux!$B:$M,4,0),"")</f>
        <v/>
      </c>
      <c r="N827" s="62"/>
      <c r="O827" s="63" t="str">
        <f>IFERROR(IF(VLOOKUP(K$13&amp;$B825,Aux!$B:$M,8,0)="Да","✔","🕓"),"")</f>
        <v/>
      </c>
      <c r="S827" s="59"/>
      <c r="T827" s="15" t="str">
        <f>IF(T825="","","Исполнитель"&amp;": ")</f>
        <v/>
      </c>
      <c r="U827" s="62" t="str">
        <f>IFERROR(VLOOKUP(S$13&amp;$B827,Aux!$B:$M,4,0),"")</f>
        <v/>
      </c>
      <c r="V827" s="62"/>
      <c r="W827" s="63" t="str">
        <f>IFERROR(IF(VLOOKUP(S$13&amp;$B825,Aux!$B:$M,8,0)="Да","✔","🕓"),"")</f>
        <v/>
      </c>
      <c r="AA827" s="59"/>
      <c r="AB827" s="15" t="str">
        <f>IF(AB825="","","Исполнитель"&amp;": ")</f>
        <v/>
      </c>
      <c r="AC827" s="62" t="str">
        <f>IFERROR(VLOOKUP(AA$13&amp;$B827,Aux!$B:$M,4,0),"")</f>
        <v/>
      </c>
      <c r="AD827" s="62"/>
      <c r="AE827" s="63" t="str">
        <f>IFERROR(IF(VLOOKUP(AA$13&amp;$B825,Aux!$B:$M,8,0)="Да","✔","🕓"),"")</f>
        <v/>
      </c>
    </row>
    <row r="828" spans="2:31" x14ac:dyDescent="0.25">
      <c r="B828" s="53">
        <f t="shared" si="12"/>
        <v>163</v>
      </c>
      <c r="C828" s="59"/>
      <c r="D828" s="16" t="str">
        <f>IF(D825="","","Срок сдачи"&amp;": ")</f>
        <v/>
      </c>
      <c r="E828" s="64" t="str">
        <f>IFERROR(VLOOKUP(C$13&amp;$B828,Aux!$B:$M,6,0),"")</f>
        <v/>
      </c>
      <c r="F828" s="64"/>
      <c r="G828" s="63"/>
      <c r="K828" s="59"/>
      <c r="L828" s="16" t="str">
        <f>IF(L825="","","Срок сдачи"&amp;": ")</f>
        <v/>
      </c>
      <c r="M828" s="64" t="str">
        <f>IFERROR(VLOOKUP(K$13&amp;$B828,Aux!$B:$M,6,0),"")</f>
        <v/>
      </c>
      <c r="N828" s="64"/>
      <c r="O828" s="63"/>
      <c r="S828" s="59"/>
      <c r="T828" s="16" t="str">
        <f>IF(T825="","","Срок сдачи"&amp;": ")</f>
        <v/>
      </c>
      <c r="U828" s="64" t="str">
        <f>IFERROR(VLOOKUP(S$13&amp;$B828,Aux!$B:$M,6,0),"")</f>
        <v/>
      </c>
      <c r="V828" s="64"/>
      <c r="W828" s="63"/>
      <c r="AA828" s="59"/>
      <c r="AB828" s="16" t="str">
        <f>IF(AB825="","","Срок сдачи"&amp;": ")</f>
        <v/>
      </c>
      <c r="AC828" s="64" t="str">
        <f>IFERROR(VLOOKUP(AA$13&amp;$B828,Aux!$B:$M,6,0),"")</f>
        <v/>
      </c>
      <c r="AD828" s="64"/>
      <c r="AE828" s="63"/>
    </row>
    <row r="829" spans="2:31" x14ac:dyDescent="0.25">
      <c r="B829" s="53">
        <f t="shared" si="12"/>
        <v>163</v>
      </c>
      <c r="C829" s="7"/>
      <c r="D829" s="17"/>
      <c r="E829" s="7"/>
      <c r="F829" s="18"/>
      <c r="G829" s="18"/>
      <c r="K829" s="13"/>
      <c r="L829" s="17"/>
      <c r="M829" s="13"/>
      <c r="N829" s="14"/>
      <c r="O829" s="14"/>
      <c r="S829" s="13"/>
      <c r="T829" s="17"/>
      <c r="U829" s="13"/>
      <c r="V829" s="14"/>
      <c r="W829" s="14"/>
      <c r="AA829" s="13"/>
      <c r="AB829" s="17"/>
      <c r="AC829" s="13"/>
      <c r="AD829" s="14"/>
      <c r="AE829" s="30"/>
    </row>
    <row r="830" spans="2:31" x14ac:dyDescent="0.25">
      <c r="B830" s="53">
        <f t="shared" si="12"/>
        <v>164</v>
      </c>
      <c r="C830" s="59" t="str">
        <f>IFERROR(VLOOKUP(C$13&amp;$B834,Aux!$B:$M,5,0),"")</f>
        <v/>
      </c>
      <c r="D830" s="60" t="str">
        <f>IFERROR(VLOOKUP(C$13&amp;$B830,Aux!$B:$M,3,0),"")</f>
        <v/>
      </c>
      <c r="E830" s="60"/>
      <c r="F830" s="60"/>
      <c r="G830" s="61" t="str">
        <f>IFERROR(VLOOKUP(C$13&amp;$B830,Aux!$B:$M,9,0),"")</f>
        <v/>
      </c>
      <c r="K830" s="59" t="str">
        <f>IFERROR(VLOOKUP(K$13&amp;$B834,Aux!$B:$M,5,0),"")</f>
        <v/>
      </c>
      <c r="L830" s="60" t="str">
        <f>IFERROR(VLOOKUP(K$13&amp;$B830,Aux!$B:$M,3,0),"")</f>
        <v/>
      </c>
      <c r="M830" s="60"/>
      <c r="N830" s="60"/>
      <c r="O830" s="61" t="str">
        <f>IFERROR(VLOOKUP(K$13&amp;$B830,Aux!$B:$M,9,0),"")</f>
        <v/>
      </c>
      <c r="S830" s="59" t="str">
        <f>IFERROR(VLOOKUP(S$13&amp;$B834,Aux!$B:$M,5,0),"")</f>
        <v/>
      </c>
      <c r="T830" s="60" t="str">
        <f>IFERROR(VLOOKUP(S$13&amp;$B830,Aux!$B:$M,3,0),"")</f>
        <v/>
      </c>
      <c r="U830" s="60"/>
      <c r="V830" s="60"/>
      <c r="W830" s="61" t="str">
        <f>IFERROR(VLOOKUP(S$13&amp;$B830,Aux!$B:$M,9,0),"")</f>
        <v/>
      </c>
      <c r="AA830" s="59" t="str">
        <f>IFERROR(VLOOKUP(AA$13&amp;$B834,Aux!$B:$M,5,0),"")</f>
        <v/>
      </c>
      <c r="AB830" s="60" t="str">
        <f>IFERROR(VLOOKUP(AA$13&amp;$B830,Aux!$B:$M,3,0),"")</f>
        <v/>
      </c>
      <c r="AC830" s="60"/>
      <c r="AD830" s="60"/>
      <c r="AE830" s="61" t="str">
        <f>IFERROR(VLOOKUP(AA$13&amp;$B830,Aux!$B:$M,9,0),"")</f>
        <v/>
      </c>
    </row>
    <row r="831" spans="2:31" x14ac:dyDescent="0.25">
      <c r="B831" s="53">
        <f t="shared" si="12"/>
        <v>164</v>
      </c>
      <c r="C831" s="59"/>
      <c r="D831" s="60"/>
      <c r="E831" s="60"/>
      <c r="F831" s="60"/>
      <c r="G831" s="61"/>
      <c r="K831" s="59"/>
      <c r="L831" s="60"/>
      <c r="M831" s="60"/>
      <c r="N831" s="60"/>
      <c r="O831" s="61"/>
      <c r="S831" s="59"/>
      <c r="T831" s="60"/>
      <c r="U831" s="60"/>
      <c r="V831" s="60"/>
      <c r="W831" s="61"/>
      <c r="AA831" s="59"/>
      <c r="AB831" s="60"/>
      <c r="AC831" s="60"/>
      <c r="AD831" s="60"/>
      <c r="AE831" s="61"/>
    </row>
    <row r="832" spans="2:31" x14ac:dyDescent="0.25">
      <c r="B832" s="53">
        <f t="shared" si="12"/>
        <v>164</v>
      </c>
      <c r="C832" s="59"/>
      <c r="D832" s="15" t="str">
        <f>IF(D830="","","Исполнитель"&amp;": ")</f>
        <v/>
      </c>
      <c r="E832" s="62" t="str">
        <f>IFERROR(VLOOKUP(C$13&amp;$B832,Aux!$B:$M,4,0),"")</f>
        <v/>
      </c>
      <c r="F832" s="62"/>
      <c r="G832" s="63" t="str">
        <f>IFERROR(IF(VLOOKUP(C$13&amp;$B830,Aux!$B:$M,8,0)="Да","✔","🕓"),"")</f>
        <v/>
      </c>
      <c r="K832" s="59"/>
      <c r="L832" s="15" t="str">
        <f>IF(L830="","","Исполнитель"&amp;": ")</f>
        <v/>
      </c>
      <c r="M832" s="62" t="str">
        <f>IFERROR(VLOOKUP(K$13&amp;$B832,Aux!$B:$M,4,0),"")</f>
        <v/>
      </c>
      <c r="N832" s="62"/>
      <c r="O832" s="63" t="str">
        <f>IFERROR(IF(VLOOKUP(K$13&amp;$B830,Aux!$B:$M,8,0)="Да","✔","🕓"),"")</f>
        <v/>
      </c>
      <c r="S832" s="59"/>
      <c r="T832" s="15" t="str">
        <f>IF(T830="","","Исполнитель"&amp;": ")</f>
        <v/>
      </c>
      <c r="U832" s="62" t="str">
        <f>IFERROR(VLOOKUP(S$13&amp;$B832,Aux!$B:$M,4,0),"")</f>
        <v/>
      </c>
      <c r="V832" s="62"/>
      <c r="W832" s="63" t="str">
        <f>IFERROR(IF(VLOOKUP(S$13&amp;$B830,Aux!$B:$M,8,0)="Да","✔","🕓"),"")</f>
        <v/>
      </c>
      <c r="AA832" s="59"/>
      <c r="AB832" s="15" t="str">
        <f>IF(AB830="","","Исполнитель"&amp;": ")</f>
        <v/>
      </c>
      <c r="AC832" s="62" t="str">
        <f>IFERROR(VLOOKUP(AA$13&amp;$B832,Aux!$B:$M,4,0),"")</f>
        <v/>
      </c>
      <c r="AD832" s="62"/>
      <c r="AE832" s="63" t="str">
        <f>IFERROR(IF(VLOOKUP(AA$13&amp;$B830,Aux!$B:$M,8,0)="Да","✔","🕓"),"")</f>
        <v/>
      </c>
    </row>
    <row r="833" spans="2:31" x14ac:dyDescent="0.25">
      <c r="B833" s="53">
        <f t="shared" si="12"/>
        <v>164</v>
      </c>
      <c r="C833" s="59"/>
      <c r="D833" s="16" t="str">
        <f>IF(D830="","","Срок сдачи"&amp;": ")</f>
        <v/>
      </c>
      <c r="E833" s="64" t="str">
        <f>IFERROR(VLOOKUP(C$13&amp;$B833,Aux!$B:$M,6,0),"")</f>
        <v/>
      </c>
      <c r="F833" s="64"/>
      <c r="G833" s="63"/>
      <c r="K833" s="59"/>
      <c r="L833" s="16" t="str">
        <f>IF(L830="","","Срок сдачи"&amp;": ")</f>
        <v/>
      </c>
      <c r="M833" s="64" t="str">
        <f>IFERROR(VLOOKUP(K$13&amp;$B833,Aux!$B:$M,6,0),"")</f>
        <v/>
      </c>
      <c r="N833" s="64"/>
      <c r="O833" s="63"/>
      <c r="S833" s="59"/>
      <c r="T833" s="16" t="str">
        <f>IF(T830="","","Срок сдачи"&amp;": ")</f>
        <v/>
      </c>
      <c r="U833" s="64" t="str">
        <f>IFERROR(VLOOKUP(S$13&amp;$B833,Aux!$B:$M,6,0),"")</f>
        <v/>
      </c>
      <c r="V833" s="64"/>
      <c r="W833" s="63"/>
      <c r="AA833" s="59"/>
      <c r="AB833" s="16" t="str">
        <f>IF(AB830="","","Срок сдачи"&amp;": ")</f>
        <v/>
      </c>
      <c r="AC833" s="64" t="str">
        <f>IFERROR(VLOOKUP(AA$13&amp;$B833,Aux!$B:$M,6,0),"")</f>
        <v/>
      </c>
      <c r="AD833" s="64"/>
      <c r="AE833" s="63"/>
    </row>
    <row r="834" spans="2:31" x14ac:dyDescent="0.25">
      <c r="B834" s="53">
        <f t="shared" si="12"/>
        <v>164</v>
      </c>
      <c r="C834" s="7"/>
      <c r="D834" s="17"/>
      <c r="E834" s="7"/>
      <c r="F834" s="18"/>
      <c r="G834" s="18"/>
      <c r="K834" s="13"/>
      <c r="L834" s="17"/>
      <c r="M834" s="13"/>
      <c r="N834" s="14"/>
      <c r="O834" s="14"/>
      <c r="S834" s="13"/>
      <c r="T834" s="17"/>
      <c r="U834" s="13"/>
      <c r="V834" s="14"/>
      <c r="W834" s="14"/>
      <c r="AA834" s="13"/>
      <c r="AB834" s="17"/>
      <c r="AC834" s="13"/>
      <c r="AD834" s="14"/>
      <c r="AE834" s="30"/>
    </row>
    <row r="835" spans="2:31" x14ac:dyDescent="0.25">
      <c r="B835" s="53">
        <f t="shared" si="12"/>
        <v>165</v>
      </c>
      <c r="C835" s="59" t="str">
        <f>IFERROR(VLOOKUP(C$13&amp;$B839,Aux!$B:$M,5,0),"")</f>
        <v/>
      </c>
      <c r="D835" s="60" t="str">
        <f>IFERROR(VLOOKUP(C$13&amp;$B835,Aux!$B:$M,3,0),"")</f>
        <v/>
      </c>
      <c r="E835" s="60"/>
      <c r="F835" s="60"/>
      <c r="G835" s="61" t="str">
        <f>IFERROR(VLOOKUP(C$13&amp;$B835,Aux!$B:$M,9,0),"")</f>
        <v/>
      </c>
      <c r="K835" s="59" t="str">
        <f>IFERROR(VLOOKUP(K$13&amp;$B839,Aux!$B:$M,5,0),"")</f>
        <v/>
      </c>
      <c r="L835" s="60" t="str">
        <f>IFERROR(VLOOKUP(K$13&amp;$B835,Aux!$B:$M,3,0),"")</f>
        <v/>
      </c>
      <c r="M835" s="60"/>
      <c r="N835" s="60"/>
      <c r="O835" s="61" t="str">
        <f>IFERROR(VLOOKUP(K$13&amp;$B835,Aux!$B:$M,9,0),"")</f>
        <v/>
      </c>
      <c r="S835" s="59" t="str">
        <f>IFERROR(VLOOKUP(S$13&amp;$B839,Aux!$B:$M,5,0),"")</f>
        <v/>
      </c>
      <c r="T835" s="60" t="str">
        <f>IFERROR(VLOOKUP(S$13&amp;$B835,Aux!$B:$M,3,0),"")</f>
        <v/>
      </c>
      <c r="U835" s="60"/>
      <c r="V835" s="60"/>
      <c r="W835" s="61" t="str">
        <f>IFERROR(VLOOKUP(S$13&amp;$B835,Aux!$B:$M,9,0),"")</f>
        <v/>
      </c>
      <c r="AA835" s="59" t="str">
        <f>IFERROR(VLOOKUP(AA$13&amp;$B839,Aux!$B:$M,5,0),"")</f>
        <v/>
      </c>
      <c r="AB835" s="60" t="str">
        <f>IFERROR(VLOOKUP(AA$13&amp;$B835,Aux!$B:$M,3,0),"")</f>
        <v/>
      </c>
      <c r="AC835" s="60"/>
      <c r="AD835" s="60"/>
      <c r="AE835" s="61" t="str">
        <f>IFERROR(VLOOKUP(AA$13&amp;$B835,Aux!$B:$M,9,0),"")</f>
        <v/>
      </c>
    </row>
    <row r="836" spans="2:31" x14ac:dyDescent="0.25">
      <c r="B836" s="53">
        <f t="shared" si="12"/>
        <v>165</v>
      </c>
      <c r="C836" s="59"/>
      <c r="D836" s="60"/>
      <c r="E836" s="60"/>
      <c r="F836" s="60"/>
      <c r="G836" s="61"/>
      <c r="K836" s="59"/>
      <c r="L836" s="60"/>
      <c r="M836" s="60"/>
      <c r="N836" s="60"/>
      <c r="O836" s="61"/>
      <c r="S836" s="59"/>
      <c r="T836" s="60"/>
      <c r="U836" s="60"/>
      <c r="V836" s="60"/>
      <c r="W836" s="61"/>
      <c r="AA836" s="59"/>
      <c r="AB836" s="60"/>
      <c r="AC836" s="60"/>
      <c r="AD836" s="60"/>
      <c r="AE836" s="61"/>
    </row>
    <row r="837" spans="2:31" x14ac:dyDescent="0.25">
      <c r="B837" s="53">
        <f t="shared" si="12"/>
        <v>165</v>
      </c>
      <c r="C837" s="59"/>
      <c r="D837" s="15" t="str">
        <f>IF(D835="","","Исполнитель"&amp;": ")</f>
        <v/>
      </c>
      <c r="E837" s="62" t="str">
        <f>IFERROR(VLOOKUP(C$13&amp;$B837,Aux!$B:$M,4,0),"")</f>
        <v/>
      </c>
      <c r="F837" s="62"/>
      <c r="G837" s="63" t="str">
        <f>IFERROR(IF(VLOOKUP(C$13&amp;$B835,Aux!$B:$M,8,0)="Да","✔","🕓"),"")</f>
        <v/>
      </c>
      <c r="K837" s="59"/>
      <c r="L837" s="15" t="str">
        <f>IF(L835="","","Исполнитель"&amp;": ")</f>
        <v/>
      </c>
      <c r="M837" s="62" t="str">
        <f>IFERROR(VLOOKUP(K$13&amp;$B837,Aux!$B:$M,4,0),"")</f>
        <v/>
      </c>
      <c r="N837" s="62"/>
      <c r="O837" s="63" t="str">
        <f>IFERROR(IF(VLOOKUP(K$13&amp;$B835,Aux!$B:$M,8,0)="Да","✔","🕓"),"")</f>
        <v/>
      </c>
      <c r="S837" s="59"/>
      <c r="T837" s="15" t="str">
        <f>IF(T835="","","Исполнитель"&amp;": ")</f>
        <v/>
      </c>
      <c r="U837" s="62" t="str">
        <f>IFERROR(VLOOKUP(S$13&amp;$B837,Aux!$B:$M,4,0),"")</f>
        <v/>
      </c>
      <c r="V837" s="62"/>
      <c r="W837" s="63" t="str">
        <f>IFERROR(IF(VLOOKUP(S$13&amp;$B835,Aux!$B:$M,8,0)="Да","✔","🕓"),"")</f>
        <v/>
      </c>
      <c r="AA837" s="59"/>
      <c r="AB837" s="15" t="str">
        <f>IF(AB835="","","Исполнитель"&amp;": ")</f>
        <v/>
      </c>
      <c r="AC837" s="62" t="str">
        <f>IFERROR(VLOOKUP(AA$13&amp;$B837,Aux!$B:$M,4,0),"")</f>
        <v/>
      </c>
      <c r="AD837" s="62"/>
      <c r="AE837" s="63" t="str">
        <f>IFERROR(IF(VLOOKUP(AA$13&amp;$B835,Aux!$B:$M,8,0)="Да","✔","🕓"),"")</f>
        <v/>
      </c>
    </row>
    <row r="838" spans="2:31" x14ac:dyDescent="0.25">
      <c r="B838" s="53">
        <f t="shared" si="12"/>
        <v>165</v>
      </c>
      <c r="C838" s="59"/>
      <c r="D838" s="16" t="str">
        <f>IF(D835="","","Срок сдачи"&amp;": ")</f>
        <v/>
      </c>
      <c r="E838" s="64" t="str">
        <f>IFERROR(VLOOKUP(C$13&amp;$B838,Aux!$B:$M,6,0),"")</f>
        <v/>
      </c>
      <c r="F838" s="64"/>
      <c r="G838" s="63"/>
      <c r="K838" s="59"/>
      <c r="L838" s="16" t="str">
        <f>IF(L835="","","Срок сдачи"&amp;": ")</f>
        <v/>
      </c>
      <c r="M838" s="64" t="str">
        <f>IFERROR(VLOOKUP(K$13&amp;$B838,Aux!$B:$M,6,0),"")</f>
        <v/>
      </c>
      <c r="N838" s="64"/>
      <c r="O838" s="63"/>
      <c r="S838" s="59"/>
      <c r="T838" s="16" t="str">
        <f>IF(T835="","","Срок сдачи"&amp;": ")</f>
        <v/>
      </c>
      <c r="U838" s="64" t="str">
        <f>IFERROR(VLOOKUP(S$13&amp;$B838,Aux!$B:$M,6,0),"")</f>
        <v/>
      </c>
      <c r="V838" s="64"/>
      <c r="W838" s="63"/>
      <c r="AA838" s="59"/>
      <c r="AB838" s="16" t="str">
        <f>IF(AB835="","","Срок сдачи"&amp;": ")</f>
        <v/>
      </c>
      <c r="AC838" s="64" t="str">
        <f>IFERROR(VLOOKUP(AA$13&amp;$B838,Aux!$B:$M,6,0),"")</f>
        <v/>
      </c>
      <c r="AD838" s="64"/>
      <c r="AE838" s="63"/>
    </row>
    <row r="839" spans="2:31" x14ac:dyDescent="0.25">
      <c r="B839" s="53">
        <f t="shared" si="12"/>
        <v>165</v>
      </c>
      <c r="C839" s="7"/>
      <c r="D839" s="17"/>
      <c r="E839" s="7"/>
      <c r="F839" s="18"/>
      <c r="G839" s="18"/>
      <c r="K839" s="13"/>
      <c r="L839" s="17"/>
      <c r="M839" s="13"/>
      <c r="N839" s="14"/>
      <c r="O839" s="14"/>
      <c r="S839" s="13"/>
      <c r="T839" s="17"/>
      <c r="U839" s="13"/>
      <c r="V839" s="14"/>
      <c r="W839" s="14"/>
      <c r="AA839" s="13"/>
      <c r="AB839" s="17"/>
      <c r="AC839" s="13"/>
      <c r="AD839" s="14"/>
      <c r="AE839" s="30"/>
    </row>
    <row r="840" spans="2:31" x14ac:dyDescent="0.25">
      <c r="B840" s="53">
        <f t="shared" si="12"/>
        <v>166</v>
      </c>
      <c r="C840" s="59" t="str">
        <f>IFERROR(VLOOKUP(C$13&amp;$B844,Aux!$B:$M,5,0),"")</f>
        <v/>
      </c>
      <c r="D840" s="60" t="str">
        <f>IFERROR(VLOOKUP(C$13&amp;$B840,Aux!$B:$M,3,0),"")</f>
        <v/>
      </c>
      <c r="E840" s="60"/>
      <c r="F840" s="60"/>
      <c r="G840" s="61" t="str">
        <f>IFERROR(VLOOKUP(C$13&amp;$B840,Aux!$B:$M,9,0),"")</f>
        <v/>
      </c>
      <c r="K840" s="59" t="str">
        <f>IFERROR(VLOOKUP(K$13&amp;$B844,Aux!$B:$M,5,0),"")</f>
        <v/>
      </c>
      <c r="L840" s="60" t="str">
        <f>IFERROR(VLOOKUP(K$13&amp;$B840,Aux!$B:$M,3,0),"")</f>
        <v/>
      </c>
      <c r="M840" s="60"/>
      <c r="N840" s="60"/>
      <c r="O840" s="61" t="str">
        <f>IFERROR(VLOOKUP(K$13&amp;$B840,Aux!$B:$M,9,0),"")</f>
        <v/>
      </c>
      <c r="S840" s="59" t="str">
        <f>IFERROR(VLOOKUP(S$13&amp;$B844,Aux!$B:$M,5,0),"")</f>
        <v/>
      </c>
      <c r="T840" s="60" t="str">
        <f>IFERROR(VLOOKUP(S$13&amp;$B840,Aux!$B:$M,3,0),"")</f>
        <v/>
      </c>
      <c r="U840" s="60"/>
      <c r="V840" s="60"/>
      <c r="W840" s="61" t="str">
        <f>IFERROR(VLOOKUP(S$13&amp;$B840,Aux!$B:$M,9,0),"")</f>
        <v/>
      </c>
      <c r="AA840" s="59" t="str">
        <f>IFERROR(VLOOKUP(AA$13&amp;$B844,Aux!$B:$M,5,0),"")</f>
        <v/>
      </c>
      <c r="AB840" s="60" t="str">
        <f>IFERROR(VLOOKUP(AA$13&amp;$B840,Aux!$B:$M,3,0),"")</f>
        <v/>
      </c>
      <c r="AC840" s="60"/>
      <c r="AD840" s="60"/>
      <c r="AE840" s="61" t="str">
        <f>IFERROR(VLOOKUP(AA$13&amp;$B840,Aux!$B:$M,9,0),"")</f>
        <v/>
      </c>
    </row>
    <row r="841" spans="2:31" x14ac:dyDescent="0.25">
      <c r="B841" s="53">
        <f t="shared" si="12"/>
        <v>166</v>
      </c>
      <c r="C841" s="59"/>
      <c r="D841" s="60"/>
      <c r="E841" s="60"/>
      <c r="F841" s="60"/>
      <c r="G841" s="61"/>
      <c r="K841" s="59"/>
      <c r="L841" s="60"/>
      <c r="M841" s="60"/>
      <c r="N841" s="60"/>
      <c r="O841" s="61"/>
      <c r="S841" s="59"/>
      <c r="T841" s="60"/>
      <c r="U841" s="60"/>
      <c r="V841" s="60"/>
      <c r="W841" s="61"/>
      <c r="AA841" s="59"/>
      <c r="AB841" s="60"/>
      <c r="AC841" s="60"/>
      <c r="AD841" s="60"/>
      <c r="AE841" s="61"/>
    </row>
    <row r="842" spans="2:31" x14ac:dyDescent="0.25">
      <c r="B842" s="53">
        <f t="shared" si="12"/>
        <v>166</v>
      </c>
      <c r="C842" s="59"/>
      <c r="D842" s="15" t="str">
        <f>IF(D840="","","Исполнитель"&amp;": ")</f>
        <v/>
      </c>
      <c r="E842" s="62" t="str">
        <f>IFERROR(VLOOKUP(C$13&amp;$B842,Aux!$B:$M,4,0),"")</f>
        <v/>
      </c>
      <c r="F842" s="62"/>
      <c r="G842" s="63" t="str">
        <f>IFERROR(IF(VLOOKUP(C$13&amp;$B840,Aux!$B:$M,8,0)="Да","✔","🕓"),"")</f>
        <v/>
      </c>
      <c r="K842" s="59"/>
      <c r="L842" s="15" t="str">
        <f>IF(L840="","","Исполнитель"&amp;": ")</f>
        <v/>
      </c>
      <c r="M842" s="62" t="str">
        <f>IFERROR(VLOOKUP(K$13&amp;$B842,Aux!$B:$M,4,0),"")</f>
        <v/>
      </c>
      <c r="N842" s="62"/>
      <c r="O842" s="63" t="str">
        <f>IFERROR(IF(VLOOKUP(K$13&amp;$B840,Aux!$B:$M,8,0)="Да","✔","🕓"),"")</f>
        <v/>
      </c>
      <c r="S842" s="59"/>
      <c r="T842" s="15" t="str">
        <f>IF(T840="","","Исполнитель"&amp;": ")</f>
        <v/>
      </c>
      <c r="U842" s="62" t="str">
        <f>IFERROR(VLOOKUP(S$13&amp;$B842,Aux!$B:$M,4,0),"")</f>
        <v/>
      </c>
      <c r="V842" s="62"/>
      <c r="W842" s="63" t="str">
        <f>IFERROR(IF(VLOOKUP(S$13&amp;$B840,Aux!$B:$M,8,0)="Да","✔","🕓"),"")</f>
        <v/>
      </c>
      <c r="AA842" s="59"/>
      <c r="AB842" s="15" t="str">
        <f>IF(AB840="","","Исполнитель"&amp;": ")</f>
        <v/>
      </c>
      <c r="AC842" s="62" t="str">
        <f>IFERROR(VLOOKUP(AA$13&amp;$B842,Aux!$B:$M,4,0),"")</f>
        <v/>
      </c>
      <c r="AD842" s="62"/>
      <c r="AE842" s="63" t="str">
        <f>IFERROR(IF(VLOOKUP(AA$13&amp;$B840,Aux!$B:$M,8,0)="Да","✔","🕓"),"")</f>
        <v/>
      </c>
    </row>
    <row r="843" spans="2:31" x14ac:dyDescent="0.25">
      <c r="B843" s="53">
        <f t="shared" si="12"/>
        <v>166</v>
      </c>
      <c r="C843" s="59"/>
      <c r="D843" s="16" t="str">
        <f>IF(D840="","","Срок сдачи"&amp;": ")</f>
        <v/>
      </c>
      <c r="E843" s="64" t="str">
        <f>IFERROR(VLOOKUP(C$13&amp;$B843,Aux!$B:$M,6,0),"")</f>
        <v/>
      </c>
      <c r="F843" s="64"/>
      <c r="G843" s="63"/>
      <c r="K843" s="59"/>
      <c r="L843" s="16" t="str">
        <f>IF(L840="","","Срок сдачи"&amp;": ")</f>
        <v/>
      </c>
      <c r="M843" s="64" t="str">
        <f>IFERROR(VLOOKUP(K$13&amp;$B843,Aux!$B:$M,6,0),"")</f>
        <v/>
      </c>
      <c r="N843" s="64"/>
      <c r="O843" s="63"/>
      <c r="S843" s="59"/>
      <c r="T843" s="16" t="str">
        <f>IF(T840="","","Срок сдачи"&amp;": ")</f>
        <v/>
      </c>
      <c r="U843" s="64" t="str">
        <f>IFERROR(VLOOKUP(S$13&amp;$B843,Aux!$B:$M,6,0),"")</f>
        <v/>
      </c>
      <c r="V843" s="64"/>
      <c r="W843" s="63"/>
      <c r="AA843" s="59"/>
      <c r="AB843" s="16" t="str">
        <f>IF(AB840="","","Срок сдачи"&amp;": ")</f>
        <v/>
      </c>
      <c r="AC843" s="64" t="str">
        <f>IFERROR(VLOOKUP(AA$13&amp;$B843,Aux!$B:$M,6,0),"")</f>
        <v/>
      </c>
      <c r="AD843" s="64"/>
      <c r="AE843" s="63"/>
    </row>
    <row r="844" spans="2:31" x14ac:dyDescent="0.25">
      <c r="B844" s="53">
        <f t="shared" si="12"/>
        <v>166</v>
      </c>
      <c r="C844" s="7"/>
      <c r="D844" s="17"/>
      <c r="E844" s="7"/>
      <c r="F844" s="18"/>
      <c r="G844" s="18"/>
      <c r="K844" s="13"/>
      <c r="L844" s="17"/>
      <c r="M844" s="13"/>
      <c r="N844" s="14"/>
      <c r="O844" s="14"/>
      <c r="S844" s="13"/>
      <c r="T844" s="17"/>
      <c r="U844" s="13"/>
      <c r="V844" s="14"/>
      <c r="W844" s="14"/>
      <c r="AA844" s="13"/>
      <c r="AB844" s="17"/>
      <c r="AC844" s="13"/>
      <c r="AD844" s="14"/>
      <c r="AE844" s="30"/>
    </row>
    <row r="845" spans="2:31" x14ac:dyDescent="0.25">
      <c r="B845" s="53">
        <f t="shared" si="12"/>
        <v>167</v>
      </c>
      <c r="C845" s="59" t="str">
        <f>IFERROR(VLOOKUP(C$13&amp;$B849,Aux!$B:$M,5,0),"")</f>
        <v/>
      </c>
      <c r="D845" s="60" t="str">
        <f>IFERROR(VLOOKUP(C$13&amp;$B845,Aux!$B:$M,3,0),"")</f>
        <v/>
      </c>
      <c r="E845" s="60"/>
      <c r="F845" s="60"/>
      <c r="G845" s="61" t="str">
        <f>IFERROR(VLOOKUP(C$13&amp;$B845,Aux!$B:$M,9,0),"")</f>
        <v/>
      </c>
      <c r="K845" s="59" t="str">
        <f>IFERROR(VLOOKUP(K$13&amp;$B849,Aux!$B:$M,5,0),"")</f>
        <v/>
      </c>
      <c r="L845" s="60" t="str">
        <f>IFERROR(VLOOKUP(K$13&amp;$B845,Aux!$B:$M,3,0),"")</f>
        <v/>
      </c>
      <c r="M845" s="60"/>
      <c r="N845" s="60"/>
      <c r="O845" s="61" t="str">
        <f>IFERROR(VLOOKUP(K$13&amp;$B845,Aux!$B:$M,9,0),"")</f>
        <v/>
      </c>
      <c r="S845" s="59" t="str">
        <f>IFERROR(VLOOKUP(S$13&amp;$B849,Aux!$B:$M,5,0),"")</f>
        <v/>
      </c>
      <c r="T845" s="60" t="str">
        <f>IFERROR(VLOOKUP(S$13&amp;$B845,Aux!$B:$M,3,0),"")</f>
        <v/>
      </c>
      <c r="U845" s="60"/>
      <c r="V845" s="60"/>
      <c r="W845" s="61" t="str">
        <f>IFERROR(VLOOKUP(S$13&amp;$B845,Aux!$B:$M,9,0),"")</f>
        <v/>
      </c>
      <c r="AA845" s="59" t="str">
        <f>IFERROR(VLOOKUP(AA$13&amp;$B849,Aux!$B:$M,5,0),"")</f>
        <v/>
      </c>
      <c r="AB845" s="60" t="str">
        <f>IFERROR(VLOOKUP(AA$13&amp;$B845,Aux!$B:$M,3,0),"")</f>
        <v/>
      </c>
      <c r="AC845" s="60"/>
      <c r="AD845" s="60"/>
      <c r="AE845" s="61" t="str">
        <f>IFERROR(VLOOKUP(AA$13&amp;$B845,Aux!$B:$M,9,0),"")</f>
        <v/>
      </c>
    </row>
    <row r="846" spans="2:31" x14ac:dyDescent="0.25">
      <c r="B846" s="53">
        <f t="shared" si="12"/>
        <v>167</v>
      </c>
      <c r="C846" s="59"/>
      <c r="D846" s="60"/>
      <c r="E846" s="60"/>
      <c r="F846" s="60"/>
      <c r="G846" s="61"/>
      <c r="K846" s="59"/>
      <c r="L846" s="60"/>
      <c r="M846" s="60"/>
      <c r="N846" s="60"/>
      <c r="O846" s="61"/>
      <c r="S846" s="59"/>
      <c r="T846" s="60"/>
      <c r="U846" s="60"/>
      <c r="V846" s="60"/>
      <c r="W846" s="61"/>
      <c r="AA846" s="59"/>
      <c r="AB846" s="60"/>
      <c r="AC846" s="60"/>
      <c r="AD846" s="60"/>
      <c r="AE846" s="61"/>
    </row>
    <row r="847" spans="2:31" x14ac:dyDescent="0.25">
      <c r="B847" s="53">
        <f t="shared" si="12"/>
        <v>167</v>
      </c>
      <c r="C847" s="59"/>
      <c r="D847" s="15" t="str">
        <f>IF(D845="","","Исполнитель"&amp;": ")</f>
        <v/>
      </c>
      <c r="E847" s="62" t="str">
        <f>IFERROR(VLOOKUP(C$13&amp;$B847,Aux!$B:$M,4,0),"")</f>
        <v/>
      </c>
      <c r="F847" s="62"/>
      <c r="G847" s="63" t="str">
        <f>IFERROR(IF(VLOOKUP(C$13&amp;$B845,Aux!$B:$M,8,0)="Да","✔","🕓"),"")</f>
        <v/>
      </c>
      <c r="K847" s="59"/>
      <c r="L847" s="15" t="str">
        <f>IF(L845="","","Исполнитель"&amp;": ")</f>
        <v/>
      </c>
      <c r="M847" s="62" t="str">
        <f>IFERROR(VLOOKUP(K$13&amp;$B847,Aux!$B:$M,4,0),"")</f>
        <v/>
      </c>
      <c r="N847" s="62"/>
      <c r="O847" s="63" t="str">
        <f>IFERROR(IF(VLOOKUP(K$13&amp;$B845,Aux!$B:$M,8,0)="Да","✔","🕓"),"")</f>
        <v/>
      </c>
      <c r="S847" s="59"/>
      <c r="T847" s="15" t="str">
        <f>IF(T845="","","Исполнитель"&amp;": ")</f>
        <v/>
      </c>
      <c r="U847" s="62" t="str">
        <f>IFERROR(VLOOKUP(S$13&amp;$B847,Aux!$B:$M,4,0),"")</f>
        <v/>
      </c>
      <c r="V847" s="62"/>
      <c r="W847" s="63" t="str">
        <f>IFERROR(IF(VLOOKUP(S$13&amp;$B845,Aux!$B:$M,8,0)="Да","✔","🕓"),"")</f>
        <v/>
      </c>
      <c r="AA847" s="59"/>
      <c r="AB847" s="15" t="str">
        <f>IF(AB845="","","Исполнитель"&amp;": ")</f>
        <v/>
      </c>
      <c r="AC847" s="62" t="str">
        <f>IFERROR(VLOOKUP(AA$13&amp;$B847,Aux!$B:$M,4,0),"")</f>
        <v/>
      </c>
      <c r="AD847" s="62"/>
      <c r="AE847" s="63" t="str">
        <f>IFERROR(IF(VLOOKUP(AA$13&amp;$B845,Aux!$B:$M,8,0)="Да","✔","🕓"),"")</f>
        <v/>
      </c>
    </row>
    <row r="848" spans="2:31" x14ac:dyDescent="0.25">
      <c r="B848" s="53">
        <f t="shared" si="12"/>
        <v>167</v>
      </c>
      <c r="C848" s="59"/>
      <c r="D848" s="16" t="str">
        <f>IF(D845="","","Срок сдачи"&amp;": ")</f>
        <v/>
      </c>
      <c r="E848" s="64" t="str">
        <f>IFERROR(VLOOKUP(C$13&amp;$B848,Aux!$B:$M,6,0),"")</f>
        <v/>
      </c>
      <c r="F848" s="64"/>
      <c r="G848" s="63"/>
      <c r="K848" s="59"/>
      <c r="L848" s="16" t="str">
        <f>IF(L845="","","Срок сдачи"&amp;": ")</f>
        <v/>
      </c>
      <c r="M848" s="64" t="str">
        <f>IFERROR(VLOOKUP(K$13&amp;$B848,Aux!$B:$M,6,0),"")</f>
        <v/>
      </c>
      <c r="N848" s="64"/>
      <c r="O848" s="63"/>
      <c r="S848" s="59"/>
      <c r="T848" s="16" t="str">
        <f>IF(T845="","","Срок сдачи"&amp;": ")</f>
        <v/>
      </c>
      <c r="U848" s="64" t="str">
        <f>IFERROR(VLOOKUP(S$13&amp;$B848,Aux!$B:$M,6,0),"")</f>
        <v/>
      </c>
      <c r="V848" s="64"/>
      <c r="W848" s="63"/>
      <c r="AA848" s="59"/>
      <c r="AB848" s="16" t="str">
        <f>IF(AB845="","","Срок сдачи"&amp;": ")</f>
        <v/>
      </c>
      <c r="AC848" s="64" t="str">
        <f>IFERROR(VLOOKUP(AA$13&amp;$B848,Aux!$B:$M,6,0),"")</f>
        <v/>
      </c>
      <c r="AD848" s="64"/>
      <c r="AE848" s="63"/>
    </row>
    <row r="849" spans="2:31" x14ac:dyDescent="0.25">
      <c r="B849" s="53">
        <f t="shared" si="12"/>
        <v>167</v>
      </c>
      <c r="C849" s="7"/>
      <c r="D849" s="17"/>
      <c r="E849" s="7"/>
      <c r="F849" s="18"/>
      <c r="G849" s="18"/>
      <c r="K849" s="13"/>
      <c r="L849" s="17"/>
      <c r="M849" s="13"/>
      <c r="N849" s="14"/>
      <c r="O849" s="14"/>
      <c r="S849" s="13"/>
      <c r="T849" s="17"/>
      <c r="U849" s="13"/>
      <c r="V849" s="14"/>
      <c r="W849" s="14"/>
      <c r="AA849" s="13"/>
      <c r="AB849" s="17"/>
      <c r="AC849" s="13"/>
      <c r="AD849" s="14"/>
      <c r="AE849" s="30"/>
    </row>
    <row r="850" spans="2:31" x14ac:dyDescent="0.25">
      <c r="B850" s="53">
        <f t="shared" si="12"/>
        <v>168</v>
      </c>
      <c r="C850" s="59" t="str">
        <f>IFERROR(VLOOKUP(C$13&amp;$B854,Aux!$B:$M,5,0),"")</f>
        <v/>
      </c>
      <c r="D850" s="60" t="str">
        <f>IFERROR(VLOOKUP(C$13&amp;$B850,Aux!$B:$M,3,0),"")</f>
        <v/>
      </c>
      <c r="E850" s="60"/>
      <c r="F850" s="60"/>
      <c r="G850" s="61" t="str">
        <f>IFERROR(VLOOKUP(C$13&amp;$B850,Aux!$B:$M,9,0),"")</f>
        <v/>
      </c>
      <c r="K850" s="59" t="str">
        <f>IFERROR(VLOOKUP(K$13&amp;$B854,Aux!$B:$M,5,0),"")</f>
        <v/>
      </c>
      <c r="L850" s="60" t="str">
        <f>IFERROR(VLOOKUP(K$13&amp;$B850,Aux!$B:$M,3,0),"")</f>
        <v/>
      </c>
      <c r="M850" s="60"/>
      <c r="N850" s="60"/>
      <c r="O850" s="61" t="str">
        <f>IFERROR(VLOOKUP(K$13&amp;$B850,Aux!$B:$M,9,0),"")</f>
        <v/>
      </c>
      <c r="S850" s="59" t="str">
        <f>IFERROR(VLOOKUP(S$13&amp;$B854,Aux!$B:$M,5,0),"")</f>
        <v/>
      </c>
      <c r="T850" s="60" t="str">
        <f>IFERROR(VLOOKUP(S$13&amp;$B850,Aux!$B:$M,3,0),"")</f>
        <v/>
      </c>
      <c r="U850" s="60"/>
      <c r="V850" s="60"/>
      <c r="W850" s="61" t="str">
        <f>IFERROR(VLOOKUP(S$13&amp;$B850,Aux!$B:$M,9,0),"")</f>
        <v/>
      </c>
      <c r="AA850" s="59" t="str">
        <f>IFERROR(VLOOKUP(AA$13&amp;$B854,Aux!$B:$M,5,0),"")</f>
        <v/>
      </c>
      <c r="AB850" s="60" t="str">
        <f>IFERROR(VLOOKUP(AA$13&amp;$B850,Aux!$B:$M,3,0),"")</f>
        <v/>
      </c>
      <c r="AC850" s="60"/>
      <c r="AD850" s="60"/>
      <c r="AE850" s="61" t="str">
        <f>IFERROR(VLOOKUP(AA$13&amp;$B850,Aux!$B:$M,9,0),"")</f>
        <v/>
      </c>
    </row>
    <row r="851" spans="2:31" x14ac:dyDescent="0.25">
      <c r="B851" s="53">
        <f t="shared" si="12"/>
        <v>168</v>
      </c>
      <c r="C851" s="59"/>
      <c r="D851" s="60"/>
      <c r="E851" s="60"/>
      <c r="F851" s="60"/>
      <c r="G851" s="61"/>
      <c r="K851" s="59"/>
      <c r="L851" s="60"/>
      <c r="M851" s="60"/>
      <c r="N851" s="60"/>
      <c r="O851" s="61"/>
      <c r="S851" s="59"/>
      <c r="T851" s="60"/>
      <c r="U851" s="60"/>
      <c r="V851" s="60"/>
      <c r="W851" s="61"/>
      <c r="AA851" s="59"/>
      <c r="AB851" s="60"/>
      <c r="AC851" s="60"/>
      <c r="AD851" s="60"/>
      <c r="AE851" s="61"/>
    </row>
    <row r="852" spans="2:31" x14ac:dyDescent="0.25">
      <c r="B852" s="53">
        <f t="shared" si="12"/>
        <v>168</v>
      </c>
      <c r="C852" s="59"/>
      <c r="D852" s="15" t="str">
        <f>IF(D850="","","Исполнитель"&amp;": ")</f>
        <v/>
      </c>
      <c r="E852" s="62" t="str">
        <f>IFERROR(VLOOKUP(C$13&amp;$B852,Aux!$B:$M,4,0),"")</f>
        <v/>
      </c>
      <c r="F852" s="62"/>
      <c r="G852" s="63" t="str">
        <f>IFERROR(IF(VLOOKUP(C$13&amp;$B850,Aux!$B:$M,8,0)="Да","✔","🕓"),"")</f>
        <v/>
      </c>
      <c r="K852" s="59"/>
      <c r="L852" s="15" t="str">
        <f>IF(L850="","","Исполнитель"&amp;": ")</f>
        <v/>
      </c>
      <c r="M852" s="62" t="str">
        <f>IFERROR(VLOOKUP(K$13&amp;$B852,Aux!$B:$M,4,0),"")</f>
        <v/>
      </c>
      <c r="N852" s="62"/>
      <c r="O852" s="63" t="str">
        <f>IFERROR(IF(VLOOKUP(K$13&amp;$B850,Aux!$B:$M,8,0)="Да","✔","🕓"),"")</f>
        <v/>
      </c>
      <c r="S852" s="59"/>
      <c r="T852" s="15" t="str">
        <f>IF(T850="","","Исполнитель"&amp;": ")</f>
        <v/>
      </c>
      <c r="U852" s="62" t="str">
        <f>IFERROR(VLOOKUP(S$13&amp;$B852,Aux!$B:$M,4,0),"")</f>
        <v/>
      </c>
      <c r="V852" s="62"/>
      <c r="W852" s="63" t="str">
        <f>IFERROR(IF(VLOOKUP(S$13&amp;$B850,Aux!$B:$M,8,0)="Да","✔","🕓"),"")</f>
        <v/>
      </c>
      <c r="AA852" s="59"/>
      <c r="AB852" s="15" t="str">
        <f>IF(AB850="","","Исполнитель"&amp;": ")</f>
        <v/>
      </c>
      <c r="AC852" s="62" t="str">
        <f>IFERROR(VLOOKUP(AA$13&amp;$B852,Aux!$B:$M,4,0),"")</f>
        <v/>
      </c>
      <c r="AD852" s="62"/>
      <c r="AE852" s="63" t="str">
        <f>IFERROR(IF(VLOOKUP(AA$13&amp;$B850,Aux!$B:$M,8,0)="Да","✔","🕓"),"")</f>
        <v/>
      </c>
    </row>
    <row r="853" spans="2:31" x14ac:dyDescent="0.25">
      <c r="B853" s="53">
        <f t="shared" ref="B853:B916" si="13">B848+1</f>
        <v>168</v>
      </c>
      <c r="C853" s="59"/>
      <c r="D853" s="16" t="str">
        <f>IF(D850="","","Срок сдачи"&amp;": ")</f>
        <v/>
      </c>
      <c r="E853" s="64" t="str">
        <f>IFERROR(VLOOKUP(C$13&amp;$B853,Aux!$B:$M,6,0),"")</f>
        <v/>
      </c>
      <c r="F853" s="64"/>
      <c r="G853" s="63"/>
      <c r="K853" s="59"/>
      <c r="L853" s="16" t="str">
        <f>IF(L850="","","Срок сдачи"&amp;": ")</f>
        <v/>
      </c>
      <c r="M853" s="64" t="str">
        <f>IFERROR(VLOOKUP(K$13&amp;$B853,Aux!$B:$M,6,0),"")</f>
        <v/>
      </c>
      <c r="N853" s="64"/>
      <c r="O853" s="63"/>
      <c r="S853" s="59"/>
      <c r="T853" s="16" t="str">
        <f>IF(T850="","","Срок сдачи"&amp;": ")</f>
        <v/>
      </c>
      <c r="U853" s="64" t="str">
        <f>IFERROR(VLOOKUP(S$13&amp;$B853,Aux!$B:$M,6,0),"")</f>
        <v/>
      </c>
      <c r="V853" s="64"/>
      <c r="W853" s="63"/>
      <c r="AA853" s="59"/>
      <c r="AB853" s="16" t="str">
        <f>IF(AB850="","","Срок сдачи"&amp;": ")</f>
        <v/>
      </c>
      <c r="AC853" s="64" t="str">
        <f>IFERROR(VLOOKUP(AA$13&amp;$B853,Aux!$B:$M,6,0),"")</f>
        <v/>
      </c>
      <c r="AD853" s="64"/>
      <c r="AE853" s="63"/>
    </row>
    <row r="854" spans="2:31" x14ac:dyDescent="0.25">
      <c r="B854" s="53">
        <f t="shared" si="13"/>
        <v>168</v>
      </c>
      <c r="C854" s="7"/>
      <c r="D854" s="17"/>
      <c r="E854" s="7"/>
      <c r="F854" s="18"/>
      <c r="G854" s="18"/>
      <c r="K854" s="13"/>
      <c r="L854" s="17"/>
      <c r="M854" s="13"/>
      <c r="N854" s="14"/>
      <c r="O854" s="14"/>
      <c r="S854" s="13"/>
      <c r="T854" s="17"/>
      <c r="U854" s="13"/>
      <c r="V854" s="14"/>
      <c r="W854" s="14"/>
      <c r="AA854" s="13"/>
      <c r="AB854" s="17"/>
      <c r="AC854" s="13"/>
      <c r="AD854" s="14"/>
      <c r="AE854" s="30"/>
    </row>
    <row r="855" spans="2:31" x14ac:dyDescent="0.25">
      <c r="B855" s="53">
        <f t="shared" si="13"/>
        <v>169</v>
      </c>
      <c r="C855" s="59" t="str">
        <f>IFERROR(VLOOKUP(C$13&amp;$B859,Aux!$B:$M,5,0),"")</f>
        <v/>
      </c>
      <c r="D855" s="60" t="str">
        <f>IFERROR(VLOOKUP(C$13&amp;$B855,Aux!$B:$M,3,0),"")</f>
        <v/>
      </c>
      <c r="E855" s="60"/>
      <c r="F855" s="60"/>
      <c r="G855" s="61" t="str">
        <f>IFERROR(VLOOKUP(C$13&amp;$B855,Aux!$B:$M,9,0),"")</f>
        <v/>
      </c>
      <c r="K855" s="59" t="str">
        <f>IFERROR(VLOOKUP(K$13&amp;$B859,Aux!$B:$M,5,0),"")</f>
        <v/>
      </c>
      <c r="L855" s="60" t="str">
        <f>IFERROR(VLOOKUP(K$13&amp;$B855,Aux!$B:$M,3,0),"")</f>
        <v/>
      </c>
      <c r="M855" s="60"/>
      <c r="N855" s="60"/>
      <c r="O855" s="61" t="str">
        <f>IFERROR(VLOOKUP(K$13&amp;$B855,Aux!$B:$M,9,0),"")</f>
        <v/>
      </c>
      <c r="S855" s="59" t="str">
        <f>IFERROR(VLOOKUP(S$13&amp;$B859,Aux!$B:$M,5,0),"")</f>
        <v/>
      </c>
      <c r="T855" s="60" t="str">
        <f>IFERROR(VLOOKUP(S$13&amp;$B855,Aux!$B:$M,3,0),"")</f>
        <v/>
      </c>
      <c r="U855" s="60"/>
      <c r="V855" s="60"/>
      <c r="W855" s="61" t="str">
        <f>IFERROR(VLOOKUP(S$13&amp;$B855,Aux!$B:$M,9,0),"")</f>
        <v/>
      </c>
      <c r="AA855" s="59" t="str">
        <f>IFERROR(VLOOKUP(AA$13&amp;$B859,Aux!$B:$M,5,0),"")</f>
        <v/>
      </c>
      <c r="AB855" s="60" t="str">
        <f>IFERROR(VLOOKUP(AA$13&amp;$B855,Aux!$B:$M,3,0),"")</f>
        <v/>
      </c>
      <c r="AC855" s="60"/>
      <c r="AD855" s="60"/>
      <c r="AE855" s="61" t="str">
        <f>IFERROR(VLOOKUP(AA$13&amp;$B855,Aux!$B:$M,9,0),"")</f>
        <v/>
      </c>
    </row>
    <row r="856" spans="2:31" x14ac:dyDescent="0.25">
      <c r="B856" s="53">
        <f t="shared" si="13"/>
        <v>169</v>
      </c>
      <c r="C856" s="59"/>
      <c r="D856" s="60"/>
      <c r="E856" s="60"/>
      <c r="F856" s="60"/>
      <c r="G856" s="61"/>
      <c r="K856" s="59"/>
      <c r="L856" s="60"/>
      <c r="M856" s="60"/>
      <c r="N856" s="60"/>
      <c r="O856" s="61"/>
      <c r="S856" s="59"/>
      <c r="T856" s="60"/>
      <c r="U856" s="60"/>
      <c r="V856" s="60"/>
      <c r="W856" s="61"/>
      <c r="AA856" s="59"/>
      <c r="AB856" s="60"/>
      <c r="AC856" s="60"/>
      <c r="AD856" s="60"/>
      <c r="AE856" s="61"/>
    </row>
    <row r="857" spans="2:31" x14ac:dyDescent="0.25">
      <c r="B857" s="53">
        <f t="shared" si="13"/>
        <v>169</v>
      </c>
      <c r="C857" s="59"/>
      <c r="D857" s="15" t="str">
        <f>IF(D855="","","Исполнитель"&amp;": ")</f>
        <v/>
      </c>
      <c r="E857" s="62" t="str">
        <f>IFERROR(VLOOKUP(C$13&amp;$B857,Aux!$B:$M,4,0),"")</f>
        <v/>
      </c>
      <c r="F857" s="62"/>
      <c r="G857" s="63" t="str">
        <f>IFERROR(IF(VLOOKUP(C$13&amp;$B855,Aux!$B:$M,8,0)="Да","✔","🕓"),"")</f>
        <v/>
      </c>
      <c r="K857" s="59"/>
      <c r="L857" s="15" t="str">
        <f>IF(L855="","","Исполнитель"&amp;": ")</f>
        <v/>
      </c>
      <c r="M857" s="62" t="str">
        <f>IFERROR(VLOOKUP(K$13&amp;$B857,Aux!$B:$M,4,0),"")</f>
        <v/>
      </c>
      <c r="N857" s="62"/>
      <c r="O857" s="63" t="str">
        <f>IFERROR(IF(VLOOKUP(K$13&amp;$B855,Aux!$B:$M,8,0)="Да","✔","🕓"),"")</f>
        <v/>
      </c>
      <c r="S857" s="59"/>
      <c r="T857" s="15" t="str">
        <f>IF(T855="","","Исполнитель"&amp;": ")</f>
        <v/>
      </c>
      <c r="U857" s="62" t="str">
        <f>IFERROR(VLOOKUP(S$13&amp;$B857,Aux!$B:$M,4,0),"")</f>
        <v/>
      </c>
      <c r="V857" s="62"/>
      <c r="W857" s="63" t="str">
        <f>IFERROR(IF(VLOOKUP(S$13&amp;$B855,Aux!$B:$M,8,0)="Да","✔","🕓"),"")</f>
        <v/>
      </c>
      <c r="AA857" s="59"/>
      <c r="AB857" s="15" t="str">
        <f>IF(AB855="","","Исполнитель"&amp;": ")</f>
        <v/>
      </c>
      <c r="AC857" s="62" t="str">
        <f>IFERROR(VLOOKUP(AA$13&amp;$B857,Aux!$B:$M,4,0),"")</f>
        <v/>
      </c>
      <c r="AD857" s="62"/>
      <c r="AE857" s="63" t="str">
        <f>IFERROR(IF(VLOOKUP(AA$13&amp;$B855,Aux!$B:$M,8,0)="Да","✔","🕓"),"")</f>
        <v/>
      </c>
    </row>
    <row r="858" spans="2:31" x14ac:dyDescent="0.25">
      <c r="B858" s="53">
        <f t="shared" si="13"/>
        <v>169</v>
      </c>
      <c r="C858" s="59"/>
      <c r="D858" s="16" t="str">
        <f>IF(D855="","","Срок сдачи"&amp;": ")</f>
        <v/>
      </c>
      <c r="E858" s="64" t="str">
        <f>IFERROR(VLOOKUP(C$13&amp;$B858,Aux!$B:$M,6,0),"")</f>
        <v/>
      </c>
      <c r="F858" s="64"/>
      <c r="G858" s="63"/>
      <c r="K858" s="59"/>
      <c r="L858" s="16" t="str">
        <f>IF(L855="","","Срок сдачи"&amp;": ")</f>
        <v/>
      </c>
      <c r="M858" s="64" t="str">
        <f>IFERROR(VLOOKUP(K$13&amp;$B858,Aux!$B:$M,6,0),"")</f>
        <v/>
      </c>
      <c r="N858" s="64"/>
      <c r="O858" s="63"/>
      <c r="S858" s="59"/>
      <c r="T858" s="16" t="str">
        <f>IF(T855="","","Срок сдачи"&amp;": ")</f>
        <v/>
      </c>
      <c r="U858" s="64" t="str">
        <f>IFERROR(VLOOKUP(S$13&amp;$B858,Aux!$B:$M,6,0),"")</f>
        <v/>
      </c>
      <c r="V858" s="64"/>
      <c r="W858" s="63"/>
      <c r="AA858" s="59"/>
      <c r="AB858" s="16" t="str">
        <f>IF(AB855="","","Срок сдачи"&amp;": ")</f>
        <v/>
      </c>
      <c r="AC858" s="64" t="str">
        <f>IFERROR(VLOOKUP(AA$13&amp;$B858,Aux!$B:$M,6,0),"")</f>
        <v/>
      </c>
      <c r="AD858" s="64"/>
      <c r="AE858" s="63"/>
    </row>
    <row r="859" spans="2:31" x14ac:dyDescent="0.25">
      <c r="B859" s="53">
        <f t="shared" si="13"/>
        <v>169</v>
      </c>
      <c r="C859" s="7"/>
      <c r="D859" s="17"/>
      <c r="E859" s="7"/>
      <c r="F859" s="18"/>
      <c r="G859" s="18"/>
      <c r="K859" s="13"/>
      <c r="L859" s="17"/>
      <c r="M859" s="13"/>
      <c r="N859" s="14"/>
      <c r="O859" s="14"/>
      <c r="S859" s="13"/>
      <c r="T859" s="17"/>
      <c r="U859" s="13"/>
      <c r="V859" s="14"/>
      <c r="W859" s="14"/>
      <c r="AA859" s="13"/>
      <c r="AB859" s="17"/>
      <c r="AC859" s="13"/>
      <c r="AD859" s="14"/>
      <c r="AE859" s="30"/>
    </row>
    <row r="860" spans="2:31" x14ac:dyDescent="0.25">
      <c r="B860" s="53">
        <f t="shared" si="13"/>
        <v>170</v>
      </c>
      <c r="C860" s="59" t="str">
        <f>IFERROR(VLOOKUP(C$13&amp;$B864,Aux!$B:$M,5,0),"")</f>
        <v/>
      </c>
      <c r="D860" s="60" t="str">
        <f>IFERROR(VLOOKUP(C$13&amp;$B860,Aux!$B:$M,3,0),"")</f>
        <v/>
      </c>
      <c r="E860" s="60"/>
      <c r="F860" s="60"/>
      <c r="G860" s="61" t="str">
        <f>IFERROR(VLOOKUP(C$13&amp;$B860,Aux!$B:$M,9,0),"")</f>
        <v/>
      </c>
      <c r="K860" s="59" t="str">
        <f>IFERROR(VLOOKUP(K$13&amp;$B864,Aux!$B:$M,5,0),"")</f>
        <v/>
      </c>
      <c r="L860" s="60" t="str">
        <f>IFERROR(VLOOKUP(K$13&amp;$B860,Aux!$B:$M,3,0),"")</f>
        <v/>
      </c>
      <c r="M860" s="60"/>
      <c r="N860" s="60"/>
      <c r="O860" s="61" t="str">
        <f>IFERROR(VLOOKUP(K$13&amp;$B860,Aux!$B:$M,9,0),"")</f>
        <v/>
      </c>
      <c r="S860" s="59" t="str">
        <f>IFERROR(VLOOKUP(S$13&amp;$B864,Aux!$B:$M,5,0),"")</f>
        <v/>
      </c>
      <c r="T860" s="60" t="str">
        <f>IFERROR(VLOOKUP(S$13&amp;$B860,Aux!$B:$M,3,0),"")</f>
        <v/>
      </c>
      <c r="U860" s="60"/>
      <c r="V860" s="60"/>
      <c r="W860" s="61" t="str">
        <f>IFERROR(VLOOKUP(S$13&amp;$B860,Aux!$B:$M,9,0),"")</f>
        <v/>
      </c>
      <c r="AA860" s="59" t="str">
        <f>IFERROR(VLOOKUP(AA$13&amp;$B864,Aux!$B:$M,5,0),"")</f>
        <v/>
      </c>
      <c r="AB860" s="60" t="str">
        <f>IFERROR(VLOOKUP(AA$13&amp;$B860,Aux!$B:$M,3,0),"")</f>
        <v/>
      </c>
      <c r="AC860" s="60"/>
      <c r="AD860" s="60"/>
      <c r="AE860" s="61" t="str">
        <f>IFERROR(VLOOKUP(AA$13&amp;$B860,Aux!$B:$M,9,0),"")</f>
        <v/>
      </c>
    </row>
    <row r="861" spans="2:31" x14ac:dyDescent="0.25">
      <c r="B861" s="53">
        <f t="shared" si="13"/>
        <v>170</v>
      </c>
      <c r="C861" s="59"/>
      <c r="D861" s="60"/>
      <c r="E861" s="60"/>
      <c r="F861" s="60"/>
      <c r="G861" s="61"/>
      <c r="K861" s="59"/>
      <c r="L861" s="60"/>
      <c r="M861" s="60"/>
      <c r="N861" s="60"/>
      <c r="O861" s="61"/>
      <c r="S861" s="59"/>
      <c r="T861" s="60"/>
      <c r="U861" s="60"/>
      <c r="V861" s="60"/>
      <c r="W861" s="61"/>
      <c r="AA861" s="59"/>
      <c r="AB861" s="60"/>
      <c r="AC861" s="60"/>
      <c r="AD861" s="60"/>
      <c r="AE861" s="61"/>
    </row>
    <row r="862" spans="2:31" x14ac:dyDescent="0.25">
      <c r="B862" s="53">
        <f t="shared" si="13"/>
        <v>170</v>
      </c>
      <c r="C862" s="59"/>
      <c r="D862" s="15" t="str">
        <f>IF(D860="","","Исполнитель"&amp;": ")</f>
        <v/>
      </c>
      <c r="E862" s="62" t="str">
        <f>IFERROR(VLOOKUP(C$13&amp;$B862,Aux!$B:$M,4,0),"")</f>
        <v/>
      </c>
      <c r="F862" s="62"/>
      <c r="G862" s="63" t="str">
        <f>IFERROR(IF(VLOOKUP(C$13&amp;$B860,Aux!$B:$M,8,0)="Да","✔","🕓"),"")</f>
        <v/>
      </c>
      <c r="K862" s="59"/>
      <c r="L862" s="15" t="str">
        <f>IF(L860="","","Исполнитель"&amp;": ")</f>
        <v/>
      </c>
      <c r="M862" s="62" t="str">
        <f>IFERROR(VLOOKUP(K$13&amp;$B862,Aux!$B:$M,4,0),"")</f>
        <v/>
      </c>
      <c r="N862" s="62"/>
      <c r="O862" s="63" t="str">
        <f>IFERROR(IF(VLOOKUP(K$13&amp;$B860,Aux!$B:$M,8,0)="Да","✔","🕓"),"")</f>
        <v/>
      </c>
      <c r="S862" s="59"/>
      <c r="T862" s="15" t="str">
        <f>IF(T860="","","Исполнитель"&amp;": ")</f>
        <v/>
      </c>
      <c r="U862" s="62" t="str">
        <f>IFERROR(VLOOKUP(S$13&amp;$B862,Aux!$B:$M,4,0),"")</f>
        <v/>
      </c>
      <c r="V862" s="62"/>
      <c r="W862" s="63" t="str">
        <f>IFERROR(IF(VLOOKUP(S$13&amp;$B860,Aux!$B:$M,8,0)="Да","✔","🕓"),"")</f>
        <v/>
      </c>
      <c r="AA862" s="59"/>
      <c r="AB862" s="15" t="str">
        <f>IF(AB860="","","Исполнитель"&amp;": ")</f>
        <v/>
      </c>
      <c r="AC862" s="62" t="str">
        <f>IFERROR(VLOOKUP(AA$13&amp;$B862,Aux!$B:$M,4,0),"")</f>
        <v/>
      </c>
      <c r="AD862" s="62"/>
      <c r="AE862" s="63" t="str">
        <f>IFERROR(IF(VLOOKUP(AA$13&amp;$B860,Aux!$B:$M,8,0)="Да","✔","🕓"),"")</f>
        <v/>
      </c>
    </row>
    <row r="863" spans="2:31" x14ac:dyDescent="0.25">
      <c r="B863" s="53">
        <f t="shared" si="13"/>
        <v>170</v>
      </c>
      <c r="C863" s="59"/>
      <c r="D863" s="16" t="str">
        <f>IF(D860="","","Срок сдачи"&amp;": ")</f>
        <v/>
      </c>
      <c r="E863" s="64" t="str">
        <f>IFERROR(VLOOKUP(C$13&amp;$B863,Aux!$B:$M,6,0),"")</f>
        <v/>
      </c>
      <c r="F863" s="64"/>
      <c r="G863" s="63"/>
      <c r="K863" s="59"/>
      <c r="L863" s="16" t="str">
        <f>IF(L860="","","Срок сдачи"&amp;": ")</f>
        <v/>
      </c>
      <c r="M863" s="64" t="str">
        <f>IFERROR(VLOOKUP(K$13&amp;$B863,Aux!$B:$M,6,0),"")</f>
        <v/>
      </c>
      <c r="N863" s="64"/>
      <c r="O863" s="63"/>
      <c r="S863" s="59"/>
      <c r="T863" s="16" t="str">
        <f>IF(T860="","","Срок сдачи"&amp;": ")</f>
        <v/>
      </c>
      <c r="U863" s="64" t="str">
        <f>IFERROR(VLOOKUP(S$13&amp;$B863,Aux!$B:$M,6,0),"")</f>
        <v/>
      </c>
      <c r="V863" s="64"/>
      <c r="W863" s="63"/>
      <c r="AA863" s="59"/>
      <c r="AB863" s="16" t="str">
        <f>IF(AB860="","","Срок сдачи"&amp;": ")</f>
        <v/>
      </c>
      <c r="AC863" s="64" t="str">
        <f>IFERROR(VLOOKUP(AA$13&amp;$B863,Aux!$B:$M,6,0),"")</f>
        <v/>
      </c>
      <c r="AD863" s="64"/>
      <c r="AE863" s="63"/>
    </row>
    <row r="864" spans="2:31" x14ac:dyDescent="0.25">
      <c r="B864" s="53">
        <f t="shared" si="13"/>
        <v>170</v>
      </c>
      <c r="C864" s="7"/>
      <c r="D864" s="17"/>
      <c r="E864" s="7"/>
      <c r="F864" s="18"/>
      <c r="G864" s="18"/>
      <c r="K864" s="13"/>
      <c r="L864" s="17"/>
      <c r="M864" s="13"/>
      <c r="N864" s="14"/>
      <c r="O864" s="14"/>
      <c r="S864" s="13"/>
      <c r="T864" s="17"/>
      <c r="U864" s="13"/>
      <c r="V864" s="14"/>
      <c r="W864" s="14"/>
      <c r="AA864" s="13"/>
      <c r="AB864" s="17"/>
      <c r="AC864" s="13"/>
      <c r="AD864" s="14"/>
      <c r="AE864" s="30"/>
    </row>
    <row r="865" spans="2:31" x14ac:dyDescent="0.25">
      <c r="B865" s="53">
        <f t="shared" si="13"/>
        <v>171</v>
      </c>
      <c r="C865" s="59" t="str">
        <f>IFERROR(VLOOKUP(C$13&amp;$B869,Aux!$B:$M,5,0),"")</f>
        <v/>
      </c>
      <c r="D865" s="60" t="str">
        <f>IFERROR(VLOOKUP(C$13&amp;$B865,Aux!$B:$M,3,0),"")</f>
        <v/>
      </c>
      <c r="E865" s="60"/>
      <c r="F865" s="60"/>
      <c r="G865" s="61" t="str">
        <f>IFERROR(VLOOKUP(C$13&amp;$B865,Aux!$B:$M,9,0),"")</f>
        <v/>
      </c>
      <c r="K865" s="59" t="str">
        <f>IFERROR(VLOOKUP(K$13&amp;$B869,Aux!$B:$M,5,0),"")</f>
        <v/>
      </c>
      <c r="L865" s="60" t="str">
        <f>IFERROR(VLOOKUP(K$13&amp;$B865,Aux!$B:$M,3,0),"")</f>
        <v/>
      </c>
      <c r="M865" s="60"/>
      <c r="N865" s="60"/>
      <c r="O865" s="61" t="str">
        <f>IFERROR(VLOOKUP(K$13&amp;$B865,Aux!$B:$M,9,0),"")</f>
        <v/>
      </c>
      <c r="S865" s="59" t="str">
        <f>IFERROR(VLOOKUP(S$13&amp;$B869,Aux!$B:$M,5,0),"")</f>
        <v/>
      </c>
      <c r="T865" s="60" t="str">
        <f>IFERROR(VLOOKUP(S$13&amp;$B865,Aux!$B:$M,3,0),"")</f>
        <v/>
      </c>
      <c r="U865" s="60"/>
      <c r="V865" s="60"/>
      <c r="W865" s="61" t="str">
        <f>IFERROR(VLOOKUP(S$13&amp;$B865,Aux!$B:$M,9,0),"")</f>
        <v/>
      </c>
      <c r="AA865" s="59" t="str">
        <f>IFERROR(VLOOKUP(AA$13&amp;$B869,Aux!$B:$M,5,0),"")</f>
        <v/>
      </c>
      <c r="AB865" s="60" t="str">
        <f>IFERROR(VLOOKUP(AA$13&amp;$B865,Aux!$B:$M,3,0),"")</f>
        <v/>
      </c>
      <c r="AC865" s="60"/>
      <c r="AD865" s="60"/>
      <c r="AE865" s="61" t="str">
        <f>IFERROR(VLOOKUP(AA$13&amp;$B865,Aux!$B:$M,9,0),"")</f>
        <v/>
      </c>
    </row>
    <row r="866" spans="2:31" x14ac:dyDescent="0.25">
      <c r="B866" s="53">
        <f t="shared" si="13"/>
        <v>171</v>
      </c>
      <c r="C866" s="59"/>
      <c r="D866" s="60"/>
      <c r="E866" s="60"/>
      <c r="F866" s="60"/>
      <c r="G866" s="61"/>
      <c r="K866" s="59"/>
      <c r="L866" s="60"/>
      <c r="M866" s="60"/>
      <c r="N866" s="60"/>
      <c r="O866" s="61"/>
      <c r="S866" s="59"/>
      <c r="T866" s="60"/>
      <c r="U866" s="60"/>
      <c r="V866" s="60"/>
      <c r="W866" s="61"/>
      <c r="AA866" s="59"/>
      <c r="AB866" s="60"/>
      <c r="AC866" s="60"/>
      <c r="AD866" s="60"/>
      <c r="AE866" s="61"/>
    </row>
    <row r="867" spans="2:31" x14ac:dyDescent="0.25">
      <c r="B867" s="53">
        <f t="shared" si="13"/>
        <v>171</v>
      </c>
      <c r="C867" s="59"/>
      <c r="D867" s="15" t="str">
        <f>IF(D865="","","Исполнитель"&amp;": ")</f>
        <v/>
      </c>
      <c r="E867" s="62" t="str">
        <f>IFERROR(VLOOKUP(C$13&amp;$B867,Aux!$B:$M,4,0),"")</f>
        <v/>
      </c>
      <c r="F867" s="62"/>
      <c r="G867" s="63" t="str">
        <f>IFERROR(IF(VLOOKUP(C$13&amp;$B865,Aux!$B:$M,8,0)="Да","✔","🕓"),"")</f>
        <v/>
      </c>
      <c r="K867" s="59"/>
      <c r="L867" s="15" t="str">
        <f>IF(L865="","","Исполнитель"&amp;": ")</f>
        <v/>
      </c>
      <c r="M867" s="62" t="str">
        <f>IFERROR(VLOOKUP(K$13&amp;$B867,Aux!$B:$M,4,0),"")</f>
        <v/>
      </c>
      <c r="N867" s="62"/>
      <c r="O867" s="63" t="str">
        <f>IFERROR(IF(VLOOKUP(K$13&amp;$B865,Aux!$B:$M,8,0)="Да","✔","🕓"),"")</f>
        <v/>
      </c>
      <c r="S867" s="59"/>
      <c r="T867" s="15" t="str">
        <f>IF(T865="","","Исполнитель"&amp;": ")</f>
        <v/>
      </c>
      <c r="U867" s="62" t="str">
        <f>IFERROR(VLOOKUP(S$13&amp;$B867,Aux!$B:$M,4,0),"")</f>
        <v/>
      </c>
      <c r="V867" s="62"/>
      <c r="W867" s="63" t="str">
        <f>IFERROR(IF(VLOOKUP(S$13&amp;$B865,Aux!$B:$M,8,0)="Да","✔","🕓"),"")</f>
        <v/>
      </c>
      <c r="AA867" s="59"/>
      <c r="AB867" s="15" t="str">
        <f>IF(AB865="","","Исполнитель"&amp;": ")</f>
        <v/>
      </c>
      <c r="AC867" s="62" t="str">
        <f>IFERROR(VLOOKUP(AA$13&amp;$B867,Aux!$B:$M,4,0),"")</f>
        <v/>
      </c>
      <c r="AD867" s="62"/>
      <c r="AE867" s="63" t="str">
        <f>IFERROR(IF(VLOOKUP(AA$13&amp;$B865,Aux!$B:$M,8,0)="Да","✔","🕓"),"")</f>
        <v/>
      </c>
    </row>
    <row r="868" spans="2:31" x14ac:dyDescent="0.25">
      <c r="B868" s="53">
        <f t="shared" si="13"/>
        <v>171</v>
      </c>
      <c r="C868" s="59"/>
      <c r="D868" s="16" t="str">
        <f>IF(D865="","","Срок сдачи"&amp;": ")</f>
        <v/>
      </c>
      <c r="E868" s="64" t="str">
        <f>IFERROR(VLOOKUP(C$13&amp;$B868,Aux!$B:$M,6,0),"")</f>
        <v/>
      </c>
      <c r="F868" s="64"/>
      <c r="G868" s="63"/>
      <c r="K868" s="59"/>
      <c r="L868" s="16" t="str">
        <f>IF(L865="","","Срок сдачи"&amp;": ")</f>
        <v/>
      </c>
      <c r="M868" s="64" t="str">
        <f>IFERROR(VLOOKUP(K$13&amp;$B868,Aux!$B:$M,6,0),"")</f>
        <v/>
      </c>
      <c r="N868" s="64"/>
      <c r="O868" s="63"/>
      <c r="S868" s="59"/>
      <c r="T868" s="16" t="str">
        <f>IF(T865="","","Срок сдачи"&amp;": ")</f>
        <v/>
      </c>
      <c r="U868" s="64" t="str">
        <f>IFERROR(VLOOKUP(S$13&amp;$B868,Aux!$B:$M,6,0),"")</f>
        <v/>
      </c>
      <c r="V868" s="64"/>
      <c r="W868" s="63"/>
      <c r="AA868" s="59"/>
      <c r="AB868" s="16" t="str">
        <f>IF(AB865="","","Срок сдачи"&amp;": ")</f>
        <v/>
      </c>
      <c r="AC868" s="64" t="str">
        <f>IFERROR(VLOOKUP(AA$13&amp;$B868,Aux!$B:$M,6,0),"")</f>
        <v/>
      </c>
      <c r="AD868" s="64"/>
      <c r="AE868" s="63"/>
    </row>
    <row r="869" spans="2:31" x14ac:dyDescent="0.25">
      <c r="B869" s="53">
        <f t="shared" si="13"/>
        <v>171</v>
      </c>
      <c r="C869" s="7"/>
      <c r="D869" s="17"/>
      <c r="E869" s="7"/>
      <c r="F869" s="18"/>
      <c r="G869" s="18"/>
      <c r="K869" s="13"/>
      <c r="L869" s="17"/>
      <c r="M869" s="13"/>
      <c r="N869" s="14"/>
      <c r="O869" s="14"/>
      <c r="S869" s="13"/>
      <c r="T869" s="17"/>
      <c r="U869" s="13"/>
      <c r="V869" s="14"/>
      <c r="W869" s="14"/>
      <c r="AA869" s="13"/>
      <c r="AB869" s="17"/>
      <c r="AC869" s="13"/>
      <c r="AD869" s="14"/>
      <c r="AE869" s="30"/>
    </row>
    <row r="870" spans="2:31" x14ac:dyDescent="0.25">
      <c r="B870" s="53">
        <f t="shared" si="13"/>
        <v>172</v>
      </c>
      <c r="C870" s="59" t="str">
        <f>IFERROR(VLOOKUP(C$13&amp;$B874,Aux!$B:$M,5,0),"")</f>
        <v/>
      </c>
      <c r="D870" s="60" t="str">
        <f>IFERROR(VLOOKUP(C$13&amp;$B870,Aux!$B:$M,3,0),"")</f>
        <v/>
      </c>
      <c r="E870" s="60"/>
      <c r="F870" s="60"/>
      <c r="G870" s="61" t="str">
        <f>IFERROR(VLOOKUP(C$13&amp;$B870,Aux!$B:$M,9,0),"")</f>
        <v/>
      </c>
      <c r="K870" s="59" t="str">
        <f>IFERROR(VLOOKUP(K$13&amp;$B874,Aux!$B:$M,5,0),"")</f>
        <v/>
      </c>
      <c r="L870" s="60" t="str">
        <f>IFERROR(VLOOKUP(K$13&amp;$B870,Aux!$B:$M,3,0),"")</f>
        <v/>
      </c>
      <c r="M870" s="60"/>
      <c r="N870" s="60"/>
      <c r="O870" s="61" t="str">
        <f>IFERROR(VLOOKUP(K$13&amp;$B870,Aux!$B:$M,9,0),"")</f>
        <v/>
      </c>
      <c r="S870" s="59" t="str">
        <f>IFERROR(VLOOKUP(S$13&amp;$B874,Aux!$B:$M,5,0),"")</f>
        <v/>
      </c>
      <c r="T870" s="60" t="str">
        <f>IFERROR(VLOOKUP(S$13&amp;$B870,Aux!$B:$M,3,0),"")</f>
        <v/>
      </c>
      <c r="U870" s="60"/>
      <c r="V870" s="60"/>
      <c r="W870" s="61" t="str">
        <f>IFERROR(VLOOKUP(S$13&amp;$B870,Aux!$B:$M,9,0),"")</f>
        <v/>
      </c>
      <c r="AA870" s="59" t="str">
        <f>IFERROR(VLOOKUP(AA$13&amp;$B874,Aux!$B:$M,5,0),"")</f>
        <v/>
      </c>
      <c r="AB870" s="60" t="str">
        <f>IFERROR(VLOOKUP(AA$13&amp;$B870,Aux!$B:$M,3,0),"")</f>
        <v/>
      </c>
      <c r="AC870" s="60"/>
      <c r="AD870" s="60"/>
      <c r="AE870" s="61" t="str">
        <f>IFERROR(VLOOKUP(AA$13&amp;$B870,Aux!$B:$M,9,0),"")</f>
        <v/>
      </c>
    </row>
    <row r="871" spans="2:31" x14ac:dyDescent="0.25">
      <c r="B871" s="53">
        <f t="shared" si="13"/>
        <v>172</v>
      </c>
      <c r="C871" s="59"/>
      <c r="D871" s="60"/>
      <c r="E871" s="60"/>
      <c r="F871" s="60"/>
      <c r="G871" s="61"/>
      <c r="K871" s="59"/>
      <c r="L871" s="60"/>
      <c r="M871" s="60"/>
      <c r="N871" s="60"/>
      <c r="O871" s="61"/>
      <c r="S871" s="59"/>
      <c r="T871" s="60"/>
      <c r="U871" s="60"/>
      <c r="V871" s="60"/>
      <c r="W871" s="61"/>
      <c r="AA871" s="59"/>
      <c r="AB871" s="60"/>
      <c r="AC871" s="60"/>
      <c r="AD871" s="60"/>
      <c r="AE871" s="61"/>
    </row>
    <row r="872" spans="2:31" x14ac:dyDescent="0.25">
      <c r="B872" s="53">
        <f t="shared" si="13"/>
        <v>172</v>
      </c>
      <c r="C872" s="59"/>
      <c r="D872" s="15" t="str">
        <f>IF(D870="","","Исполнитель"&amp;": ")</f>
        <v/>
      </c>
      <c r="E872" s="62" t="str">
        <f>IFERROR(VLOOKUP(C$13&amp;$B872,Aux!$B:$M,4,0),"")</f>
        <v/>
      </c>
      <c r="F872" s="62"/>
      <c r="G872" s="63" t="str">
        <f>IFERROR(IF(VLOOKUP(C$13&amp;$B870,Aux!$B:$M,8,0)="Да","✔","🕓"),"")</f>
        <v/>
      </c>
      <c r="K872" s="59"/>
      <c r="L872" s="15" t="str">
        <f>IF(L870="","","Исполнитель"&amp;": ")</f>
        <v/>
      </c>
      <c r="M872" s="62" t="str">
        <f>IFERROR(VLOOKUP(K$13&amp;$B872,Aux!$B:$M,4,0),"")</f>
        <v/>
      </c>
      <c r="N872" s="62"/>
      <c r="O872" s="63" t="str">
        <f>IFERROR(IF(VLOOKUP(K$13&amp;$B870,Aux!$B:$M,8,0)="Да","✔","🕓"),"")</f>
        <v/>
      </c>
      <c r="S872" s="59"/>
      <c r="T872" s="15" t="str">
        <f>IF(T870="","","Исполнитель"&amp;": ")</f>
        <v/>
      </c>
      <c r="U872" s="62" t="str">
        <f>IFERROR(VLOOKUP(S$13&amp;$B872,Aux!$B:$M,4,0),"")</f>
        <v/>
      </c>
      <c r="V872" s="62"/>
      <c r="W872" s="63" t="str">
        <f>IFERROR(IF(VLOOKUP(S$13&amp;$B870,Aux!$B:$M,8,0)="Да","✔","🕓"),"")</f>
        <v/>
      </c>
      <c r="AA872" s="59"/>
      <c r="AB872" s="15" t="str">
        <f>IF(AB870="","","Исполнитель"&amp;": ")</f>
        <v/>
      </c>
      <c r="AC872" s="62" t="str">
        <f>IFERROR(VLOOKUP(AA$13&amp;$B872,Aux!$B:$M,4,0),"")</f>
        <v/>
      </c>
      <c r="AD872" s="62"/>
      <c r="AE872" s="63" t="str">
        <f>IFERROR(IF(VLOOKUP(AA$13&amp;$B870,Aux!$B:$M,8,0)="Да","✔","🕓"),"")</f>
        <v/>
      </c>
    </row>
    <row r="873" spans="2:31" x14ac:dyDescent="0.25">
      <c r="B873" s="53">
        <f t="shared" si="13"/>
        <v>172</v>
      </c>
      <c r="C873" s="59"/>
      <c r="D873" s="16" t="str">
        <f>IF(D870="","","Срок сдачи"&amp;": ")</f>
        <v/>
      </c>
      <c r="E873" s="64" t="str">
        <f>IFERROR(VLOOKUP(C$13&amp;$B873,Aux!$B:$M,6,0),"")</f>
        <v/>
      </c>
      <c r="F873" s="64"/>
      <c r="G873" s="63"/>
      <c r="K873" s="59"/>
      <c r="L873" s="16" t="str">
        <f>IF(L870="","","Срок сдачи"&amp;": ")</f>
        <v/>
      </c>
      <c r="M873" s="64" t="str">
        <f>IFERROR(VLOOKUP(K$13&amp;$B873,Aux!$B:$M,6,0),"")</f>
        <v/>
      </c>
      <c r="N873" s="64"/>
      <c r="O873" s="63"/>
      <c r="S873" s="59"/>
      <c r="T873" s="16" t="str">
        <f>IF(T870="","","Срок сдачи"&amp;": ")</f>
        <v/>
      </c>
      <c r="U873" s="64" t="str">
        <f>IFERROR(VLOOKUP(S$13&amp;$B873,Aux!$B:$M,6,0),"")</f>
        <v/>
      </c>
      <c r="V873" s="64"/>
      <c r="W873" s="63"/>
      <c r="AA873" s="59"/>
      <c r="AB873" s="16" t="str">
        <f>IF(AB870="","","Срок сдачи"&amp;": ")</f>
        <v/>
      </c>
      <c r="AC873" s="64" t="str">
        <f>IFERROR(VLOOKUP(AA$13&amp;$B873,Aux!$B:$M,6,0),"")</f>
        <v/>
      </c>
      <c r="AD873" s="64"/>
      <c r="AE873" s="63"/>
    </row>
    <row r="874" spans="2:31" x14ac:dyDescent="0.25">
      <c r="B874" s="53">
        <f t="shared" si="13"/>
        <v>172</v>
      </c>
      <c r="C874" s="7"/>
      <c r="D874" s="17"/>
      <c r="E874" s="7"/>
      <c r="F874" s="18"/>
      <c r="G874" s="18"/>
      <c r="K874" s="13"/>
      <c r="L874" s="17"/>
      <c r="M874" s="13"/>
      <c r="N874" s="14"/>
      <c r="O874" s="14"/>
      <c r="S874" s="13"/>
      <c r="T874" s="17"/>
      <c r="U874" s="13"/>
      <c r="V874" s="14"/>
      <c r="W874" s="14"/>
      <c r="AA874" s="13"/>
      <c r="AB874" s="17"/>
      <c r="AC874" s="13"/>
      <c r="AD874" s="14"/>
      <c r="AE874" s="30"/>
    </row>
    <row r="875" spans="2:31" x14ac:dyDescent="0.25">
      <c r="B875" s="53">
        <f t="shared" si="13"/>
        <v>173</v>
      </c>
      <c r="C875" s="59" t="str">
        <f>IFERROR(VLOOKUP(C$13&amp;$B879,Aux!$B:$M,5,0),"")</f>
        <v/>
      </c>
      <c r="D875" s="60" t="str">
        <f>IFERROR(VLOOKUP(C$13&amp;$B875,Aux!$B:$M,3,0),"")</f>
        <v/>
      </c>
      <c r="E875" s="60"/>
      <c r="F875" s="60"/>
      <c r="G875" s="61" t="str">
        <f>IFERROR(VLOOKUP(C$13&amp;$B875,Aux!$B:$M,9,0),"")</f>
        <v/>
      </c>
      <c r="K875" s="59" t="str">
        <f>IFERROR(VLOOKUP(K$13&amp;$B879,Aux!$B:$M,5,0),"")</f>
        <v/>
      </c>
      <c r="L875" s="60" t="str">
        <f>IFERROR(VLOOKUP(K$13&amp;$B875,Aux!$B:$M,3,0),"")</f>
        <v/>
      </c>
      <c r="M875" s="60"/>
      <c r="N875" s="60"/>
      <c r="O875" s="61" t="str">
        <f>IFERROR(VLOOKUP(K$13&amp;$B875,Aux!$B:$M,9,0),"")</f>
        <v/>
      </c>
      <c r="S875" s="59" t="str">
        <f>IFERROR(VLOOKUP(S$13&amp;$B879,Aux!$B:$M,5,0),"")</f>
        <v/>
      </c>
      <c r="T875" s="60" t="str">
        <f>IFERROR(VLOOKUP(S$13&amp;$B875,Aux!$B:$M,3,0),"")</f>
        <v/>
      </c>
      <c r="U875" s="60"/>
      <c r="V875" s="60"/>
      <c r="W875" s="61" t="str">
        <f>IFERROR(VLOOKUP(S$13&amp;$B875,Aux!$B:$M,9,0),"")</f>
        <v/>
      </c>
      <c r="AA875" s="59" t="str">
        <f>IFERROR(VLOOKUP(AA$13&amp;$B879,Aux!$B:$M,5,0),"")</f>
        <v/>
      </c>
      <c r="AB875" s="60" t="str">
        <f>IFERROR(VLOOKUP(AA$13&amp;$B875,Aux!$B:$M,3,0),"")</f>
        <v/>
      </c>
      <c r="AC875" s="60"/>
      <c r="AD875" s="60"/>
      <c r="AE875" s="61" t="str">
        <f>IFERROR(VLOOKUP(AA$13&amp;$B875,Aux!$B:$M,9,0),"")</f>
        <v/>
      </c>
    </row>
    <row r="876" spans="2:31" x14ac:dyDescent="0.25">
      <c r="B876" s="53">
        <f t="shared" si="13"/>
        <v>173</v>
      </c>
      <c r="C876" s="59"/>
      <c r="D876" s="60"/>
      <c r="E876" s="60"/>
      <c r="F876" s="60"/>
      <c r="G876" s="61"/>
      <c r="K876" s="59"/>
      <c r="L876" s="60"/>
      <c r="M876" s="60"/>
      <c r="N876" s="60"/>
      <c r="O876" s="61"/>
      <c r="S876" s="59"/>
      <c r="T876" s="60"/>
      <c r="U876" s="60"/>
      <c r="V876" s="60"/>
      <c r="W876" s="61"/>
      <c r="AA876" s="59"/>
      <c r="AB876" s="60"/>
      <c r="AC876" s="60"/>
      <c r="AD876" s="60"/>
      <c r="AE876" s="61"/>
    </row>
    <row r="877" spans="2:31" x14ac:dyDescent="0.25">
      <c r="B877" s="53">
        <f t="shared" si="13"/>
        <v>173</v>
      </c>
      <c r="C877" s="59"/>
      <c r="D877" s="15" t="str">
        <f>IF(D875="","","Исполнитель"&amp;": ")</f>
        <v/>
      </c>
      <c r="E877" s="62" t="str">
        <f>IFERROR(VLOOKUP(C$13&amp;$B877,Aux!$B:$M,4,0),"")</f>
        <v/>
      </c>
      <c r="F877" s="62"/>
      <c r="G877" s="63" t="str">
        <f>IFERROR(IF(VLOOKUP(C$13&amp;$B875,Aux!$B:$M,8,0)="Да","✔","🕓"),"")</f>
        <v/>
      </c>
      <c r="K877" s="59"/>
      <c r="L877" s="15" t="str">
        <f>IF(L875="","","Исполнитель"&amp;": ")</f>
        <v/>
      </c>
      <c r="M877" s="62" t="str">
        <f>IFERROR(VLOOKUP(K$13&amp;$B877,Aux!$B:$M,4,0),"")</f>
        <v/>
      </c>
      <c r="N877" s="62"/>
      <c r="O877" s="63" t="str">
        <f>IFERROR(IF(VLOOKUP(K$13&amp;$B875,Aux!$B:$M,8,0)="Да","✔","🕓"),"")</f>
        <v/>
      </c>
      <c r="S877" s="59"/>
      <c r="T877" s="15" t="str">
        <f>IF(T875="","","Исполнитель"&amp;": ")</f>
        <v/>
      </c>
      <c r="U877" s="62" t="str">
        <f>IFERROR(VLOOKUP(S$13&amp;$B877,Aux!$B:$M,4,0),"")</f>
        <v/>
      </c>
      <c r="V877" s="62"/>
      <c r="W877" s="63" t="str">
        <f>IFERROR(IF(VLOOKUP(S$13&amp;$B875,Aux!$B:$M,8,0)="Да","✔","🕓"),"")</f>
        <v/>
      </c>
      <c r="AA877" s="59"/>
      <c r="AB877" s="15" t="str">
        <f>IF(AB875="","","Исполнитель"&amp;": ")</f>
        <v/>
      </c>
      <c r="AC877" s="62" t="str">
        <f>IFERROR(VLOOKUP(AA$13&amp;$B877,Aux!$B:$M,4,0),"")</f>
        <v/>
      </c>
      <c r="AD877" s="62"/>
      <c r="AE877" s="63" t="str">
        <f>IFERROR(IF(VLOOKUP(AA$13&amp;$B875,Aux!$B:$M,8,0)="Да","✔","🕓"),"")</f>
        <v/>
      </c>
    </row>
    <row r="878" spans="2:31" x14ac:dyDescent="0.25">
      <c r="B878" s="53">
        <f t="shared" si="13"/>
        <v>173</v>
      </c>
      <c r="C878" s="59"/>
      <c r="D878" s="16" t="str">
        <f>IF(D875="","","Срок сдачи"&amp;": ")</f>
        <v/>
      </c>
      <c r="E878" s="64" t="str">
        <f>IFERROR(VLOOKUP(C$13&amp;$B878,Aux!$B:$M,6,0),"")</f>
        <v/>
      </c>
      <c r="F878" s="64"/>
      <c r="G878" s="63"/>
      <c r="K878" s="59"/>
      <c r="L878" s="16" t="str">
        <f>IF(L875="","","Срок сдачи"&amp;": ")</f>
        <v/>
      </c>
      <c r="M878" s="64" t="str">
        <f>IFERROR(VLOOKUP(K$13&amp;$B878,Aux!$B:$M,6,0),"")</f>
        <v/>
      </c>
      <c r="N878" s="64"/>
      <c r="O878" s="63"/>
      <c r="S878" s="59"/>
      <c r="T878" s="16" t="str">
        <f>IF(T875="","","Срок сдачи"&amp;": ")</f>
        <v/>
      </c>
      <c r="U878" s="64" t="str">
        <f>IFERROR(VLOOKUP(S$13&amp;$B878,Aux!$B:$M,6,0),"")</f>
        <v/>
      </c>
      <c r="V878" s="64"/>
      <c r="W878" s="63"/>
      <c r="AA878" s="59"/>
      <c r="AB878" s="16" t="str">
        <f>IF(AB875="","","Срок сдачи"&amp;": ")</f>
        <v/>
      </c>
      <c r="AC878" s="64" t="str">
        <f>IFERROR(VLOOKUP(AA$13&amp;$B878,Aux!$B:$M,6,0),"")</f>
        <v/>
      </c>
      <c r="AD878" s="64"/>
      <c r="AE878" s="63"/>
    </row>
    <row r="879" spans="2:31" x14ac:dyDescent="0.25">
      <c r="B879" s="53">
        <f t="shared" si="13"/>
        <v>173</v>
      </c>
      <c r="C879" s="7"/>
      <c r="D879" s="17"/>
      <c r="E879" s="7"/>
      <c r="F879" s="18"/>
      <c r="G879" s="18"/>
      <c r="K879" s="13"/>
      <c r="L879" s="17"/>
      <c r="M879" s="13"/>
      <c r="N879" s="14"/>
      <c r="O879" s="14"/>
      <c r="S879" s="13"/>
      <c r="T879" s="17"/>
      <c r="U879" s="13"/>
      <c r="V879" s="14"/>
      <c r="W879" s="14"/>
      <c r="AA879" s="13"/>
      <c r="AB879" s="17"/>
      <c r="AC879" s="13"/>
      <c r="AD879" s="14"/>
      <c r="AE879" s="30"/>
    </row>
    <row r="880" spans="2:31" x14ac:dyDescent="0.25">
      <c r="B880" s="53">
        <f t="shared" si="13"/>
        <v>174</v>
      </c>
      <c r="C880" s="59" t="str">
        <f>IFERROR(VLOOKUP(C$13&amp;$B884,Aux!$B:$M,5,0),"")</f>
        <v/>
      </c>
      <c r="D880" s="60" t="str">
        <f>IFERROR(VLOOKUP(C$13&amp;$B880,Aux!$B:$M,3,0),"")</f>
        <v/>
      </c>
      <c r="E880" s="60"/>
      <c r="F880" s="60"/>
      <c r="G880" s="61" t="str">
        <f>IFERROR(VLOOKUP(C$13&amp;$B880,Aux!$B:$M,9,0),"")</f>
        <v/>
      </c>
      <c r="K880" s="59" t="str">
        <f>IFERROR(VLOOKUP(K$13&amp;$B884,Aux!$B:$M,5,0),"")</f>
        <v/>
      </c>
      <c r="L880" s="60" t="str">
        <f>IFERROR(VLOOKUP(K$13&amp;$B880,Aux!$B:$M,3,0),"")</f>
        <v/>
      </c>
      <c r="M880" s="60"/>
      <c r="N880" s="60"/>
      <c r="O880" s="61" t="str">
        <f>IFERROR(VLOOKUP(K$13&amp;$B880,Aux!$B:$M,9,0),"")</f>
        <v/>
      </c>
      <c r="S880" s="59" t="str">
        <f>IFERROR(VLOOKUP(S$13&amp;$B884,Aux!$B:$M,5,0),"")</f>
        <v/>
      </c>
      <c r="T880" s="60" t="str">
        <f>IFERROR(VLOOKUP(S$13&amp;$B880,Aux!$B:$M,3,0),"")</f>
        <v/>
      </c>
      <c r="U880" s="60"/>
      <c r="V880" s="60"/>
      <c r="W880" s="61" t="str">
        <f>IFERROR(VLOOKUP(S$13&amp;$B880,Aux!$B:$M,9,0),"")</f>
        <v/>
      </c>
      <c r="AA880" s="59" t="str">
        <f>IFERROR(VLOOKUP(AA$13&amp;$B884,Aux!$B:$M,5,0),"")</f>
        <v/>
      </c>
      <c r="AB880" s="60" t="str">
        <f>IFERROR(VLOOKUP(AA$13&amp;$B880,Aux!$B:$M,3,0),"")</f>
        <v/>
      </c>
      <c r="AC880" s="60"/>
      <c r="AD880" s="60"/>
      <c r="AE880" s="61" t="str">
        <f>IFERROR(VLOOKUP(AA$13&amp;$B880,Aux!$B:$M,9,0),"")</f>
        <v/>
      </c>
    </row>
    <row r="881" spans="2:31" x14ac:dyDescent="0.25">
      <c r="B881" s="53">
        <f t="shared" si="13"/>
        <v>174</v>
      </c>
      <c r="C881" s="59"/>
      <c r="D881" s="60"/>
      <c r="E881" s="60"/>
      <c r="F881" s="60"/>
      <c r="G881" s="61"/>
      <c r="K881" s="59"/>
      <c r="L881" s="60"/>
      <c r="M881" s="60"/>
      <c r="N881" s="60"/>
      <c r="O881" s="61"/>
      <c r="S881" s="59"/>
      <c r="T881" s="60"/>
      <c r="U881" s="60"/>
      <c r="V881" s="60"/>
      <c r="W881" s="61"/>
      <c r="AA881" s="59"/>
      <c r="AB881" s="60"/>
      <c r="AC881" s="60"/>
      <c r="AD881" s="60"/>
      <c r="AE881" s="61"/>
    </row>
    <row r="882" spans="2:31" x14ac:dyDescent="0.25">
      <c r="B882" s="53">
        <f t="shared" si="13"/>
        <v>174</v>
      </c>
      <c r="C882" s="59"/>
      <c r="D882" s="15" t="str">
        <f>IF(D880="","","Исполнитель"&amp;": ")</f>
        <v/>
      </c>
      <c r="E882" s="62" t="str">
        <f>IFERROR(VLOOKUP(C$13&amp;$B882,Aux!$B:$M,4,0),"")</f>
        <v/>
      </c>
      <c r="F882" s="62"/>
      <c r="G882" s="63" t="str">
        <f>IFERROR(IF(VLOOKUP(C$13&amp;$B880,Aux!$B:$M,8,0)="Да","✔","🕓"),"")</f>
        <v/>
      </c>
      <c r="K882" s="59"/>
      <c r="L882" s="15" t="str">
        <f>IF(L880="","","Исполнитель"&amp;": ")</f>
        <v/>
      </c>
      <c r="M882" s="62" t="str">
        <f>IFERROR(VLOOKUP(K$13&amp;$B882,Aux!$B:$M,4,0),"")</f>
        <v/>
      </c>
      <c r="N882" s="62"/>
      <c r="O882" s="63" t="str">
        <f>IFERROR(IF(VLOOKUP(K$13&amp;$B880,Aux!$B:$M,8,0)="Да","✔","🕓"),"")</f>
        <v/>
      </c>
      <c r="S882" s="59"/>
      <c r="T882" s="15" t="str">
        <f>IF(T880="","","Исполнитель"&amp;": ")</f>
        <v/>
      </c>
      <c r="U882" s="62" t="str">
        <f>IFERROR(VLOOKUP(S$13&amp;$B882,Aux!$B:$M,4,0),"")</f>
        <v/>
      </c>
      <c r="V882" s="62"/>
      <c r="W882" s="63" t="str">
        <f>IFERROR(IF(VLOOKUP(S$13&amp;$B880,Aux!$B:$M,8,0)="Да","✔","🕓"),"")</f>
        <v/>
      </c>
      <c r="AA882" s="59"/>
      <c r="AB882" s="15" t="str">
        <f>IF(AB880="","","Исполнитель"&amp;": ")</f>
        <v/>
      </c>
      <c r="AC882" s="62" t="str">
        <f>IFERROR(VLOOKUP(AA$13&amp;$B882,Aux!$B:$M,4,0),"")</f>
        <v/>
      </c>
      <c r="AD882" s="62"/>
      <c r="AE882" s="63" t="str">
        <f>IFERROR(IF(VLOOKUP(AA$13&amp;$B880,Aux!$B:$M,8,0)="Да","✔","🕓"),"")</f>
        <v/>
      </c>
    </row>
    <row r="883" spans="2:31" x14ac:dyDescent="0.25">
      <c r="B883" s="53">
        <f t="shared" si="13"/>
        <v>174</v>
      </c>
      <c r="C883" s="59"/>
      <c r="D883" s="16" t="str">
        <f>IF(D880="","","Срок сдачи"&amp;": ")</f>
        <v/>
      </c>
      <c r="E883" s="64" t="str">
        <f>IFERROR(VLOOKUP(C$13&amp;$B883,Aux!$B:$M,6,0),"")</f>
        <v/>
      </c>
      <c r="F883" s="64"/>
      <c r="G883" s="63"/>
      <c r="K883" s="59"/>
      <c r="L883" s="16" t="str">
        <f>IF(L880="","","Срок сдачи"&amp;": ")</f>
        <v/>
      </c>
      <c r="M883" s="64" t="str">
        <f>IFERROR(VLOOKUP(K$13&amp;$B883,Aux!$B:$M,6,0),"")</f>
        <v/>
      </c>
      <c r="N883" s="64"/>
      <c r="O883" s="63"/>
      <c r="S883" s="59"/>
      <c r="T883" s="16" t="str">
        <f>IF(T880="","","Срок сдачи"&amp;": ")</f>
        <v/>
      </c>
      <c r="U883" s="64" t="str">
        <f>IFERROR(VLOOKUP(S$13&amp;$B883,Aux!$B:$M,6,0),"")</f>
        <v/>
      </c>
      <c r="V883" s="64"/>
      <c r="W883" s="63"/>
      <c r="AA883" s="59"/>
      <c r="AB883" s="16" t="str">
        <f>IF(AB880="","","Срок сдачи"&amp;": ")</f>
        <v/>
      </c>
      <c r="AC883" s="64" t="str">
        <f>IFERROR(VLOOKUP(AA$13&amp;$B883,Aux!$B:$M,6,0),"")</f>
        <v/>
      </c>
      <c r="AD883" s="64"/>
      <c r="AE883" s="63"/>
    </row>
    <row r="884" spans="2:31" x14ac:dyDescent="0.25">
      <c r="B884" s="53">
        <f t="shared" si="13"/>
        <v>174</v>
      </c>
      <c r="C884" s="7"/>
      <c r="D884" s="17"/>
      <c r="E884" s="7"/>
      <c r="F884" s="18"/>
      <c r="G884" s="18"/>
      <c r="K884" s="13"/>
      <c r="L884" s="17"/>
      <c r="M884" s="13"/>
      <c r="N884" s="14"/>
      <c r="O884" s="14"/>
      <c r="S884" s="13"/>
      <c r="T884" s="17"/>
      <c r="U884" s="13"/>
      <c r="V884" s="14"/>
      <c r="W884" s="14"/>
      <c r="AA884" s="13"/>
      <c r="AB884" s="17"/>
      <c r="AC884" s="13"/>
      <c r="AD884" s="14"/>
      <c r="AE884" s="30"/>
    </row>
    <row r="885" spans="2:31" x14ac:dyDescent="0.25">
      <c r="B885" s="53">
        <f t="shared" si="13"/>
        <v>175</v>
      </c>
      <c r="C885" s="59" t="str">
        <f>IFERROR(VLOOKUP(C$13&amp;$B889,Aux!$B:$M,5,0),"")</f>
        <v/>
      </c>
      <c r="D885" s="60" t="str">
        <f>IFERROR(VLOOKUP(C$13&amp;$B885,Aux!$B:$M,3,0),"")</f>
        <v/>
      </c>
      <c r="E885" s="60"/>
      <c r="F885" s="60"/>
      <c r="G885" s="61" t="str">
        <f>IFERROR(VLOOKUP(C$13&amp;$B885,Aux!$B:$M,9,0),"")</f>
        <v/>
      </c>
      <c r="K885" s="59" t="str">
        <f>IFERROR(VLOOKUP(K$13&amp;$B889,Aux!$B:$M,5,0),"")</f>
        <v/>
      </c>
      <c r="L885" s="60" t="str">
        <f>IFERROR(VLOOKUP(K$13&amp;$B885,Aux!$B:$M,3,0),"")</f>
        <v/>
      </c>
      <c r="M885" s="60"/>
      <c r="N885" s="60"/>
      <c r="O885" s="61" t="str">
        <f>IFERROR(VLOOKUP(K$13&amp;$B885,Aux!$B:$M,9,0),"")</f>
        <v/>
      </c>
      <c r="S885" s="59" t="str">
        <f>IFERROR(VLOOKUP(S$13&amp;$B889,Aux!$B:$M,5,0),"")</f>
        <v/>
      </c>
      <c r="T885" s="60" t="str">
        <f>IFERROR(VLOOKUP(S$13&amp;$B885,Aux!$B:$M,3,0),"")</f>
        <v/>
      </c>
      <c r="U885" s="60"/>
      <c r="V885" s="60"/>
      <c r="W885" s="61" t="str">
        <f>IFERROR(VLOOKUP(S$13&amp;$B885,Aux!$B:$M,9,0),"")</f>
        <v/>
      </c>
      <c r="AA885" s="59" t="str">
        <f>IFERROR(VLOOKUP(AA$13&amp;$B889,Aux!$B:$M,5,0),"")</f>
        <v/>
      </c>
      <c r="AB885" s="60" t="str">
        <f>IFERROR(VLOOKUP(AA$13&amp;$B885,Aux!$B:$M,3,0),"")</f>
        <v/>
      </c>
      <c r="AC885" s="60"/>
      <c r="AD885" s="60"/>
      <c r="AE885" s="61" t="str">
        <f>IFERROR(VLOOKUP(AA$13&amp;$B885,Aux!$B:$M,9,0),"")</f>
        <v/>
      </c>
    </row>
    <row r="886" spans="2:31" x14ac:dyDescent="0.25">
      <c r="B886" s="53">
        <f t="shared" si="13"/>
        <v>175</v>
      </c>
      <c r="C886" s="59"/>
      <c r="D886" s="60"/>
      <c r="E886" s="60"/>
      <c r="F886" s="60"/>
      <c r="G886" s="61"/>
      <c r="K886" s="59"/>
      <c r="L886" s="60"/>
      <c r="M886" s="60"/>
      <c r="N886" s="60"/>
      <c r="O886" s="61"/>
      <c r="S886" s="59"/>
      <c r="T886" s="60"/>
      <c r="U886" s="60"/>
      <c r="V886" s="60"/>
      <c r="W886" s="61"/>
      <c r="AA886" s="59"/>
      <c r="AB886" s="60"/>
      <c r="AC886" s="60"/>
      <c r="AD886" s="60"/>
      <c r="AE886" s="61"/>
    </row>
    <row r="887" spans="2:31" x14ac:dyDescent="0.25">
      <c r="B887" s="53">
        <f t="shared" si="13"/>
        <v>175</v>
      </c>
      <c r="C887" s="59"/>
      <c r="D887" s="15" t="str">
        <f>IF(D885="","","Исполнитель"&amp;": ")</f>
        <v/>
      </c>
      <c r="E887" s="62" t="str">
        <f>IFERROR(VLOOKUP(C$13&amp;$B887,Aux!$B:$M,4,0),"")</f>
        <v/>
      </c>
      <c r="F887" s="62"/>
      <c r="G887" s="63" t="str">
        <f>IFERROR(IF(VLOOKUP(C$13&amp;$B885,Aux!$B:$M,8,0)="Да","✔","🕓"),"")</f>
        <v/>
      </c>
      <c r="K887" s="59"/>
      <c r="L887" s="15" t="str">
        <f>IF(L885="","","Исполнитель"&amp;": ")</f>
        <v/>
      </c>
      <c r="M887" s="62" t="str">
        <f>IFERROR(VLOOKUP(K$13&amp;$B887,Aux!$B:$M,4,0),"")</f>
        <v/>
      </c>
      <c r="N887" s="62"/>
      <c r="O887" s="63" t="str">
        <f>IFERROR(IF(VLOOKUP(K$13&amp;$B885,Aux!$B:$M,8,0)="Да","✔","🕓"),"")</f>
        <v/>
      </c>
      <c r="S887" s="59"/>
      <c r="T887" s="15" t="str">
        <f>IF(T885="","","Исполнитель"&amp;": ")</f>
        <v/>
      </c>
      <c r="U887" s="62" t="str">
        <f>IFERROR(VLOOKUP(S$13&amp;$B887,Aux!$B:$M,4,0),"")</f>
        <v/>
      </c>
      <c r="V887" s="62"/>
      <c r="W887" s="63" t="str">
        <f>IFERROR(IF(VLOOKUP(S$13&amp;$B885,Aux!$B:$M,8,0)="Да","✔","🕓"),"")</f>
        <v/>
      </c>
      <c r="AA887" s="59"/>
      <c r="AB887" s="15" t="str">
        <f>IF(AB885="","","Исполнитель"&amp;": ")</f>
        <v/>
      </c>
      <c r="AC887" s="62" t="str">
        <f>IFERROR(VLOOKUP(AA$13&amp;$B887,Aux!$B:$M,4,0),"")</f>
        <v/>
      </c>
      <c r="AD887" s="62"/>
      <c r="AE887" s="63" t="str">
        <f>IFERROR(IF(VLOOKUP(AA$13&amp;$B885,Aux!$B:$M,8,0)="Да","✔","🕓"),"")</f>
        <v/>
      </c>
    </row>
    <row r="888" spans="2:31" x14ac:dyDescent="0.25">
      <c r="B888" s="53">
        <f t="shared" si="13"/>
        <v>175</v>
      </c>
      <c r="C888" s="59"/>
      <c r="D888" s="16" t="str">
        <f>IF(D885="","","Срок сдачи"&amp;": ")</f>
        <v/>
      </c>
      <c r="E888" s="64" t="str">
        <f>IFERROR(VLOOKUP(C$13&amp;$B888,Aux!$B:$M,6,0),"")</f>
        <v/>
      </c>
      <c r="F888" s="64"/>
      <c r="G888" s="63"/>
      <c r="K888" s="59"/>
      <c r="L888" s="16" t="str">
        <f>IF(L885="","","Срок сдачи"&amp;": ")</f>
        <v/>
      </c>
      <c r="M888" s="64" t="str">
        <f>IFERROR(VLOOKUP(K$13&amp;$B888,Aux!$B:$M,6,0),"")</f>
        <v/>
      </c>
      <c r="N888" s="64"/>
      <c r="O888" s="63"/>
      <c r="S888" s="59"/>
      <c r="T888" s="16" t="str">
        <f>IF(T885="","","Срок сдачи"&amp;": ")</f>
        <v/>
      </c>
      <c r="U888" s="64" t="str">
        <f>IFERROR(VLOOKUP(S$13&amp;$B888,Aux!$B:$M,6,0),"")</f>
        <v/>
      </c>
      <c r="V888" s="64"/>
      <c r="W888" s="63"/>
      <c r="AA888" s="59"/>
      <c r="AB888" s="16" t="str">
        <f>IF(AB885="","","Срок сдачи"&amp;": ")</f>
        <v/>
      </c>
      <c r="AC888" s="64" t="str">
        <f>IFERROR(VLOOKUP(AA$13&amp;$B888,Aux!$B:$M,6,0),"")</f>
        <v/>
      </c>
      <c r="AD888" s="64"/>
      <c r="AE888" s="63"/>
    </row>
    <row r="889" spans="2:31" x14ac:dyDescent="0.25">
      <c r="B889" s="53">
        <f t="shared" si="13"/>
        <v>175</v>
      </c>
      <c r="C889" s="7"/>
      <c r="D889" s="17"/>
      <c r="E889" s="7"/>
      <c r="F889" s="18"/>
      <c r="G889" s="18"/>
      <c r="K889" s="13"/>
      <c r="L889" s="17"/>
      <c r="M889" s="13"/>
      <c r="N889" s="14"/>
      <c r="O889" s="14"/>
      <c r="S889" s="13"/>
      <c r="T889" s="17"/>
      <c r="U889" s="13"/>
      <c r="V889" s="14"/>
      <c r="W889" s="14"/>
      <c r="AA889" s="13"/>
      <c r="AB889" s="17"/>
      <c r="AC889" s="13"/>
      <c r="AD889" s="14"/>
      <c r="AE889" s="30"/>
    </row>
    <row r="890" spans="2:31" x14ac:dyDescent="0.25">
      <c r="B890" s="53">
        <f t="shared" si="13"/>
        <v>176</v>
      </c>
      <c r="C890" s="59" t="str">
        <f>IFERROR(VLOOKUP(C$13&amp;$B894,Aux!$B:$M,5,0),"")</f>
        <v/>
      </c>
      <c r="D890" s="60" t="str">
        <f>IFERROR(VLOOKUP(C$13&amp;$B890,Aux!$B:$M,3,0),"")</f>
        <v/>
      </c>
      <c r="E890" s="60"/>
      <c r="F890" s="60"/>
      <c r="G890" s="61" t="str">
        <f>IFERROR(VLOOKUP(C$13&amp;$B890,Aux!$B:$M,9,0),"")</f>
        <v/>
      </c>
      <c r="K890" s="59" t="str">
        <f>IFERROR(VLOOKUP(K$13&amp;$B894,Aux!$B:$M,5,0),"")</f>
        <v/>
      </c>
      <c r="L890" s="60" t="str">
        <f>IFERROR(VLOOKUP(K$13&amp;$B890,Aux!$B:$M,3,0),"")</f>
        <v/>
      </c>
      <c r="M890" s="60"/>
      <c r="N890" s="60"/>
      <c r="O890" s="61" t="str">
        <f>IFERROR(VLOOKUP(K$13&amp;$B890,Aux!$B:$M,9,0),"")</f>
        <v/>
      </c>
      <c r="S890" s="59" t="str">
        <f>IFERROR(VLOOKUP(S$13&amp;$B894,Aux!$B:$M,5,0),"")</f>
        <v/>
      </c>
      <c r="T890" s="60" t="str">
        <f>IFERROR(VLOOKUP(S$13&amp;$B890,Aux!$B:$M,3,0),"")</f>
        <v/>
      </c>
      <c r="U890" s="60"/>
      <c r="V890" s="60"/>
      <c r="W890" s="61" t="str">
        <f>IFERROR(VLOOKUP(S$13&amp;$B890,Aux!$B:$M,9,0),"")</f>
        <v/>
      </c>
      <c r="AA890" s="59" t="str">
        <f>IFERROR(VLOOKUP(AA$13&amp;$B894,Aux!$B:$M,5,0),"")</f>
        <v/>
      </c>
      <c r="AB890" s="60" t="str">
        <f>IFERROR(VLOOKUP(AA$13&amp;$B890,Aux!$B:$M,3,0),"")</f>
        <v/>
      </c>
      <c r="AC890" s="60"/>
      <c r="AD890" s="60"/>
      <c r="AE890" s="61" t="str">
        <f>IFERROR(VLOOKUP(AA$13&amp;$B890,Aux!$B:$M,9,0),"")</f>
        <v/>
      </c>
    </row>
    <row r="891" spans="2:31" x14ac:dyDescent="0.25">
      <c r="B891" s="53">
        <f t="shared" si="13"/>
        <v>176</v>
      </c>
      <c r="C891" s="59"/>
      <c r="D891" s="60"/>
      <c r="E891" s="60"/>
      <c r="F891" s="60"/>
      <c r="G891" s="61"/>
      <c r="K891" s="59"/>
      <c r="L891" s="60"/>
      <c r="M891" s="60"/>
      <c r="N891" s="60"/>
      <c r="O891" s="61"/>
      <c r="S891" s="59"/>
      <c r="T891" s="60"/>
      <c r="U891" s="60"/>
      <c r="V891" s="60"/>
      <c r="W891" s="61"/>
      <c r="AA891" s="59"/>
      <c r="AB891" s="60"/>
      <c r="AC891" s="60"/>
      <c r="AD891" s="60"/>
      <c r="AE891" s="61"/>
    </row>
    <row r="892" spans="2:31" x14ac:dyDescent="0.25">
      <c r="B892" s="53">
        <f t="shared" si="13"/>
        <v>176</v>
      </c>
      <c r="C892" s="59"/>
      <c r="D892" s="15" t="str">
        <f>IF(D890="","","Исполнитель"&amp;": ")</f>
        <v/>
      </c>
      <c r="E892" s="62" t="str">
        <f>IFERROR(VLOOKUP(C$13&amp;$B892,Aux!$B:$M,4,0),"")</f>
        <v/>
      </c>
      <c r="F892" s="62"/>
      <c r="G892" s="63" t="str">
        <f>IFERROR(IF(VLOOKUP(C$13&amp;$B890,Aux!$B:$M,8,0)="Да","✔","🕓"),"")</f>
        <v/>
      </c>
      <c r="K892" s="59"/>
      <c r="L892" s="15" t="str">
        <f>IF(L890="","","Исполнитель"&amp;": ")</f>
        <v/>
      </c>
      <c r="M892" s="62" t="str">
        <f>IFERROR(VLOOKUP(K$13&amp;$B892,Aux!$B:$M,4,0),"")</f>
        <v/>
      </c>
      <c r="N892" s="62"/>
      <c r="O892" s="63" t="str">
        <f>IFERROR(IF(VLOOKUP(K$13&amp;$B890,Aux!$B:$M,8,0)="Да","✔","🕓"),"")</f>
        <v/>
      </c>
      <c r="S892" s="59"/>
      <c r="T892" s="15" t="str">
        <f>IF(T890="","","Исполнитель"&amp;": ")</f>
        <v/>
      </c>
      <c r="U892" s="62" t="str">
        <f>IFERROR(VLOOKUP(S$13&amp;$B892,Aux!$B:$M,4,0),"")</f>
        <v/>
      </c>
      <c r="V892" s="62"/>
      <c r="W892" s="63" t="str">
        <f>IFERROR(IF(VLOOKUP(S$13&amp;$B890,Aux!$B:$M,8,0)="Да","✔","🕓"),"")</f>
        <v/>
      </c>
      <c r="AA892" s="59"/>
      <c r="AB892" s="15" t="str">
        <f>IF(AB890="","","Исполнитель"&amp;": ")</f>
        <v/>
      </c>
      <c r="AC892" s="62" t="str">
        <f>IFERROR(VLOOKUP(AA$13&amp;$B892,Aux!$B:$M,4,0),"")</f>
        <v/>
      </c>
      <c r="AD892" s="62"/>
      <c r="AE892" s="63" t="str">
        <f>IFERROR(IF(VLOOKUP(AA$13&amp;$B890,Aux!$B:$M,8,0)="Да","✔","🕓"),"")</f>
        <v/>
      </c>
    </row>
    <row r="893" spans="2:31" x14ac:dyDescent="0.25">
      <c r="B893" s="53">
        <f t="shared" si="13"/>
        <v>176</v>
      </c>
      <c r="C893" s="59"/>
      <c r="D893" s="16" t="str">
        <f>IF(D890="","","Срок сдачи"&amp;": ")</f>
        <v/>
      </c>
      <c r="E893" s="64" t="str">
        <f>IFERROR(VLOOKUP(C$13&amp;$B893,Aux!$B:$M,6,0),"")</f>
        <v/>
      </c>
      <c r="F893" s="64"/>
      <c r="G893" s="63"/>
      <c r="K893" s="59"/>
      <c r="L893" s="16" t="str">
        <f>IF(L890="","","Срок сдачи"&amp;": ")</f>
        <v/>
      </c>
      <c r="M893" s="64" t="str">
        <f>IFERROR(VLOOKUP(K$13&amp;$B893,Aux!$B:$M,6,0),"")</f>
        <v/>
      </c>
      <c r="N893" s="64"/>
      <c r="O893" s="63"/>
      <c r="S893" s="59"/>
      <c r="T893" s="16" t="str">
        <f>IF(T890="","","Срок сдачи"&amp;": ")</f>
        <v/>
      </c>
      <c r="U893" s="64" t="str">
        <f>IFERROR(VLOOKUP(S$13&amp;$B893,Aux!$B:$M,6,0),"")</f>
        <v/>
      </c>
      <c r="V893" s="64"/>
      <c r="W893" s="63"/>
      <c r="AA893" s="59"/>
      <c r="AB893" s="16" t="str">
        <f>IF(AB890="","","Срок сдачи"&amp;": ")</f>
        <v/>
      </c>
      <c r="AC893" s="64" t="str">
        <f>IFERROR(VLOOKUP(AA$13&amp;$B893,Aux!$B:$M,6,0),"")</f>
        <v/>
      </c>
      <c r="AD893" s="64"/>
      <c r="AE893" s="63"/>
    </row>
    <row r="894" spans="2:31" x14ac:dyDescent="0.25">
      <c r="B894" s="53">
        <f t="shared" si="13"/>
        <v>176</v>
      </c>
      <c r="C894" s="7"/>
      <c r="D894" s="17"/>
      <c r="E894" s="7"/>
      <c r="F894" s="18"/>
      <c r="G894" s="18"/>
      <c r="K894" s="13"/>
      <c r="L894" s="17"/>
      <c r="M894" s="13"/>
      <c r="N894" s="14"/>
      <c r="O894" s="14"/>
      <c r="S894" s="13"/>
      <c r="T894" s="17"/>
      <c r="U894" s="13"/>
      <c r="V894" s="14"/>
      <c r="W894" s="14"/>
      <c r="AA894" s="13"/>
      <c r="AB894" s="17"/>
      <c r="AC894" s="13"/>
      <c r="AD894" s="14"/>
      <c r="AE894" s="30"/>
    </row>
    <row r="895" spans="2:31" x14ac:dyDescent="0.25">
      <c r="B895" s="53">
        <f t="shared" si="13"/>
        <v>177</v>
      </c>
      <c r="C895" s="59" t="str">
        <f>IFERROR(VLOOKUP(C$13&amp;$B899,Aux!$B:$M,5,0),"")</f>
        <v/>
      </c>
      <c r="D895" s="60" t="str">
        <f>IFERROR(VLOOKUP(C$13&amp;$B895,Aux!$B:$M,3,0),"")</f>
        <v/>
      </c>
      <c r="E895" s="60"/>
      <c r="F895" s="60"/>
      <c r="G895" s="61" t="str">
        <f>IFERROR(VLOOKUP(C$13&amp;$B895,Aux!$B:$M,9,0),"")</f>
        <v/>
      </c>
      <c r="K895" s="59" t="str">
        <f>IFERROR(VLOOKUP(K$13&amp;$B899,Aux!$B:$M,5,0),"")</f>
        <v/>
      </c>
      <c r="L895" s="60" t="str">
        <f>IFERROR(VLOOKUP(K$13&amp;$B895,Aux!$B:$M,3,0),"")</f>
        <v/>
      </c>
      <c r="M895" s="60"/>
      <c r="N895" s="60"/>
      <c r="O895" s="61" t="str">
        <f>IFERROR(VLOOKUP(K$13&amp;$B895,Aux!$B:$M,9,0),"")</f>
        <v/>
      </c>
      <c r="S895" s="59" t="str">
        <f>IFERROR(VLOOKUP(S$13&amp;$B899,Aux!$B:$M,5,0),"")</f>
        <v/>
      </c>
      <c r="T895" s="60" t="str">
        <f>IFERROR(VLOOKUP(S$13&amp;$B895,Aux!$B:$M,3,0),"")</f>
        <v/>
      </c>
      <c r="U895" s="60"/>
      <c r="V895" s="60"/>
      <c r="W895" s="61" t="str">
        <f>IFERROR(VLOOKUP(S$13&amp;$B895,Aux!$B:$M,9,0),"")</f>
        <v/>
      </c>
      <c r="AA895" s="59" t="str">
        <f>IFERROR(VLOOKUP(AA$13&amp;$B899,Aux!$B:$M,5,0),"")</f>
        <v/>
      </c>
      <c r="AB895" s="60" t="str">
        <f>IFERROR(VLOOKUP(AA$13&amp;$B895,Aux!$B:$M,3,0),"")</f>
        <v/>
      </c>
      <c r="AC895" s="60"/>
      <c r="AD895" s="60"/>
      <c r="AE895" s="61" t="str">
        <f>IFERROR(VLOOKUP(AA$13&amp;$B895,Aux!$B:$M,9,0),"")</f>
        <v/>
      </c>
    </row>
    <row r="896" spans="2:31" x14ac:dyDescent="0.25">
      <c r="B896" s="53">
        <f t="shared" si="13"/>
        <v>177</v>
      </c>
      <c r="C896" s="59"/>
      <c r="D896" s="60"/>
      <c r="E896" s="60"/>
      <c r="F896" s="60"/>
      <c r="G896" s="61"/>
      <c r="K896" s="59"/>
      <c r="L896" s="60"/>
      <c r="M896" s="60"/>
      <c r="N896" s="60"/>
      <c r="O896" s="61"/>
      <c r="S896" s="59"/>
      <c r="T896" s="60"/>
      <c r="U896" s="60"/>
      <c r="V896" s="60"/>
      <c r="W896" s="61"/>
      <c r="AA896" s="59"/>
      <c r="AB896" s="60"/>
      <c r="AC896" s="60"/>
      <c r="AD896" s="60"/>
      <c r="AE896" s="61"/>
    </row>
    <row r="897" spans="2:31" x14ac:dyDescent="0.25">
      <c r="B897" s="53">
        <f t="shared" si="13"/>
        <v>177</v>
      </c>
      <c r="C897" s="59"/>
      <c r="D897" s="15" t="str">
        <f>IF(D895="","","Исполнитель"&amp;": ")</f>
        <v/>
      </c>
      <c r="E897" s="62" t="str">
        <f>IFERROR(VLOOKUP(C$13&amp;$B897,Aux!$B:$M,4,0),"")</f>
        <v/>
      </c>
      <c r="F897" s="62"/>
      <c r="G897" s="63" t="str">
        <f>IFERROR(IF(VLOOKUP(C$13&amp;$B895,Aux!$B:$M,8,0)="Да","✔","🕓"),"")</f>
        <v/>
      </c>
      <c r="K897" s="59"/>
      <c r="L897" s="15" t="str">
        <f>IF(L895="","","Исполнитель"&amp;": ")</f>
        <v/>
      </c>
      <c r="M897" s="62" t="str">
        <f>IFERROR(VLOOKUP(K$13&amp;$B897,Aux!$B:$M,4,0),"")</f>
        <v/>
      </c>
      <c r="N897" s="62"/>
      <c r="O897" s="63" t="str">
        <f>IFERROR(IF(VLOOKUP(K$13&amp;$B895,Aux!$B:$M,8,0)="Да","✔","🕓"),"")</f>
        <v/>
      </c>
      <c r="S897" s="59"/>
      <c r="T897" s="15" t="str">
        <f>IF(T895="","","Исполнитель"&amp;": ")</f>
        <v/>
      </c>
      <c r="U897" s="62" t="str">
        <f>IFERROR(VLOOKUP(S$13&amp;$B897,Aux!$B:$M,4,0),"")</f>
        <v/>
      </c>
      <c r="V897" s="62"/>
      <c r="W897" s="63" t="str">
        <f>IFERROR(IF(VLOOKUP(S$13&amp;$B895,Aux!$B:$M,8,0)="Да","✔","🕓"),"")</f>
        <v/>
      </c>
      <c r="AA897" s="59"/>
      <c r="AB897" s="15" t="str">
        <f>IF(AB895="","","Исполнитель"&amp;": ")</f>
        <v/>
      </c>
      <c r="AC897" s="62" t="str">
        <f>IFERROR(VLOOKUP(AA$13&amp;$B897,Aux!$B:$M,4,0),"")</f>
        <v/>
      </c>
      <c r="AD897" s="62"/>
      <c r="AE897" s="63" t="str">
        <f>IFERROR(IF(VLOOKUP(AA$13&amp;$B895,Aux!$B:$M,8,0)="Да","✔","🕓"),"")</f>
        <v/>
      </c>
    </row>
    <row r="898" spans="2:31" x14ac:dyDescent="0.25">
      <c r="B898" s="53">
        <f t="shared" si="13"/>
        <v>177</v>
      </c>
      <c r="C898" s="59"/>
      <c r="D898" s="16" t="str">
        <f>IF(D895="","","Срок сдачи"&amp;": ")</f>
        <v/>
      </c>
      <c r="E898" s="64" t="str">
        <f>IFERROR(VLOOKUP(C$13&amp;$B898,Aux!$B:$M,6,0),"")</f>
        <v/>
      </c>
      <c r="F898" s="64"/>
      <c r="G898" s="63"/>
      <c r="K898" s="59"/>
      <c r="L898" s="16" t="str">
        <f>IF(L895="","","Срок сдачи"&amp;": ")</f>
        <v/>
      </c>
      <c r="M898" s="64" t="str">
        <f>IFERROR(VLOOKUP(K$13&amp;$B898,Aux!$B:$M,6,0),"")</f>
        <v/>
      </c>
      <c r="N898" s="64"/>
      <c r="O898" s="63"/>
      <c r="S898" s="59"/>
      <c r="T898" s="16" t="str">
        <f>IF(T895="","","Срок сдачи"&amp;": ")</f>
        <v/>
      </c>
      <c r="U898" s="64" t="str">
        <f>IFERROR(VLOOKUP(S$13&amp;$B898,Aux!$B:$M,6,0),"")</f>
        <v/>
      </c>
      <c r="V898" s="64"/>
      <c r="W898" s="63"/>
      <c r="AA898" s="59"/>
      <c r="AB898" s="16" t="str">
        <f>IF(AB895="","","Срок сдачи"&amp;": ")</f>
        <v/>
      </c>
      <c r="AC898" s="64" t="str">
        <f>IFERROR(VLOOKUP(AA$13&amp;$B898,Aux!$B:$M,6,0),"")</f>
        <v/>
      </c>
      <c r="AD898" s="64"/>
      <c r="AE898" s="63"/>
    </row>
    <row r="899" spans="2:31" x14ac:dyDescent="0.25">
      <c r="B899" s="53">
        <f t="shared" si="13"/>
        <v>177</v>
      </c>
      <c r="C899" s="7"/>
      <c r="D899" s="17"/>
      <c r="E899" s="7"/>
      <c r="F899" s="18"/>
      <c r="G899" s="18"/>
      <c r="K899" s="13"/>
      <c r="L899" s="17"/>
      <c r="M899" s="13"/>
      <c r="N899" s="14"/>
      <c r="O899" s="14"/>
      <c r="S899" s="13"/>
      <c r="T899" s="17"/>
      <c r="U899" s="13"/>
      <c r="V899" s="14"/>
      <c r="W899" s="14"/>
      <c r="AA899" s="13"/>
      <c r="AB899" s="17"/>
      <c r="AC899" s="13"/>
      <c r="AD899" s="14"/>
      <c r="AE899" s="30"/>
    </row>
    <row r="900" spans="2:31" x14ac:dyDescent="0.25">
      <c r="B900" s="53">
        <f t="shared" si="13"/>
        <v>178</v>
      </c>
      <c r="C900" s="59" t="str">
        <f>IFERROR(VLOOKUP(C$13&amp;$B904,Aux!$B:$M,5,0),"")</f>
        <v/>
      </c>
      <c r="D900" s="60" t="str">
        <f>IFERROR(VLOOKUP(C$13&amp;$B900,Aux!$B:$M,3,0),"")</f>
        <v/>
      </c>
      <c r="E900" s="60"/>
      <c r="F900" s="60"/>
      <c r="G900" s="61" t="str">
        <f>IFERROR(VLOOKUP(C$13&amp;$B900,Aux!$B:$M,9,0),"")</f>
        <v/>
      </c>
      <c r="K900" s="59" t="str">
        <f>IFERROR(VLOOKUP(K$13&amp;$B904,Aux!$B:$M,5,0),"")</f>
        <v/>
      </c>
      <c r="L900" s="60" t="str">
        <f>IFERROR(VLOOKUP(K$13&amp;$B900,Aux!$B:$M,3,0),"")</f>
        <v/>
      </c>
      <c r="M900" s="60"/>
      <c r="N900" s="60"/>
      <c r="O900" s="61" t="str">
        <f>IFERROR(VLOOKUP(K$13&amp;$B900,Aux!$B:$M,9,0),"")</f>
        <v/>
      </c>
      <c r="S900" s="59" t="str">
        <f>IFERROR(VLOOKUP(S$13&amp;$B904,Aux!$B:$M,5,0),"")</f>
        <v/>
      </c>
      <c r="T900" s="60" t="str">
        <f>IFERROR(VLOOKUP(S$13&amp;$B900,Aux!$B:$M,3,0),"")</f>
        <v/>
      </c>
      <c r="U900" s="60"/>
      <c r="V900" s="60"/>
      <c r="W900" s="61" t="str">
        <f>IFERROR(VLOOKUP(S$13&amp;$B900,Aux!$B:$M,9,0),"")</f>
        <v/>
      </c>
      <c r="AA900" s="59" t="str">
        <f>IFERROR(VLOOKUP(AA$13&amp;$B904,Aux!$B:$M,5,0),"")</f>
        <v/>
      </c>
      <c r="AB900" s="60" t="str">
        <f>IFERROR(VLOOKUP(AA$13&amp;$B900,Aux!$B:$M,3,0),"")</f>
        <v/>
      </c>
      <c r="AC900" s="60"/>
      <c r="AD900" s="60"/>
      <c r="AE900" s="61" t="str">
        <f>IFERROR(VLOOKUP(AA$13&amp;$B900,Aux!$B:$M,9,0),"")</f>
        <v/>
      </c>
    </row>
    <row r="901" spans="2:31" x14ac:dyDescent="0.25">
      <c r="B901" s="53">
        <f t="shared" si="13"/>
        <v>178</v>
      </c>
      <c r="C901" s="59"/>
      <c r="D901" s="60"/>
      <c r="E901" s="60"/>
      <c r="F901" s="60"/>
      <c r="G901" s="61"/>
      <c r="K901" s="59"/>
      <c r="L901" s="60"/>
      <c r="M901" s="60"/>
      <c r="N901" s="60"/>
      <c r="O901" s="61"/>
      <c r="S901" s="59"/>
      <c r="T901" s="60"/>
      <c r="U901" s="60"/>
      <c r="V901" s="60"/>
      <c r="W901" s="61"/>
      <c r="AA901" s="59"/>
      <c r="AB901" s="60"/>
      <c r="AC901" s="60"/>
      <c r="AD901" s="60"/>
      <c r="AE901" s="61"/>
    </row>
    <row r="902" spans="2:31" x14ac:dyDescent="0.25">
      <c r="B902" s="53">
        <f t="shared" si="13"/>
        <v>178</v>
      </c>
      <c r="C902" s="59"/>
      <c r="D902" s="15" t="str">
        <f>IF(D900="","","Исполнитель"&amp;": ")</f>
        <v/>
      </c>
      <c r="E902" s="62" t="str">
        <f>IFERROR(VLOOKUP(C$13&amp;$B902,Aux!$B:$M,4,0),"")</f>
        <v/>
      </c>
      <c r="F902" s="62"/>
      <c r="G902" s="63" t="str">
        <f>IFERROR(IF(VLOOKUP(C$13&amp;$B900,Aux!$B:$M,8,0)="Да","✔","🕓"),"")</f>
        <v/>
      </c>
      <c r="K902" s="59"/>
      <c r="L902" s="15" t="str">
        <f>IF(L900="","","Исполнитель"&amp;": ")</f>
        <v/>
      </c>
      <c r="M902" s="62" t="str">
        <f>IFERROR(VLOOKUP(K$13&amp;$B902,Aux!$B:$M,4,0),"")</f>
        <v/>
      </c>
      <c r="N902" s="62"/>
      <c r="O902" s="63" t="str">
        <f>IFERROR(IF(VLOOKUP(K$13&amp;$B900,Aux!$B:$M,8,0)="Да","✔","🕓"),"")</f>
        <v/>
      </c>
      <c r="S902" s="59"/>
      <c r="T902" s="15" t="str">
        <f>IF(T900="","","Исполнитель"&amp;": ")</f>
        <v/>
      </c>
      <c r="U902" s="62" t="str">
        <f>IFERROR(VLOOKUP(S$13&amp;$B902,Aux!$B:$M,4,0),"")</f>
        <v/>
      </c>
      <c r="V902" s="62"/>
      <c r="W902" s="63" t="str">
        <f>IFERROR(IF(VLOOKUP(S$13&amp;$B900,Aux!$B:$M,8,0)="Да","✔","🕓"),"")</f>
        <v/>
      </c>
      <c r="AA902" s="59"/>
      <c r="AB902" s="15" t="str">
        <f>IF(AB900="","","Исполнитель"&amp;": ")</f>
        <v/>
      </c>
      <c r="AC902" s="62" t="str">
        <f>IFERROR(VLOOKUP(AA$13&amp;$B902,Aux!$B:$M,4,0),"")</f>
        <v/>
      </c>
      <c r="AD902" s="62"/>
      <c r="AE902" s="63" t="str">
        <f>IFERROR(IF(VLOOKUP(AA$13&amp;$B900,Aux!$B:$M,8,0)="Да","✔","🕓"),"")</f>
        <v/>
      </c>
    </row>
    <row r="903" spans="2:31" x14ac:dyDescent="0.25">
      <c r="B903" s="53">
        <f t="shared" si="13"/>
        <v>178</v>
      </c>
      <c r="C903" s="59"/>
      <c r="D903" s="16" t="str">
        <f>IF(D900="","","Срок сдачи"&amp;": ")</f>
        <v/>
      </c>
      <c r="E903" s="64" t="str">
        <f>IFERROR(VLOOKUP(C$13&amp;$B903,Aux!$B:$M,6,0),"")</f>
        <v/>
      </c>
      <c r="F903" s="64"/>
      <c r="G903" s="63"/>
      <c r="K903" s="59"/>
      <c r="L903" s="16" t="str">
        <f>IF(L900="","","Срок сдачи"&amp;": ")</f>
        <v/>
      </c>
      <c r="M903" s="64" t="str">
        <f>IFERROR(VLOOKUP(K$13&amp;$B903,Aux!$B:$M,6,0),"")</f>
        <v/>
      </c>
      <c r="N903" s="64"/>
      <c r="O903" s="63"/>
      <c r="S903" s="59"/>
      <c r="T903" s="16" t="str">
        <f>IF(T900="","","Срок сдачи"&amp;": ")</f>
        <v/>
      </c>
      <c r="U903" s="64" t="str">
        <f>IFERROR(VLOOKUP(S$13&amp;$B903,Aux!$B:$M,6,0),"")</f>
        <v/>
      </c>
      <c r="V903" s="64"/>
      <c r="W903" s="63"/>
      <c r="AA903" s="59"/>
      <c r="AB903" s="16" t="str">
        <f>IF(AB900="","","Срок сдачи"&amp;": ")</f>
        <v/>
      </c>
      <c r="AC903" s="64" t="str">
        <f>IFERROR(VLOOKUP(AA$13&amp;$B903,Aux!$B:$M,6,0),"")</f>
        <v/>
      </c>
      <c r="AD903" s="64"/>
      <c r="AE903" s="63"/>
    </row>
    <row r="904" spans="2:31" x14ac:dyDescent="0.25">
      <c r="B904" s="53">
        <f t="shared" si="13"/>
        <v>178</v>
      </c>
      <c r="C904" s="7"/>
      <c r="D904" s="17"/>
      <c r="E904" s="7"/>
      <c r="F904" s="18"/>
      <c r="G904" s="18"/>
      <c r="K904" s="13"/>
      <c r="L904" s="17"/>
      <c r="M904" s="13"/>
      <c r="N904" s="14"/>
      <c r="O904" s="14"/>
      <c r="S904" s="13"/>
      <c r="T904" s="17"/>
      <c r="U904" s="13"/>
      <c r="V904" s="14"/>
      <c r="W904" s="14"/>
      <c r="AA904" s="13"/>
      <c r="AB904" s="17"/>
      <c r="AC904" s="13"/>
      <c r="AD904" s="14"/>
      <c r="AE904" s="30"/>
    </row>
    <row r="905" spans="2:31" x14ac:dyDescent="0.25">
      <c r="B905" s="53">
        <f t="shared" si="13"/>
        <v>179</v>
      </c>
      <c r="C905" s="59" t="str">
        <f>IFERROR(VLOOKUP(C$13&amp;$B909,Aux!$B:$M,5,0),"")</f>
        <v/>
      </c>
      <c r="D905" s="60" t="str">
        <f>IFERROR(VLOOKUP(C$13&amp;$B905,Aux!$B:$M,3,0),"")</f>
        <v/>
      </c>
      <c r="E905" s="60"/>
      <c r="F905" s="60"/>
      <c r="G905" s="61" t="str">
        <f>IFERROR(VLOOKUP(C$13&amp;$B905,Aux!$B:$M,9,0),"")</f>
        <v/>
      </c>
      <c r="K905" s="59" t="str">
        <f>IFERROR(VLOOKUP(K$13&amp;$B909,Aux!$B:$M,5,0),"")</f>
        <v/>
      </c>
      <c r="L905" s="60" t="str">
        <f>IFERROR(VLOOKUP(K$13&amp;$B905,Aux!$B:$M,3,0),"")</f>
        <v/>
      </c>
      <c r="M905" s="60"/>
      <c r="N905" s="60"/>
      <c r="O905" s="61" t="str">
        <f>IFERROR(VLOOKUP(K$13&amp;$B905,Aux!$B:$M,9,0),"")</f>
        <v/>
      </c>
      <c r="S905" s="59" t="str">
        <f>IFERROR(VLOOKUP(S$13&amp;$B909,Aux!$B:$M,5,0),"")</f>
        <v/>
      </c>
      <c r="T905" s="60" t="str">
        <f>IFERROR(VLOOKUP(S$13&amp;$B905,Aux!$B:$M,3,0),"")</f>
        <v/>
      </c>
      <c r="U905" s="60"/>
      <c r="V905" s="60"/>
      <c r="W905" s="61" t="str">
        <f>IFERROR(VLOOKUP(S$13&amp;$B905,Aux!$B:$M,9,0),"")</f>
        <v/>
      </c>
      <c r="AA905" s="59" t="str">
        <f>IFERROR(VLOOKUP(AA$13&amp;$B909,Aux!$B:$M,5,0),"")</f>
        <v/>
      </c>
      <c r="AB905" s="60" t="str">
        <f>IFERROR(VLOOKUP(AA$13&amp;$B905,Aux!$B:$M,3,0),"")</f>
        <v/>
      </c>
      <c r="AC905" s="60"/>
      <c r="AD905" s="60"/>
      <c r="AE905" s="61" t="str">
        <f>IFERROR(VLOOKUP(AA$13&amp;$B905,Aux!$B:$M,9,0),"")</f>
        <v/>
      </c>
    </row>
    <row r="906" spans="2:31" x14ac:dyDescent="0.25">
      <c r="B906" s="53">
        <f t="shared" si="13"/>
        <v>179</v>
      </c>
      <c r="C906" s="59"/>
      <c r="D906" s="60"/>
      <c r="E906" s="60"/>
      <c r="F906" s="60"/>
      <c r="G906" s="61"/>
      <c r="K906" s="59"/>
      <c r="L906" s="60"/>
      <c r="M906" s="60"/>
      <c r="N906" s="60"/>
      <c r="O906" s="61"/>
      <c r="S906" s="59"/>
      <c r="T906" s="60"/>
      <c r="U906" s="60"/>
      <c r="V906" s="60"/>
      <c r="W906" s="61"/>
      <c r="AA906" s="59"/>
      <c r="AB906" s="60"/>
      <c r="AC906" s="60"/>
      <c r="AD906" s="60"/>
      <c r="AE906" s="61"/>
    </row>
    <row r="907" spans="2:31" x14ac:dyDescent="0.25">
      <c r="B907" s="53">
        <f t="shared" si="13"/>
        <v>179</v>
      </c>
      <c r="C907" s="59"/>
      <c r="D907" s="15" t="str">
        <f>IF(D905="","","Исполнитель"&amp;": ")</f>
        <v/>
      </c>
      <c r="E907" s="62" t="str">
        <f>IFERROR(VLOOKUP(C$13&amp;$B907,Aux!$B:$M,4,0),"")</f>
        <v/>
      </c>
      <c r="F907" s="62"/>
      <c r="G907" s="63" t="str">
        <f>IFERROR(IF(VLOOKUP(C$13&amp;$B905,Aux!$B:$M,8,0)="Да","✔","🕓"),"")</f>
        <v/>
      </c>
      <c r="K907" s="59"/>
      <c r="L907" s="15" t="str">
        <f>IF(L905="","","Исполнитель"&amp;": ")</f>
        <v/>
      </c>
      <c r="M907" s="62" t="str">
        <f>IFERROR(VLOOKUP(K$13&amp;$B907,Aux!$B:$M,4,0),"")</f>
        <v/>
      </c>
      <c r="N907" s="62"/>
      <c r="O907" s="63" t="str">
        <f>IFERROR(IF(VLOOKUP(K$13&amp;$B905,Aux!$B:$M,8,0)="Да","✔","🕓"),"")</f>
        <v/>
      </c>
      <c r="S907" s="59"/>
      <c r="T907" s="15" t="str">
        <f>IF(T905="","","Исполнитель"&amp;": ")</f>
        <v/>
      </c>
      <c r="U907" s="62" t="str">
        <f>IFERROR(VLOOKUP(S$13&amp;$B907,Aux!$B:$M,4,0),"")</f>
        <v/>
      </c>
      <c r="V907" s="62"/>
      <c r="W907" s="63" t="str">
        <f>IFERROR(IF(VLOOKUP(S$13&amp;$B905,Aux!$B:$M,8,0)="Да","✔","🕓"),"")</f>
        <v/>
      </c>
      <c r="AA907" s="59"/>
      <c r="AB907" s="15" t="str">
        <f>IF(AB905="","","Исполнитель"&amp;": ")</f>
        <v/>
      </c>
      <c r="AC907" s="62" t="str">
        <f>IFERROR(VLOOKUP(AA$13&amp;$B907,Aux!$B:$M,4,0),"")</f>
        <v/>
      </c>
      <c r="AD907" s="62"/>
      <c r="AE907" s="63" t="str">
        <f>IFERROR(IF(VLOOKUP(AA$13&amp;$B905,Aux!$B:$M,8,0)="Да","✔","🕓"),"")</f>
        <v/>
      </c>
    </row>
    <row r="908" spans="2:31" x14ac:dyDescent="0.25">
      <c r="B908" s="53">
        <f t="shared" si="13"/>
        <v>179</v>
      </c>
      <c r="C908" s="59"/>
      <c r="D908" s="16" t="str">
        <f>IF(D905="","","Срок сдачи"&amp;": ")</f>
        <v/>
      </c>
      <c r="E908" s="64" t="str">
        <f>IFERROR(VLOOKUP(C$13&amp;$B908,Aux!$B:$M,6,0),"")</f>
        <v/>
      </c>
      <c r="F908" s="64"/>
      <c r="G908" s="63"/>
      <c r="K908" s="59"/>
      <c r="L908" s="16" t="str">
        <f>IF(L905="","","Срок сдачи"&amp;": ")</f>
        <v/>
      </c>
      <c r="M908" s="64" t="str">
        <f>IFERROR(VLOOKUP(K$13&amp;$B908,Aux!$B:$M,6,0),"")</f>
        <v/>
      </c>
      <c r="N908" s="64"/>
      <c r="O908" s="63"/>
      <c r="S908" s="59"/>
      <c r="T908" s="16" t="str">
        <f>IF(T905="","","Срок сдачи"&amp;": ")</f>
        <v/>
      </c>
      <c r="U908" s="64" t="str">
        <f>IFERROR(VLOOKUP(S$13&amp;$B908,Aux!$B:$M,6,0),"")</f>
        <v/>
      </c>
      <c r="V908" s="64"/>
      <c r="W908" s="63"/>
      <c r="AA908" s="59"/>
      <c r="AB908" s="16" t="str">
        <f>IF(AB905="","","Срок сдачи"&amp;": ")</f>
        <v/>
      </c>
      <c r="AC908" s="64" t="str">
        <f>IFERROR(VLOOKUP(AA$13&amp;$B908,Aux!$B:$M,6,0),"")</f>
        <v/>
      </c>
      <c r="AD908" s="64"/>
      <c r="AE908" s="63"/>
    </row>
    <row r="909" spans="2:31" x14ac:dyDescent="0.25">
      <c r="B909" s="53">
        <f t="shared" si="13"/>
        <v>179</v>
      </c>
      <c r="C909" s="7"/>
      <c r="D909" s="17"/>
      <c r="E909" s="7"/>
      <c r="F909" s="18"/>
      <c r="G909" s="18"/>
      <c r="K909" s="13"/>
      <c r="L909" s="17"/>
      <c r="M909" s="13"/>
      <c r="N909" s="14"/>
      <c r="O909" s="14"/>
      <c r="S909" s="13"/>
      <c r="T909" s="17"/>
      <c r="U909" s="13"/>
      <c r="V909" s="14"/>
      <c r="W909" s="14"/>
      <c r="AA909" s="13"/>
      <c r="AB909" s="17"/>
      <c r="AC909" s="13"/>
      <c r="AD909" s="14"/>
      <c r="AE909" s="30"/>
    </row>
    <row r="910" spans="2:31" x14ac:dyDescent="0.25">
      <c r="B910" s="53">
        <f t="shared" si="13"/>
        <v>180</v>
      </c>
      <c r="C910" s="59" t="str">
        <f>IFERROR(VLOOKUP(C$13&amp;$B914,Aux!$B:$M,5,0),"")</f>
        <v/>
      </c>
      <c r="D910" s="60" t="str">
        <f>IFERROR(VLOOKUP(C$13&amp;$B910,Aux!$B:$M,3,0),"")</f>
        <v/>
      </c>
      <c r="E910" s="60"/>
      <c r="F910" s="60"/>
      <c r="G910" s="61" t="str">
        <f>IFERROR(VLOOKUP(C$13&amp;$B910,Aux!$B:$M,9,0),"")</f>
        <v/>
      </c>
      <c r="K910" s="59" t="str">
        <f>IFERROR(VLOOKUP(K$13&amp;$B914,Aux!$B:$M,5,0),"")</f>
        <v/>
      </c>
      <c r="L910" s="60" t="str">
        <f>IFERROR(VLOOKUP(K$13&amp;$B910,Aux!$B:$M,3,0),"")</f>
        <v/>
      </c>
      <c r="M910" s="60"/>
      <c r="N910" s="60"/>
      <c r="O910" s="61" t="str">
        <f>IFERROR(VLOOKUP(K$13&amp;$B910,Aux!$B:$M,9,0),"")</f>
        <v/>
      </c>
      <c r="S910" s="59" t="str">
        <f>IFERROR(VLOOKUP(S$13&amp;$B914,Aux!$B:$M,5,0),"")</f>
        <v/>
      </c>
      <c r="T910" s="60" t="str">
        <f>IFERROR(VLOOKUP(S$13&amp;$B910,Aux!$B:$M,3,0),"")</f>
        <v/>
      </c>
      <c r="U910" s="60"/>
      <c r="V910" s="60"/>
      <c r="W910" s="61" t="str">
        <f>IFERROR(VLOOKUP(S$13&amp;$B910,Aux!$B:$M,9,0),"")</f>
        <v/>
      </c>
      <c r="AA910" s="59" t="str">
        <f>IFERROR(VLOOKUP(AA$13&amp;$B914,Aux!$B:$M,5,0),"")</f>
        <v/>
      </c>
      <c r="AB910" s="60" t="str">
        <f>IFERROR(VLOOKUP(AA$13&amp;$B910,Aux!$B:$M,3,0),"")</f>
        <v/>
      </c>
      <c r="AC910" s="60"/>
      <c r="AD910" s="60"/>
      <c r="AE910" s="61" t="str">
        <f>IFERROR(VLOOKUP(AA$13&amp;$B910,Aux!$B:$M,9,0),"")</f>
        <v/>
      </c>
    </row>
    <row r="911" spans="2:31" x14ac:dyDescent="0.25">
      <c r="B911" s="53">
        <f t="shared" si="13"/>
        <v>180</v>
      </c>
      <c r="C911" s="59"/>
      <c r="D911" s="60"/>
      <c r="E911" s="60"/>
      <c r="F911" s="60"/>
      <c r="G911" s="61"/>
      <c r="K911" s="59"/>
      <c r="L911" s="60"/>
      <c r="M911" s="60"/>
      <c r="N911" s="60"/>
      <c r="O911" s="61"/>
      <c r="S911" s="59"/>
      <c r="T911" s="60"/>
      <c r="U911" s="60"/>
      <c r="V911" s="60"/>
      <c r="W911" s="61"/>
      <c r="AA911" s="59"/>
      <c r="AB911" s="60"/>
      <c r="AC911" s="60"/>
      <c r="AD911" s="60"/>
      <c r="AE911" s="61"/>
    </row>
    <row r="912" spans="2:31" x14ac:dyDescent="0.25">
      <c r="B912" s="53">
        <f t="shared" si="13"/>
        <v>180</v>
      </c>
      <c r="C912" s="59"/>
      <c r="D912" s="15" t="str">
        <f>IF(D910="","","Исполнитель"&amp;": ")</f>
        <v/>
      </c>
      <c r="E912" s="62" t="str">
        <f>IFERROR(VLOOKUP(C$13&amp;$B912,Aux!$B:$M,4,0),"")</f>
        <v/>
      </c>
      <c r="F912" s="62"/>
      <c r="G912" s="63" t="str">
        <f>IFERROR(IF(VLOOKUP(C$13&amp;$B910,Aux!$B:$M,8,0)="Да","✔","🕓"),"")</f>
        <v/>
      </c>
      <c r="K912" s="59"/>
      <c r="L912" s="15" t="str">
        <f>IF(L910="","","Исполнитель"&amp;": ")</f>
        <v/>
      </c>
      <c r="M912" s="62" t="str">
        <f>IFERROR(VLOOKUP(K$13&amp;$B912,Aux!$B:$M,4,0),"")</f>
        <v/>
      </c>
      <c r="N912" s="62"/>
      <c r="O912" s="63" t="str">
        <f>IFERROR(IF(VLOOKUP(K$13&amp;$B910,Aux!$B:$M,8,0)="Да","✔","🕓"),"")</f>
        <v/>
      </c>
      <c r="S912" s="59"/>
      <c r="T912" s="15" t="str">
        <f>IF(T910="","","Исполнитель"&amp;": ")</f>
        <v/>
      </c>
      <c r="U912" s="62" t="str">
        <f>IFERROR(VLOOKUP(S$13&amp;$B912,Aux!$B:$M,4,0),"")</f>
        <v/>
      </c>
      <c r="V912" s="62"/>
      <c r="W912" s="63" t="str">
        <f>IFERROR(IF(VLOOKUP(S$13&amp;$B910,Aux!$B:$M,8,0)="Да","✔","🕓"),"")</f>
        <v/>
      </c>
      <c r="AA912" s="59"/>
      <c r="AB912" s="15" t="str">
        <f>IF(AB910="","","Исполнитель"&amp;": ")</f>
        <v/>
      </c>
      <c r="AC912" s="62" t="str">
        <f>IFERROR(VLOOKUP(AA$13&amp;$B912,Aux!$B:$M,4,0),"")</f>
        <v/>
      </c>
      <c r="AD912" s="62"/>
      <c r="AE912" s="63" t="str">
        <f>IFERROR(IF(VLOOKUP(AA$13&amp;$B910,Aux!$B:$M,8,0)="Да","✔","🕓"),"")</f>
        <v/>
      </c>
    </row>
    <row r="913" spans="2:31" x14ac:dyDescent="0.25">
      <c r="B913" s="53">
        <f t="shared" si="13"/>
        <v>180</v>
      </c>
      <c r="C913" s="59"/>
      <c r="D913" s="16" t="str">
        <f>IF(D910="","","Срок сдачи"&amp;": ")</f>
        <v/>
      </c>
      <c r="E913" s="64" t="str">
        <f>IFERROR(VLOOKUP(C$13&amp;$B913,Aux!$B:$M,6,0),"")</f>
        <v/>
      </c>
      <c r="F913" s="64"/>
      <c r="G913" s="63"/>
      <c r="K913" s="59"/>
      <c r="L913" s="16" t="str">
        <f>IF(L910="","","Срок сдачи"&amp;": ")</f>
        <v/>
      </c>
      <c r="M913" s="64" t="str">
        <f>IFERROR(VLOOKUP(K$13&amp;$B913,Aux!$B:$M,6,0),"")</f>
        <v/>
      </c>
      <c r="N913" s="64"/>
      <c r="O913" s="63"/>
      <c r="S913" s="59"/>
      <c r="T913" s="16" t="str">
        <f>IF(T910="","","Срок сдачи"&amp;": ")</f>
        <v/>
      </c>
      <c r="U913" s="64" t="str">
        <f>IFERROR(VLOOKUP(S$13&amp;$B913,Aux!$B:$M,6,0),"")</f>
        <v/>
      </c>
      <c r="V913" s="64"/>
      <c r="W913" s="63"/>
      <c r="AA913" s="59"/>
      <c r="AB913" s="16" t="str">
        <f>IF(AB910="","","Срок сдачи"&amp;": ")</f>
        <v/>
      </c>
      <c r="AC913" s="64" t="str">
        <f>IFERROR(VLOOKUP(AA$13&amp;$B913,Aux!$B:$M,6,0),"")</f>
        <v/>
      </c>
      <c r="AD913" s="64"/>
      <c r="AE913" s="63"/>
    </row>
    <row r="914" spans="2:31" x14ac:dyDescent="0.25">
      <c r="B914" s="53">
        <f t="shared" si="13"/>
        <v>180</v>
      </c>
      <c r="C914" s="7"/>
      <c r="D914" s="17"/>
      <c r="E914" s="7"/>
      <c r="F914" s="18"/>
      <c r="G914" s="18"/>
      <c r="K914" s="13"/>
      <c r="L914" s="17"/>
      <c r="M914" s="13"/>
      <c r="N914" s="14"/>
      <c r="O914" s="14"/>
      <c r="S914" s="13"/>
      <c r="T914" s="17"/>
      <c r="U914" s="13"/>
      <c r="V914" s="14"/>
      <c r="W914" s="14"/>
      <c r="AA914" s="13"/>
      <c r="AB914" s="17"/>
      <c r="AC914" s="13"/>
      <c r="AD914" s="14"/>
      <c r="AE914" s="30"/>
    </row>
    <row r="915" spans="2:31" x14ac:dyDescent="0.25">
      <c r="B915" s="53">
        <f t="shared" si="13"/>
        <v>181</v>
      </c>
      <c r="C915" s="59" t="str">
        <f>IFERROR(VLOOKUP(C$13&amp;$B919,Aux!$B:$M,5,0),"")</f>
        <v/>
      </c>
      <c r="D915" s="60" t="str">
        <f>IFERROR(VLOOKUP(C$13&amp;$B915,Aux!$B:$M,3,0),"")</f>
        <v/>
      </c>
      <c r="E915" s="60"/>
      <c r="F915" s="60"/>
      <c r="G915" s="61" t="str">
        <f>IFERROR(VLOOKUP(C$13&amp;$B915,Aux!$B:$M,9,0),"")</f>
        <v/>
      </c>
      <c r="K915" s="59" t="str">
        <f>IFERROR(VLOOKUP(K$13&amp;$B919,Aux!$B:$M,5,0),"")</f>
        <v/>
      </c>
      <c r="L915" s="60" t="str">
        <f>IFERROR(VLOOKUP(K$13&amp;$B915,Aux!$B:$M,3,0),"")</f>
        <v/>
      </c>
      <c r="M915" s="60"/>
      <c r="N915" s="60"/>
      <c r="O915" s="61" t="str">
        <f>IFERROR(VLOOKUP(K$13&amp;$B915,Aux!$B:$M,9,0),"")</f>
        <v/>
      </c>
      <c r="S915" s="59" t="str">
        <f>IFERROR(VLOOKUP(S$13&amp;$B919,Aux!$B:$M,5,0),"")</f>
        <v/>
      </c>
      <c r="T915" s="60" t="str">
        <f>IFERROR(VLOOKUP(S$13&amp;$B915,Aux!$B:$M,3,0),"")</f>
        <v/>
      </c>
      <c r="U915" s="60"/>
      <c r="V915" s="60"/>
      <c r="W915" s="61" t="str">
        <f>IFERROR(VLOOKUP(S$13&amp;$B915,Aux!$B:$M,9,0),"")</f>
        <v/>
      </c>
      <c r="AA915" s="59" t="str">
        <f>IFERROR(VLOOKUP(AA$13&amp;$B919,Aux!$B:$M,5,0),"")</f>
        <v/>
      </c>
      <c r="AB915" s="60" t="str">
        <f>IFERROR(VLOOKUP(AA$13&amp;$B915,Aux!$B:$M,3,0),"")</f>
        <v/>
      </c>
      <c r="AC915" s="60"/>
      <c r="AD915" s="60"/>
      <c r="AE915" s="61" t="str">
        <f>IFERROR(VLOOKUP(AA$13&amp;$B915,Aux!$B:$M,9,0),"")</f>
        <v/>
      </c>
    </row>
    <row r="916" spans="2:31" x14ac:dyDescent="0.25">
      <c r="B916" s="53">
        <f t="shared" si="13"/>
        <v>181</v>
      </c>
      <c r="C916" s="59"/>
      <c r="D916" s="60"/>
      <c r="E916" s="60"/>
      <c r="F916" s="60"/>
      <c r="G916" s="61"/>
      <c r="K916" s="59"/>
      <c r="L916" s="60"/>
      <c r="M916" s="60"/>
      <c r="N916" s="60"/>
      <c r="O916" s="61"/>
      <c r="S916" s="59"/>
      <c r="T916" s="60"/>
      <c r="U916" s="60"/>
      <c r="V916" s="60"/>
      <c r="W916" s="61"/>
      <c r="AA916" s="59"/>
      <c r="AB916" s="60"/>
      <c r="AC916" s="60"/>
      <c r="AD916" s="60"/>
      <c r="AE916" s="61"/>
    </row>
    <row r="917" spans="2:31" x14ac:dyDescent="0.25">
      <c r="B917" s="53">
        <f t="shared" ref="B917:B980" si="14">B912+1</f>
        <v>181</v>
      </c>
      <c r="C917" s="59"/>
      <c r="D917" s="15" t="str">
        <f>IF(D915="","","Исполнитель"&amp;": ")</f>
        <v/>
      </c>
      <c r="E917" s="62" t="str">
        <f>IFERROR(VLOOKUP(C$13&amp;$B917,Aux!$B:$M,4,0),"")</f>
        <v/>
      </c>
      <c r="F917" s="62"/>
      <c r="G917" s="63" t="str">
        <f>IFERROR(IF(VLOOKUP(C$13&amp;$B915,Aux!$B:$M,8,0)="Да","✔","🕓"),"")</f>
        <v/>
      </c>
      <c r="K917" s="59"/>
      <c r="L917" s="15" t="str">
        <f>IF(L915="","","Исполнитель"&amp;": ")</f>
        <v/>
      </c>
      <c r="M917" s="62" t="str">
        <f>IFERROR(VLOOKUP(K$13&amp;$B917,Aux!$B:$M,4,0),"")</f>
        <v/>
      </c>
      <c r="N917" s="62"/>
      <c r="O917" s="63" t="str">
        <f>IFERROR(IF(VLOOKUP(K$13&amp;$B915,Aux!$B:$M,8,0)="Да","✔","🕓"),"")</f>
        <v/>
      </c>
      <c r="S917" s="59"/>
      <c r="T917" s="15" t="str">
        <f>IF(T915="","","Исполнитель"&amp;": ")</f>
        <v/>
      </c>
      <c r="U917" s="62" t="str">
        <f>IFERROR(VLOOKUP(S$13&amp;$B917,Aux!$B:$M,4,0),"")</f>
        <v/>
      </c>
      <c r="V917" s="62"/>
      <c r="W917" s="63" t="str">
        <f>IFERROR(IF(VLOOKUP(S$13&amp;$B915,Aux!$B:$M,8,0)="Да","✔","🕓"),"")</f>
        <v/>
      </c>
      <c r="AA917" s="59"/>
      <c r="AB917" s="15" t="str">
        <f>IF(AB915="","","Исполнитель"&amp;": ")</f>
        <v/>
      </c>
      <c r="AC917" s="62" t="str">
        <f>IFERROR(VLOOKUP(AA$13&amp;$B917,Aux!$B:$M,4,0),"")</f>
        <v/>
      </c>
      <c r="AD917" s="62"/>
      <c r="AE917" s="63" t="str">
        <f>IFERROR(IF(VLOOKUP(AA$13&amp;$B915,Aux!$B:$M,8,0)="Да","✔","🕓"),"")</f>
        <v/>
      </c>
    </row>
    <row r="918" spans="2:31" x14ac:dyDescent="0.25">
      <c r="B918" s="53">
        <f t="shared" si="14"/>
        <v>181</v>
      </c>
      <c r="C918" s="59"/>
      <c r="D918" s="16" t="str">
        <f>IF(D915="","","Срок сдачи"&amp;": ")</f>
        <v/>
      </c>
      <c r="E918" s="64" t="str">
        <f>IFERROR(VLOOKUP(C$13&amp;$B918,Aux!$B:$M,6,0),"")</f>
        <v/>
      </c>
      <c r="F918" s="64"/>
      <c r="G918" s="63"/>
      <c r="K918" s="59"/>
      <c r="L918" s="16" t="str">
        <f>IF(L915="","","Срок сдачи"&amp;": ")</f>
        <v/>
      </c>
      <c r="M918" s="64" t="str">
        <f>IFERROR(VLOOKUP(K$13&amp;$B918,Aux!$B:$M,6,0),"")</f>
        <v/>
      </c>
      <c r="N918" s="64"/>
      <c r="O918" s="63"/>
      <c r="S918" s="59"/>
      <c r="T918" s="16" t="str">
        <f>IF(T915="","","Срок сдачи"&amp;": ")</f>
        <v/>
      </c>
      <c r="U918" s="64" t="str">
        <f>IFERROR(VLOOKUP(S$13&amp;$B918,Aux!$B:$M,6,0),"")</f>
        <v/>
      </c>
      <c r="V918" s="64"/>
      <c r="W918" s="63"/>
      <c r="AA918" s="59"/>
      <c r="AB918" s="16" t="str">
        <f>IF(AB915="","","Срок сдачи"&amp;": ")</f>
        <v/>
      </c>
      <c r="AC918" s="64" t="str">
        <f>IFERROR(VLOOKUP(AA$13&amp;$B918,Aux!$B:$M,6,0),"")</f>
        <v/>
      </c>
      <c r="AD918" s="64"/>
      <c r="AE918" s="63"/>
    </row>
    <row r="919" spans="2:31" x14ac:dyDescent="0.25">
      <c r="B919" s="53">
        <f t="shared" si="14"/>
        <v>181</v>
      </c>
      <c r="C919" s="7"/>
      <c r="D919" s="17"/>
      <c r="E919" s="7"/>
      <c r="F919" s="18"/>
      <c r="G919" s="18"/>
      <c r="K919" s="13"/>
      <c r="L919" s="17"/>
      <c r="M919" s="13"/>
      <c r="N919" s="14"/>
      <c r="O919" s="14"/>
      <c r="S919" s="13"/>
      <c r="T919" s="17"/>
      <c r="U919" s="13"/>
      <c r="V919" s="14"/>
      <c r="W919" s="14"/>
      <c r="AA919" s="13"/>
      <c r="AB919" s="17"/>
      <c r="AC919" s="13"/>
      <c r="AD919" s="14"/>
      <c r="AE919" s="30"/>
    </row>
    <row r="920" spans="2:31" x14ac:dyDescent="0.25">
      <c r="B920" s="53">
        <f t="shared" si="14"/>
        <v>182</v>
      </c>
      <c r="C920" s="59" t="str">
        <f>IFERROR(VLOOKUP(C$13&amp;$B924,Aux!$B:$M,5,0),"")</f>
        <v/>
      </c>
      <c r="D920" s="60" t="str">
        <f>IFERROR(VLOOKUP(C$13&amp;$B920,Aux!$B:$M,3,0),"")</f>
        <v/>
      </c>
      <c r="E920" s="60"/>
      <c r="F920" s="60"/>
      <c r="G920" s="61" t="str">
        <f>IFERROR(VLOOKUP(C$13&amp;$B920,Aux!$B:$M,9,0),"")</f>
        <v/>
      </c>
      <c r="K920" s="59" t="str">
        <f>IFERROR(VLOOKUP(K$13&amp;$B924,Aux!$B:$M,5,0),"")</f>
        <v/>
      </c>
      <c r="L920" s="60" t="str">
        <f>IFERROR(VLOOKUP(K$13&amp;$B920,Aux!$B:$M,3,0),"")</f>
        <v/>
      </c>
      <c r="M920" s="60"/>
      <c r="N920" s="60"/>
      <c r="O920" s="61" t="str">
        <f>IFERROR(VLOOKUP(K$13&amp;$B920,Aux!$B:$M,9,0),"")</f>
        <v/>
      </c>
      <c r="S920" s="59" t="str">
        <f>IFERROR(VLOOKUP(S$13&amp;$B924,Aux!$B:$M,5,0),"")</f>
        <v/>
      </c>
      <c r="T920" s="60" t="str">
        <f>IFERROR(VLOOKUP(S$13&amp;$B920,Aux!$B:$M,3,0),"")</f>
        <v/>
      </c>
      <c r="U920" s="60"/>
      <c r="V920" s="60"/>
      <c r="W920" s="61" t="str">
        <f>IFERROR(VLOOKUP(S$13&amp;$B920,Aux!$B:$M,9,0),"")</f>
        <v/>
      </c>
      <c r="AA920" s="59" t="str">
        <f>IFERROR(VLOOKUP(AA$13&amp;$B924,Aux!$B:$M,5,0),"")</f>
        <v/>
      </c>
      <c r="AB920" s="60" t="str">
        <f>IFERROR(VLOOKUP(AA$13&amp;$B920,Aux!$B:$M,3,0),"")</f>
        <v/>
      </c>
      <c r="AC920" s="60"/>
      <c r="AD920" s="60"/>
      <c r="AE920" s="61" t="str">
        <f>IFERROR(VLOOKUP(AA$13&amp;$B920,Aux!$B:$M,9,0),"")</f>
        <v/>
      </c>
    </row>
    <row r="921" spans="2:31" x14ac:dyDescent="0.25">
      <c r="B921" s="53">
        <f t="shared" si="14"/>
        <v>182</v>
      </c>
      <c r="C921" s="59"/>
      <c r="D921" s="60"/>
      <c r="E921" s="60"/>
      <c r="F921" s="60"/>
      <c r="G921" s="61"/>
      <c r="K921" s="59"/>
      <c r="L921" s="60"/>
      <c r="M921" s="60"/>
      <c r="N921" s="60"/>
      <c r="O921" s="61"/>
      <c r="S921" s="59"/>
      <c r="T921" s="60"/>
      <c r="U921" s="60"/>
      <c r="V921" s="60"/>
      <c r="W921" s="61"/>
      <c r="AA921" s="59"/>
      <c r="AB921" s="60"/>
      <c r="AC921" s="60"/>
      <c r="AD921" s="60"/>
      <c r="AE921" s="61"/>
    </row>
    <row r="922" spans="2:31" x14ac:dyDescent="0.25">
      <c r="B922" s="53">
        <f t="shared" si="14"/>
        <v>182</v>
      </c>
      <c r="C922" s="59"/>
      <c r="D922" s="15" t="str">
        <f>IF(D920="","","Исполнитель"&amp;": ")</f>
        <v/>
      </c>
      <c r="E922" s="62" t="str">
        <f>IFERROR(VLOOKUP(C$13&amp;$B922,Aux!$B:$M,4,0),"")</f>
        <v/>
      </c>
      <c r="F922" s="62"/>
      <c r="G922" s="63" t="str">
        <f>IFERROR(IF(VLOOKUP(C$13&amp;$B920,Aux!$B:$M,8,0)="Да","✔","🕓"),"")</f>
        <v/>
      </c>
      <c r="K922" s="59"/>
      <c r="L922" s="15" t="str">
        <f>IF(L920="","","Исполнитель"&amp;": ")</f>
        <v/>
      </c>
      <c r="M922" s="62" t="str">
        <f>IFERROR(VLOOKUP(K$13&amp;$B922,Aux!$B:$M,4,0),"")</f>
        <v/>
      </c>
      <c r="N922" s="62"/>
      <c r="O922" s="63" t="str">
        <f>IFERROR(IF(VLOOKUP(K$13&amp;$B920,Aux!$B:$M,8,0)="Да","✔","🕓"),"")</f>
        <v/>
      </c>
      <c r="S922" s="59"/>
      <c r="T922" s="15" t="str">
        <f>IF(T920="","","Исполнитель"&amp;": ")</f>
        <v/>
      </c>
      <c r="U922" s="62" t="str">
        <f>IFERROR(VLOOKUP(S$13&amp;$B922,Aux!$B:$M,4,0),"")</f>
        <v/>
      </c>
      <c r="V922" s="62"/>
      <c r="W922" s="63" t="str">
        <f>IFERROR(IF(VLOOKUP(S$13&amp;$B920,Aux!$B:$M,8,0)="Да","✔","🕓"),"")</f>
        <v/>
      </c>
      <c r="AA922" s="59"/>
      <c r="AB922" s="15" t="str">
        <f>IF(AB920="","","Исполнитель"&amp;": ")</f>
        <v/>
      </c>
      <c r="AC922" s="62" t="str">
        <f>IFERROR(VLOOKUP(AA$13&amp;$B922,Aux!$B:$M,4,0),"")</f>
        <v/>
      </c>
      <c r="AD922" s="62"/>
      <c r="AE922" s="63" t="str">
        <f>IFERROR(IF(VLOOKUP(AA$13&amp;$B920,Aux!$B:$M,8,0)="Да","✔","🕓"),"")</f>
        <v/>
      </c>
    </row>
    <row r="923" spans="2:31" x14ac:dyDescent="0.25">
      <c r="B923" s="53">
        <f t="shared" si="14"/>
        <v>182</v>
      </c>
      <c r="C923" s="59"/>
      <c r="D923" s="16" t="str">
        <f>IF(D920="","","Срок сдачи"&amp;": ")</f>
        <v/>
      </c>
      <c r="E923" s="64" t="str">
        <f>IFERROR(VLOOKUP(C$13&amp;$B923,Aux!$B:$M,6,0),"")</f>
        <v/>
      </c>
      <c r="F923" s="64"/>
      <c r="G923" s="63"/>
      <c r="K923" s="59"/>
      <c r="L923" s="16" t="str">
        <f>IF(L920="","","Срок сдачи"&amp;": ")</f>
        <v/>
      </c>
      <c r="M923" s="64" t="str">
        <f>IFERROR(VLOOKUP(K$13&amp;$B923,Aux!$B:$M,6,0),"")</f>
        <v/>
      </c>
      <c r="N923" s="64"/>
      <c r="O923" s="63"/>
      <c r="S923" s="59"/>
      <c r="T923" s="16" t="str">
        <f>IF(T920="","","Срок сдачи"&amp;": ")</f>
        <v/>
      </c>
      <c r="U923" s="64" t="str">
        <f>IFERROR(VLOOKUP(S$13&amp;$B923,Aux!$B:$M,6,0),"")</f>
        <v/>
      </c>
      <c r="V923" s="64"/>
      <c r="W923" s="63"/>
      <c r="AA923" s="59"/>
      <c r="AB923" s="16" t="str">
        <f>IF(AB920="","","Срок сдачи"&amp;": ")</f>
        <v/>
      </c>
      <c r="AC923" s="64" t="str">
        <f>IFERROR(VLOOKUP(AA$13&amp;$B923,Aux!$B:$M,6,0),"")</f>
        <v/>
      </c>
      <c r="AD923" s="64"/>
      <c r="AE923" s="63"/>
    </row>
    <row r="924" spans="2:31" x14ac:dyDescent="0.25">
      <c r="B924" s="53">
        <f t="shared" si="14"/>
        <v>182</v>
      </c>
      <c r="C924" s="7"/>
      <c r="D924" s="17"/>
      <c r="E924" s="7"/>
      <c r="F924" s="18"/>
      <c r="G924" s="18"/>
      <c r="K924" s="13"/>
      <c r="L924" s="17"/>
      <c r="M924" s="13"/>
      <c r="N924" s="14"/>
      <c r="O924" s="14"/>
      <c r="S924" s="13"/>
      <c r="T924" s="17"/>
      <c r="U924" s="13"/>
      <c r="V924" s="14"/>
      <c r="W924" s="14"/>
      <c r="AA924" s="13"/>
      <c r="AB924" s="17"/>
      <c r="AC924" s="13"/>
      <c r="AD924" s="14"/>
      <c r="AE924" s="30"/>
    </row>
    <row r="925" spans="2:31" x14ac:dyDescent="0.25">
      <c r="B925" s="53">
        <f t="shared" si="14"/>
        <v>183</v>
      </c>
      <c r="C925" s="59" t="str">
        <f>IFERROR(VLOOKUP(C$13&amp;$B929,Aux!$B:$M,5,0),"")</f>
        <v/>
      </c>
      <c r="D925" s="60" t="str">
        <f>IFERROR(VLOOKUP(C$13&amp;$B925,Aux!$B:$M,3,0),"")</f>
        <v/>
      </c>
      <c r="E925" s="60"/>
      <c r="F925" s="60"/>
      <c r="G925" s="61" t="str">
        <f>IFERROR(VLOOKUP(C$13&amp;$B925,Aux!$B:$M,9,0),"")</f>
        <v/>
      </c>
      <c r="K925" s="59" t="str">
        <f>IFERROR(VLOOKUP(K$13&amp;$B929,Aux!$B:$M,5,0),"")</f>
        <v/>
      </c>
      <c r="L925" s="60" t="str">
        <f>IFERROR(VLOOKUP(K$13&amp;$B925,Aux!$B:$M,3,0),"")</f>
        <v/>
      </c>
      <c r="M925" s="60"/>
      <c r="N925" s="60"/>
      <c r="O925" s="61" t="str">
        <f>IFERROR(VLOOKUP(K$13&amp;$B925,Aux!$B:$M,9,0),"")</f>
        <v/>
      </c>
      <c r="S925" s="59" t="str">
        <f>IFERROR(VLOOKUP(S$13&amp;$B929,Aux!$B:$M,5,0),"")</f>
        <v/>
      </c>
      <c r="T925" s="60" t="str">
        <f>IFERROR(VLOOKUP(S$13&amp;$B925,Aux!$B:$M,3,0),"")</f>
        <v/>
      </c>
      <c r="U925" s="60"/>
      <c r="V925" s="60"/>
      <c r="W925" s="61" t="str">
        <f>IFERROR(VLOOKUP(S$13&amp;$B925,Aux!$B:$M,9,0),"")</f>
        <v/>
      </c>
      <c r="AA925" s="59" t="str">
        <f>IFERROR(VLOOKUP(AA$13&amp;$B929,Aux!$B:$M,5,0),"")</f>
        <v/>
      </c>
      <c r="AB925" s="60" t="str">
        <f>IFERROR(VLOOKUP(AA$13&amp;$B925,Aux!$B:$M,3,0),"")</f>
        <v/>
      </c>
      <c r="AC925" s="60"/>
      <c r="AD925" s="60"/>
      <c r="AE925" s="61" t="str">
        <f>IFERROR(VLOOKUP(AA$13&amp;$B925,Aux!$B:$M,9,0),"")</f>
        <v/>
      </c>
    </row>
    <row r="926" spans="2:31" x14ac:dyDescent="0.25">
      <c r="B926" s="53">
        <f t="shared" si="14"/>
        <v>183</v>
      </c>
      <c r="C926" s="59"/>
      <c r="D926" s="60"/>
      <c r="E926" s="60"/>
      <c r="F926" s="60"/>
      <c r="G926" s="61"/>
      <c r="K926" s="59"/>
      <c r="L926" s="60"/>
      <c r="M926" s="60"/>
      <c r="N926" s="60"/>
      <c r="O926" s="61"/>
      <c r="S926" s="59"/>
      <c r="T926" s="60"/>
      <c r="U926" s="60"/>
      <c r="V926" s="60"/>
      <c r="W926" s="61"/>
      <c r="AA926" s="59"/>
      <c r="AB926" s="60"/>
      <c r="AC926" s="60"/>
      <c r="AD926" s="60"/>
      <c r="AE926" s="61"/>
    </row>
    <row r="927" spans="2:31" x14ac:dyDescent="0.25">
      <c r="B927" s="53">
        <f t="shared" si="14"/>
        <v>183</v>
      </c>
      <c r="C927" s="59"/>
      <c r="D927" s="15" t="str">
        <f>IF(D925="","","Исполнитель"&amp;": ")</f>
        <v/>
      </c>
      <c r="E927" s="62" t="str">
        <f>IFERROR(VLOOKUP(C$13&amp;$B927,Aux!$B:$M,4,0),"")</f>
        <v/>
      </c>
      <c r="F927" s="62"/>
      <c r="G927" s="63" t="str">
        <f>IFERROR(IF(VLOOKUP(C$13&amp;$B925,Aux!$B:$M,8,0)="Да","✔","🕓"),"")</f>
        <v/>
      </c>
      <c r="K927" s="59"/>
      <c r="L927" s="15" t="str">
        <f>IF(L925="","","Исполнитель"&amp;": ")</f>
        <v/>
      </c>
      <c r="M927" s="62" t="str">
        <f>IFERROR(VLOOKUP(K$13&amp;$B927,Aux!$B:$M,4,0),"")</f>
        <v/>
      </c>
      <c r="N927" s="62"/>
      <c r="O927" s="63" t="str">
        <f>IFERROR(IF(VLOOKUP(K$13&amp;$B925,Aux!$B:$M,8,0)="Да","✔","🕓"),"")</f>
        <v/>
      </c>
      <c r="S927" s="59"/>
      <c r="T927" s="15" t="str">
        <f>IF(T925="","","Исполнитель"&amp;": ")</f>
        <v/>
      </c>
      <c r="U927" s="62" t="str">
        <f>IFERROR(VLOOKUP(S$13&amp;$B927,Aux!$B:$M,4,0),"")</f>
        <v/>
      </c>
      <c r="V927" s="62"/>
      <c r="W927" s="63" t="str">
        <f>IFERROR(IF(VLOOKUP(S$13&amp;$B925,Aux!$B:$M,8,0)="Да","✔","🕓"),"")</f>
        <v/>
      </c>
      <c r="AA927" s="59"/>
      <c r="AB927" s="15" t="str">
        <f>IF(AB925="","","Исполнитель"&amp;": ")</f>
        <v/>
      </c>
      <c r="AC927" s="62" t="str">
        <f>IFERROR(VLOOKUP(AA$13&amp;$B927,Aux!$B:$M,4,0),"")</f>
        <v/>
      </c>
      <c r="AD927" s="62"/>
      <c r="AE927" s="63" t="str">
        <f>IFERROR(IF(VLOOKUP(AA$13&amp;$B925,Aux!$B:$M,8,0)="Да","✔","🕓"),"")</f>
        <v/>
      </c>
    </row>
    <row r="928" spans="2:31" x14ac:dyDescent="0.25">
      <c r="B928" s="53">
        <f t="shared" si="14"/>
        <v>183</v>
      </c>
      <c r="C928" s="59"/>
      <c r="D928" s="16" t="str">
        <f>IF(D925="","","Срок сдачи"&amp;": ")</f>
        <v/>
      </c>
      <c r="E928" s="64" t="str">
        <f>IFERROR(VLOOKUP(C$13&amp;$B928,Aux!$B:$M,6,0),"")</f>
        <v/>
      </c>
      <c r="F928" s="64"/>
      <c r="G928" s="63"/>
      <c r="K928" s="59"/>
      <c r="L928" s="16" t="str">
        <f>IF(L925="","","Срок сдачи"&amp;": ")</f>
        <v/>
      </c>
      <c r="M928" s="64" t="str">
        <f>IFERROR(VLOOKUP(K$13&amp;$B928,Aux!$B:$M,6,0),"")</f>
        <v/>
      </c>
      <c r="N928" s="64"/>
      <c r="O928" s="63"/>
      <c r="S928" s="59"/>
      <c r="T928" s="16" t="str">
        <f>IF(T925="","","Срок сдачи"&amp;": ")</f>
        <v/>
      </c>
      <c r="U928" s="64" t="str">
        <f>IFERROR(VLOOKUP(S$13&amp;$B928,Aux!$B:$M,6,0),"")</f>
        <v/>
      </c>
      <c r="V928" s="64"/>
      <c r="W928" s="63"/>
      <c r="AA928" s="59"/>
      <c r="AB928" s="16" t="str">
        <f>IF(AB925="","","Срок сдачи"&amp;": ")</f>
        <v/>
      </c>
      <c r="AC928" s="64" t="str">
        <f>IFERROR(VLOOKUP(AA$13&amp;$B928,Aux!$B:$M,6,0),"")</f>
        <v/>
      </c>
      <c r="AD928" s="64"/>
      <c r="AE928" s="63"/>
    </row>
    <row r="929" spans="2:31" x14ac:dyDescent="0.25">
      <c r="B929" s="53">
        <f t="shared" si="14"/>
        <v>183</v>
      </c>
      <c r="C929" s="7"/>
      <c r="D929" s="17"/>
      <c r="E929" s="7"/>
      <c r="F929" s="18"/>
      <c r="G929" s="18"/>
      <c r="K929" s="13"/>
      <c r="L929" s="17"/>
      <c r="M929" s="13"/>
      <c r="N929" s="14"/>
      <c r="O929" s="14"/>
      <c r="S929" s="13"/>
      <c r="T929" s="17"/>
      <c r="U929" s="13"/>
      <c r="V929" s="14"/>
      <c r="W929" s="14"/>
      <c r="AA929" s="13"/>
      <c r="AB929" s="17"/>
      <c r="AC929" s="13"/>
      <c r="AD929" s="14"/>
      <c r="AE929" s="30"/>
    </row>
    <row r="930" spans="2:31" x14ac:dyDescent="0.25">
      <c r="B930" s="53">
        <f t="shared" si="14"/>
        <v>184</v>
      </c>
      <c r="C930" s="59" t="str">
        <f>IFERROR(VLOOKUP(C$13&amp;$B934,Aux!$B:$M,5,0),"")</f>
        <v/>
      </c>
      <c r="D930" s="60" t="str">
        <f>IFERROR(VLOOKUP(C$13&amp;$B930,Aux!$B:$M,3,0),"")</f>
        <v/>
      </c>
      <c r="E930" s="60"/>
      <c r="F930" s="60"/>
      <c r="G930" s="61" t="str">
        <f>IFERROR(VLOOKUP(C$13&amp;$B930,Aux!$B:$M,9,0),"")</f>
        <v/>
      </c>
      <c r="K930" s="59" t="str">
        <f>IFERROR(VLOOKUP(K$13&amp;$B934,Aux!$B:$M,5,0),"")</f>
        <v/>
      </c>
      <c r="L930" s="60" t="str">
        <f>IFERROR(VLOOKUP(K$13&amp;$B930,Aux!$B:$M,3,0),"")</f>
        <v/>
      </c>
      <c r="M930" s="60"/>
      <c r="N930" s="60"/>
      <c r="O930" s="61" t="str">
        <f>IFERROR(VLOOKUP(K$13&amp;$B930,Aux!$B:$M,9,0),"")</f>
        <v/>
      </c>
      <c r="S930" s="59" t="str">
        <f>IFERROR(VLOOKUP(S$13&amp;$B934,Aux!$B:$M,5,0),"")</f>
        <v/>
      </c>
      <c r="T930" s="60" t="str">
        <f>IFERROR(VLOOKUP(S$13&amp;$B930,Aux!$B:$M,3,0),"")</f>
        <v/>
      </c>
      <c r="U930" s="60"/>
      <c r="V930" s="60"/>
      <c r="W930" s="61" t="str">
        <f>IFERROR(VLOOKUP(S$13&amp;$B930,Aux!$B:$M,9,0),"")</f>
        <v/>
      </c>
      <c r="AA930" s="59" t="str">
        <f>IFERROR(VLOOKUP(AA$13&amp;$B934,Aux!$B:$M,5,0),"")</f>
        <v/>
      </c>
      <c r="AB930" s="60" t="str">
        <f>IFERROR(VLOOKUP(AA$13&amp;$B930,Aux!$B:$M,3,0),"")</f>
        <v/>
      </c>
      <c r="AC930" s="60"/>
      <c r="AD930" s="60"/>
      <c r="AE930" s="61" t="str">
        <f>IFERROR(VLOOKUP(AA$13&amp;$B930,Aux!$B:$M,9,0),"")</f>
        <v/>
      </c>
    </row>
    <row r="931" spans="2:31" x14ac:dyDescent="0.25">
      <c r="B931" s="53">
        <f t="shared" si="14"/>
        <v>184</v>
      </c>
      <c r="C931" s="59"/>
      <c r="D931" s="60"/>
      <c r="E931" s="60"/>
      <c r="F931" s="60"/>
      <c r="G931" s="61"/>
      <c r="K931" s="59"/>
      <c r="L931" s="60"/>
      <c r="M931" s="60"/>
      <c r="N931" s="60"/>
      <c r="O931" s="61"/>
      <c r="S931" s="59"/>
      <c r="T931" s="60"/>
      <c r="U931" s="60"/>
      <c r="V931" s="60"/>
      <c r="W931" s="61"/>
      <c r="AA931" s="59"/>
      <c r="AB931" s="60"/>
      <c r="AC931" s="60"/>
      <c r="AD931" s="60"/>
      <c r="AE931" s="61"/>
    </row>
    <row r="932" spans="2:31" x14ac:dyDescent="0.25">
      <c r="B932" s="53">
        <f t="shared" si="14"/>
        <v>184</v>
      </c>
      <c r="C932" s="59"/>
      <c r="D932" s="15" t="str">
        <f>IF(D930="","","Исполнитель"&amp;": ")</f>
        <v/>
      </c>
      <c r="E932" s="62" t="str">
        <f>IFERROR(VLOOKUP(C$13&amp;$B932,Aux!$B:$M,4,0),"")</f>
        <v/>
      </c>
      <c r="F932" s="62"/>
      <c r="G932" s="63" t="str">
        <f>IFERROR(IF(VLOOKUP(C$13&amp;$B930,Aux!$B:$M,8,0)="Да","✔","🕓"),"")</f>
        <v/>
      </c>
      <c r="K932" s="59"/>
      <c r="L932" s="15" t="str">
        <f>IF(L930="","","Исполнитель"&amp;": ")</f>
        <v/>
      </c>
      <c r="M932" s="62" t="str">
        <f>IFERROR(VLOOKUP(K$13&amp;$B932,Aux!$B:$M,4,0),"")</f>
        <v/>
      </c>
      <c r="N932" s="62"/>
      <c r="O932" s="63" t="str">
        <f>IFERROR(IF(VLOOKUP(K$13&amp;$B930,Aux!$B:$M,8,0)="Да","✔","🕓"),"")</f>
        <v/>
      </c>
      <c r="S932" s="59"/>
      <c r="T932" s="15" t="str">
        <f>IF(T930="","","Исполнитель"&amp;": ")</f>
        <v/>
      </c>
      <c r="U932" s="62" t="str">
        <f>IFERROR(VLOOKUP(S$13&amp;$B932,Aux!$B:$M,4,0),"")</f>
        <v/>
      </c>
      <c r="V932" s="62"/>
      <c r="W932" s="63" t="str">
        <f>IFERROR(IF(VLOOKUP(S$13&amp;$B930,Aux!$B:$M,8,0)="Да","✔","🕓"),"")</f>
        <v/>
      </c>
      <c r="AA932" s="59"/>
      <c r="AB932" s="15" t="str">
        <f>IF(AB930="","","Исполнитель"&amp;": ")</f>
        <v/>
      </c>
      <c r="AC932" s="62" t="str">
        <f>IFERROR(VLOOKUP(AA$13&amp;$B932,Aux!$B:$M,4,0),"")</f>
        <v/>
      </c>
      <c r="AD932" s="62"/>
      <c r="AE932" s="63" t="str">
        <f>IFERROR(IF(VLOOKUP(AA$13&amp;$B930,Aux!$B:$M,8,0)="Да","✔","🕓"),"")</f>
        <v/>
      </c>
    </row>
    <row r="933" spans="2:31" x14ac:dyDescent="0.25">
      <c r="B933" s="53">
        <f t="shared" si="14"/>
        <v>184</v>
      </c>
      <c r="C933" s="59"/>
      <c r="D933" s="16" t="str">
        <f>IF(D930="","","Срок сдачи"&amp;": ")</f>
        <v/>
      </c>
      <c r="E933" s="64" t="str">
        <f>IFERROR(VLOOKUP(C$13&amp;$B933,Aux!$B:$M,6,0),"")</f>
        <v/>
      </c>
      <c r="F933" s="64"/>
      <c r="G933" s="63"/>
      <c r="K933" s="59"/>
      <c r="L933" s="16" t="str">
        <f>IF(L930="","","Срок сдачи"&amp;": ")</f>
        <v/>
      </c>
      <c r="M933" s="64" t="str">
        <f>IFERROR(VLOOKUP(K$13&amp;$B933,Aux!$B:$M,6,0),"")</f>
        <v/>
      </c>
      <c r="N933" s="64"/>
      <c r="O933" s="63"/>
      <c r="S933" s="59"/>
      <c r="T933" s="16" t="str">
        <f>IF(T930="","","Срок сдачи"&amp;": ")</f>
        <v/>
      </c>
      <c r="U933" s="64" t="str">
        <f>IFERROR(VLOOKUP(S$13&amp;$B933,Aux!$B:$M,6,0),"")</f>
        <v/>
      </c>
      <c r="V933" s="64"/>
      <c r="W933" s="63"/>
      <c r="AA933" s="59"/>
      <c r="AB933" s="16" t="str">
        <f>IF(AB930="","","Срок сдачи"&amp;": ")</f>
        <v/>
      </c>
      <c r="AC933" s="64" t="str">
        <f>IFERROR(VLOOKUP(AA$13&amp;$B933,Aux!$B:$M,6,0),"")</f>
        <v/>
      </c>
      <c r="AD933" s="64"/>
      <c r="AE933" s="63"/>
    </row>
    <row r="934" spans="2:31" x14ac:dyDescent="0.25">
      <c r="B934" s="53">
        <f t="shared" si="14"/>
        <v>184</v>
      </c>
      <c r="C934" s="7"/>
      <c r="D934" s="17"/>
      <c r="E934" s="7"/>
      <c r="F934" s="18"/>
      <c r="G934" s="18"/>
      <c r="K934" s="13"/>
      <c r="L934" s="17"/>
      <c r="M934" s="13"/>
      <c r="N934" s="14"/>
      <c r="O934" s="14"/>
      <c r="S934" s="13"/>
      <c r="T934" s="17"/>
      <c r="U934" s="13"/>
      <c r="V934" s="14"/>
      <c r="W934" s="14"/>
      <c r="AA934" s="13"/>
      <c r="AB934" s="17"/>
      <c r="AC934" s="13"/>
      <c r="AD934" s="14"/>
      <c r="AE934" s="30"/>
    </row>
    <row r="935" spans="2:31" x14ac:dyDescent="0.25">
      <c r="B935" s="53">
        <f t="shared" si="14"/>
        <v>185</v>
      </c>
      <c r="C935" s="59" t="str">
        <f>IFERROR(VLOOKUP(C$13&amp;$B939,Aux!$B:$M,5,0),"")</f>
        <v/>
      </c>
      <c r="D935" s="60" t="str">
        <f>IFERROR(VLOOKUP(C$13&amp;$B935,Aux!$B:$M,3,0),"")</f>
        <v/>
      </c>
      <c r="E935" s="60"/>
      <c r="F935" s="60"/>
      <c r="G935" s="61" t="str">
        <f>IFERROR(VLOOKUP(C$13&amp;$B935,Aux!$B:$M,9,0),"")</f>
        <v/>
      </c>
      <c r="K935" s="59" t="str">
        <f>IFERROR(VLOOKUP(K$13&amp;$B939,Aux!$B:$M,5,0),"")</f>
        <v/>
      </c>
      <c r="L935" s="60" t="str">
        <f>IFERROR(VLOOKUP(K$13&amp;$B935,Aux!$B:$M,3,0),"")</f>
        <v/>
      </c>
      <c r="M935" s="60"/>
      <c r="N935" s="60"/>
      <c r="O935" s="61" t="str">
        <f>IFERROR(VLOOKUP(K$13&amp;$B935,Aux!$B:$M,9,0),"")</f>
        <v/>
      </c>
      <c r="S935" s="59" t="str">
        <f>IFERROR(VLOOKUP(S$13&amp;$B939,Aux!$B:$M,5,0),"")</f>
        <v/>
      </c>
      <c r="T935" s="60" t="str">
        <f>IFERROR(VLOOKUP(S$13&amp;$B935,Aux!$B:$M,3,0),"")</f>
        <v/>
      </c>
      <c r="U935" s="60"/>
      <c r="V935" s="60"/>
      <c r="W935" s="61" t="str">
        <f>IFERROR(VLOOKUP(S$13&amp;$B935,Aux!$B:$M,9,0),"")</f>
        <v/>
      </c>
      <c r="AA935" s="59" t="str">
        <f>IFERROR(VLOOKUP(AA$13&amp;$B939,Aux!$B:$M,5,0),"")</f>
        <v/>
      </c>
      <c r="AB935" s="60" t="str">
        <f>IFERROR(VLOOKUP(AA$13&amp;$B935,Aux!$B:$M,3,0),"")</f>
        <v/>
      </c>
      <c r="AC935" s="60"/>
      <c r="AD935" s="60"/>
      <c r="AE935" s="61" t="str">
        <f>IFERROR(VLOOKUP(AA$13&amp;$B935,Aux!$B:$M,9,0),"")</f>
        <v/>
      </c>
    </row>
    <row r="936" spans="2:31" x14ac:dyDescent="0.25">
      <c r="B936" s="53">
        <f t="shared" si="14"/>
        <v>185</v>
      </c>
      <c r="C936" s="59"/>
      <c r="D936" s="60"/>
      <c r="E936" s="60"/>
      <c r="F936" s="60"/>
      <c r="G936" s="61"/>
      <c r="K936" s="59"/>
      <c r="L936" s="60"/>
      <c r="M936" s="60"/>
      <c r="N936" s="60"/>
      <c r="O936" s="61"/>
      <c r="S936" s="59"/>
      <c r="T936" s="60"/>
      <c r="U936" s="60"/>
      <c r="V936" s="60"/>
      <c r="W936" s="61"/>
      <c r="AA936" s="59"/>
      <c r="AB936" s="60"/>
      <c r="AC936" s="60"/>
      <c r="AD936" s="60"/>
      <c r="AE936" s="61"/>
    </row>
    <row r="937" spans="2:31" x14ac:dyDescent="0.25">
      <c r="B937" s="53">
        <f t="shared" si="14"/>
        <v>185</v>
      </c>
      <c r="C937" s="59"/>
      <c r="D937" s="15" t="str">
        <f>IF(D935="","","Исполнитель"&amp;": ")</f>
        <v/>
      </c>
      <c r="E937" s="62" t="str">
        <f>IFERROR(VLOOKUP(C$13&amp;$B937,Aux!$B:$M,4,0),"")</f>
        <v/>
      </c>
      <c r="F937" s="62"/>
      <c r="G937" s="63" t="str">
        <f>IFERROR(IF(VLOOKUP(C$13&amp;$B935,Aux!$B:$M,8,0)="Да","✔","🕓"),"")</f>
        <v/>
      </c>
      <c r="K937" s="59"/>
      <c r="L937" s="15" t="str">
        <f>IF(L935="","","Исполнитель"&amp;": ")</f>
        <v/>
      </c>
      <c r="M937" s="62" t="str">
        <f>IFERROR(VLOOKUP(K$13&amp;$B937,Aux!$B:$M,4,0),"")</f>
        <v/>
      </c>
      <c r="N937" s="62"/>
      <c r="O937" s="63" t="str">
        <f>IFERROR(IF(VLOOKUP(K$13&amp;$B935,Aux!$B:$M,8,0)="Да","✔","🕓"),"")</f>
        <v/>
      </c>
      <c r="S937" s="59"/>
      <c r="T937" s="15" t="str">
        <f>IF(T935="","","Исполнитель"&amp;": ")</f>
        <v/>
      </c>
      <c r="U937" s="62" t="str">
        <f>IFERROR(VLOOKUP(S$13&amp;$B937,Aux!$B:$M,4,0),"")</f>
        <v/>
      </c>
      <c r="V937" s="62"/>
      <c r="W937" s="63" t="str">
        <f>IFERROR(IF(VLOOKUP(S$13&amp;$B935,Aux!$B:$M,8,0)="Да","✔","🕓"),"")</f>
        <v/>
      </c>
      <c r="AA937" s="59"/>
      <c r="AB937" s="15" t="str">
        <f>IF(AB935="","","Исполнитель"&amp;": ")</f>
        <v/>
      </c>
      <c r="AC937" s="62" t="str">
        <f>IFERROR(VLOOKUP(AA$13&amp;$B937,Aux!$B:$M,4,0),"")</f>
        <v/>
      </c>
      <c r="AD937" s="62"/>
      <c r="AE937" s="63" t="str">
        <f>IFERROR(IF(VLOOKUP(AA$13&amp;$B935,Aux!$B:$M,8,0)="Да","✔","🕓"),"")</f>
        <v/>
      </c>
    </row>
    <row r="938" spans="2:31" x14ac:dyDescent="0.25">
      <c r="B938" s="53">
        <f t="shared" si="14"/>
        <v>185</v>
      </c>
      <c r="C938" s="59"/>
      <c r="D938" s="16" t="str">
        <f>IF(D935="","","Срок сдачи"&amp;": ")</f>
        <v/>
      </c>
      <c r="E938" s="64" t="str">
        <f>IFERROR(VLOOKUP(C$13&amp;$B938,Aux!$B:$M,6,0),"")</f>
        <v/>
      </c>
      <c r="F938" s="64"/>
      <c r="G938" s="63"/>
      <c r="K938" s="59"/>
      <c r="L938" s="16" t="str">
        <f>IF(L935="","","Срок сдачи"&amp;": ")</f>
        <v/>
      </c>
      <c r="M938" s="64" t="str">
        <f>IFERROR(VLOOKUP(K$13&amp;$B938,Aux!$B:$M,6,0),"")</f>
        <v/>
      </c>
      <c r="N938" s="64"/>
      <c r="O938" s="63"/>
      <c r="S938" s="59"/>
      <c r="T938" s="16" t="str">
        <f>IF(T935="","","Срок сдачи"&amp;": ")</f>
        <v/>
      </c>
      <c r="U938" s="64" t="str">
        <f>IFERROR(VLOOKUP(S$13&amp;$B938,Aux!$B:$M,6,0),"")</f>
        <v/>
      </c>
      <c r="V938" s="64"/>
      <c r="W938" s="63"/>
      <c r="AA938" s="59"/>
      <c r="AB938" s="16" t="str">
        <f>IF(AB935="","","Срок сдачи"&amp;": ")</f>
        <v/>
      </c>
      <c r="AC938" s="64" t="str">
        <f>IFERROR(VLOOKUP(AA$13&amp;$B938,Aux!$B:$M,6,0),"")</f>
        <v/>
      </c>
      <c r="AD938" s="64"/>
      <c r="AE938" s="63"/>
    </row>
    <row r="939" spans="2:31" x14ac:dyDescent="0.25">
      <c r="B939" s="53">
        <f t="shared" si="14"/>
        <v>185</v>
      </c>
      <c r="C939" s="7"/>
      <c r="D939" s="17"/>
      <c r="E939" s="7"/>
      <c r="F939" s="18"/>
      <c r="G939" s="18"/>
      <c r="K939" s="13"/>
      <c r="L939" s="17"/>
      <c r="M939" s="13"/>
      <c r="N939" s="14"/>
      <c r="O939" s="14"/>
      <c r="S939" s="13"/>
      <c r="T939" s="17"/>
      <c r="U939" s="13"/>
      <c r="V939" s="14"/>
      <c r="W939" s="14"/>
      <c r="AA939" s="13"/>
      <c r="AB939" s="17"/>
      <c r="AC939" s="13"/>
      <c r="AD939" s="14"/>
      <c r="AE939" s="30"/>
    </row>
    <row r="940" spans="2:31" x14ac:dyDescent="0.25">
      <c r="B940" s="53">
        <f t="shared" si="14"/>
        <v>186</v>
      </c>
      <c r="C940" s="59" t="str">
        <f>IFERROR(VLOOKUP(C$13&amp;$B944,Aux!$B:$M,5,0),"")</f>
        <v/>
      </c>
      <c r="D940" s="60" t="str">
        <f>IFERROR(VLOOKUP(C$13&amp;$B940,Aux!$B:$M,3,0),"")</f>
        <v/>
      </c>
      <c r="E940" s="60"/>
      <c r="F940" s="60"/>
      <c r="G940" s="61" t="str">
        <f>IFERROR(VLOOKUP(C$13&amp;$B940,Aux!$B:$M,9,0),"")</f>
        <v/>
      </c>
      <c r="K940" s="59" t="str">
        <f>IFERROR(VLOOKUP(K$13&amp;$B944,Aux!$B:$M,5,0),"")</f>
        <v/>
      </c>
      <c r="L940" s="60" t="str">
        <f>IFERROR(VLOOKUP(K$13&amp;$B940,Aux!$B:$M,3,0),"")</f>
        <v/>
      </c>
      <c r="M940" s="60"/>
      <c r="N940" s="60"/>
      <c r="O940" s="61" t="str">
        <f>IFERROR(VLOOKUP(K$13&amp;$B940,Aux!$B:$M,9,0),"")</f>
        <v/>
      </c>
      <c r="S940" s="59" t="str">
        <f>IFERROR(VLOOKUP(S$13&amp;$B944,Aux!$B:$M,5,0),"")</f>
        <v/>
      </c>
      <c r="T940" s="60" t="str">
        <f>IFERROR(VLOOKUP(S$13&amp;$B940,Aux!$B:$M,3,0),"")</f>
        <v/>
      </c>
      <c r="U940" s="60"/>
      <c r="V940" s="60"/>
      <c r="W940" s="61" t="str">
        <f>IFERROR(VLOOKUP(S$13&amp;$B940,Aux!$B:$M,9,0),"")</f>
        <v/>
      </c>
      <c r="AA940" s="59" t="str">
        <f>IFERROR(VLOOKUP(AA$13&amp;$B944,Aux!$B:$M,5,0),"")</f>
        <v/>
      </c>
      <c r="AB940" s="60" t="str">
        <f>IFERROR(VLOOKUP(AA$13&amp;$B940,Aux!$B:$M,3,0),"")</f>
        <v/>
      </c>
      <c r="AC940" s="60"/>
      <c r="AD940" s="60"/>
      <c r="AE940" s="61" t="str">
        <f>IFERROR(VLOOKUP(AA$13&amp;$B940,Aux!$B:$M,9,0),"")</f>
        <v/>
      </c>
    </row>
    <row r="941" spans="2:31" x14ac:dyDescent="0.25">
      <c r="B941" s="53">
        <f t="shared" si="14"/>
        <v>186</v>
      </c>
      <c r="C941" s="59"/>
      <c r="D941" s="60"/>
      <c r="E941" s="60"/>
      <c r="F941" s="60"/>
      <c r="G941" s="61"/>
      <c r="K941" s="59"/>
      <c r="L941" s="60"/>
      <c r="M941" s="60"/>
      <c r="N941" s="60"/>
      <c r="O941" s="61"/>
      <c r="S941" s="59"/>
      <c r="T941" s="60"/>
      <c r="U941" s="60"/>
      <c r="V941" s="60"/>
      <c r="W941" s="61"/>
      <c r="AA941" s="59"/>
      <c r="AB941" s="60"/>
      <c r="AC941" s="60"/>
      <c r="AD941" s="60"/>
      <c r="AE941" s="61"/>
    </row>
    <row r="942" spans="2:31" x14ac:dyDescent="0.25">
      <c r="B942" s="53">
        <f t="shared" si="14"/>
        <v>186</v>
      </c>
      <c r="C942" s="59"/>
      <c r="D942" s="15" t="str">
        <f>IF(D940="","","Исполнитель"&amp;": ")</f>
        <v/>
      </c>
      <c r="E942" s="62" t="str">
        <f>IFERROR(VLOOKUP(C$13&amp;$B942,Aux!$B:$M,4,0),"")</f>
        <v/>
      </c>
      <c r="F942" s="62"/>
      <c r="G942" s="63" t="str">
        <f>IFERROR(IF(VLOOKUP(C$13&amp;$B940,Aux!$B:$M,8,0)="Да","✔","🕓"),"")</f>
        <v/>
      </c>
      <c r="K942" s="59"/>
      <c r="L942" s="15" t="str">
        <f>IF(L940="","","Исполнитель"&amp;": ")</f>
        <v/>
      </c>
      <c r="M942" s="62" t="str">
        <f>IFERROR(VLOOKUP(K$13&amp;$B942,Aux!$B:$M,4,0),"")</f>
        <v/>
      </c>
      <c r="N942" s="62"/>
      <c r="O942" s="63" t="str">
        <f>IFERROR(IF(VLOOKUP(K$13&amp;$B940,Aux!$B:$M,8,0)="Да","✔","🕓"),"")</f>
        <v/>
      </c>
      <c r="S942" s="59"/>
      <c r="T942" s="15" t="str">
        <f>IF(T940="","","Исполнитель"&amp;": ")</f>
        <v/>
      </c>
      <c r="U942" s="62" t="str">
        <f>IFERROR(VLOOKUP(S$13&amp;$B942,Aux!$B:$M,4,0),"")</f>
        <v/>
      </c>
      <c r="V942" s="62"/>
      <c r="W942" s="63" t="str">
        <f>IFERROR(IF(VLOOKUP(S$13&amp;$B940,Aux!$B:$M,8,0)="Да","✔","🕓"),"")</f>
        <v/>
      </c>
      <c r="AA942" s="59"/>
      <c r="AB942" s="15" t="str">
        <f>IF(AB940="","","Исполнитель"&amp;": ")</f>
        <v/>
      </c>
      <c r="AC942" s="62" t="str">
        <f>IFERROR(VLOOKUP(AA$13&amp;$B942,Aux!$B:$M,4,0),"")</f>
        <v/>
      </c>
      <c r="AD942" s="62"/>
      <c r="AE942" s="63" t="str">
        <f>IFERROR(IF(VLOOKUP(AA$13&amp;$B940,Aux!$B:$M,8,0)="Да","✔","🕓"),"")</f>
        <v/>
      </c>
    </row>
    <row r="943" spans="2:31" x14ac:dyDescent="0.25">
      <c r="B943" s="53">
        <f t="shared" si="14"/>
        <v>186</v>
      </c>
      <c r="C943" s="59"/>
      <c r="D943" s="16" t="str">
        <f>IF(D940="","","Срок сдачи"&amp;": ")</f>
        <v/>
      </c>
      <c r="E943" s="64" t="str">
        <f>IFERROR(VLOOKUP(C$13&amp;$B943,Aux!$B:$M,6,0),"")</f>
        <v/>
      </c>
      <c r="F943" s="64"/>
      <c r="G943" s="63"/>
      <c r="K943" s="59"/>
      <c r="L943" s="16" t="str">
        <f>IF(L940="","","Срок сдачи"&amp;": ")</f>
        <v/>
      </c>
      <c r="M943" s="64" t="str">
        <f>IFERROR(VLOOKUP(K$13&amp;$B943,Aux!$B:$M,6,0),"")</f>
        <v/>
      </c>
      <c r="N943" s="64"/>
      <c r="O943" s="63"/>
      <c r="S943" s="59"/>
      <c r="T943" s="16" t="str">
        <f>IF(T940="","","Срок сдачи"&amp;": ")</f>
        <v/>
      </c>
      <c r="U943" s="64" t="str">
        <f>IFERROR(VLOOKUP(S$13&amp;$B943,Aux!$B:$M,6,0),"")</f>
        <v/>
      </c>
      <c r="V943" s="64"/>
      <c r="W943" s="63"/>
      <c r="AA943" s="59"/>
      <c r="AB943" s="16" t="str">
        <f>IF(AB940="","","Срок сдачи"&amp;": ")</f>
        <v/>
      </c>
      <c r="AC943" s="64" t="str">
        <f>IFERROR(VLOOKUP(AA$13&amp;$B943,Aux!$B:$M,6,0),"")</f>
        <v/>
      </c>
      <c r="AD943" s="64"/>
      <c r="AE943" s="63"/>
    </row>
    <row r="944" spans="2:31" x14ac:dyDescent="0.25">
      <c r="B944" s="53">
        <f t="shared" si="14"/>
        <v>186</v>
      </c>
      <c r="C944" s="7"/>
      <c r="D944" s="17"/>
      <c r="E944" s="7"/>
      <c r="F944" s="18"/>
      <c r="G944" s="18"/>
      <c r="K944" s="13"/>
      <c r="L944" s="17"/>
      <c r="M944" s="13"/>
      <c r="N944" s="14"/>
      <c r="O944" s="14"/>
      <c r="S944" s="13"/>
      <c r="T944" s="17"/>
      <c r="U944" s="13"/>
      <c r="V944" s="14"/>
      <c r="W944" s="14"/>
      <c r="AA944" s="13"/>
      <c r="AB944" s="17"/>
      <c r="AC944" s="13"/>
      <c r="AD944" s="14"/>
      <c r="AE944" s="30"/>
    </row>
    <row r="945" spans="2:31" x14ac:dyDescent="0.25">
      <c r="B945" s="53">
        <f t="shared" si="14"/>
        <v>187</v>
      </c>
      <c r="C945" s="59" t="str">
        <f>IFERROR(VLOOKUP(C$13&amp;$B949,Aux!$B:$M,5,0),"")</f>
        <v/>
      </c>
      <c r="D945" s="60" t="str">
        <f>IFERROR(VLOOKUP(C$13&amp;$B945,Aux!$B:$M,3,0),"")</f>
        <v/>
      </c>
      <c r="E945" s="60"/>
      <c r="F945" s="60"/>
      <c r="G945" s="61" t="str">
        <f>IFERROR(VLOOKUP(C$13&amp;$B945,Aux!$B:$M,9,0),"")</f>
        <v/>
      </c>
      <c r="K945" s="59" t="str">
        <f>IFERROR(VLOOKUP(K$13&amp;$B949,Aux!$B:$M,5,0),"")</f>
        <v/>
      </c>
      <c r="L945" s="60" t="str">
        <f>IFERROR(VLOOKUP(K$13&amp;$B945,Aux!$B:$M,3,0),"")</f>
        <v/>
      </c>
      <c r="M945" s="60"/>
      <c r="N945" s="60"/>
      <c r="O945" s="61" t="str">
        <f>IFERROR(VLOOKUP(K$13&amp;$B945,Aux!$B:$M,9,0),"")</f>
        <v/>
      </c>
      <c r="S945" s="59" t="str">
        <f>IFERROR(VLOOKUP(S$13&amp;$B949,Aux!$B:$M,5,0),"")</f>
        <v/>
      </c>
      <c r="T945" s="60" t="str">
        <f>IFERROR(VLOOKUP(S$13&amp;$B945,Aux!$B:$M,3,0),"")</f>
        <v/>
      </c>
      <c r="U945" s="60"/>
      <c r="V945" s="60"/>
      <c r="W945" s="61" t="str">
        <f>IFERROR(VLOOKUP(S$13&amp;$B945,Aux!$B:$M,9,0),"")</f>
        <v/>
      </c>
      <c r="AA945" s="59" t="str">
        <f>IFERROR(VLOOKUP(AA$13&amp;$B949,Aux!$B:$M,5,0),"")</f>
        <v/>
      </c>
      <c r="AB945" s="60" t="str">
        <f>IFERROR(VLOOKUP(AA$13&amp;$B945,Aux!$B:$M,3,0),"")</f>
        <v/>
      </c>
      <c r="AC945" s="60"/>
      <c r="AD945" s="60"/>
      <c r="AE945" s="61" t="str">
        <f>IFERROR(VLOOKUP(AA$13&amp;$B945,Aux!$B:$M,9,0),"")</f>
        <v/>
      </c>
    </row>
    <row r="946" spans="2:31" x14ac:dyDescent="0.25">
      <c r="B946" s="53">
        <f t="shared" si="14"/>
        <v>187</v>
      </c>
      <c r="C946" s="59"/>
      <c r="D946" s="60"/>
      <c r="E946" s="60"/>
      <c r="F946" s="60"/>
      <c r="G946" s="61"/>
      <c r="K946" s="59"/>
      <c r="L946" s="60"/>
      <c r="M946" s="60"/>
      <c r="N946" s="60"/>
      <c r="O946" s="61"/>
      <c r="S946" s="59"/>
      <c r="T946" s="60"/>
      <c r="U946" s="60"/>
      <c r="V946" s="60"/>
      <c r="W946" s="61"/>
      <c r="AA946" s="59"/>
      <c r="AB946" s="60"/>
      <c r="AC946" s="60"/>
      <c r="AD946" s="60"/>
      <c r="AE946" s="61"/>
    </row>
    <row r="947" spans="2:31" x14ac:dyDescent="0.25">
      <c r="B947" s="53">
        <f t="shared" si="14"/>
        <v>187</v>
      </c>
      <c r="C947" s="59"/>
      <c r="D947" s="15" t="str">
        <f>IF(D945="","","Исполнитель"&amp;": ")</f>
        <v/>
      </c>
      <c r="E947" s="62" t="str">
        <f>IFERROR(VLOOKUP(C$13&amp;$B947,Aux!$B:$M,4,0),"")</f>
        <v/>
      </c>
      <c r="F947" s="62"/>
      <c r="G947" s="63" t="str">
        <f>IFERROR(IF(VLOOKUP(C$13&amp;$B945,Aux!$B:$M,8,0)="Да","✔","🕓"),"")</f>
        <v/>
      </c>
      <c r="K947" s="59"/>
      <c r="L947" s="15" t="str">
        <f>IF(L945="","","Исполнитель"&amp;": ")</f>
        <v/>
      </c>
      <c r="M947" s="62" t="str">
        <f>IFERROR(VLOOKUP(K$13&amp;$B947,Aux!$B:$M,4,0),"")</f>
        <v/>
      </c>
      <c r="N947" s="62"/>
      <c r="O947" s="63" t="str">
        <f>IFERROR(IF(VLOOKUP(K$13&amp;$B945,Aux!$B:$M,8,0)="Да","✔","🕓"),"")</f>
        <v/>
      </c>
      <c r="S947" s="59"/>
      <c r="T947" s="15" t="str">
        <f>IF(T945="","","Исполнитель"&amp;": ")</f>
        <v/>
      </c>
      <c r="U947" s="62" t="str">
        <f>IFERROR(VLOOKUP(S$13&amp;$B947,Aux!$B:$M,4,0),"")</f>
        <v/>
      </c>
      <c r="V947" s="62"/>
      <c r="W947" s="63" t="str">
        <f>IFERROR(IF(VLOOKUP(S$13&amp;$B945,Aux!$B:$M,8,0)="Да","✔","🕓"),"")</f>
        <v/>
      </c>
      <c r="AA947" s="59"/>
      <c r="AB947" s="15" t="str">
        <f>IF(AB945="","","Исполнитель"&amp;": ")</f>
        <v/>
      </c>
      <c r="AC947" s="62" t="str">
        <f>IFERROR(VLOOKUP(AA$13&amp;$B947,Aux!$B:$M,4,0),"")</f>
        <v/>
      </c>
      <c r="AD947" s="62"/>
      <c r="AE947" s="63" t="str">
        <f>IFERROR(IF(VLOOKUP(AA$13&amp;$B945,Aux!$B:$M,8,0)="Да","✔","🕓"),"")</f>
        <v/>
      </c>
    </row>
    <row r="948" spans="2:31" x14ac:dyDescent="0.25">
      <c r="B948" s="53">
        <f t="shared" si="14"/>
        <v>187</v>
      </c>
      <c r="C948" s="59"/>
      <c r="D948" s="16" t="str">
        <f>IF(D945="","","Срок сдачи"&amp;": ")</f>
        <v/>
      </c>
      <c r="E948" s="64" t="str">
        <f>IFERROR(VLOOKUP(C$13&amp;$B948,Aux!$B:$M,6,0),"")</f>
        <v/>
      </c>
      <c r="F948" s="64"/>
      <c r="G948" s="63"/>
      <c r="K948" s="59"/>
      <c r="L948" s="16" t="str">
        <f>IF(L945="","","Срок сдачи"&amp;": ")</f>
        <v/>
      </c>
      <c r="M948" s="64" t="str">
        <f>IFERROR(VLOOKUP(K$13&amp;$B948,Aux!$B:$M,6,0),"")</f>
        <v/>
      </c>
      <c r="N948" s="64"/>
      <c r="O948" s="63"/>
      <c r="S948" s="59"/>
      <c r="T948" s="16" t="str">
        <f>IF(T945="","","Срок сдачи"&amp;": ")</f>
        <v/>
      </c>
      <c r="U948" s="64" t="str">
        <f>IFERROR(VLOOKUP(S$13&amp;$B948,Aux!$B:$M,6,0),"")</f>
        <v/>
      </c>
      <c r="V948" s="64"/>
      <c r="W948" s="63"/>
      <c r="AA948" s="59"/>
      <c r="AB948" s="16" t="str">
        <f>IF(AB945="","","Срок сдачи"&amp;": ")</f>
        <v/>
      </c>
      <c r="AC948" s="64" t="str">
        <f>IFERROR(VLOOKUP(AA$13&amp;$B948,Aux!$B:$M,6,0),"")</f>
        <v/>
      </c>
      <c r="AD948" s="64"/>
      <c r="AE948" s="63"/>
    </row>
    <row r="949" spans="2:31" x14ac:dyDescent="0.25">
      <c r="B949" s="53">
        <f t="shared" si="14"/>
        <v>187</v>
      </c>
      <c r="C949" s="7"/>
      <c r="D949" s="17"/>
      <c r="E949" s="7"/>
      <c r="F949" s="18"/>
      <c r="G949" s="18"/>
      <c r="K949" s="13"/>
      <c r="L949" s="17"/>
      <c r="M949" s="13"/>
      <c r="N949" s="14"/>
      <c r="O949" s="14"/>
      <c r="S949" s="13"/>
      <c r="T949" s="17"/>
      <c r="U949" s="13"/>
      <c r="V949" s="14"/>
      <c r="W949" s="14"/>
      <c r="AA949" s="13"/>
      <c r="AB949" s="17"/>
      <c r="AC949" s="13"/>
      <c r="AD949" s="14"/>
      <c r="AE949" s="30"/>
    </row>
    <row r="950" spans="2:31" x14ac:dyDescent="0.25">
      <c r="B950" s="53">
        <f t="shared" si="14"/>
        <v>188</v>
      </c>
      <c r="C950" s="59" t="str">
        <f>IFERROR(VLOOKUP(C$13&amp;$B954,Aux!$B:$M,5,0),"")</f>
        <v/>
      </c>
      <c r="D950" s="60" t="str">
        <f>IFERROR(VLOOKUP(C$13&amp;$B950,Aux!$B:$M,3,0),"")</f>
        <v/>
      </c>
      <c r="E950" s="60"/>
      <c r="F950" s="60"/>
      <c r="G950" s="61" t="str">
        <f>IFERROR(VLOOKUP(C$13&amp;$B950,Aux!$B:$M,9,0),"")</f>
        <v/>
      </c>
      <c r="K950" s="59" t="str">
        <f>IFERROR(VLOOKUP(K$13&amp;$B954,Aux!$B:$M,5,0),"")</f>
        <v/>
      </c>
      <c r="L950" s="60" t="str">
        <f>IFERROR(VLOOKUP(K$13&amp;$B950,Aux!$B:$M,3,0),"")</f>
        <v/>
      </c>
      <c r="M950" s="60"/>
      <c r="N950" s="60"/>
      <c r="O950" s="61" t="str">
        <f>IFERROR(VLOOKUP(K$13&amp;$B950,Aux!$B:$M,9,0),"")</f>
        <v/>
      </c>
      <c r="S950" s="59" t="str">
        <f>IFERROR(VLOOKUP(S$13&amp;$B954,Aux!$B:$M,5,0),"")</f>
        <v/>
      </c>
      <c r="T950" s="60" t="str">
        <f>IFERROR(VLOOKUP(S$13&amp;$B950,Aux!$B:$M,3,0),"")</f>
        <v/>
      </c>
      <c r="U950" s="60"/>
      <c r="V950" s="60"/>
      <c r="W950" s="61" t="str">
        <f>IFERROR(VLOOKUP(S$13&amp;$B950,Aux!$B:$M,9,0),"")</f>
        <v/>
      </c>
      <c r="AA950" s="59" t="str">
        <f>IFERROR(VLOOKUP(AA$13&amp;$B954,Aux!$B:$M,5,0),"")</f>
        <v/>
      </c>
      <c r="AB950" s="60" t="str">
        <f>IFERROR(VLOOKUP(AA$13&amp;$B950,Aux!$B:$M,3,0),"")</f>
        <v/>
      </c>
      <c r="AC950" s="60"/>
      <c r="AD950" s="60"/>
      <c r="AE950" s="61" t="str">
        <f>IFERROR(VLOOKUP(AA$13&amp;$B950,Aux!$B:$M,9,0),"")</f>
        <v/>
      </c>
    </row>
    <row r="951" spans="2:31" x14ac:dyDescent="0.25">
      <c r="B951" s="53">
        <f t="shared" si="14"/>
        <v>188</v>
      </c>
      <c r="C951" s="59"/>
      <c r="D951" s="60"/>
      <c r="E951" s="60"/>
      <c r="F951" s="60"/>
      <c r="G951" s="61"/>
      <c r="K951" s="59"/>
      <c r="L951" s="60"/>
      <c r="M951" s="60"/>
      <c r="N951" s="60"/>
      <c r="O951" s="61"/>
      <c r="S951" s="59"/>
      <c r="T951" s="60"/>
      <c r="U951" s="60"/>
      <c r="V951" s="60"/>
      <c r="W951" s="61"/>
      <c r="AA951" s="59"/>
      <c r="AB951" s="60"/>
      <c r="AC951" s="60"/>
      <c r="AD951" s="60"/>
      <c r="AE951" s="61"/>
    </row>
    <row r="952" spans="2:31" x14ac:dyDescent="0.25">
      <c r="B952" s="53">
        <f t="shared" si="14"/>
        <v>188</v>
      </c>
      <c r="C952" s="59"/>
      <c r="D952" s="15" t="str">
        <f>IF(D950="","","Исполнитель"&amp;": ")</f>
        <v/>
      </c>
      <c r="E952" s="62" t="str">
        <f>IFERROR(VLOOKUP(C$13&amp;$B952,Aux!$B:$M,4,0),"")</f>
        <v/>
      </c>
      <c r="F952" s="62"/>
      <c r="G952" s="63" t="str">
        <f>IFERROR(IF(VLOOKUP(C$13&amp;$B950,Aux!$B:$M,8,0)="Да","✔","🕓"),"")</f>
        <v/>
      </c>
      <c r="K952" s="59"/>
      <c r="L952" s="15" t="str">
        <f>IF(L950="","","Исполнитель"&amp;": ")</f>
        <v/>
      </c>
      <c r="M952" s="62" t="str">
        <f>IFERROR(VLOOKUP(K$13&amp;$B952,Aux!$B:$M,4,0),"")</f>
        <v/>
      </c>
      <c r="N952" s="62"/>
      <c r="O952" s="63" t="str">
        <f>IFERROR(IF(VLOOKUP(K$13&amp;$B950,Aux!$B:$M,8,0)="Да","✔","🕓"),"")</f>
        <v/>
      </c>
      <c r="S952" s="59"/>
      <c r="T952" s="15" t="str">
        <f>IF(T950="","","Исполнитель"&amp;": ")</f>
        <v/>
      </c>
      <c r="U952" s="62" t="str">
        <f>IFERROR(VLOOKUP(S$13&amp;$B952,Aux!$B:$M,4,0),"")</f>
        <v/>
      </c>
      <c r="V952" s="62"/>
      <c r="W952" s="63" t="str">
        <f>IFERROR(IF(VLOOKUP(S$13&amp;$B950,Aux!$B:$M,8,0)="Да","✔","🕓"),"")</f>
        <v/>
      </c>
      <c r="AA952" s="59"/>
      <c r="AB952" s="15" t="str">
        <f>IF(AB950="","","Исполнитель"&amp;": ")</f>
        <v/>
      </c>
      <c r="AC952" s="62" t="str">
        <f>IFERROR(VLOOKUP(AA$13&amp;$B952,Aux!$B:$M,4,0),"")</f>
        <v/>
      </c>
      <c r="AD952" s="62"/>
      <c r="AE952" s="63" t="str">
        <f>IFERROR(IF(VLOOKUP(AA$13&amp;$B950,Aux!$B:$M,8,0)="Да","✔","🕓"),"")</f>
        <v/>
      </c>
    </row>
    <row r="953" spans="2:31" x14ac:dyDescent="0.25">
      <c r="B953" s="53">
        <f t="shared" si="14"/>
        <v>188</v>
      </c>
      <c r="C953" s="59"/>
      <c r="D953" s="16" t="str">
        <f>IF(D950="","","Срок сдачи"&amp;": ")</f>
        <v/>
      </c>
      <c r="E953" s="64" t="str">
        <f>IFERROR(VLOOKUP(C$13&amp;$B953,Aux!$B:$M,6,0),"")</f>
        <v/>
      </c>
      <c r="F953" s="64"/>
      <c r="G953" s="63"/>
      <c r="K953" s="59"/>
      <c r="L953" s="16" t="str">
        <f>IF(L950="","","Срок сдачи"&amp;": ")</f>
        <v/>
      </c>
      <c r="M953" s="64" t="str">
        <f>IFERROR(VLOOKUP(K$13&amp;$B953,Aux!$B:$M,6,0),"")</f>
        <v/>
      </c>
      <c r="N953" s="64"/>
      <c r="O953" s="63"/>
      <c r="S953" s="59"/>
      <c r="T953" s="16" t="str">
        <f>IF(T950="","","Срок сдачи"&amp;": ")</f>
        <v/>
      </c>
      <c r="U953" s="64" t="str">
        <f>IFERROR(VLOOKUP(S$13&amp;$B953,Aux!$B:$M,6,0),"")</f>
        <v/>
      </c>
      <c r="V953" s="64"/>
      <c r="W953" s="63"/>
      <c r="AA953" s="59"/>
      <c r="AB953" s="16" t="str">
        <f>IF(AB950="","","Срок сдачи"&amp;": ")</f>
        <v/>
      </c>
      <c r="AC953" s="64" t="str">
        <f>IFERROR(VLOOKUP(AA$13&amp;$B953,Aux!$B:$M,6,0),"")</f>
        <v/>
      </c>
      <c r="AD953" s="64"/>
      <c r="AE953" s="63"/>
    </row>
    <row r="954" spans="2:31" x14ac:dyDescent="0.25">
      <c r="B954" s="53">
        <f t="shared" si="14"/>
        <v>188</v>
      </c>
      <c r="C954" s="7"/>
      <c r="D954" s="17"/>
      <c r="E954" s="7"/>
      <c r="F954" s="18"/>
      <c r="G954" s="18"/>
      <c r="K954" s="13"/>
      <c r="L954" s="17"/>
      <c r="M954" s="13"/>
      <c r="N954" s="14"/>
      <c r="O954" s="14"/>
      <c r="S954" s="13"/>
      <c r="T954" s="17"/>
      <c r="U954" s="13"/>
      <c r="V954" s="14"/>
      <c r="W954" s="14"/>
      <c r="AA954" s="13"/>
      <c r="AB954" s="17"/>
      <c r="AC954" s="13"/>
      <c r="AD954" s="14"/>
      <c r="AE954" s="30"/>
    </row>
    <row r="955" spans="2:31" x14ac:dyDescent="0.25">
      <c r="B955" s="53">
        <f t="shared" si="14"/>
        <v>189</v>
      </c>
      <c r="C955" s="59" t="str">
        <f>IFERROR(VLOOKUP(C$13&amp;$B959,Aux!$B:$M,5,0),"")</f>
        <v/>
      </c>
      <c r="D955" s="60" t="str">
        <f>IFERROR(VLOOKUP(C$13&amp;$B955,Aux!$B:$M,3,0),"")</f>
        <v/>
      </c>
      <c r="E955" s="60"/>
      <c r="F955" s="60"/>
      <c r="G955" s="61" t="str">
        <f>IFERROR(VLOOKUP(C$13&amp;$B955,Aux!$B:$M,9,0),"")</f>
        <v/>
      </c>
      <c r="K955" s="59" t="str">
        <f>IFERROR(VLOOKUP(K$13&amp;$B959,Aux!$B:$M,5,0),"")</f>
        <v/>
      </c>
      <c r="L955" s="60" t="str">
        <f>IFERROR(VLOOKUP(K$13&amp;$B955,Aux!$B:$M,3,0),"")</f>
        <v/>
      </c>
      <c r="M955" s="60"/>
      <c r="N955" s="60"/>
      <c r="O955" s="61" t="str">
        <f>IFERROR(VLOOKUP(K$13&amp;$B955,Aux!$B:$M,9,0),"")</f>
        <v/>
      </c>
      <c r="S955" s="59" t="str">
        <f>IFERROR(VLOOKUP(S$13&amp;$B959,Aux!$B:$M,5,0),"")</f>
        <v/>
      </c>
      <c r="T955" s="60" t="str">
        <f>IFERROR(VLOOKUP(S$13&amp;$B955,Aux!$B:$M,3,0),"")</f>
        <v/>
      </c>
      <c r="U955" s="60"/>
      <c r="V955" s="60"/>
      <c r="W955" s="61" t="str">
        <f>IFERROR(VLOOKUP(S$13&amp;$B955,Aux!$B:$M,9,0),"")</f>
        <v/>
      </c>
      <c r="AA955" s="59" t="str">
        <f>IFERROR(VLOOKUP(AA$13&amp;$B959,Aux!$B:$M,5,0),"")</f>
        <v/>
      </c>
      <c r="AB955" s="60" t="str">
        <f>IFERROR(VLOOKUP(AA$13&amp;$B955,Aux!$B:$M,3,0),"")</f>
        <v/>
      </c>
      <c r="AC955" s="60"/>
      <c r="AD955" s="60"/>
      <c r="AE955" s="61" t="str">
        <f>IFERROR(VLOOKUP(AA$13&amp;$B955,Aux!$B:$M,9,0),"")</f>
        <v/>
      </c>
    </row>
    <row r="956" spans="2:31" x14ac:dyDescent="0.25">
      <c r="B956" s="53">
        <f t="shared" si="14"/>
        <v>189</v>
      </c>
      <c r="C956" s="59"/>
      <c r="D956" s="60"/>
      <c r="E956" s="60"/>
      <c r="F956" s="60"/>
      <c r="G956" s="61"/>
      <c r="K956" s="59"/>
      <c r="L956" s="60"/>
      <c r="M956" s="60"/>
      <c r="N956" s="60"/>
      <c r="O956" s="61"/>
      <c r="S956" s="59"/>
      <c r="T956" s="60"/>
      <c r="U956" s="60"/>
      <c r="V956" s="60"/>
      <c r="W956" s="61"/>
      <c r="AA956" s="59"/>
      <c r="AB956" s="60"/>
      <c r="AC956" s="60"/>
      <c r="AD956" s="60"/>
      <c r="AE956" s="61"/>
    </row>
    <row r="957" spans="2:31" x14ac:dyDescent="0.25">
      <c r="B957" s="53">
        <f t="shared" si="14"/>
        <v>189</v>
      </c>
      <c r="C957" s="59"/>
      <c r="D957" s="15" t="str">
        <f>IF(D955="","","Исполнитель"&amp;": ")</f>
        <v/>
      </c>
      <c r="E957" s="62" t="str">
        <f>IFERROR(VLOOKUP(C$13&amp;$B957,Aux!$B:$M,4,0),"")</f>
        <v/>
      </c>
      <c r="F957" s="62"/>
      <c r="G957" s="63" t="str">
        <f>IFERROR(IF(VLOOKUP(C$13&amp;$B955,Aux!$B:$M,8,0)="Да","✔","🕓"),"")</f>
        <v/>
      </c>
      <c r="K957" s="59"/>
      <c r="L957" s="15" t="str">
        <f>IF(L955="","","Исполнитель"&amp;": ")</f>
        <v/>
      </c>
      <c r="M957" s="62" t="str">
        <f>IFERROR(VLOOKUP(K$13&amp;$B957,Aux!$B:$M,4,0),"")</f>
        <v/>
      </c>
      <c r="N957" s="62"/>
      <c r="O957" s="63" t="str">
        <f>IFERROR(IF(VLOOKUP(K$13&amp;$B955,Aux!$B:$M,8,0)="Да","✔","🕓"),"")</f>
        <v/>
      </c>
      <c r="S957" s="59"/>
      <c r="T957" s="15" t="str">
        <f>IF(T955="","","Исполнитель"&amp;": ")</f>
        <v/>
      </c>
      <c r="U957" s="62" t="str">
        <f>IFERROR(VLOOKUP(S$13&amp;$B957,Aux!$B:$M,4,0),"")</f>
        <v/>
      </c>
      <c r="V957" s="62"/>
      <c r="W957" s="63" t="str">
        <f>IFERROR(IF(VLOOKUP(S$13&amp;$B955,Aux!$B:$M,8,0)="Да","✔","🕓"),"")</f>
        <v/>
      </c>
      <c r="AA957" s="59"/>
      <c r="AB957" s="15" t="str">
        <f>IF(AB955="","","Исполнитель"&amp;": ")</f>
        <v/>
      </c>
      <c r="AC957" s="62" t="str">
        <f>IFERROR(VLOOKUP(AA$13&amp;$B957,Aux!$B:$M,4,0),"")</f>
        <v/>
      </c>
      <c r="AD957" s="62"/>
      <c r="AE957" s="63" t="str">
        <f>IFERROR(IF(VLOOKUP(AA$13&amp;$B955,Aux!$B:$M,8,0)="Да","✔","🕓"),"")</f>
        <v/>
      </c>
    </row>
    <row r="958" spans="2:31" x14ac:dyDescent="0.25">
      <c r="B958" s="53">
        <f t="shared" si="14"/>
        <v>189</v>
      </c>
      <c r="C958" s="59"/>
      <c r="D958" s="16" t="str">
        <f>IF(D955="","","Срок сдачи"&amp;": ")</f>
        <v/>
      </c>
      <c r="E958" s="64" t="str">
        <f>IFERROR(VLOOKUP(C$13&amp;$B958,Aux!$B:$M,6,0),"")</f>
        <v/>
      </c>
      <c r="F958" s="64"/>
      <c r="G958" s="63"/>
      <c r="K958" s="59"/>
      <c r="L958" s="16" t="str">
        <f>IF(L955="","","Срок сдачи"&amp;": ")</f>
        <v/>
      </c>
      <c r="M958" s="64" t="str">
        <f>IFERROR(VLOOKUP(K$13&amp;$B958,Aux!$B:$M,6,0),"")</f>
        <v/>
      </c>
      <c r="N958" s="64"/>
      <c r="O958" s="63"/>
      <c r="S958" s="59"/>
      <c r="T958" s="16" t="str">
        <f>IF(T955="","","Срок сдачи"&amp;": ")</f>
        <v/>
      </c>
      <c r="U958" s="64" t="str">
        <f>IFERROR(VLOOKUP(S$13&amp;$B958,Aux!$B:$M,6,0),"")</f>
        <v/>
      </c>
      <c r="V958" s="64"/>
      <c r="W958" s="63"/>
      <c r="AA958" s="59"/>
      <c r="AB958" s="16" t="str">
        <f>IF(AB955="","","Срок сдачи"&amp;": ")</f>
        <v/>
      </c>
      <c r="AC958" s="64" t="str">
        <f>IFERROR(VLOOKUP(AA$13&amp;$B958,Aux!$B:$M,6,0),"")</f>
        <v/>
      </c>
      <c r="AD958" s="64"/>
      <c r="AE958" s="63"/>
    </row>
    <row r="959" spans="2:31" x14ac:dyDescent="0.25">
      <c r="B959" s="53">
        <f t="shared" si="14"/>
        <v>189</v>
      </c>
      <c r="C959" s="7"/>
      <c r="D959" s="17"/>
      <c r="E959" s="7"/>
      <c r="F959" s="18"/>
      <c r="G959" s="18"/>
      <c r="K959" s="13"/>
      <c r="L959" s="17"/>
      <c r="M959" s="13"/>
      <c r="N959" s="14"/>
      <c r="O959" s="14"/>
      <c r="S959" s="13"/>
      <c r="T959" s="17"/>
      <c r="U959" s="13"/>
      <c r="V959" s="14"/>
      <c r="W959" s="14"/>
      <c r="AA959" s="13"/>
      <c r="AB959" s="17"/>
      <c r="AC959" s="13"/>
      <c r="AD959" s="14"/>
      <c r="AE959" s="30"/>
    </row>
    <row r="960" spans="2:31" x14ac:dyDescent="0.25">
      <c r="B960" s="53">
        <f t="shared" si="14"/>
        <v>190</v>
      </c>
      <c r="C960" s="59" t="str">
        <f>IFERROR(VLOOKUP(C$13&amp;$B964,Aux!$B:$M,5,0),"")</f>
        <v/>
      </c>
      <c r="D960" s="60" t="str">
        <f>IFERROR(VLOOKUP(C$13&amp;$B960,Aux!$B:$M,3,0),"")</f>
        <v/>
      </c>
      <c r="E960" s="60"/>
      <c r="F960" s="60"/>
      <c r="G960" s="61" t="str">
        <f>IFERROR(VLOOKUP(C$13&amp;$B960,Aux!$B:$M,9,0),"")</f>
        <v/>
      </c>
      <c r="K960" s="59" t="str">
        <f>IFERROR(VLOOKUP(K$13&amp;$B964,Aux!$B:$M,5,0),"")</f>
        <v/>
      </c>
      <c r="L960" s="60" t="str">
        <f>IFERROR(VLOOKUP(K$13&amp;$B960,Aux!$B:$M,3,0),"")</f>
        <v/>
      </c>
      <c r="M960" s="60"/>
      <c r="N960" s="60"/>
      <c r="O960" s="61" t="str">
        <f>IFERROR(VLOOKUP(K$13&amp;$B960,Aux!$B:$M,9,0),"")</f>
        <v/>
      </c>
      <c r="S960" s="59" t="str">
        <f>IFERROR(VLOOKUP(S$13&amp;$B964,Aux!$B:$M,5,0),"")</f>
        <v/>
      </c>
      <c r="T960" s="60" t="str">
        <f>IFERROR(VLOOKUP(S$13&amp;$B960,Aux!$B:$M,3,0),"")</f>
        <v/>
      </c>
      <c r="U960" s="60"/>
      <c r="V960" s="60"/>
      <c r="W960" s="61" t="str">
        <f>IFERROR(VLOOKUP(S$13&amp;$B960,Aux!$B:$M,9,0),"")</f>
        <v/>
      </c>
      <c r="AA960" s="59" t="str">
        <f>IFERROR(VLOOKUP(AA$13&amp;$B964,Aux!$B:$M,5,0),"")</f>
        <v/>
      </c>
      <c r="AB960" s="60" t="str">
        <f>IFERROR(VLOOKUP(AA$13&amp;$B960,Aux!$B:$M,3,0),"")</f>
        <v/>
      </c>
      <c r="AC960" s="60"/>
      <c r="AD960" s="60"/>
      <c r="AE960" s="61" t="str">
        <f>IFERROR(VLOOKUP(AA$13&amp;$B960,Aux!$B:$M,9,0),"")</f>
        <v/>
      </c>
    </row>
    <row r="961" spans="2:31" x14ac:dyDescent="0.25">
      <c r="B961" s="53">
        <f t="shared" si="14"/>
        <v>190</v>
      </c>
      <c r="C961" s="59"/>
      <c r="D961" s="60"/>
      <c r="E961" s="60"/>
      <c r="F961" s="60"/>
      <c r="G961" s="61"/>
      <c r="K961" s="59"/>
      <c r="L961" s="60"/>
      <c r="M961" s="60"/>
      <c r="N961" s="60"/>
      <c r="O961" s="61"/>
      <c r="S961" s="59"/>
      <c r="T961" s="60"/>
      <c r="U961" s="60"/>
      <c r="V961" s="60"/>
      <c r="W961" s="61"/>
      <c r="AA961" s="59"/>
      <c r="AB961" s="60"/>
      <c r="AC961" s="60"/>
      <c r="AD961" s="60"/>
      <c r="AE961" s="61"/>
    </row>
    <row r="962" spans="2:31" x14ac:dyDescent="0.25">
      <c r="B962" s="53">
        <f t="shared" si="14"/>
        <v>190</v>
      </c>
      <c r="C962" s="59"/>
      <c r="D962" s="15" t="str">
        <f>IF(D960="","","Исполнитель"&amp;": ")</f>
        <v/>
      </c>
      <c r="E962" s="62" t="str">
        <f>IFERROR(VLOOKUP(C$13&amp;$B962,Aux!$B:$M,4,0),"")</f>
        <v/>
      </c>
      <c r="F962" s="62"/>
      <c r="G962" s="63" t="str">
        <f>IFERROR(IF(VLOOKUP(C$13&amp;$B960,Aux!$B:$M,8,0)="Да","✔","🕓"),"")</f>
        <v/>
      </c>
      <c r="K962" s="59"/>
      <c r="L962" s="15" t="str">
        <f>IF(L960="","","Исполнитель"&amp;": ")</f>
        <v/>
      </c>
      <c r="M962" s="62" t="str">
        <f>IFERROR(VLOOKUP(K$13&amp;$B962,Aux!$B:$M,4,0),"")</f>
        <v/>
      </c>
      <c r="N962" s="62"/>
      <c r="O962" s="63" t="str">
        <f>IFERROR(IF(VLOOKUP(K$13&amp;$B960,Aux!$B:$M,8,0)="Да","✔","🕓"),"")</f>
        <v/>
      </c>
      <c r="S962" s="59"/>
      <c r="T962" s="15" t="str">
        <f>IF(T960="","","Исполнитель"&amp;": ")</f>
        <v/>
      </c>
      <c r="U962" s="62" t="str">
        <f>IFERROR(VLOOKUP(S$13&amp;$B962,Aux!$B:$M,4,0),"")</f>
        <v/>
      </c>
      <c r="V962" s="62"/>
      <c r="W962" s="63" t="str">
        <f>IFERROR(IF(VLOOKUP(S$13&amp;$B960,Aux!$B:$M,8,0)="Да","✔","🕓"),"")</f>
        <v/>
      </c>
      <c r="AA962" s="59"/>
      <c r="AB962" s="15" t="str">
        <f>IF(AB960="","","Исполнитель"&amp;": ")</f>
        <v/>
      </c>
      <c r="AC962" s="62" t="str">
        <f>IFERROR(VLOOKUP(AA$13&amp;$B962,Aux!$B:$M,4,0),"")</f>
        <v/>
      </c>
      <c r="AD962" s="62"/>
      <c r="AE962" s="63" t="str">
        <f>IFERROR(IF(VLOOKUP(AA$13&amp;$B960,Aux!$B:$M,8,0)="Да","✔","🕓"),"")</f>
        <v/>
      </c>
    </row>
    <row r="963" spans="2:31" x14ac:dyDescent="0.25">
      <c r="B963" s="53">
        <f t="shared" si="14"/>
        <v>190</v>
      </c>
      <c r="C963" s="59"/>
      <c r="D963" s="16" t="str">
        <f>IF(D960="","","Срок сдачи"&amp;": ")</f>
        <v/>
      </c>
      <c r="E963" s="64" t="str">
        <f>IFERROR(VLOOKUP(C$13&amp;$B963,Aux!$B:$M,6,0),"")</f>
        <v/>
      </c>
      <c r="F963" s="64"/>
      <c r="G963" s="63"/>
      <c r="K963" s="59"/>
      <c r="L963" s="16" t="str">
        <f>IF(L960="","","Срок сдачи"&amp;": ")</f>
        <v/>
      </c>
      <c r="M963" s="64" t="str">
        <f>IFERROR(VLOOKUP(K$13&amp;$B963,Aux!$B:$M,6,0),"")</f>
        <v/>
      </c>
      <c r="N963" s="64"/>
      <c r="O963" s="63"/>
      <c r="S963" s="59"/>
      <c r="T963" s="16" t="str">
        <f>IF(T960="","","Срок сдачи"&amp;": ")</f>
        <v/>
      </c>
      <c r="U963" s="64" t="str">
        <f>IFERROR(VLOOKUP(S$13&amp;$B963,Aux!$B:$M,6,0),"")</f>
        <v/>
      </c>
      <c r="V963" s="64"/>
      <c r="W963" s="63"/>
      <c r="AA963" s="59"/>
      <c r="AB963" s="16" t="str">
        <f>IF(AB960="","","Срок сдачи"&amp;": ")</f>
        <v/>
      </c>
      <c r="AC963" s="64" t="str">
        <f>IFERROR(VLOOKUP(AA$13&amp;$B963,Aux!$B:$M,6,0),"")</f>
        <v/>
      </c>
      <c r="AD963" s="64"/>
      <c r="AE963" s="63"/>
    </row>
    <row r="964" spans="2:31" x14ac:dyDescent="0.25">
      <c r="B964" s="53">
        <f t="shared" si="14"/>
        <v>190</v>
      </c>
      <c r="C964" s="7"/>
      <c r="D964" s="17"/>
      <c r="E964" s="7"/>
      <c r="F964" s="18"/>
      <c r="G964" s="18"/>
      <c r="K964" s="13"/>
      <c r="L964" s="17"/>
      <c r="M964" s="13"/>
      <c r="N964" s="14"/>
      <c r="O964" s="14"/>
      <c r="S964" s="13"/>
      <c r="T964" s="17"/>
      <c r="U964" s="13"/>
      <c r="V964" s="14"/>
      <c r="W964" s="14"/>
      <c r="AA964" s="13"/>
      <c r="AB964" s="17"/>
      <c r="AC964" s="13"/>
      <c r="AD964" s="14"/>
      <c r="AE964" s="30"/>
    </row>
    <row r="965" spans="2:31" x14ac:dyDescent="0.25">
      <c r="B965" s="53">
        <f t="shared" si="14"/>
        <v>191</v>
      </c>
      <c r="C965" s="59" t="str">
        <f>IFERROR(VLOOKUP(C$13&amp;$B969,Aux!$B:$M,5,0),"")</f>
        <v/>
      </c>
      <c r="D965" s="60" t="str">
        <f>IFERROR(VLOOKUP(C$13&amp;$B965,Aux!$B:$M,3,0),"")</f>
        <v/>
      </c>
      <c r="E965" s="60"/>
      <c r="F965" s="60"/>
      <c r="G965" s="61" t="str">
        <f>IFERROR(VLOOKUP(C$13&amp;$B965,Aux!$B:$M,9,0),"")</f>
        <v/>
      </c>
      <c r="K965" s="59" t="str">
        <f>IFERROR(VLOOKUP(K$13&amp;$B969,Aux!$B:$M,5,0),"")</f>
        <v/>
      </c>
      <c r="L965" s="60" t="str">
        <f>IFERROR(VLOOKUP(K$13&amp;$B965,Aux!$B:$M,3,0),"")</f>
        <v/>
      </c>
      <c r="M965" s="60"/>
      <c r="N965" s="60"/>
      <c r="O965" s="61" t="str">
        <f>IFERROR(VLOOKUP(K$13&amp;$B965,Aux!$B:$M,9,0),"")</f>
        <v/>
      </c>
      <c r="S965" s="59" t="str">
        <f>IFERROR(VLOOKUP(S$13&amp;$B969,Aux!$B:$M,5,0),"")</f>
        <v/>
      </c>
      <c r="T965" s="60" t="str">
        <f>IFERROR(VLOOKUP(S$13&amp;$B965,Aux!$B:$M,3,0),"")</f>
        <v/>
      </c>
      <c r="U965" s="60"/>
      <c r="V965" s="60"/>
      <c r="W965" s="61" t="str">
        <f>IFERROR(VLOOKUP(S$13&amp;$B965,Aux!$B:$M,9,0),"")</f>
        <v/>
      </c>
      <c r="AA965" s="59" t="str">
        <f>IFERROR(VLOOKUP(AA$13&amp;$B969,Aux!$B:$M,5,0),"")</f>
        <v/>
      </c>
      <c r="AB965" s="60" t="str">
        <f>IFERROR(VLOOKUP(AA$13&amp;$B965,Aux!$B:$M,3,0),"")</f>
        <v/>
      </c>
      <c r="AC965" s="60"/>
      <c r="AD965" s="60"/>
      <c r="AE965" s="61" t="str">
        <f>IFERROR(VLOOKUP(AA$13&amp;$B965,Aux!$B:$M,9,0),"")</f>
        <v/>
      </c>
    </row>
    <row r="966" spans="2:31" x14ac:dyDescent="0.25">
      <c r="B966" s="53">
        <f t="shared" si="14"/>
        <v>191</v>
      </c>
      <c r="C966" s="59"/>
      <c r="D966" s="60"/>
      <c r="E966" s="60"/>
      <c r="F966" s="60"/>
      <c r="G966" s="61"/>
      <c r="K966" s="59"/>
      <c r="L966" s="60"/>
      <c r="M966" s="60"/>
      <c r="N966" s="60"/>
      <c r="O966" s="61"/>
      <c r="S966" s="59"/>
      <c r="T966" s="60"/>
      <c r="U966" s="60"/>
      <c r="V966" s="60"/>
      <c r="W966" s="61"/>
      <c r="AA966" s="59"/>
      <c r="AB966" s="60"/>
      <c r="AC966" s="60"/>
      <c r="AD966" s="60"/>
      <c r="AE966" s="61"/>
    </row>
    <row r="967" spans="2:31" x14ac:dyDescent="0.25">
      <c r="B967" s="53">
        <f t="shared" si="14"/>
        <v>191</v>
      </c>
      <c r="C967" s="59"/>
      <c r="D967" s="15" t="str">
        <f>IF(D965="","","Исполнитель"&amp;": ")</f>
        <v/>
      </c>
      <c r="E967" s="62" t="str">
        <f>IFERROR(VLOOKUP(C$13&amp;$B967,Aux!$B:$M,4,0),"")</f>
        <v/>
      </c>
      <c r="F967" s="62"/>
      <c r="G967" s="63" t="str">
        <f>IFERROR(IF(VLOOKUP(C$13&amp;$B965,Aux!$B:$M,8,0)="Да","✔","🕓"),"")</f>
        <v/>
      </c>
      <c r="K967" s="59"/>
      <c r="L967" s="15" t="str">
        <f>IF(L965="","","Исполнитель"&amp;": ")</f>
        <v/>
      </c>
      <c r="M967" s="62" t="str">
        <f>IFERROR(VLOOKUP(K$13&amp;$B967,Aux!$B:$M,4,0),"")</f>
        <v/>
      </c>
      <c r="N967" s="62"/>
      <c r="O967" s="63" t="str">
        <f>IFERROR(IF(VLOOKUP(K$13&amp;$B965,Aux!$B:$M,8,0)="Да","✔","🕓"),"")</f>
        <v/>
      </c>
      <c r="S967" s="59"/>
      <c r="T967" s="15" t="str">
        <f>IF(T965="","","Исполнитель"&amp;": ")</f>
        <v/>
      </c>
      <c r="U967" s="62" t="str">
        <f>IFERROR(VLOOKUP(S$13&amp;$B967,Aux!$B:$M,4,0),"")</f>
        <v/>
      </c>
      <c r="V967" s="62"/>
      <c r="W967" s="63" t="str">
        <f>IFERROR(IF(VLOOKUP(S$13&amp;$B965,Aux!$B:$M,8,0)="Да","✔","🕓"),"")</f>
        <v/>
      </c>
      <c r="AA967" s="59"/>
      <c r="AB967" s="15" t="str">
        <f>IF(AB965="","","Исполнитель"&amp;": ")</f>
        <v/>
      </c>
      <c r="AC967" s="62" t="str">
        <f>IFERROR(VLOOKUP(AA$13&amp;$B967,Aux!$B:$M,4,0),"")</f>
        <v/>
      </c>
      <c r="AD967" s="62"/>
      <c r="AE967" s="63" t="str">
        <f>IFERROR(IF(VLOOKUP(AA$13&amp;$B965,Aux!$B:$M,8,0)="Да","✔","🕓"),"")</f>
        <v/>
      </c>
    </row>
    <row r="968" spans="2:31" x14ac:dyDescent="0.25">
      <c r="B968" s="53">
        <f t="shared" si="14"/>
        <v>191</v>
      </c>
      <c r="C968" s="59"/>
      <c r="D968" s="16" t="str">
        <f>IF(D965="","","Срок сдачи"&amp;": ")</f>
        <v/>
      </c>
      <c r="E968" s="64" t="str">
        <f>IFERROR(VLOOKUP(C$13&amp;$B968,Aux!$B:$M,6,0),"")</f>
        <v/>
      </c>
      <c r="F968" s="64"/>
      <c r="G968" s="63"/>
      <c r="K968" s="59"/>
      <c r="L968" s="16" t="str">
        <f>IF(L965="","","Срок сдачи"&amp;": ")</f>
        <v/>
      </c>
      <c r="M968" s="64" t="str">
        <f>IFERROR(VLOOKUP(K$13&amp;$B968,Aux!$B:$M,6,0),"")</f>
        <v/>
      </c>
      <c r="N968" s="64"/>
      <c r="O968" s="63"/>
      <c r="S968" s="59"/>
      <c r="T968" s="16" t="str">
        <f>IF(T965="","","Срок сдачи"&amp;": ")</f>
        <v/>
      </c>
      <c r="U968" s="64" t="str">
        <f>IFERROR(VLOOKUP(S$13&amp;$B968,Aux!$B:$M,6,0),"")</f>
        <v/>
      </c>
      <c r="V968" s="64"/>
      <c r="W968" s="63"/>
      <c r="AA968" s="59"/>
      <c r="AB968" s="16" t="str">
        <f>IF(AB965="","","Срок сдачи"&amp;": ")</f>
        <v/>
      </c>
      <c r="AC968" s="64" t="str">
        <f>IFERROR(VLOOKUP(AA$13&amp;$B968,Aux!$B:$M,6,0),"")</f>
        <v/>
      </c>
      <c r="AD968" s="64"/>
      <c r="AE968" s="63"/>
    </row>
    <row r="969" spans="2:31" x14ac:dyDescent="0.25">
      <c r="B969" s="53">
        <f t="shared" si="14"/>
        <v>191</v>
      </c>
      <c r="C969" s="7"/>
      <c r="D969" s="17"/>
      <c r="E969" s="7"/>
      <c r="F969" s="18"/>
      <c r="G969" s="18"/>
      <c r="K969" s="13"/>
      <c r="L969" s="17"/>
      <c r="M969" s="13"/>
      <c r="N969" s="14"/>
      <c r="O969" s="14"/>
      <c r="S969" s="13"/>
      <c r="T969" s="17"/>
      <c r="U969" s="13"/>
      <c r="V969" s="14"/>
      <c r="W969" s="14"/>
      <c r="AA969" s="13"/>
      <c r="AB969" s="17"/>
      <c r="AC969" s="13"/>
      <c r="AD969" s="14"/>
      <c r="AE969" s="30"/>
    </row>
    <row r="970" spans="2:31" x14ac:dyDescent="0.25">
      <c r="B970" s="53">
        <f t="shared" si="14"/>
        <v>192</v>
      </c>
      <c r="C970" s="59" t="str">
        <f>IFERROR(VLOOKUP(C$13&amp;$B974,Aux!$B:$M,5,0),"")</f>
        <v/>
      </c>
      <c r="D970" s="60" t="str">
        <f>IFERROR(VLOOKUP(C$13&amp;$B970,Aux!$B:$M,3,0),"")</f>
        <v/>
      </c>
      <c r="E970" s="60"/>
      <c r="F970" s="60"/>
      <c r="G970" s="61" t="str">
        <f>IFERROR(VLOOKUP(C$13&amp;$B970,Aux!$B:$M,9,0),"")</f>
        <v/>
      </c>
      <c r="K970" s="59" t="str">
        <f>IFERROR(VLOOKUP(K$13&amp;$B974,Aux!$B:$M,5,0),"")</f>
        <v/>
      </c>
      <c r="L970" s="60" t="str">
        <f>IFERROR(VLOOKUP(K$13&amp;$B970,Aux!$B:$M,3,0),"")</f>
        <v/>
      </c>
      <c r="M970" s="60"/>
      <c r="N970" s="60"/>
      <c r="O970" s="61" t="str">
        <f>IFERROR(VLOOKUP(K$13&amp;$B970,Aux!$B:$M,9,0),"")</f>
        <v/>
      </c>
      <c r="S970" s="59" t="str">
        <f>IFERROR(VLOOKUP(S$13&amp;$B974,Aux!$B:$M,5,0),"")</f>
        <v/>
      </c>
      <c r="T970" s="60" t="str">
        <f>IFERROR(VLOOKUP(S$13&amp;$B970,Aux!$B:$M,3,0),"")</f>
        <v/>
      </c>
      <c r="U970" s="60"/>
      <c r="V970" s="60"/>
      <c r="W970" s="61" t="str">
        <f>IFERROR(VLOOKUP(S$13&amp;$B970,Aux!$B:$M,9,0),"")</f>
        <v/>
      </c>
      <c r="AA970" s="59" t="str">
        <f>IFERROR(VLOOKUP(AA$13&amp;$B974,Aux!$B:$M,5,0),"")</f>
        <v/>
      </c>
      <c r="AB970" s="60" t="str">
        <f>IFERROR(VLOOKUP(AA$13&amp;$B970,Aux!$B:$M,3,0),"")</f>
        <v/>
      </c>
      <c r="AC970" s="60"/>
      <c r="AD970" s="60"/>
      <c r="AE970" s="61" t="str">
        <f>IFERROR(VLOOKUP(AA$13&amp;$B970,Aux!$B:$M,9,0),"")</f>
        <v/>
      </c>
    </row>
    <row r="971" spans="2:31" x14ac:dyDescent="0.25">
      <c r="B971" s="53">
        <f t="shared" si="14"/>
        <v>192</v>
      </c>
      <c r="C971" s="59"/>
      <c r="D971" s="60"/>
      <c r="E971" s="60"/>
      <c r="F971" s="60"/>
      <c r="G971" s="61"/>
      <c r="K971" s="59"/>
      <c r="L971" s="60"/>
      <c r="M971" s="60"/>
      <c r="N971" s="60"/>
      <c r="O971" s="61"/>
      <c r="S971" s="59"/>
      <c r="T971" s="60"/>
      <c r="U971" s="60"/>
      <c r="V971" s="60"/>
      <c r="W971" s="61"/>
      <c r="AA971" s="59"/>
      <c r="AB971" s="60"/>
      <c r="AC971" s="60"/>
      <c r="AD971" s="60"/>
      <c r="AE971" s="61"/>
    </row>
    <row r="972" spans="2:31" x14ac:dyDescent="0.25">
      <c r="B972" s="53">
        <f t="shared" si="14"/>
        <v>192</v>
      </c>
      <c r="C972" s="59"/>
      <c r="D972" s="15" t="str">
        <f>IF(D970="","","Исполнитель"&amp;": ")</f>
        <v/>
      </c>
      <c r="E972" s="62" t="str">
        <f>IFERROR(VLOOKUP(C$13&amp;$B972,Aux!$B:$M,4,0),"")</f>
        <v/>
      </c>
      <c r="F972" s="62"/>
      <c r="G972" s="63" t="str">
        <f>IFERROR(IF(VLOOKUP(C$13&amp;$B970,Aux!$B:$M,8,0)="Да","✔","🕓"),"")</f>
        <v/>
      </c>
      <c r="K972" s="59"/>
      <c r="L972" s="15" t="str">
        <f>IF(L970="","","Исполнитель"&amp;": ")</f>
        <v/>
      </c>
      <c r="M972" s="62" t="str">
        <f>IFERROR(VLOOKUP(K$13&amp;$B972,Aux!$B:$M,4,0),"")</f>
        <v/>
      </c>
      <c r="N972" s="62"/>
      <c r="O972" s="63" t="str">
        <f>IFERROR(IF(VLOOKUP(K$13&amp;$B970,Aux!$B:$M,8,0)="Да","✔","🕓"),"")</f>
        <v/>
      </c>
      <c r="S972" s="59"/>
      <c r="T972" s="15" t="str">
        <f>IF(T970="","","Исполнитель"&amp;": ")</f>
        <v/>
      </c>
      <c r="U972" s="62" t="str">
        <f>IFERROR(VLOOKUP(S$13&amp;$B972,Aux!$B:$M,4,0),"")</f>
        <v/>
      </c>
      <c r="V972" s="62"/>
      <c r="W972" s="63" t="str">
        <f>IFERROR(IF(VLOOKUP(S$13&amp;$B970,Aux!$B:$M,8,0)="Да","✔","🕓"),"")</f>
        <v/>
      </c>
      <c r="AA972" s="59"/>
      <c r="AB972" s="15" t="str">
        <f>IF(AB970="","","Исполнитель"&amp;": ")</f>
        <v/>
      </c>
      <c r="AC972" s="62" t="str">
        <f>IFERROR(VLOOKUP(AA$13&amp;$B972,Aux!$B:$M,4,0),"")</f>
        <v/>
      </c>
      <c r="AD972" s="62"/>
      <c r="AE972" s="63" t="str">
        <f>IFERROR(IF(VLOOKUP(AA$13&amp;$B970,Aux!$B:$M,8,0)="Да","✔","🕓"),"")</f>
        <v/>
      </c>
    </row>
    <row r="973" spans="2:31" x14ac:dyDescent="0.25">
      <c r="B973" s="53">
        <f t="shared" si="14"/>
        <v>192</v>
      </c>
      <c r="C973" s="59"/>
      <c r="D973" s="16" t="str">
        <f>IF(D970="","","Срок сдачи"&amp;": ")</f>
        <v/>
      </c>
      <c r="E973" s="64" t="str">
        <f>IFERROR(VLOOKUP(C$13&amp;$B973,Aux!$B:$M,6,0),"")</f>
        <v/>
      </c>
      <c r="F973" s="64"/>
      <c r="G973" s="63"/>
      <c r="K973" s="59"/>
      <c r="L973" s="16" t="str">
        <f>IF(L970="","","Срок сдачи"&amp;": ")</f>
        <v/>
      </c>
      <c r="M973" s="64" t="str">
        <f>IFERROR(VLOOKUP(K$13&amp;$B973,Aux!$B:$M,6,0),"")</f>
        <v/>
      </c>
      <c r="N973" s="64"/>
      <c r="O973" s="63"/>
      <c r="S973" s="59"/>
      <c r="T973" s="16" t="str">
        <f>IF(T970="","","Срок сдачи"&amp;": ")</f>
        <v/>
      </c>
      <c r="U973" s="64" t="str">
        <f>IFERROR(VLOOKUP(S$13&amp;$B973,Aux!$B:$M,6,0),"")</f>
        <v/>
      </c>
      <c r="V973" s="64"/>
      <c r="W973" s="63"/>
      <c r="AA973" s="59"/>
      <c r="AB973" s="16" t="str">
        <f>IF(AB970="","","Срок сдачи"&amp;": ")</f>
        <v/>
      </c>
      <c r="AC973" s="64" t="str">
        <f>IFERROR(VLOOKUP(AA$13&amp;$B973,Aux!$B:$M,6,0),"")</f>
        <v/>
      </c>
      <c r="AD973" s="64"/>
      <c r="AE973" s="63"/>
    </row>
    <row r="974" spans="2:31" x14ac:dyDescent="0.25">
      <c r="B974" s="53">
        <f t="shared" si="14"/>
        <v>192</v>
      </c>
      <c r="C974" s="7"/>
      <c r="D974" s="17"/>
      <c r="E974" s="7"/>
      <c r="F974" s="18"/>
      <c r="G974" s="18"/>
      <c r="K974" s="13"/>
      <c r="L974" s="17"/>
      <c r="M974" s="13"/>
      <c r="N974" s="14"/>
      <c r="O974" s="14"/>
      <c r="S974" s="13"/>
      <c r="T974" s="17"/>
      <c r="U974" s="13"/>
      <c r="V974" s="14"/>
      <c r="W974" s="14"/>
      <c r="AA974" s="13"/>
      <c r="AB974" s="17"/>
      <c r="AC974" s="13"/>
      <c r="AD974" s="14"/>
      <c r="AE974" s="30"/>
    </row>
    <row r="975" spans="2:31" x14ac:dyDescent="0.25">
      <c r="B975" s="53">
        <f t="shared" si="14"/>
        <v>193</v>
      </c>
      <c r="C975" s="59" t="str">
        <f>IFERROR(VLOOKUP(C$13&amp;$B979,Aux!$B:$M,5,0),"")</f>
        <v/>
      </c>
      <c r="D975" s="60" t="str">
        <f>IFERROR(VLOOKUP(C$13&amp;$B975,Aux!$B:$M,3,0),"")</f>
        <v/>
      </c>
      <c r="E975" s="60"/>
      <c r="F975" s="60"/>
      <c r="G975" s="61" t="str">
        <f>IFERROR(VLOOKUP(C$13&amp;$B975,Aux!$B:$M,9,0),"")</f>
        <v/>
      </c>
      <c r="K975" s="59" t="str">
        <f>IFERROR(VLOOKUP(K$13&amp;$B979,Aux!$B:$M,5,0),"")</f>
        <v/>
      </c>
      <c r="L975" s="60" t="str">
        <f>IFERROR(VLOOKUP(K$13&amp;$B975,Aux!$B:$M,3,0),"")</f>
        <v/>
      </c>
      <c r="M975" s="60"/>
      <c r="N975" s="60"/>
      <c r="O975" s="61" t="str">
        <f>IFERROR(VLOOKUP(K$13&amp;$B975,Aux!$B:$M,9,0),"")</f>
        <v/>
      </c>
      <c r="S975" s="59" t="str">
        <f>IFERROR(VLOOKUP(S$13&amp;$B979,Aux!$B:$M,5,0),"")</f>
        <v/>
      </c>
      <c r="T975" s="60" t="str">
        <f>IFERROR(VLOOKUP(S$13&amp;$B975,Aux!$B:$M,3,0),"")</f>
        <v/>
      </c>
      <c r="U975" s="60"/>
      <c r="V975" s="60"/>
      <c r="W975" s="61" t="str">
        <f>IFERROR(VLOOKUP(S$13&amp;$B975,Aux!$B:$M,9,0),"")</f>
        <v/>
      </c>
      <c r="AA975" s="59" t="str">
        <f>IFERROR(VLOOKUP(AA$13&amp;$B979,Aux!$B:$M,5,0),"")</f>
        <v/>
      </c>
      <c r="AB975" s="60" t="str">
        <f>IFERROR(VLOOKUP(AA$13&amp;$B975,Aux!$B:$M,3,0),"")</f>
        <v/>
      </c>
      <c r="AC975" s="60"/>
      <c r="AD975" s="60"/>
      <c r="AE975" s="61" t="str">
        <f>IFERROR(VLOOKUP(AA$13&amp;$B975,Aux!$B:$M,9,0),"")</f>
        <v/>
      </c>
    </row>
    <row r="976" spans="2:31" x14ac:dyDescent="0.25">
      <c r="B976" s="53">
        <f t="shared" si="14"/>
        <v>193</v>
      </c>
      <c r="C976" s="59"/>
      <c r="D976" s="60"/>
      <c r="E976" s="60"/>
      <c r="F976" s="60"/>
      <c r="G976" s="61"/>
      <c r="K976" s="59"/>
      <c r="L976" s="60"/>
      <c r="M976" s="60"/>
      <c r="N976" s="60"/>
      <c r="O976" s="61"/>
      <c r="S976" s="59"/>
      <c r="T976" s="60"/>
      <c r="U976" s="60"/>
      <c r="V976" s="60"/>
      <c r="W976" s="61"/>
      <c r="AA976" s="59"/>
      <c r="AB976" s="60"/>
      <c r="AC976" s="60"/>
      <c r="AD976" s="60"/>
      <c r="AE976" s="61"/>
    </row>
    <row r="977" spans="2:31" x14ac:dyDescent="0.25">
      <c r="B977" s="53">
        <f t="shared" si="14"/>
        <v>193</v>
      </c>
      <c r="C977" s="59"/>
      <c r="D977" s="15" t="str">
        <f>IF(D975="","","Исполнитель"&amp;": ")</f>
        <v/>
      </c>
      <c r="E977" s="62" t="str">
        <f>IFERROR(VLOOKUP(C$13&amp;$B977,Aux!$B:$M,4,0),"")</f>
        <v/>
      </c>
      <c r="F977" s="62"/>
      <c r="G977" s="63" t="str">
        <f>IFERROR(IF(VLOOKUP(C$13&amp;$B975,Aux!$B:$M,8,0)="Да","✔","🕓"),"")</f>
        <v/>
      </c>
      <c r="K977" s="59"/>
      <c r="L977" s="15" t="str">
        <f>IF(L975="","","Исполнитель"&amp;": ")</f>
        <v/>
      </c>
      <c r="M977" s="62" t="str">
        <f>IFERROR(VLOOKUP(K$13&amp;$B977,Aux!$B:$M,4,0),"")</f>
        <v/>
      </c>
      <c r="N977" s="62"/>
      <c r="O977" s="63" t="str">
        <f>IFERROR(IF(VLOOKUP(K$13&amp;$B975,Aux!$B:$M,8,0)="Да","✔","🕓"),"")</f>
        <v/>
      </c>
      <c r="S977" s="59"/>
      <c r="T977" s="15" t="str">
        <f>IF(T975="","","Исполнитель"&amp;": ")</f>
        <v/>
      </c>
      <c r="U977" s="62" t="str">
        <f>IFERROR(VLOOKUP(S$13&amp;$B977,Aux!$B:$M,4,0),"")</f>
        <v/>
      </c>
      <c r="V977" s="62"/>
      <c r="W977" s="63" t="str">
        <f>IFERROR(IF(VLOOKUP(S$13&amp;$B975,Aux!$B:$M,8,0)="Да","✔","🕓"),"")</f>
        <v/>
      </c>
      <c r="AA977" s="59"/>
      <c r="AB977" s="15" t="str">
        <f>IF(AB975="","","Исполнитель"&amp;": ")</f>
        <v/>
      </c>
      <c r="AC977" s="62" t="str">
        <f>IFERROR(VLOOKUP(AA$13&amp;$B977,Aux!$B:$M,4,0),"")</f>
        <v/>
      </c>
      <c r="AD977" s="62"/>
      <c r="AE977" s="63" t="str">
        <f>IFERROR(IF(VLOOKUP(AA$13&amp;$B975,Aux!$B:$M,8,0)="Да","✔","🕓"),"")</f>
        <v/>
      </c>
    </row>
    <row r="978" spans="2:31" x14ac:dyDescent="0.25">
      <c r="B978" s="53">
        <f t="shared" si="14"/>
        <v>193</v>
      </c>
      <c r="C978" s="59"/>
      <c r="D978" s="16" t="str">
        <f>IF(D975="","","Срок сдачи"&amp;": ")</f>
        <v/>
      </c>
      <c r="E978" s="64" t="str">
        <f>IFERROR(VLOOKUP(C$13&amp;$B978,Aux!$B:$M,6,0),"")</f>
        <v/>
      </c>
      <c r="F978" s="64"/>
      <c r="G978" s="63"/>
      <c r="K978" s="59"/>
      <c r="L978" s="16" t="str">
        <f>IF(L975="","","Срок сдачи"&amp;": ")</f>
        <v/>
      </c>
      <c r="M978" s="64" t="str">
        <f>IFERROR(VLOOKUP(K$13&amp;$B978,Aux!$B:$M,6,0),"")</f>
        <v/>
      </c>
      <c r="N978" s="64"/>
      <c r="O978" s="63"/>
      <c r="S978" s="59"/>
      <c r="T978" s="16" t="str">
        <f>IF(T975="","","Срок сдачи"&amp;": ")</f>
        <v/>
      </c>
      <c r="U978" s="64" t="str">
        <f>IFERROR(VLOOKUP(S$13&amp;$B978,Aux!$B:$M,6,0),"")</f>
        <v/>
      </c>
      <c r="V978" s="64"/>
      <c r="W978" s="63"/>
      <c r="AA978" s="59"/>
      <c r="AB978" s="16" t="str">
        <f>IF(AB975="","","Срок сдачи"&amp;": ")</f>
        <v/>
      </c>
      <c r="AC978" s="64" t="str">
        <f>IFERROR(VLOOKUP(AA$13&amp;$B978,Aux!$B:$M,6,0),"")</f>
        <v/>
      </c>
      <c r="AD978" s="64"/>
      <c r="AE978" s="63"/>
    </row>
    <row r="979" spans="2:31" x14ac:dyDescent="0.25">
      <c r="B979" s="53">
        <f t="shared" si="14"/>
        <v>193</v>
      </c>
      <c r="C979" s="7"/>
      <c r="D979" s="17"/>
      <c r="E979" s="7"/>
      <c r="F979" s="18"/>
      <c r="G979" s="18"/>
      <c r="K979" s="13"/>
      <c r="L979" s="17"/>
      <c r="M979" s="13"/>
      <c r="N979" s="14"/>
      <c r="O979" s="14"/>
      <c r="S979" s="13"/>
      <c r="T979" s="17"/>
      <c r="U979" s="13"/>
      <c r="V979" s="14"/>
      <c r="W979" s="14"/>
      <c r="AA979" s="13"/>
      <c r="AB979" s="17"/>
      <c r="AC979" s="13"/>
      <c r="AD979" s="14"/>
      <c r="AE979" s="30"/>
    </row>
    <row r="980" spans="2:31" x14ac:dyDescent="0.25">
      <c r="B980" s="53">
        <f t="shared" si="14"/>
        <v>194</v>
      </c>
      <c r="C980" s="59" t="str">
        <f>IFERROR(VLOOKUP(C$13&amp;$B984,Aux!$B:$M,5,0),"")</f>
        <v/>
      </c>
      <c r="D980" s="60" t="str">
        <f>IFERROR(VLOOKUP(C$13&amp;$B980,Aux!$B:$M,3,0),"")</f>
        <v/>
      </c>
      <c r="E980" s="60"/>
      <c r="F980" s="60"/>
      <c r="G980" s="61" t="str">
        <f>IFERROR(VLOOKUP(C$13&amp;$B980,Aux!$B:$M,9,0),"")</f>
        <v/>
      </c>
      <c r="K980" s="59" t="str">
        <f>IFERROR(VLOOKUP(K$13&amp;$B984,Aux!$B:$M,5,0),"")</f>
        <v/>
      </c>
      <c r="L980" s="60" t="str">
        <f>IFERROR(VLOOKUP(K$13&amp;$B980,Aux!$B:$M,3,0),"")</f>
        <v/>
      </c>
      <c r="M980" s="60"/>
      <c r="N980" s="60"/>
      <c r="O980" s="61" t="str">
        <f>IFERROR(VLOOKUP(K$13&amp;$B980,Aux!$B:$M,9,0),"")</f>
        <v/>
      </c>
      <c r="S980" s="59" t="str">
        <f>IFERROR(VLOOKUP(S$13&amp;$B984,Aux!$B:$M,5,0),"")</f>
        <v/>
      </c>
      <c r="T980" s="60" t="str">
        <f>IFERROR(VLOOKUP(S$13&amp;$B980,Aux!$B:$M,3,0),"")</f>
        <v/>
      </c>
      <c r="U980" s="60"/>
      <c r="V980" s="60"/>
      <c r="W980" s="61" t="str">
        <f>IFERROR(VLOOKUP(S$13&amp;$B980,Aux!$B:$M,9,0),"")</f>
        <v/>
      </c>
      <c r="AA980" s="59" t="str">
        <f>IFERROR(VLOOKUP(AA$13&amp;$B984,Aux!$B:$M,5,0),"")</f>
        <v/>
      </c>
      <c r="AB980" s="60" t="str">
        <f>IFERROR(VLOOKUP(AA$13&amp;$B980,Aux!$B:$M,3,0),"")</f>
        <v/>
      </c>
      <c r="AC980" s="60"/>
      <c r="AD980" s="60"/>
      <c r="AE980" s="61" t="str">
        <f>IFERROR(VLOOKUP(AA$13&amp;$B980,Aux!$B:$M,9,0),"")</f>
        <v/>
      </c>
    </row>
    <row r="981" spans="2:31" x14ac:dyDescent="0.25">
      <c r="B981" s="53">
        <f t="shared" ref="B981:B1044" si="15">B976+1</f>
        <v>194</v>
      </c>
      <c r="C981" s="59"/>
      <c r="D981" s="60"/>
      <c r="E981" s="60"/>
      <c r="F981" s="60"/>
      <c r="G981" s="61"/>
      <c r="K981" s="59"/>
      <c r="L981" s="60"/>
      <c r="M981" s="60"/>
      <c r="N981" s="60"/>
      <c r="O981" s="61"/>
      <c r="S981" s="59"/>
      <c r="T981" s="60"/>
      <c r="U981" s="60"/>
      <c r="V981" s="60"/>
      <c r="W981" s="61"/>
      <c r="AA981" s="59"/>
      <c r="AB981" s="60"/>
      <c r="AC981" s="60"/>
      <c r="AD981" s="60"/>
      <c r="AE981" s="61"/>
    </row>
    <row r="982" spans="2:31" x14ac:dyDescent="0.25">
      <c r="B982" s="53">
        <f t="shared" si="15"/>
        <v>194</v>
      </c>
      <c r="C982" s="59"/>
      <c r="D982" s="15" t="str">
        <f>IF(D980="","","Исполнитель"&amp;": ")</f>
        <v/>
      </c>
      <c r="E982" s="62" t="str">
        <f>IFERROR(VLOOKUP(C$13&amp;$B982,Aux!$B:$M,4,0),"")</f>
        <v/>
      </c>
      <c r="F982" s="62"/>
      <c r="G982" s="63" t="str">
        <f>IFERROR(IF(VLOOKUP(C$13&amp;$B980,Aux!$B:$M,8,0)="Да","✔","🕓"),"")</f>
        <v/>
      </c>
      <c r="K982" s="59"/>
      <c r="L982" s="15" t="str">
        <f>IF(L980="","","Исполнитель"&amp;": ")</f>
        <v/>
      </c>
      <c r="M982" s="62" t="str">
        <f>IFERROR(VLOOKUP(K$13&amp;$B982,Aux!$B:$M,4,0),"")</f>
        <v/>
      </c>
      <c r="N982" s="62"/>
      <c r="O982" s="63" t="str">
        <f>IFERROR(IF(VLOOKUP(K$13&amp;$B980,Aux!$B:$M,8,0)="Да","✔","🕓"),"")</f>
        <v/>
      </c>
      <c r="S982" s="59"/>
      <c r="T982" s="15" t="str">
        <f>IF(T980="","","Исполнитель"&amp;": ")</f>
        <v/>
      </c>
      <c r="U982" s="62" t="str">
        <f>IFERROR(VLOOKUP(S$13&amp;$B982,Aux!$B:$M,4,0),"")</f>
        <v/>
      </c>
      <c r="V982" s="62"/>
      <c r="W982" s="63" t="str">
        <f>IFERROR(IF(VLOOKUP(S$13&amp;$B980,Aux!$B:$M,8,0)="Да","✔","🕓"),"")</f>
        <v/>
      </c>
      <c r="AA982" s="59"/>
      <c r="AB982" s="15" t="str">
        <f>IF(AB980="","","Исполнитель"&amp;": ")</f>
        <v/>
      </c>
      <c r="AC982" s="62" t="str">
        <f>IFERROR(VLOOKUP(AA$13&amp;$B982,Aux!$B:$M,4,0),"")</f>
        <v/>
      </c>
      <c r="AD982" s="62"/>
      <c r="AE982" s="63" t="str">
        <f>IFERROR(IF(VLOOKUP(AA$13&amp;$B980,Aux!$B:$M,8,0)="Да","✔","🕓"),"")</f>
        <v/>
      </c>
    </row>
    <row r="983" spans="2:31" x14ac:dyDescent="0.25">
      <c r="B983" s="53">
        <f t="shared" si="15"/>
        <v>194</v>
      </c>
      <c r="C983" s="59"/>
      <c r="D983" s="16" t="str">
        <f>IF(D980="","","Срок сдачи"&amp;": ")</f>
        <v/>
      </c>
      <c r="E983" s="64" t="str">
        <f>IFERROR(VLOOKUP(C$13&amp;$B983,Aux!$B:$M,6,0),"")</f>
        <v/>
      </c>
      <c r="F983" s="64"/>
      <c r="G983" s="63"/>
      <c r="K983" s="59"/>
      <c r="L983" s="16" t="str">
        <f>IF(L980="","","Срок сдачи"&amp;": ")</f>
        <v/>
      </c>
      <c r="M983" s="64" t="str">
        <f>IFERROR(VLOOKUP(K$13&amp;$B983,Aux!$B:$M,6,0),"")</f>
        <v/>
      </c>
      <c r="N983" s="64"/>
      <c r="O983" s="63"/>
      <c r="S983" s="59"/>
      <c r="T983" s="16" t="str">
        <f>IF(T980="","","Срок сдачи"&amp;": ")</f>
        <v/>
      </c>
      <c r="U983" s="64" t="str">
        <f>IFERROR(VLOOKUP(S$13&amp;$B983,Aux!$B:$M,6,0),"")</f>
        <v/>
      </c>
      <c r="V983" s="64"/>
      <c r="W983" s="63"/>
      <c r="AA983" s="59"/>
      <c r="AB983" s="16" t="str">
        <f>IF(AB980="","","Срок сдачи"&amp;": ")</f>
        <v/>
      </c>
      <c r="AC983" s="64" t="str">
        <f>IFERROR(VLOOKUP(AA$13&amp;$B983,Aux!$B:$M,6,0),"")</f>
        <v/>
      </c>
      <c r="AD983" s="64"/>
      <c r="AE983" s="63"/>
    </row>
    <row r="984" spans="2:31" x14ac:dyDescent="0.25">
      <c r="B984" s="53">
        <f t="shared" si="15"/>
        <v>194</v>
      </c>
      <c r="C984" s="7"/>
      <c r="D984" s="17"/>
      <c r="E984" s="7"/>
      <c r="F984" s="18"/>
      <c r="G984" s="18"/>
      <c r="K984" s="13"/>
      <c r="L984" s="17"/>
      <c r="M984" s="13"/>
      <c r="N984" s="14"/>
      <c r="O984" s="14"/>
      <c r="S984" s="13"/>
      <c r="T984" s="17"/>
      <c r="U984" s="13"/>
      <c r="V984" s="14"/>
      <c r="W984" s="14"/>
      <c r="AA984" s="13"/>
      <c r="AB984" s="17"/>
      <c r="AC984" s="13"/>
      <c r="AD984" s="14"/>
      <c r="AE984" s="30"/>
    </row>
    <row r="985" spans="2:31" x14ac:dyDescent="0.25">
      <c r="B985" s="53">
        <f t="shared" si="15"/>
        <v>195</v>
      </c>
      <c r="C985" s="59" t="str">
        <f>IFERROR(VLOOKUP(C$13&amp;$B989,Aux!$B:$M,5,0),"")</f>
        <v/>
      </c>
      <c r="D985" s="60" t="str">
        <f>IFERROR(VLOOKUP(C$13&amp;$B985,Aux!$B:$M,3,0),"")</f>
        <v/>
      </c>
      <c r="E985" s="60"/>
      <c r="F985" s="60"/>
      <c r="G985" s="61" t="str">
        <f>IFERROR(VLOOKUP(C$13&amp;$B985,Aux!$B:$M,9,0),"")</f>
        <v/>
      </c>
      <c r="K985" s="59" t="str">
        <f>IFERROR(VLOOKUP(K$13&amp;$B989,Aux!$B:$M,5,0),"")</f>
        <v/>
      </c>
      <c r="L985" s="60" t="str">
        <f>IFERROR(VLOOKUP(K$13&amp;$B985,Aux!$B:$M,3,0),"")</f>
        <v/>
      </c>
      <c r="M985" s="60"/>
      <c r="N985" s="60"/>
      <c r="O985" s="61" t="str">
        <f>IFERROR(VLOOKUP(K$13&amp;$B985,Aux!$B:$M,9,0),"")</f>
        <v/>
      </c>
      <c r="S985" s="59" t="str">
        <f>IFERROR(VLOOKUP(S$13&amp;$B989,Aux!$B:$M,5,0),"")</f>
        <v/>
      </c>
      <c r="T985" s="60" t="str">
        <f>IFERROR(VLOOKUP(S$13&amp;$B985,Aux!$B:$M,3,0),"")</f>
        <v/>
      </c>
      <c r="U985" s="60"/>
      <c r="V985" s="60"/>
      <c r="W985" s="61" t="str">
        <f>IFERROR(VLOOKUP(S$13&amp;$B985,Aux!$B:$M,9,0),"")</f>
        <v/>
      </c>
      <c r="AA985" s="59" t="str">
        <f>IFERROR(VLOOKUP(AA$13&amp;$B989,Aux!$B:$M,5,0),"")</f>
        <v/>
      </c>
      <c r="AB985" s="60" t="str">
        <f>IFERROR(VLOOKUP(AA$13&amp;$B985,Aux!$B:$M,3,0),"")</f>
        <v/>
      </c>
      <c r="AC985" s="60"/>
      <c r="AD985" s="60"/>
      <c r="AE985" s="61" t="str">
        <f>IFERROR(VLOOKUP(AA$13&amp;$B985,Aux!$B:$M,9,0),"")</f>
        <v/>
      </c>
    </row>
    <row r="986" spans="2:31" x14ac:dyDescent="0.25">
      <c r="B986" s="53">
        <f t="shared" si="15"/>
        <v>195</v>
      </c>
      <c r="C986" s="59"/>
      <c r="D986" s="60"/>
      <c r="E986" s="60"/>
      <c r="F986" s="60"/>
      <c r="G986" s="61"/>
      <c r="K986" s="59"/>
      <c r="L986" s="60"/>
      <c r="M986" s="60"/>
      <c r="N986" s="60"/>
      <c r="O986" s="61"/>
      <c r="S986" s="59"/>
      <c r="T986" s="60"/>
      <c r="U986" s="60"/>
      <c r="V986" s="60"/>
      <c r="W986" s="61"/>
      <c r="AA986" s="59"/>
      <c r="AB986" s="60"/>
      <c r="AC986" s="60"/>
      <c r="AD986" s="60"/>
      <c r="AE986" s="61"/>
    </row>
    <row r="987" spans="2:31" x14ac:dyDescent="0.25">
      <c r="B987" s="53">
        <f t="shared" si="15"/>
        <v>195</v>
      </c>
      <c r="C987" s="59"/>
      <c r="D987" s="15" t="str">
        <f>IF(D985="","","Исполнитель"&amp;": ")</f>
        <v/>
      </c>
      <c r="E987" s="62" t="str">
        <f>IFERROR(VLOOKUP(C$13&amp;$B987,Aux!$B:$M,4,0),"")</f>
        <v/>
      </c>
      <c r="F987" s="62"/>
      <c r="G987" s="63" t="str">
        <f>IFERROR(IF(VLOOKUP(C$13&amp;$B985,Aux!$B:$M,8,0)="Да","✔","🕓"),"")</f>
        <v/>
      </c>
      <c r="K987" s="59"/>
      <c r="L987" s="15" t="str">
        <f>IF(L985="","","Исполнитель"&amp;": ")</f>
        <v/>
      </c>
      <c r="M987" s="62" t="str">
        <f>IFERROR(VLOOKUP(K$13&amp;$B987,Aux!$B:$M,4,0),"")</f>
        <v/>
      </c>
      <c r="N987" s="62"/>
      <c r="O987" s="63" t="str">
        <f>IFERROR(IF(VLOOKUP(K$13&amp;$B985,Aux!$B:$M,8,0)="Да","✔","🕓"),"")</f>
        <v/>
      </c>
      <c r="S987" s="59"/>
      <c r="T987" s="15" t="str">
        <f>IF(T985="","","Исполнитель"&amp;": ")</f>
        <v/>
      </c>
      <c r="U987" s="62" t="str">
        <f>IFERROR(VLOOKUP(S$13&amp;$B987,Aux!$B:$M,4,0),"")</f>
        <v/>
      </c>
      <c r="V987" s="62"/>
      <c r="W987" s="63" t="str">
        <f>IFERROR(IF(VLOOKUP(S$13&amp;$B985,Aux!$B:$M,8,0)="Да","✔","🕓"),"")</f>
        <v/>
      </c>
      <c r="AA987" s="59"/>
      <c r="AB987" s="15" t="str">
        <f>IF(AB985="","","Исполнитель"&amp;": ")</f>
        <v/>
      </c>
      <c r="AC987" s="62" t="str">
        <f>IFERROR(VLOOKUP(AA$13&amp;$B987,Aux!$B:$M,4,0),"")</f>
        <v/>
      </c>
      <c r="AD987" s="62"/>
      <c r="AE987" s="63" t="str">
        <f>IFERROR(IF(VLOOKUP(AA$13&amp;$B985,Aux!$B:$M,8,0)="Да","✔","🕓"),"")</f>
        <v/>
      </c>
    </row>
    <row r="988" spans="2:31" x14ac:dyDescent="0.25">
      <c r="B988" s="53">
        <f t="shared" si="15"/>
        <v>195</v>
      </c>
      <c r="C988" s="59"/>
      <c r="D988" s="16" t="str">
        <f>IF(D985="","","Срок сдачи"&amp;": ")</f>
        <v/>
      </c>
      <c r="E988" s="64" t="str">
        <f>IFERROR(VLOOKUP(C$13&amp;$B988,Aux!$B:$M,6,0),"")</f>
        <v/>
      </c>
      <c r="F988" s="64"/>
      <c r="G988" s="63"/>
      <c r="K988" s="59"/>
      <c r="L988" s="16" t="str">
        <f>IF(L985="","","Срок сдачи"&amp;": ")</f>
        <v/>
      </c>
      <c r="M988" s="64" t="str">
        <f>IFERROR(VLOOKUP(K$13&amp;$B988,Aux!$B:$M,6,0),"")</f>
        <v/>
      </c>
      <c r="N988" s="64"/>
      <c r="O988" s="63"/>
      <c r="S988" s="59"/>
      <c r="T988" s="16" t="str">
        <f>IF(T985="","","Срок сдачи"&amp;": ")</f>
        <v/>
      </c>
      <c r="U988" s="64" t="str">
        <f>IFERROR(VLOOKUP(S$13&amp;$B988,Aux!$B:$M,6,0),"")</f>
        <v/>
      </c>
      <c r="V988" s="64"/>
      <c r="W988" s="63"/>
      <c r="AA988" s="59"/>
      <c r="AB988" s="16" t="str">
        <f>IF(AB985="","","Срок сдачи"&amp;": ")</f>
        <v/>
      </c>
      <c r="AC988" s="64" t="str">
        <f>IFERROR(VLOOKUP(AA$13&amp;$B988,Aux!$B:$M,6,0),"")</f>
        <v/>
      </c>
      <c r="AD988" s="64"/>
      <c r="AE988" s="63"/>
    </row>
    <row r="989" spans="2:31" x14ac:dyDescent="0.25">
      <c r="B989" s="53">
        <f t="shared" si="15"/>
        <v>195</v>
      </c>
      <c r="C989" s="7"/>
      <c r="D989" s="17"/>
      <c r="E989" s="7"/>
      <c r="F989" s="18"/>
      <c r="G989" s="18"/>
      <c r="K989" s="13"/>
      <c r="L989" s="17"/>
      <c r="M989" s="13"/>
      <c r="N989" s="14"/>
      <c r="O989" s="14"/>
      <c r="S989" s="13"/>
      <c r="T989" s="17"/>
      <c r="U989" s="13"/>
      <c r="V989" s="14"/>
      <c r="W989" s="14"/>
      <c r="AA989" s="13"/>
      <c r="AB989" s="17"/>
      <c r="AC989" s="13"/>
      <c r="AD989" s="14"/>
      <c r="AE989" s="30"/>
    </row>
    <row r="990" spans="2:31" x14ac:dyDescent="0.25">
      <c r="B990" s="53">
        <f t="shared" si="15"/>
        <v>196</v>
      </c>
      <c r="C990" s="59" t="str">
        <f>IFERROR(VLOOKUP(C$13&amp;$B994,Aux!$B:$M,5,0),"")</f>
        <v/>
      </c>
      <c r="D990" s="60" t="str">
        <f>IFERROR(VLOOKUP(C$13&amp;$B990,Aux!$B:$M,3,0),"")</f>
        <v/>
      </c>
      <c r="E990" s="60"/>
      <c r="F990" s="60"/>
      <c r="G990" s="61" t="str">
        <f>IFERROR(VLOOKUP(C$13&amp;$B990,Aux!$B:$M,9,0),"")</f>
        <v/>
      </c>
      <c r="K990" s="59" t="str">
        <f>IFERROR(VLOOKUP(K$13&amp;$B994,Aux!$B:$M,5,0),"")</f>
        <v/>
      </c>
      <c r="L990" s="60" t="str">
        <f>IFERROR(VLOOKUP(K$13&amp;$B990,Aux!$B:$M,3,0),"")</f>
        <v/>
      </c>
      <c r="M990" s="60"/>
      <c r="N990" s="60"/>
      <c r="O990" s="61" t="str">
        <f>IFERROR(VLOOKUP(K$13&amp;$B990,Aux!$B:$M,9,0),"")</f>
        <v/>
      </c>
      <c r="S990" s="59" t="str">
        <f>IFERROR(VLOOKUP(S$13&amp;$B994,Aux!$B:$M,5,0),"")</f>
        <v/>
      </c>
      <c r="T990" s="60" t="str">
        <f>IFERROR(VLOOKUP(S$13&amp;$B990,Aux!$B:$M,3,0),"")</f>
        <v/>
      </c>
      <c r="U990" s="60"/>
      <c r="V990" s="60"/>
      <c r="W990" s="61" t="str">
        <f>IFERROR(VLOOKUP(S$13&amp;$B990,Aux!$B:$M,9,0),"")</f>
        <v/>
      </c>
      <c r="AA990" s="59" t="str">
        <f>IFERROR(VLOOKUP(AA$13&amp;$B994,Aux!$B:$M,5,0),"")</f>
        <v/>
      </c>
      <c r="AB990" s="60" t="str">
        <f>IFERROR(VLOOKUP(AA$13&amp;$B990,Aux!$B:$M,3,0),"")</f>
        <v/>
      </c>
      <c r="AC990" s="60"/>
      <c r="AD990" s="60"/>
      <c r="AE990" s="61" t="str">
        <f>IFERROR(VLOOKUP(AA$13&amp;$B990,Aux!$B:$M,9,0),"")</f>
        <v/>
      </c>
    </row>
    <row r="991" spans="2:31" x14ac:dyDescent="0.25">
      <c r="B991" s="53">
        <f t="shared" si="15"/>
        <v>196</v>
      </c>
      <c r="C991" s="59"/>
      <c r="D991" s="60"/>
      <c r="E991" s="60"/>
      <c r="F991" s="60"/>
      <c r="G991" s="61"/>
      <c r="K991" s="59"/>
      <c r="L991" s="60"/>
      <c r="M991" s="60"/>
      <c r="N991" s="60"/>
      <c r="O991" s="61"/>
      <c r="S991" s="59"/>
      <c r="T991" s="60"/>
      <c r="U991" s="60"/>
      <c r="V991" s="60"/>
      <c r="W991" s="61"/>
      <c r="AA991" s="59"/>
      <c r="AB991" s="60"/>
      <c r="AC991" s="60"/>
      <c r="AD991" s="60"/>
      <c r="AE991" s="61"/>
    </row>
    <row r="992" spans="2:31" x14ac:dyDescent="0.25">
      <c r="B992" s="53">
        <f t="shared" si="15"/>
        <v>196</v>
      </c>
      <c r="C992" s="59"/>
      <c r="D992" s="15" t="str">
        <f>IF(D990="","","Исполнитель"&amp;": ")</f>
        <v/>
      </c>
      <c r="E992" s="62" t="str">
        <f>IFERROR(VLOOKUP(C$13&amp;$B992,Aux!$B:$M,4,0),"")</f>
        <v/>
      </c>
      <c r="F992" s="62"/>
      <c r="G992" s="63" t="str">
        <f>IFERROR(IF(VLOOKUP(C$13&amp;$B990,Aux!$B:$M,8,0)="Да","✔","🕓"),"")</f>
        <v/>
      </c>
      <c r="K992" s="59"/>
      <c r="L992" s="15" t="str">
        <f>IF(L990="","","Исполнитель"&amp;": ")</f>
        <v/>
      </c>
      <c r="M992" s="62" t="str">
        <f>IFERROR(VLOOKUP(K$13&amp;$B992,Aux!$B:$M,4,0),"")</f>
        <v/>
      </c>
      <c r="N992" s="62"/>
      <c r="O992" s="63" t="str">
        <f>IFERROR(IF(VLOOKUP(K$13&amp;$B990,Aux!$B:$M,8,0)="Да","✔","🕓"),"")</f>
        <v/>
      </c>
      <c r="S992" s="59"/>
      <c r="T992" s="15" t="str">
        <f>IF(T990="","","Исполнитель"&amp;": ")</f>
        <v/>
      </c>
      <c r="U992" s="62" t="str">
        <f>IFERROR(VLOOKUP(S$13&amp;$B992,Aux!$B:$M,4,0),"")</f>
        <v/>
      </c>
      <c r="V992" s="62"/>
      <c r="W992" s="63" t="str">
        <f>IFERROR(IF(VLOOKUP(S$13&amp;$B990,Aux!$B:$M,8,0)="Да","✔","🕓"),"")</f>
        <v/>
      </c>
      <c r="AA992" s="59"/>
      <c r="AB992" s="15" t="str">
        <f>IF(AB990="","","Исполнитель"&amp;": ")</f>
        <v/>
      </c>
      <c r="AC992" s="62" t="str">
        <f>IFERROR(VLOOKUP(AA$13&amp;$B992,Aux!$B:$M,4,0),"")</f>
        <v/>
      </c>
      <c r="AD992" s="62"/>
      <c r="AE992" s="63" t="str">
        <f>IFERROR(IF(VLOOKUP(AA$13&amp;$B990,Aux!$B:$M,8,0)="Да","✔","🕓"),"")</f>
        <v/>
      </c>
    </row>
    <row r="993" spans="2:31" x14ac:dyDescent="0.25">
      <c r="B993" s="53">
        <f t="shared" si="15"/>
        <v>196</v>
      </c>
      <c r="C993" s="59"/>
      <c r="D993" s="16" t="str">
        <f>IF(D990="","","Срок сдачи"&amp;": ")</f>
        <v/>
      </c>
      <c r="E993" s="64" t="str">
        <f>IFERROR(VLOOKUP(C$13&amp;$B993,Aux!$B:$M,6,0),"")</f>
        <v/>
      </c>
      <c r="F993" s="64"/>
      <c r="G993" s="63"/>
      <c r="K993" s="59"/>
      <c r="L993" s="16" t="str">
        <f>IF(L990="","","Срок сдачи"&amp;": ")</f>
        <v/>
      </c>
      <c r="M993" s="64" t="str">
        <f>IFERROR(VLOOKUP(K$13&amp;$B993,Aux!$B:$M,6,0),"")</f>
        <v/>
      </c>
      <c r="N993" s="64"/>
      <c r="O993" s="63"/>
      <c r="S993" s="59"/>
      <c r="T993" s="16" t="str">
        <f>IF(T990="","","Срок сдачи"&amp;": ")</f>
        <v/>
      </c>
      <c r="U993" s="64" t="str">
        <f>IFERROR(VLOOKUP(S$13&amp;$B993,Aux!$B:$M,6,0),"")</f>
        <v/>
      </c>
      <c r="V993" s="64"/>
      <c r="W993" s="63"/>
      <c r="AA993" s="59"/>
      <c r="AB993" s="16" t="str">
        <f>IF(AB990="","","Срок сдачи"&amp;": ")</f>
        <v/>
      </c>
      <c r="AC993" s="64" t="str">
        <f>IFERROR(VLOOKUP(AA$13&amp;$B993,Aux!$B:$M,6,0),"")</f>
        <v/>
      </c>
      <c r="AD993" s="64"/>
      <c r="AE993" s="63"/>
    </row>
    <row r="994" spans="2:31" x14ac:dyDescent="0.25">
      <c r="B994" s="53">
        <f t="shared" si="15"/>
        <v>196</v>
      </c>
      <c r="C994" s="7"/>
      <c r="D994" s="17"/>
      <c r="E994" s="7"/>
      <c r="F994" s="18"/>
      <c r="G994" s="18"/>
      <c r="K994" s="13"/>
      <c r="L994" s="17"/>
      <c r="M994" s="13"/>
      <c r="N994" s="14"/>
      <c r="O994" s="14"/>
      <c r="S994" s="13"/>
      <c r="T994" s="17"/>
      <c r="U994" s="13"/>
      <c r="V994" s="14"/>
      <c r="W994" s="14"/>
      <c r="AA994" s="13"/>
      <c r="AB994" s="17"/>
      <c r="AC994" s="13"/>
      <c r="AD994" s="14"/>
      <c r="AE994" s="30"/>
    </row>
    <row r="995" spans="2:31" x14ac:dyDescent="0.25">
      <c r="B995" s="53">
        <f t="shared" si="15"/>
        <v>197</v>
      </c>
      <c r="C995" s="59" t="str">
        <f>IFERROR(VLOOKUP(C$13&amp;$B999,Aux!$B:$M,5,0),"")</f>
        <v/>
      </c>
      <c r="D995" s="60" t="str">
        <f>IFERROR(VLOOKUP(C$13&amp;$B995,Aux!$B:$M,3,0),"")</f>
        <v/>
      </c>
      <c r="E995" s="60"/>
      <c r="F995" s="60"/>
      <c r="G995" s="61" t="str">
        <f>IFERROR(VLOOKUP(C$13&amp;$B995,Aux!$B:$M,9,0),"")</f>
        <v/>
      </c>
      <c r="K995" s="59" t="str">
        <f>IFERROR(VLOOKUP(K$13&amp;$B999,Aux!$B:$M,5,0),"")</f>
        <v/>
      </c>
      <c r="L995" s="60" t="str">
        <f>IFERROR(VLOOKUP(K$13&amp;$B995,Aux!$B:$M,3,0),"")</f>
        <v/>
      </c>
      <c r="M995" s="60"/>
      <c r="N995" s="60"/>
      <c r="O995" s="61" t="str">
        <f>IFERROR(VLOOKUP(K$13&amp;$B995,Aux!$B:$M,9,0),"")</f>
        <v/>
      </c>
      <c r="S995" s="59" t="str">
        <f>IFERROR(VLOOKUP(S$13&amp;$B999,Aux!$B:$M,5,0),"")</f>
        <v/>
      </c>
      <c r="T995" s="60" t="str">
        <f>IFERROR(VLOOKUP(S$13&amp;$B995,Aux!$B:$M,3,0),"")</f>
        <v/>
      </c>
      <c r="U995" s="60"/>
      <c r="V995" s="60"/>
      <c r="W995" s="61" t="str">
        <f>IFERROR(VLOOKUP(S$13&amp;$B995,Aux!$B:$M,9,0),"")</f>
        <v/>
      </c>
      <c r="AA995" s="59" t="str">
        <f>IFERROR(VLOOKUP(AA$13&amp;$B999,Aux!$B:$M,5,0),"")</f>
        <v/>
      </c>
      <c r="AB995" s="60" t="str">
        <f>IFERROR(VLOOKUP(AA$13&amp;$B995,Aux!$B:$M,3,0),"")</f>
        <v/>
      </c>
      <c r="AC995" s="60"/>
      <c r="AD995" s="60"/>
      <c r="AE995" s="61" t="str">
        <f>IFERROR(VLOOKUP(AA$13&amp;$B995,Aux!$B:$M,9,0),"")</f>
        <v/>
      </c>
    </row>
    <row r="996" spans="2:31" x14ac:dyDescent="0.25">
      <c r="B996" s="53">
        <f t="shared" si="15"/>
        <v>197</v>
      </c>
      <c r="C996" s="59"/>
      <c r="D996" s="60"/>
      <c r="E996" s="60"/>
      <c r="F996" s="60"/>
      <c r="G996" s="61"/>
      <c r="K996" s="59"/>
      <c r="L996" s="60"/>
      <c r="M996" s="60"/>
      <c r="N996" s="60"/>
      <c r="O996" s="61"/>
      <c r="S996" s="59"/>
      <c r="T996" s="60"/>
      <c r="U996" s="60"/>
      <c r="V996" s="60"/>
      <c r="W996" s="61"/>
      <c r="AA996" s="59"/>
      <c r="AB996" s="60"/>
      <c r="AC996" s="60"/>
      <c r="AD996" s="60"/>
      <c r="AE996" s="61"/>
    </row>
    <row r="997" spans="2:31" x14ac:dyDescent="0.25">
      <c r="B997" s="53">
        <f t="shared" si="15"/>
        <v>197</v>
      </c>
      <c r="C997" s="59"/>
      <c r="D997" s="15" t="str">
        <f>IF(D995="","","Исполнитель"&amp;": ")</f>
        <v/>
      </c>
      <c r="E997" s="62" t="str">
        <f>IFERROR(VLOOKUP(C$13&amp;$B997,Aux!$B:$M,4,0),"")</f>
        <v/>
      </c>
      <c r="F997" s="62"/>
      <c r="G997" s="63" t="str">
        <f>IFERROR(IF(VLOOKUP(C$13&amp;$B995,Aux!$B:$M,8,0)="Да","✔","🕓"),"")</f>
        <v/>
      </c>
      <c r="K997" s="59"/>
      <c r="L997" s="15" t="str">
        <f>IF(L995="","","Исполнитель"&amp;": ")</f>
        <v/>
      </c>
      <c r="M997" s="62" t="str">
        <f>IFERROR(VLOOKUP(K$13&amp;$B997,Aux!$B:$M,4,0),"")</f>
        <v/>
      </c>
      <c r="N997" s="62"/>
      <c r="O997" s="63" t="str">
        <f>IFERROR(IF(VLOOKUP(K$13&amp;$B995,Aux!$B:$M,8,0)="Да","✔","🕓"),"")</f>
        <v/>
      </c>
      <c r="S997" s="59"/>
      <c r="T997" s="15" t="str">
        <f>IF(T995="","","Исполнитель"&amp;": ")</f>
        <v/>
      </c>
      <c r="U997" s="62" t="str">
        <f>IFERROR(VLOOKUP(S$13&amp;$B997,Aux!$B:$M,4,0),"")</f>
        <v/>
      </c>
      <c r="V997" s="62"/>
      <c r="W997" s="63" t="str">
        <f>IFERROR(IF(VLOOKUP(S$13&amp;$B995,Aux!$B:$M,8,0)="Да","✔","🕓"),"")</f>
        <v/>
      </c>
      <c r="AA997" s="59"/>
      <c r="AB997" s="15" t="str">
        <f>IF(AB995="","","Исполнитель"&amp;": ")</f>
        <v/>
      </c>
      <c r="AC997" s="62" t="str">
        <f>IFERROR(VLOOKUP(AA$13&amp;$B997,Aux!$B:$M,4,0),"")</f>
        <v/>
      </c>
      <c r="AD997" s="62"/>
      <c r="AE997" s="63" t="str">
        <f>IFERROR(IF(VLOOKUP(AA$13&amp;$B995,Aux!$B:$M,8,0)="Да","✔","🕓"),"")</f>
        <v/>
      </c>
    </row>
    <row r="998" spans="2:31" x14ac:dyDescent="0.25">
      <c r="B998" s="53">
        <f t="shared" si="15"/>
        <v>197</v>
      </c>
      <c r="C998" s="59"/>
      <c r="D998" s="16" t="str">
        <f>IF(D995="","","Срок сдачи"&amp;": ")</f>
        <v/>
      </c>
      <c r="E998" s="64" t="str">
        <f>IFERROR(VLOOKUP(C$13&amp;$B998,Aux!$B:$M,6,0),"")</f>
        <v/>
      </c>
      <c r="F998" s="64"/>
      <c r="G998" s="63"/>
      <c r="K998" s="59"/>
      <c r="L998" s="16" t="str">
        <f>IF(L995="","","Срок сдачи"&amp;": ")</f>
        <v/>
      </c>
      <c r="M998" s="64" t="str">
        <f>IFERROR(VLOOKUP(K$13&amp;$B998,Aux!$B:$M,6,0),"")</f>
        <v/>
      </c>
      <c r="N998" s="64"/>
      <c r="O998" s="63"/>
      <c r="S998" s="59"/>
      <c r="T998" s="16" t="str">
        <f>IF(T995="","","Срок сдачи"&amp;": ")</f>
        <v/>
      </c>
      <c r="U998" s="64" t="str">
        <f>IFERROR(VLOOKUP(S$13&amp;$B998,Aux!$B:$M,6,0),"")</f>
        <v/>
      </c>
      <c r="V998" s="64"/>
      <c r="W998" s="63"/>
      <c r="AA998" s="59"/>
      <c r="AB998" s="16" t="str">
        <f>IF(AB995="","","Срок сдачи"&amp;": ")</f>
        <v/>
      </c>
      <c r="AC998" s="64" t="str">
        <f>IFERROR(VLOOKUP(AA$13&amp;$B998,Aux!$B:$M,6,0),"")</f>
        <v/>
      </c>
      <c r="AD998" s="64"/>
      <c r="AE998" s="63"/>
    </row>
    <row r="999" spans="2:31" x14ac:dyDescent="0.25">
      <c r="B999" s="53">
        <f t="shared" si="15"/>
        <v>197</v>
      </c>
      <c r="C999" s="7"/>
      <c r="D999" s="17"/>
      <c r="E999" s="7"/>
      <c r="F999" s="18"/>
      <c r="G999" s="18"/>
      <c r="K999" s="13"/>
      <c r="L999" s="17"/>
      <c r="M999" s="13"/>
      <c r="N999" s="14"/>
      <c r="O999" s="14"/>
      <c r="S999" s="13"/>
      <c r="T999" s="17"/>
      <c r="U999" s="13"/>
      <c r="V999" s="14"/>
      <c r="W999" s="14"/>
      <c r="AA999" s="13"/>
      <c r="AB999" s="17"/>
      <c r="AC999" s="13"/>
      <c r="AD999" s="14"/>
      <c r="AE999" s="30"/>
    </row>
    <row r="1000" spans="2:31" x14ac:dyDescent="0.25">
      <c r="B1000" s="53">
        <f t="shared" si="15"/>
        <v>198</v>
      </c>
      <c r="C1000" s="59" t="str">
        <f>IFERROR(VLOOKUP(C$13&amp;$B1004,Aux!$B:$M,5,0),"")</f>
        <v/>
      </c>
      <c r="D1000" s="60" t="str">
        <f>IFERROR(VLOOKUP(C$13&amp;$B1000,Aux!$B:$M,3,0),"")</f>
        <v/>
      </c>
      <c r="E1000" s="60"/>
      <c r="F1000" s="60"/>
      <c r="G1000" s="61" t="str">
        <f>IFERROR(VLOOKUP(C$13&amp;$B1000,Aux!$B:$M,9,0),"")</f>
        <v/>
      </c>
      <c r="K1000" s="59" t="str">
        <f>IFERROR(VLOOKUP(K$13&amp;$B1004,Aux!$B:$M,5,0),"")</f>
        <v/>
      </c>
      <c r="L1000" s="60" t="str">
        <f>IFERROR(VLOOKUP(K$13&amp;$B1000,Aux!$B:$M,3,0),"")</f>
        <v/>
      </c>
      <c r="M1000" s="60"/>
      <c r="N1000" s="60"/>
      <c r="O1000" s="61" t="str">
        <f>IFERROR(VLOOKUP(K$13&amp;$B1000,Aux!$B:$M,9,0),"")</f>
        <v/>
      </c>
      <c r="S1000" s="59" t="str">
        <f>IFERROR(VLOOKUP(S$13&amp;$B1004,Aux!$B:$M,5,0),"")</f>
        <v/>
      </c>
      <c r="T1000" s="60" t="str">
        <f>IFERROR(VLOOKUP(S$13&amp;$B1000,Aux!$B:$M,3,0),"")</f>
        <v/>
      </c>
      <c r="U1000" s="60"/>
      <c r="V1000" s="60"/>
      <c r="W1000" s="61" t="str">
        <f>IFERROR(VLOOKUP(S$13&amp;$B1000,Aux!$B:$M,9,0),"")</f>
        <v/>
      </c>
      <c r="AA1000" s="59" t="str">
        <f>IFERROR(VLOOKUP(AA$13&amp;$B1004,Aux!$B:$M,5,0),"")</f>
        <v/>
      </c>
      <c r="AB1000" s="60" t="str">
        <f>IFERROR(VLOOKUP(AA$13&amp;$B1000,Aux!$B:$M,3,0),"")</f>
        <v/>
      </c>
      <c r="AC1000" s="60"/>
      <c r="AD1000" s="60"/>
      <c r="AE1000" s="61" t="str">
        <f>IFERROR(VLOOKUP(AA$13&amp;$B1000,Aux!$B:$M,9,0),"")</f>
        <v/>
      </c>
    </row>
    <row r="1001" spans="2:31" x14ac:dyDescent="0.25">
      <c r="B1001" s="53">
        <f t="shared" si="15"/>
        <v>198</v>
      </c>
      <c r="C1001" s="59"/>
      <c r="D1001" s="60"/>
      <c r="E1001" s="60"/>
      <c r="F1001" s="60"/>
      <c r="G1001" s="61"/>
      <c r="K1001" s="59"/>
      <c r="L1001" s="60"/>
      <c r="M1001" s="60"/>
      <c r="N1001" s="60"/>
      <c r="O1001" s="61"/>
      <c r="S1001" s="59"/>
      <c r="T1001" s="60"/>
      <c r="U1001" s="60"/>
      <c r="V1001" s="60"/>
      <c r="W1001" s="61"/>
      <c r="AA1001" s="59"/>
      <c r="AB1001" s="60"/>
      <c r="AC1001" s="60"/>
      <c r="AD1001" s="60"/>
      <c r="AE1001" s="61"/>
    </row>
    <row r="1002" spans="2:31" x14ac:dyDescent="0.25">
      <c r="B1002" s="53">
        <f t="shared" si="15"/>
        <v>198</v>
      </c>
      <c r="C1002" s="59"/>
      <c r="D1002" s="15" t="str">
        <f>IF(D1000="","","Исполнитель"&amp;": ")</f>
        <v/>
      </c>
      <c r="E1002" s="62" t="str">
        <f>IFERROR(VLOOKUP(C$13&amp;$B1002,Aux!$B:$M,4,0),"")</f>
        <v/>
      </c>
      <c r="F1002" s="62"/>
      <c r="G1002" s="63" t="str">
        <f>IFERROR(IF(VLOOKUP(C$13&amp;$B1000,Aux!$B:$M,8,0)="Да","✔","🕓"),"")</f>
        <v/>
      </c>
      <c r="K1002" s="59"/>
      <c r="L1002" s="15" t="str">
        <f>IF(L1000="","","Исполнитель"&amp;": ")</f>
        <v/>
      </c>
      <c r="M1002" s="62" t="str">
        <f>IFERROR(VLOOKUP(K$13&amp;$B1002,Aux!$B:$M,4,0),"")</f>
        <v/>
      </c>
      <c r="N1002" s="62"/>
      <c r="O1002" s="63" t="str">
        <f>IFERROR(IF(VLOOKUP(K$13&amp;$B1000,Aux!$B:$M,8,0)="Да","✔","🕓"),"")</f>
        <v/>
      </c>
      <c r="S1002" s="59"/>
      <c r="T1002" s="15" t="str">
        <f>IF(T1000="","","Исполнитель"&amp;": ")</f>
        <v/>
      </c>
      <c r="U1002" s="62" t="str">
        <f>IFERROR(VLOOKUP(S$13&amp;$B1002,Aux!$B:$M,4,0),"")</f>
        <v/>
      </c>
      <c r="V1002" s="62"/>
      <c r="W1002" s="63" t="str">
        <f>IFERROR(IF(VLOOKUP(S$13&amp;$B1000,Aux!$B:$M,8,0)="Да","✔","🕓"),"")</f>
        <v/>
      </c>
      <c r="AA1002" s="59"/>
      <c r="AB1002" s="15" t="str">
        <f>IF(AB1000="","","Исполнитель"&amp;": ")</f>
        <v/>
      </c>
      <c r="AC1002" s="62" t="str">
        <f>IFERROR(VLOOKUP(AA$13&amp;$B1002,Aux!$B:$M,4,0),"")</f>
        <v/>
      </c>
      <c r="AD1002" s="62"/>
      <c r="AE1002" s="63" t="str">
        <f>IFERROR(IF(VLOOKUP(AA$13&amp;$B1000,Aux!$B:$M,8,0)="Да","✔","🕓"),"")</f>
        <v/>
      </c>
    </row>
    <row r="1003" spans="2:31" x14ac:dyDescent="0.25">
      <c r="B1003" s="53">
        <f t="shared" si="15"/>
        <v>198</v>
      </c>
      <c r="C1003" s="59"/>
      <c r="D1003" s="16" t="str">
        <f>IF(D1000="","","Срок сдачи"&amp;": ")</f>
        <v/>
      </c>
      <c r="E1003" s="64" t="str">
        <f>IFERROR(VLOOKUP(C$13&amp;$B1003,Aux!$B:$M,6,0),"")</f>
        <v/>
      </c>
      <c r="F1003" s="64"/>
      <c r="G1003" s="63"/>
      <c r="K1003" s="59"/>
      <c r="L1003" s="16" t="str">
        <f>IF(L1000="","","Срок сдачи"&amp;": ")</f>
        <v/>
      </c>
      <c r="M1003" s="64" t="str">
        <f>IFERROR(VLOOKUP(K$13&amp;$B1003,Aux!$B:$M,6,0),"")</f>
        <v/>
      </c>
      <c r="N1003" s="64"/>
      <c r="O1003" s="63"/>
      <c r="S1003" s="59"/>
      <c r="T1003" s="16" t="str">
        <f>IF(T1000="","","Срок сдачи"&amp;": ")</f>
        <v/>
      </c>
      <c r="U1003" s="64" t="str">
        <f>IFERROR(VLOOKUP(S$13&amp;$B1003,Aux!$B:$M,6,0),"")</f>
        <v/>
      </c>
      <c r="V1003" s="64"/>
      <c r="W1003" s="63"/>
      <c r="AA1003" s="59"/>
      <c r="AB1003" s="16" t="str">
        <f>IF(AB1000="","","Срок сдачи"&amp;": ")</f>
        <v/>
      </c>
      <c r="AC1003" s="64" t="str">
        <f>IFERROR(VLOOKUP(AA$13&amp;$B1003,Aux!$B:$M,6,0),"")</f>
        <v/>
      </c>
      <c r="AD1003" s="64"/>
      <c r="AE1003" s="63"/>
    </row>
    <row r="1004" spans="2:31" x14ac:dyDescent="0.25">
      <c r="B1004" s="53">
        <f t="shared" si="15"/>
        <v>198</v>
      </c>
      <c r="C1004" s="7"/>
      <c r="D1004" s="17"/>
      <c r="E1004" s="7"/>
      <c r="F1004" s="18"/>
      <c r="G1004" s="18"/>
      <c r="K1004" s="13"/>
      <c r="L1004" s="17"/>
      <c r="M1004" s="13"/>
      <c r="N1004" s="14"/>
      <c r="O1004" s="14"/>
      <c r="S1004" s="13"/>
      <c r="T1004" s="17"/>
      <c r="U1004" s="13"/>
      <c r="V1004" s="14"/>
      <c r="W1004" s="14"/>
      <c r="AA1004" s="13"/>
      <c r="AB1004" s="17"/>
      <c r="AC1004" s="13"/>
      <c r="AD1004" s="14"/>
      <c r="AE1004" s="30"/>
    </row>
    <row r="1005" spans="2:31" x14ac:dyDescent="0.25">
      <c r="B1005" s="53">
        <f t="shared" si="15"/>
        <v>199</v>
      </c>
      <c r="C1005" s="59" t="str">
        <f>IFERROR(VLOOKUP(C$13&amp;$B1009,Aux!$B:$M,5,0),"")</f>
        <v/>
      </c>
      <c r="D1005" s="60" t="str">
        <f>IFERROR(VLOOKUP(C$13&amp;$B1005,Aux!$B:$M,3,0),"")</f>
        <v/>
      </c>
      <c r="E1005" s="60"/>
      <c r="F1005" s="60"/>
      <c r="G1005" s="61" t="str">
        <f>IFERROR(VLOOKUP(C$13&amp;$B1005,Aux!$B:$M,9,0),"")</f>
        <v/>
      </c>
      <c r="K1005" s="59" t="str">
        <f>IFERROR(VLOOKUP(K$13&amp;$B1009,Aux!$B:$M,5,0),"")</f>
        <v/>
      </c>
      <c r="L1005" s="60" t="str">
        <f>IFERROR(VLOOKUP(K$13&amp;$B1005,Aux!$B:$M,3,0),"")</f>
        <v/>
      </c>
      <c r="M1005" s="60"/>
      <c r="N1005" s="60"/>
      <c r="O1005" s="61" t="str">
        <f>IFERROR(VLOOKUP(K$13&amp;$B1005,Aux!$B:$M,9,0),"")</f>
        <v/>
      </c>
      <c r="S1005" s="59" t="str">
        <f>IFERROR(VLOOKUP(S$13&amp;$B1009,Aux!$B:$M,5,0),"")</f>
        <v/>
      </c>
      <c r="T1005" s="60" t="str">
        <f>IFERROR(VLOOKUP(S$13&amp;$B1005,Aux!$B:$M,3,0),"")</f>
        <v/>
      </c>
      <c r="U1005" s="60"/>
      <c r="V1005" s="60"/>
      <c r="W1005" s="61" t="str">
        <f>IFERROR(VLOOKUP(S$13&amp;$B1005,Aux!$B:$M,9,0),"")</f>
        <v/>
      </c>
      <c r="AA1005" s="59" t="str">
        <f>IFERROR(VLOOKUP(AA$13&amp;$B1009,Aux!$B:$M,5,0),"")</f>
        <v/>
      </c>
      <c r="AB1005" s="60" t="str">
        <f>IFERROR(VLOOKUP(AA$13&amp;$B1005,Aux!$B:$M,3,0),"")</f>
        <v/>
      </c>
      <c r="AC1005" s="60"/>
      <c r="AD1005" s="60"/>
      <c r="AE1005" s="61" t="str">
        <f>IFERROR(VLOOKUP(AA$13&amp;$B1005,Aux!$B:$M,9,0),"")</f>
        <v/>
      </c>
    </row>
    <row r="1006" spans="2:31" x14ac:dyDescent="0.25">
      <c r="B1006" s="53">
        <f t="shared" si="15"/>
        <v>199</v>
      </c>
      <c r="C1006" s="59"/>
      <c r="D1006" s="60"/>
      <c r="E1006" s="60"/>
      <c r="F1006" s="60"/>
      <c r="G1006" s="61"/>
      <c r="K1006" s="59"/>
      <c r="L1006" s="60"/>
      <c r="M1006" s="60"/>
      <c r="N1006" s="60"/>
      <c r="O1006" s="61"/>
      <c r="S1006" s="59"/>
      <c r="T1006" s="60"/>
      <c r="U1006" s="60"/>
      <c r="V1006" s="60"/>
      <c r="W1006" s="61"/>
      <c r="AA1006" s="59"/>
      <c r="AB1006" s="60"/>
      <c r="AC1006" s="60"/>
      <c r="AD1006" s="60"/>
      <c r="AE1006" s="61"/>
    </row>
    <row r="1007" spans="2:31" x14ac:dyDescent="0.25">
      <c r="B1007" s="53">
        <f t="shared" si="15"/>
        <v>199</v>
      </c>
      <c r="C1007" s="59"/>
      <c r="D1007" s="15" t="str">
        <f>IF(D1005="","","Исполнитель"&amp;": ")</f>
        <v/>
      </c>
      <c r="E1007" s="62" t="str">
        <f>IFERROR(VLOOKUP(C$13&amp;$B1007,Aux!$B:$M,4,0),"")</f>
        <v/>
      </c>
      <c r="F1007" s="62"/>
      <c r="G1007" s="63" t="str">
        <f>IFERROR(IF(VLOOKUP(C$13&amp;$B1005,Aux!$B:$M,8,0)="Да","✔","🕓"),"")</f>
        <v/>
      </c>
      <c r="K1007" s="59"/>
      <c r="L1007" s="15" t="str">
        <f>IF(L1005="","","Исполнитель"&amp;": ")</f>
        <v/>
      </c>
      <c r="M1007" s="62" t="str">
        <f>IFERROR(VLOOKUP(K$13&amp;$B1007,Aux!$B:$M,4,0),"")</f>
        <v/>
      </c>
      <c r="N1007" s="62"/>
      <c r="O1007" s="63" t="str">
        <f>IFERROR(IF(VLOOKUP(K$13&amp;$B1005,Aux!$B:$M,8,0)="Да","✔","🕓"),"")</f>
        <v/>
      </c>
      <c r="S1007" s="59"/>
      <c r="T1007" s="15" t="str">
        <f>IF(T1005="","","Исполнитель"&amp;": ")</f>
        <v/>
      </c>
      <c r="U1007" s="62" t="str">
        <f>IFERROR(VLOOKUP(S$13&amp;$B1007,Aux!$B:$M,4,0),"")</f>
        <v/>
      </c>
      <c r="V1007" s="62"/>
      <c r="W1007" s="63" t="str">
        <f>IFERROR(IF(VLOOKUP(S$13&amp;$B1005,Aux!$B:$M,8,0)="Да","✔","🕓"),"")</f>
        <v/>
      </c>
      <c r="AA1007" s="59"/>
      <c r="AB1007" s="15" t="str">
        <f>IF(AB1005="","","Исполнитель"&amp;": ")</f>
        <v/>
      </c>
      <c r="AC1007" s="62" t="str">
        <f>IFERROR(VLOOKUP(AA$13&amp;$B1007,Aux!$B:$M,4,0),"")</f>
        <v/>
      </c>
      <c r="AD1007" s="62"/>
      <c r="AE1007" s="63" t="str">
        <f>IFERROR(IF(VLOOKUP(AA$13&amp;$B1005,Aux!$B:$M,8,0)="Да","✔","🕓"),"")</f>
        <v/>
      </c>
    </row>
    <row r="1008" spans="2:31" x14ac:dyDescent="0.25">
      <c r="B1008" s="53">
        <f t="shared" si="15"/>
        <v>199</v>
      </c>
      <c r="C1008" s="59"/>
      <c r="D1008" s="16" t="str">
        <f>IF(D1005="","","Срок сдачи"&amp;": ")</f>
        <v/>
      </c>
      <c r="E1008" s="64" t="str">
        <f>IFERROR(VLOOKUP(C$13&amp;$B1008,Aux!$B:$M,6,0),"")</f>
        <v/>
      </c>
      <c r="F1008" s="64"/>
      <c r="G1008" s="63"/>
      <c r="K1008" s="59"/>
      <c r="L1008" s="16" t="str">
        <f>IF(L1005="","","Срок сдачи"&amp;": ")</f>
        <v/>
      </c>
      <c r="M1008" s="64" t="str">
        <f>IFERROR(VLOOKUP(K$13&amp;$B1008,Aux!$B:$M,6,0),"")</f>
        <v/>
      </c>
      <c r="N1008" s="64"/>
      <c r="O1008" s="63"/>
      <c r="S1008" s="59"/>
      <c r="T1008" s="16" t="str">
        <f>IF(T1005="","","Срок сдачи"&amp;": ")</f>
        <v/>
      </c>
      <c r="U1008" s="64" t="str">
        <f>IFERROR(VLOOKUP(S$13&amp;$B1008,Aux!$B:$M,6,0),"")</f>
        <v/>
      </c>
      <c r="V1008" s="64"/>
      <c r="W1008" s="63"/>
      <c r="AA1008" s="59"/>
      <c r="AB1008" s="16" t="str">
        <f>IF(AB1005="","","Срок сдачи"&amp;": ")</f>
        <v/>
      </c>
      <c r="AC1008" s="64" t="str">
        <f>IFERROR(VLOOKUP(AA$13&amp;$B1008,Aux!$B:$M,6,0),"")</f>
        <v/>
      </c>
      <c r="AD1008" s="64"/>
      <c r="AE1008" s="63"/>
    </row>
    <row r="1009" spans="2:31" x14ac:dyDescent="0.25">
      <c r="B1009" s="53">
        <f t="shared" si="15"/>
        <v>199</v>
      </c>
      <c r="C1009" s="7"/>
      <c r="D1009" s="17"/>
      <c r="E1009" s="7"/>
      <c r="F1009" s="18"/>
      <c r="G1009" s="18"/>
      <c r="K1009" s="13"/>
      <c r="L1009" s="17"/>
      <c r="M1009" s="13"/>
      <c r="N1009" s="14"/>
      <c r="O1009" s="14"/>
      <c r="S1009" s="13"/>
      <c r="T1009" s="17"/>
      <c r="U1009" s="13"/>
      <c r="V1009" s="14"/>
      <c r="W1009" s="14"/>
      <c r="AA1009" s="13"/>
      <c r="AB1009" s="17"/>
      <c r="AC1009" s="13"/>
      <c r="AD1009" s="14"/>
      <c r="AE1009" s="30"/>
    </row>
    <row r="1010" spans="2:31" x14ac:dyDescent="0.25">
      <c r="B1010" s="53">
        <f t="shared" si="15"/>
        <v>200</v>
      </c>
      <c r="C1010" s="59" t="str">
        <f>IFERROR(VLOOKUP(C$13&amp;$B1014,Aux!$B:$M,5,0),"")</f>
        <v/>
      </c>
      <c r="D1010" s="60" t="str">
        <f>IFERROR(VLOOKUP(C$13&amp;$B1010,Aux!$B:$M,3,0),"")</f>
        <v/>
      </c>
      <c r="E1010" s="60"/>
      <c r="F1010" s="60"/>
      <c r="G1010" s="61" t="str">
        <f>IFERROR(VLOOKUP(C$13&amp;$B1010,Aux!$B:$M,9,0),"")</f>
        <v/>
      </c>
      <c r="K1010" s="59" t="str">
        <f>IFERROR(VLOOKUP(K$13&amp;$B1014,Aux!$B:$M,5,0),"")</f>
        <v/>
      </c>
      <c r="L1010" s="60" t="str">
        <f>IFERROR(VLOOKUP(K$13&amp;$B1010,Aux!$B:$M,3,0),"")</f>
        <v/>
      </c>
      <c r="M1010" s="60"/>
      <c r="N1010" s="60"/>
      <c r="O1010" s="61" t="str">
        <f>IFERROR(VLOOKUP(K$13&amp;$B1010,Aux!$B:$M,9,0),"")</f>
        <v/>
      </c>
      <c r="S1010" s="59" t="str">
        <f>IFERROR(VLOOKUP(S$13&amp;$B1014,Aux!$B:$M,5,0),"")</f>
        <v/>
      </c>
      <c r="T1010" s="60" t="str">
        <f>IFERROR(VLOOKUP(S$13&amp;$B1010,Aux!$B:$M,3,0),"")</f>
        <v/>
      </c>
      <c r="U1010" s="60"/>
      <c r="V1010" s="60"/>
      <c r="W1010" s="61" t="str">
        <f>IFERROR(VLOOKUP(S$13&amp;$B1010,Aux!$B:$M,9,0),"")</f>
        <v/>
      </c>
      <c r="AA1010" s="59" t="str">
        <f>IFERROR(VLOOKUP(AA$13&amp;$B1014,Aux!$B:$M,5,0),"")</f>
        <v/>
      </c>
      <c r="AB1010" s="60" t="str">
        <f>IFERROR(VLOOKUP(AA$13&amp;$B1010,Aux!$B:$M,3,0),"")</f>
        <v/>
      </c>
      <c r="AC1010" s="60"/>
      <c r="AD1010" s="60"/>
      <c r="AE1010" s="61" t="str">
        <f>IFERROR(VLOOKUP(AA$13&amp;$B1010,Aux!$B:$M,9,0),"")</f>
        <v/>
      </c>
    </row>
    <row r="1011" spans="2:31" x14ac:dyDescent="0.25">
      <c r="B1011" s="53">
        <f t="shared" si="15"/>
        <v>200</v>
      </c>
      <c r="C1011" s="59"/>
      <c r="D1011" s="60"/>
      <c r="E1011" s="60"/>
      <c r="F1011" s="60"/>
      <c r="G1011" s="61"/>
      <c r="K1011" s="59"/>
      <c r="L1011" s="60"/>
      <c r="M1011" s="60"/>
      <c r="N1011" s="60"/>
      <c r="O1011" s="61"/>
      <c r="S1011" s="59"/>
      <c r="T1011" s="60"/>
      <c r="U1011" s="60"/>
      <c r="V1011" s="60"/>
      <c r="W1011" s="61"/>
      <c r="AA1011" s="59"/>
      <c r="AB1011" s="60"/>
      <c r="AC1011" s="60"/>
      <c r="AD1011" s="60"/>
      <c r="AE1011" s="61"/>
    </row>
    <row r="1012" spans="2:31" x14ac:dyDescent="0.25">
      <c r="B1012" s="53">
        <f t="shared" si="15"/>
        <v>200</v>
      </c>
      <c r="C1012" s="59"/>
      <c r="D1012" s="15" t="str">
        <f>IF(D1010="","","Исполнитель"&amp;": ")</f>
        <v/>
      </c>
      <c r="E1012" s="62" t="str">
        <f>IFERROR(VLOOKUP(C$13&amp;$B1012,Aux!$B:$M,4,0),"")</f>
        <v/>
      </c>
      <c r="F1012" s="62"/>
      <c r="G1012" s="63" t="str">
        <f>IFERROR(IF(VLOOKUP(C$13&amp;$B1010,Aux!$B:$M,8,0)="Да","✔","🕓"),"")</f>
        <v/>
      </c>
      <c r="K1012" s="59"/>
      <c r="L1012" s="15" t="str">
        <f>IF(L1010="","","Исполнитель"&amp;": ")</f>
        <v/>
      </c>
      <c r="M1012" s="62" t="str">
        <f>IFERROR(VLOOKUP(K$13&amp;$B1012,Aux!$B:$M,4,0),"")</f>
        <v/>
      </c>
      <c r="N1012" s="62"/>
      <c r="O1012" s="63" t="str">
        <f>IFERROR(IF(VLOOKUP(K$13&amp;$B1010,Aux!$B:$M,8,0)="Да","✔","🕓"),"")</f>
        <v/>
      </c>
      <c r="S1012" s="59"/>
      <c r="T1012" s="15" t="str">
        <f>IF(T1010="","","Исполнитель"&amp;": ")</f>
        <v/>
      </c>
      <c r="U1012" s="62" t="str">
        <f>IFERROR(VLOOKUP(S$13&amp;$B1012,Aux!$B:$M,4,0),"")</f>
        <v/>
      </c>
      <c r="V1012" s="62"/>
      <c r="W1012" s="63" t="str">
        <f>IFERROR(IF(VLOOKUP(S$13&amp;$B1010,Aux!$B:$M,8,0)="Да","✔","🕓"),"")</f>
        <v/>
      </c>
      <c r="AA1012" s="59"/>
      <c r="AB1012" s="15" t="str">
        <f>IF(AB1010="","","Исполнитель"&amp;": ")</f>
        <v/>
      </c>
      <c r="AC1012" s="62" t="str">
        <f>IFERROR(VLOOKUP(AA$13&amp;$B1012,Aux!$B:$M,4,0),"")</f>
        <v/>
      </c>
      <c r="AD1012" s="62"/>
      <c r="AE1012" s="63" t="str">
        <f>IFERROR(IF(VLOOKUP(AA$13&amp;$B1010,Aux!$B:$M,8,0)="Да","✔","🕓"),"")</f>
        <v/>
      </c>
    </row>
    <row r="1013" spans="2:31" x14ac:dyDescent="0.25">
      <c r="B1013" s="53">
        <f t="shared" si="15"/>
        <v>200</v>
      </c>
      <c r="C1013" s="59"/>
      <c r="D1013" s="16" t="str">
        <f>IF(D1010="","","Срок сдачи"&amp;": ")</f>
        <v/>
      </c>
      <c r="E1013" s="64" t="str">
        <f>IFERROR(VLOOKUP(C$13&amp;$B1013,Aux!$B:$M,6,0),"")</f>
        <v/>
      </c>
      <c r="F1013" s="64"/>
      <c r="G1013" s="63"/>
      <c r="K1013" s="59"/>
      <c r="L1013" s="16" t="str">
        <f>IF(L1010="","","Срок сдачи"&amp;": ")</f>
        <v/>
      </c>
      <c r="M1013" s="64" t="str">
        <f>IFERROR(VLOOKUP(K$13&amp;$B1013,Aux!$B:$M,6,0),"")</f>
        <v/>
      </c>
      <c r="N1013" s="64"/>
      <c r="O1013" s="63"/>
      <c r="S1013" s="59"/>
      <c r="T1013" s="16" t="str">
        <f>IF(T1010="","","Срок сдачи"&amp;": ")</f>
        <v/>
      </c>
      <c r="U1013" s="64" t="str">
        <f>IFERROR(VLOOKUP(S$13&amp;$B1013,Aux!$B:$M,6,0),"")</f>
        <v/>
      </c>
      <c r="V1013" s="64"/>
      <c r="W1013" s="63"/>
      <c r="AA1013" s="59"/>
      <c r="AB1013" s="16" t="str">
        <f>IF(AB1010="","","Срок сдачи"&amp;": ")</f>
        <v/>
      </c>
      <c r="AC1013" s="64" t="str">
        <f>IFERROR(VLOOKUP(AA$13&amp;$B1013,Aux!$B:$M,6,0),"")</f>
        <v/>
      </c>
      <c r="AD1013" s="64"/>
      <c r="AE1013" s="63"/>
    </row>
    <row r="1014" spans="2:31" x14ac:dyDescent="0.25">
      <c r="B1014" s="53">
        <f t="shared" si="15"/>
        <v>200</v>
      </c>
      <c r="C1014" s="7"/>
      <c r="D1014" s="17"/>
      <c r="E1014" s="7"/>
      <c r="F1014" s="18"/>
      <c r="G1014" s="18"/>
      <c r="K1014" s="13"/>
      <c r="L1014" s="17"/>
      <c r="M1014" s="13"/>
      <c r="N1014" s="14"/>
      <c r="O1014" s="14"/>
      <c r="S1014" s="13"/>
      <c r="T1014" s="17"/>
      <c r="U1014" s="13"/>
      <c r="V1014" s="14"/>
      <c r="W1014" s="14"/>
      <c r="AA1014" s="13"/>
      <c r="AB1014" s="17"/>
      <c r="AC1014" s="13"/>
      <c r="AD1014" s="14"/>
      <c r="AE1014" s="30"/>
    </row>
    <row r="1015" spans="2:31" x14ac:dyDescent="0.25">
      <c r="B1015" s="53">
        <f t="shared" si="15"/>
        <v>201</v>
      </c>
      <c r="C1015" s="59" t="str">
        <f>IFERROR(VLOOKUP(C$13&amp;$B1019,Aux!$B:$M,5,0),"")</f>
        <v/>
      </c>
      <c r="D1015" s="60" t="str">
        <f>IFERROR(VLOOKUP(C$13&amp;$B1015,Aux!$B:$M,3,0),"")</f>
        <v/>
      </c>
      <c r="E1015" s="60"/>
      <c r="F1015" s="60"/>
      <c r="G1015" s="61" t="str">
        <f>IFERROR(VLOOKUP(C$13&amp;$B1015,Aux!$B:$M,9,0),"")</f>
        <v/>
      </c>
      <c r="K1015" s="59" t="str">
        <f>IFERROR(VLOOKUP(K$13&amp;$B1019,Aux!$B:$M,5,0),"")</f>
        <v/>
      </c>
      <c r="L1015" s="60" t="str">
        <f>IFERROR(VLOOKUP(K$13&amp;$B1015,Aux!$B:$M,3,0),"")</f>
        <v/>
      </c>
      <c r="M1015" s="60"/>
      <c r="N1015" s="60"/>
      <c r="O1015" s="61" t="str">
        <f>IFERROR(VLOOKUP(K$13&amp;$B1015,Aux!$B:$M,9,0),"")</f>
        <v/>
      </c>
      <c r="S1015" s="59" t="str">
        <f>IFERROR(VLOOKUP(S$13&amp;$B1019,Aux!$B:$M,5,0),"")</f>
        <v/>
      </c>
      <c r="T1015" s="60" t="str">
        <f>IFERROR(VLOOKUP(S$13&amp;$B1015,Aux!$B:$M,3,0),"")</f>
        <v/>
      </c>
      <c r="U1015" s="60"/>
      <c r="V1015" s="60"/>
      <c r="W1015" s="61" t="str">
        <f>IFERROR(VLOOKUP(S$13&amp;$B1015,Aux!$B:$M,9,0),"")</f>
        <v/>
      </c>
      <c r="AA1015" s="59" t="str">
        <f>IFERROR(VLOOKUP(AA$13&amp;$B1019,Aux!$B:$M,5,0),"")</f>
        <v/>
      </c>
      <c r="AB1015" s="60" t="str">
        <f>IFERROR(VLOOKUP(AA$13&amp;$B1015,Aux!$B:$M,3,0),"")</f>
        <v/>
      </c>
      <c r="AC1015" s="60"/>
      <c r="AD1015" s="60"/>
      <c r="AE1015" s="61" t="str">
        <f>IFERROR(VLOOKUP(AA$13&amp;$B1015,Aux!$B:$M,9,0),"")</f>
        <v/>
      </c>
    </row>
    <row r="1016" spans="2:31" x14ac:dyDescent="0.25">
      <c r="B1016" s="53">
        <f t="shared" si="15"/>
        <v>201</v>
      </c>
      <c r="C1016" s="59"/>
      <c r="D1016" s="60"/>
      <c r="E1016" s="60"/>
      <c r="F1016" s="60"/>
      <c r="G1016" s="61"/>
      <c r="K1016" s="59"/>
      <c r="L1016" s="60"/>
      <c r="M1016" s="60"/>
      <c r="N1016" s="60"/>
      <c r="O1016" s="61"/>
      <c r="S1016" s="59"/>
      <c r="T1016" s="60"/>
      <c r="U1016" s="60"/>
      <c r="V1016" s="60"/>
      <c r="W1016" s="61"/>
      <c r="AA1016" s="59"/>
      <c r="AB1016" s="60"/>
      <c r="AC1016" s="60"/>
      <c r="AD1016" s="60"/>
      <c r="AE1016" s="61"/>
    </row>
    <row r="1017" spans="2:31" x14ac:dyDescent="0.25">
      <c r="B1017" s="53">
        <f t="shared" si="15"/>
        <v>201</v>
      </c>
      <c r="C1017" s="59"/>
      <c r="D1017" s="15" t="str">
        <f>IF(D1015="","","Исполнитель"&amp;": ")</f>
        <v/>
      </c>
      <c r="E1017" s="62" t="str">
        <f>IFERROR(VLOOKUP(C$13&amp;$B1017,Aux!$B:$M,4,0),"")</f>
        <v/>
      </c>
      <c r="F1017" s="62"/>
      <c r="G1017" s="63" t="str">
        <f>IFERROR(IF(VLOOKUP(C$13&amp;$B1015,Aux!$B:$M,8,0)="Да","✔","🕓"),"")</f>
        <v/>
      </c>
      <c r="K1017" s="59"/>
      <c r="L1017" s="15" t="str">
        <f>IF(L1015="","","Исполнитель"&amp;": ")</f>
        <v/>
      </c>
      <c r="M1017" s="62" t="str">
        <f>IFERROR(VLOOKUP(K$13&amp;$B1017,Aux!$B:$M,4,0),"")</f>
        <v/>
      </c>
      <c r="N1017" s="62"/>
      <c r="O1017" s="63" t="str">
        <f>IFERROR(IF(VLOOKUP(K$13&amp;$B1015,Aux!$B:$M,8,0)="Да","✔","🕓"),"")</f>
        <v/>
      </c>
      <c r="S1017" s="59"/>
      <c r="T1017" s="15" t="str">
        <f>IF(T1015="","","Исполнитель"&amp;": ")</f>
        <v/>
      </c>
      <c r="U1017" s="62" t="str">
        <f>IFERROR(VLOOKUP(S$13&amp;$B1017,Aux!$B:$M,4,0),"")</f>
        <v/>
      </c>
      <c r="V1017" s="62"/>
      <c r="W1017" s="63" t="str">
        <f>IFERROR(IF(VLOOKUP(S$13&amp;$B1015,Aux!$B:$M,8,0)="Да","✔","🕓"),"")</f>
        <v/>
      </c>
      <c r="AA1017" s="59"/>
      <c r="AB1017" s="15" t="str">
        <f>IF(AB1015="","","Исполнитель"&amp;": ")</f>
        <v/>
      </c>
      <c r="AC1017" s="62" t="str">
        <f>IFERROR(VLOOKUP(AA$13&amp;$B1017,Aux!$B:$M,4,0),"")</f>
        <v/>
      </c>
      <c r="AD1017" s="62"/>
      <c r="AE1017" s="63" t="str">
        <f>IFERROR(IF(VLOOKUP(AA$13&amp;$B1015,Aux!$B:$M,8,0)="Да","✔","🕓"),"")</f>
        <v/>
      </c>
    </row>
    <row r="1018" spans="2:31" x14ac:dyDescent="0.25">
      <c r="B1018" s="53">
        <f t="shared" si="15"/>
        <v>201</v>
      </c>
      <c r="C1018" s="59"/>
      <c r="D1018" s="16" t="str">
        <f>IF(D1015="","","Срок сдачи"&amp;": ")</f>
        <v/>
      </c>
      <c r="E1018" s="64" t="str">
        <f>IFERROR(VLOOKUP(C$13&amp;$B1018,Aux!$B:$M,6,0),"")</f>
        <v/>
      </c>
      <c r="F1018" s="64"/>
      <c r="G1018" s="63"/>
      <c r="K1018" s="59"/>
      <c r="L1018" s="16" t="str">
        <f>IF(L1015="","","Срок сдачи"&amp;": ")</f>
        <v/>
      </c>
      <c r="M1018" s="64" t="str">
        <f>IFERROR(VLOOKUP(K$13&amp;$B1018,Aux!$B:$M,6,0),"")</f>
        <v/>
      </c>
      <c r="N1018" s="64"/>
      <c r="O1018" s="63"/>
      <c r="S1018" s="59"/>
      <c r="T1018" s="16" t="str">
        <f>IF(T1015="","","Срок сдачи"&amp;": ")</f>
        <v/>
      </c>
      <c r="U1018" s="64" t="str">
        <f>IFERROR(VLOOKUP(S$13&amp;$B1018,Aux!$B:$M,6,0),"")</f>
        <v/>
      </c>
      <c r="V1018" s="64"/>
      <c r="W1018" s="63"/>
      <c r="AA1018" s="59"/>
      <c r="AB1018" s="16" t="str">
        <f>IF(AB1015="","","Срок сдачи"&amp;": ")</f>
        <v/>
      </c>
      <c r="AC1018" s="64" t="str">
        <f>IFERROR(VLOOKUP(AA$13&amp;$B1018,Aux!$B:$M,6,0),"")</f>
        <v/>
      </c>
      <c r="AD1018" s="64"/>
      <c r="AE1018" s="63"/>
    </row>
    <row r="1019" spans="2:31" x14ac:dyDescent="0.25">
      <c r="B1019" s="53">
        <f t="shared" si="15"/>
        <v>201</v>
      </c>
      <c r="C1019" s="7"/>
      <c r="D1019" s="17"/>
      <c r="E1019" s="7"/>
      <c r="F1019" s="18"/>
      <c r="G1019" s="18"/>
      <c r="K1019" s="13"/>
      <c r="L1019" s="17"/>
      <c r="M1019" s="13"/>
      <c r="N1019" s="14"/>
      <c r="O1019" s="14"/>
      <c r="S1019" s="13"/>
      <c r="T1019" s="17"/>
      <c r="U1019" s="13"/>
      <c r="V1019" s="14"/>
      <c r="W1019" s="14"/>
      <c r="AA1019" s="13"/>
      <c r="AB1019" s="17"/>
      <c r="AC1019" s="13"/>
      <c r="AD1019" s="14"/>
      <c r="AE1019" s="30"/>
    </row>
    <row r="1020" spans="2:31" x14ac:dyDescent="0.25">
      <c r="B1020" s="53">
        <f t="shared" si="15"/>
        <v>202</v>
      </c>
      <c r="C1020" s="59" t="str">
        <f>IFERROR(VLOOKUP(C$13&amp;$B1024,Aux!$B:$M,5,0),"")</f>
        <v/>
      </c>
      <c r="D1020" s="60" t="str">
        <f>IFERROR(VLOOKUP(C$13&amp;$B1020,Aux!$B:$M,3,0),"")</f>
        <v/>
      </c>
      <c r="E1020" s="60"/>
      <c r="F1020" s="60"/>
      <c r="G1020" s="61" t="str">
        <f>IFERROR(VLOOKUP(C$13&amp;$B1020,Aux!$B:$M,9,0),"")</f>
        <v/>
      </c>
      <c r="K1020" s="59" t="str">
        <f>IFERROR(VLOOKUP(K$13&amp;$B1024,Aux!$B:$M,5,0),"")</f>
        <v/>
      </c>
      <c r="L1020" s="60" t="str">
        <f>IFERROR(VLOOKUP(K$13&amp;$B1020,Aux!$B:$M,3,0),"")</f>
        <v/>
      </c>
      <c r="M1020" s="60"/>
      <c r="N1020" s="60"/>
      <c r="O1020" s="61" t="str">
        <f>IFERROR(VLOOKUP(K$13&amp;$B1020,Aux!$B:$M,9,0),"")</f>
        <v/>
      </c>
      <c r="S1020" s="59" t="str">
        <f>IFERROR(VLOOKUP(S$13&amp;$B1024,Aux!$B:$M,5,0),"")</f>
        <v/>
      </c>
      <c r="T1020" s="60" t="str">
        <f>IFERROR(VLOOKUP(S$13&amp;$B1020,Aux!$B:$M,3,0),"")</f>
        <v/>
      </c>
      <c r="U1020" s="60"/>
      <c r="V1020" s="60"/>
      <c r="W1020" s="61" t="str">
        <f>IFERROR(VLOOKUP(S$13&amp;$B1020,Aux!$B:$M,9,0),"")</f>
        <v/>
      </c>
      <c r="AA1020" s="59" t="str">
        <f>IFERROR(VLOOKUP(AA$13&amp;$B1024,Aux!$B:$M,5,0),"")</f>
        <v/>
      </c>
      <c r="AB1020" s="60" t="str">
        <f>IFERROR(VLOOKUP(AA$13&amp;$B1020,Aux!$B:$M,3,0),"")</f>
        <v/>
      </c>
      <c r="AC1020" s="60"/>
      <c r="AD1020" s="60"/>
      <c r="AE1020" s="61" t="str">
        <f>IFERROR(VLOOKUP(AA$13&amp;$B1020,Aux!$B:$M,9,0),"")</f>
        <v/>
      </c>
    </row>
    <row r="1021" spans="2:31" x14ac:dyDescent="0.25">
      <c r="B1021" s="53">
        <f t="shared" si="15"/>
        <v>202</v>
      </c>
      <c r="C1021" s="59"/>
      <c r="D1021" s="60"/>
      <c r="E1021" s="60"/>
      <c r="F1021" s="60"/>
      <c r="G1021" s="61"/>
      <c r="K1021" s="59"/>
      <c r="L1021" s="60"/>
      <c r="M1021" s="60"/>
      <c r="N1021" s="60"/>
      <c r="O1021" s="61"/>
      <c r="S1021" s="59"/>
      <c r="T1021" s="60"/>
      <c r="U1021" s="60"/>
      <c r="V1021" s="60"/>
      <c r="W1021" s="61"/>
      <c r="AA1021" s="59"/>
      <c r="AB1021" s="60"/>
      <c r="AC1021" s="60"/>
      <c r="AD1021" s="60"/>
      <c r="AE1021" s="61"/>
    </row>
    <row r="1022" spans="2:31" x14ac:dyDescent="0.25">
      <c r="B1022" s="53">
        <f t="shared" si="15"/>
        <v>202</v>
      </c>
      <c r="C1022" s="59"/>
      <c r="D1022" s="15" t="str">
        <f>IF(D1020="","","Исполнитель"&amp;": ")</f>
        <v/>
      </c>
      <c r="E1022" s="62" t="str">
        <f>IFERROR(VLOOKUP(C$13&amp;$B1022,Aux!$B:$M,4,0),"")</f>
        <v/>
      </c>
      <c r="F1022" s="62"/>
      <c r="G1022" s="63" t="str">
        <f>IFERROR(IF(VLOOKUP(C$13&amp;$B1020,Aux!$B:$M,8,0)="Да","✔","🕓"),"")</f>
        <v/>
      </c>
      <c r="K1022" s="59"/>
      <c r="L1022" s="15" t="str">
        <f>IF(L1020="","","Исполнитель"&amp;": ")</f>
        <v/>
      </c>
      <c r="M1022" s="62" t="str">
        <f>IFERROR(VLOOKUP(K$13&amp;$B1022,Aux!$B:$M,4,0),"")</f>
        <v/>
      </c>
      <c r="N1022" s="62"/>
      <c r="O1022" s="63" t="str">
        <f>IFERROR(IF(VLOOKUP(K$13&amp;$B1020,Aux!$B:$M,8,0)="Да","✔","🕓"),"")</f>
        <v/>
      </c>
      <c r="S1022" s="59"/>
      <c r="T1022" s="15" t="str">
        <f>IF(T1020="","","Исполнитель"&amp;": ")</f>
        <v/>
      </c>
      <c r="U1022" s="62" t="str">
        <f>IFERROR(VLOOKUP(S$13&amp;$B1022,Aux!$B:$M,4,0),"")</f>
        <v/>
      </c>
      <c r="V1022" s="62"/>
      <c r="W1022" s="63" t="str">
        <f>IFERROR(IF(VLOOKUP(S$13&amp;$B1020,Aux!$B:$M,8,0)="Да","✔","🕓"),"")</f>
        <v/>
      </c>
      <c r="AA1022" s="59"/>
      <c r="AB1022" s="15" t="str">
        <f>IF(AB1020="","","Исполнитель"&amp;": ")</f>
        <v/>
      </c>
      <c r="AC1022" s="62" t="str">
        <f>IFERROR(VLOOKUP(AA$13&amp;$B1022,Aux!$B:$M,4,0),"")</f>
        <v/>
      </c>
      <c r="AD1022" s="62"/>
      <c r="AE1022" s="63" t="str">
        <f>IFERROR(IF(VLOOKUP(AA$13&amp;$B1020,Aux!$B:$M,8,0)="Да","✔","🕓"),"")</f>
        <v/>
      </c>
    </row>
    <row r="1023" spans="2:31" x14ac:dyDescent="0.25">
      <c r="B1023" s="53">
        <f t="shared" si="15"/>
        <v>202</v>
      </c>
      <c r="C1023" s="59"/>
      <c r="D1023" s="16" t="str">
        <f>IF(D1020="","","Срок сдачи"&amp;": ")</f>
        <v/>
      </c>
      <c r="E1023" s="64" t="str">
        <f>IFERROR(VLOOKUP(C$13&amp;$B1023,Aux!$B:$M,6,0),"")</f>
        <v/>
      </c>
      <c r="F1023" s="64"/>
      <c r="G1023" s="63"/>
      <c r="K1023" s="59"/>
      <c r="L1023" s="16" t="str">
        <f>IF(L1020="","","Срок сдачи"&amp;": ")</f>
        <v/>
      </c>
      <c r="M1023" s="64" t="str">
        <f>IFERROR(VLOOKUP(K$13&amp;$B1023,Aux!$B:$M,6,0),"")</f>
        <v/>
      </c>
      <c r="N1023" s="64"/>
      <c r="O1023" s="63"/>
      <c r="S1023" s="59"/>
      <c r="T1023" s="16" t="str">
        <f>IF(T1020="","","Срок сдачи"&amp;": ")</f>
        <v/>
      </c>
      <c r="U1023" s="64" t="str">
        <f>IFERROR(VLOOKUP(S$13&amp;$B1023,Aux!$B:$M,6,0),"")</f>
        <v/>
      </c>
      <c r="V1023" s="64"/>
      <c r="W1023" s="63"/>
      <c r="AA1023" s="59"/>
      <c r="AB1023" s="16" t="str">
        <f>IF(AB1020="","","Срок сдачи"&amp;": ")</f>
        <v/>
      </c>
      <c r="AC1023" s="64" t="str">
        <f>IFERROR(VLOOKUP(AA$13&amp;$B1023,Aux!$B:$M,6,0),"")</f>
        <v/>
      </c>
      <c r="AD1023" s="64"/>
      <c r="AE1023" s="63"/>
    </row>
    <row r="1024" spans="2:31" x14ac:dyDescent="0.25">
      <c r="B1024" s="53">
        <f t="shared" si="15"/>
        <v>202</v>
      </c>
      <c r="C1024" s="7"/>
      <c r="D1024" s="17"/>
      <c r="E1024" s="7"/>
      <c r="F1024" s="18"/>
      <c r="G1024" s="18"/>
      <c r="K1024" s="13"/>
      <c r="L1024" s="17"/>
      <c r="M1024" s="13"/>
      <c r="N1024" s="14"/>
      <c r="O1024" s="14"/>
      <c r="S1024" s="13"/>
      <c r="T1024" s="17"/>
      <c r="U1024" s="13"/>
      <c r="V1024" s="14"/>
      <c r="W1024" s="14"/>
      <c r="AA1024" s="13"/>
      <c r="AB1024" s="17"/>
      <c r="AC1024" s="13"/>
      <c r="AD1024" s="14"/>
      <c r="AE1024" s="30"/>
    </row>
    <row r="1025" spans="2:31" x14ac:dyDescent="0.25">
      <c r="B1025" s="53">
        <f t="shared" si="15"/>
        <v>203</v>
      </c>
      <c r="C1025" s="59" t="str">
        <f>IFERROR(VLOOKUP(C$13&amp;$B1029,Aux!$B:$M,5,0),"")</f>
        <v/>
      </c>
      <c r="D1025" s="60" t="str">
        <f>IFERROR(VLOOKUP(C$13&amp;$B1025,Aux!$B:$M,3,0),"")</f>
        <v/>
      </c>
      <c r="E1025" s="60"/>
      <c r="F1025" s="60"/>
      <c r="G1025" s="61" t="str">
        <f>IFERROR(VLOOKUP(C$13&amp;$B1025,Aux!$B:$M,9,0),"")</f>
        <v/>
      </c>
      <c r="K1025" s="59" t="str">
        <f>IFERROR(VLOOKUP(K$13&amp;$B1029,Aux!$B:$M,5,0),"")</f>
        <v/>
      </c>
      <c r="L1025" s="60" t="str">
        <f>IFERROR(VLOOKUP(K$13&amp;$B1025,Aux!$B:$M,3,0),"")</f>
        <v/>
      </c>
      <c r="M1025" s="60"/>
      <c r="N1025" s="60"/>
      <c r="O1025" s="61" t="str">
        <f>IFERROR(VLOOKUP(K$13&amp;$B1025,Aux!$B:$M,9,0),"")</f>
        <v/>
      </c>
      <c r="S1025" s="59" t="str">
        <f>IFERROR(VLOOKUP(S$13&amp;$B1029,Aux!$B:$M,5,0),"")</f>
        <v/>
      </c>
      <c r="T1025" s="60" t="str">
        <f>IFERROR(VLOOKUP(S$13&amp;$B1025,Aux!$B:$M,3,0),"")</f>
        <v/>
      </c>
      <c r="U1025" s="60"/>
      <c r="V1025" s="60"/>
      <c r="W1025" s="61" t="str">
        <f>IFERROR(VLOOKUP(S$13&amp;$B1025,Aux!$B:$M,9,0),"")</f>
        <v/>
      </c>
      <c r="AA1025" s="59" t="str">
        <f>IFERROR(VLOOKUP(AA$13&amp;$B1029,Aux!$B:$M,5,0),"")</f>
        <v/>
      </c>
      <c r="AB1025" s="60" t="str">
        <f>IFERROR(VLOOKUP(AA$13&amp;$B1025,Aux!$B:$M,3,0),"")</f>
        <v/>
      </c>
      <c r="AC1025" s="60"/>
      <c r="AD1025" s="60"/>
      <c r="AE1025" s="61" t="str">
        <f>IFERROR(VLOOKUP(AA$13&amp;$B1025,Aux!$B:$M,9,0),"")</f>
        <v/>
      </c>
    </row>
    <row r="1026" spans="2:31" x14ac:dyDescent="0.25">
      <c r="B1026" s="53">
        <f t="shared" si="15"/>
        <v>203</v>
      </c>
      <c r="C1026" s="59"/>
      <c r="D1026" s="60"/>
      <c r="E1026" s="60"/>
      <c r="F1026" s="60"/>
      <c r="G1026" s="61"/>
      <c r="K1026" s="59"/>
      <c r="L1026" s="60"/>
      <c r="M1026" s="60"/>
      <c r="N1026" s="60"/>
      <c r="O1026" s="61"/>
      <c r="S1026" s="59"/>
      <c r="T1026" s="60"/>
      <c r="U1026" s="60"/>
      <c r="V1026" s="60"/>
      <c r="W1026" s="61"/>
      <c r="AA1026" s="59"/>
      <c r="AB1026" s="60"/>
      <c r="AC1026" s="60"/>
      <c r="AD1026" s="60"/>
      <c r="AE1026" s="61"/>
    </row>
    <row r="1027" spans="2:31" x14ac:dyDescent="0.25">
      <c r="B1027" s="53">
        <f t="shared" si="15"/>
        <v>203</v>
      </c>
      <c r="C1027" s="59"/>
      <c r="D1027" s="15" t="str">
        <f>IF(D1025="","","Исполнитель"&amp;": ")</f>
        <v/>
      </c>
      <c r="E1027" s="62" t="str">
        <f>IFERROR(VLOOKUP(C$13&amp;$B1027,Aux!$B:$M,4,0),"")</f>
        <v/>
      </c>
      <c r="F1027" s="62"/>
      <c r="G1027" s="63" t="str">
        <f>IFERROR(IF(VLOOKUP(C$13&amp;$B1025,Aux!$B:$M,8,0)="Да","✔","🕓"),"")</f>
        <v/>
      </c>
      <c r="K1027" s="59"/>
      <c r="L1027" s="15" t="str">
        <f>IF(L1025="","","Исполнитель"&amp;": ")</f>
        <v/>
      </c>
      <c r="M1027" s="62" t="str">
        <f>IFERROR(VLOOKUP(K$13&amp;$B1027,Aux!$B:$M,4,0),"")</f>
        <v/>
      </c>
      <c r="N1027" s="62"/>
      <c r="O1027" s="63" t="str">
        <f>IFERROR(IF(VLOOKUP(K$13&amp;$B1025,Aux!$B:$M,8,0)="Да","✔","🕓"),"")</f>
        <v/>
      </c>
      <c r="S1027" s="59"/>
      <c r="T1027" s="15" t="str">
        <f>IF(T1025="","","Исполнитель"&amp;": ")</f>
        <v/>
      </c>
      <c r="U1027" s="62" t="str">
        <f>IFERROR(VLOOKUP(S$13&amp;$B1027,Aux!$B:$M,4,0),"")</f>
        <v/>
      </c>
      <c r="V1027" s="62"/>
      <c r="W1027" s="63" t="str">
        <f>IFERROR(IF(VLOOKUP(S$13&amp;$B1025,Aux!$B:$M,8,0)="Да","✔","🕓"),"")</f>
        <v/>
      </c>
      <c r="AA1027" s="59"/>
      <c r="AB1027" s="15" t="str">
        <f>IF(AB1025="","","Исполнитель"&amp;": ")</f>
        <v/>
      </c>
      <c r="AC1027" s="62" t="str">
        <f>IFERROR(VLOOKUP(AA$13&amp;$B1027,Aux!$B:$M,4,0),"")</f>
        <v/>
      </c>
      <c r="AD1027" s="62"/>
      <c r="AE1027" s="63" t="str">
        <f>IFERROR(IF(VLOOKUP(AA$13&amp;$B1025,Aux!$B:$M,8,0)="Да","✔","🕓"),"")</f>
        <v/>
      </c>
    </row>
    <row r="1028" spans="2:31" x14ac:dyDescent="0.25">
      <c r="B1028" s="53">
        <f t="shared" si="15"/>
        <v>203</v>
      </c>
      <c r="C1028" s="59"/>
      <c r="D1028" s="16" t="str">
        <f>IF(D1025="","","Срок сдачи"&amp;": ")</f>
        <v/>
      </c>
      <c r="E1028" s="64" t="str">
        <f>IFERROR(VLOOKUP(C$13&amp;$B1028,Aux!$B:$M,6,0),"")</f>
        <v/>
      </c>
      <c r="F1028" s="64"/>
      <c r="G1028" s="63"/>
      <c r="K1028" s="59"/>
      <c r="L1028" s="16" t="str">
        <f>IF(L1025="","","Срок сдачи"&amp;": ")</f>
        <v/>
      </c>
      <c r="M1028" s="64" t="str">
        <f>IFERROR(VLOOKUP(K$13&amp;$B1028,Aux!$B:$M,6,0),"")</f>
        <v/>
      </c>
      <c r="N1028" s="64"/>
      <c r="O1028" s="63"/>
      <c r="S1028" s="59"/>
      <c r="T1028" s="16" t="str">
        <f>IF(T1025="","","Срок сдачи"&amp;": ")</f>
        <v/>
      </c>
      <c r="U1028" s="64" t="str">
        <f>IFERROR(VLOOKUP(S$13&amp;$B1028,Aux!$B:$M,6,0),"")</f>
        <v/>
      </c>
      <c r="V1028" s="64"/>
      <c r="W1028" s="63"/>
      <c r="AA1028" s="59"/>
      <c r="AB1028" s="16" t="str">
        <f>IF(AB1025="","","Срок сдачи"&amp;": ")</f>
        <v/>
      </c>
      <c r="AC1028" s="64" t="str">
        <f>IFERROR(VLOOKUP(AA$13&amp;$B1028,Aux!$B:$M,6,0),"")</f>
        <v/>
      </c>
      <c r="AD1028" s="64"/>
      <c r="AE1028" s="63"/>
    </row>
    <row r="1029" spans="2:31" x14ac:dyDescent="0.25">
      <c r="B1029" s="53">
        <f t="shared" si="15"/>
        <v>203</v>
      </c>
      <c r="C1029" s="7"/>
      <c r="D1029" s="17"/>
      <c r="E1029" s="7"/>
      <c r="F1029" s="18"/>
      <c r="G1029" s="18"/>
      <c r="K1029" s="13"/>
      <c r="L1029" s="17"/>
      <c r="M1029" s="13"/>
      <c r="N1029" s="14"/>
      <c r="O1029" s="14"/>
      <c r="S1029" s="13"/>
      <c r="T1029" s="17"/>
      <c r="U1029" s="13"/>
      <c r="V1029" s="14"/>
      <c r="W1029" s="14"/>
      <c r="AA1029" s="13"/>
      <c r="AB1029" s="17"/>
      <c r="AC1029" s="13"/>
      <c r="AD1029" s="14"/>
      <c r="AE1029" s="30"/>
    </row>
    <row r="1030" spans="2:31" x14ac:dyDescent="0.25">
      <c r="B1030" s="53">
        <f t="shared" si="15"/>
        <v>204</v>
      </c>
      <c r="C1030" s="59" t="str">
        <f>IFERROR(VLOOKUP(C$13&amp;$B1034,Aux!$B:$M,5,0),"")</f>
        <v/>
      </c>
      <c r="D1030" s="60" t="str">
        <f>IFERROR(VLOOKUP(C$13&amp;$B1030,Aux!$B:$M,3,0),"")</f>
        <v/>
      </c>
      <c r="E1030" s="60"/>
      <c r="F1030" s="60"/>
      <c r="G1030" s="61" t="str">
        <f>IFERROR(VLOOKUP(C$13&amp;$B1030,Aux!$B:$M,9,0),"")</f>
        <v/>
      </c>
      <c r="K1030" s="59" t="str">
        <f>IFERROR(VLOOKUP(K$13&amp;$B1034,Aux!$B:$M,5,0),"")</f>
        <v/>
      </c>
      <c r="L1030" s="60" t="str">
        <f>IFERROR(VLOOKUP(K$13&amp;$B1030,Aux!$B:$M,3,0),"")</f>
        <v/>
      </c>
      <c r="M1030" s="60"/>
      <c r="N1030" s="60"/>
      <c r="O1030" s="61" t="str">
        <f>IFERROR(VLOOKUP(K$13&amp;$B1030,Aux!$B:$M,9,0),"")</f>
        <v/>
      </c>
      <c r="S1030" s="59" t="str">
        <f>IFERROR(VLOOKUP(S$13&amp;$B1034,Aux!$B:$M,5,0),"")</f>
        <v/>
      </c>
      <c r="T1030" s="60" t="str">
        <f>IFERROR(VLOOKUP(S$13&amp;$B1030,Aux!$B:$M,3,0),"")</f>
        <v/>
      </c>
      <c r="U1030" s="60"/>
      <c r="V1030" s="60"/>
      <c r="W1030" s="61" t="str">
        <f>IFERROR(VLOOKUP(S$13&amp;$B1030,Aux!$B:$M,9,0),"")</f>
        <v/>
      </c>
      <c r="AA1030" s="59" t="str">
        <f>IFERROR(VLOOKUP(AA$13&amp;$B1034,Aux!$B:$M,5,0),"")</f>
        <v/>
      </c>
      <c r="AB1030" s="60" t="str">
        <f>IFERROR(VLOOKUP(AA$13&amp;$B1030,Aux!$B:$M,3,0),"")</f>
        <v/>
      </c>
      <c r="AC1030" s="60"/>
      <c r="AD1030" s="60"/>
      <c r="AE1030" s="61" t="str">
        <f>IFERROR(VLOOKUP(AA$13&amp;$B1030,Aux!$B:$M,9,0),"")</f>
        <v/>
      </c>
    </row>
    <row r="1031" spans="2:31" x14ac:dyDescent="0.25">
      <c r="B1031" s="53">
        <f t="shared" si="15"/>
        <v>204</v>
      </c>
      <c r="C1031" s="59"/>
      <c r="D1031" s="60"/>
      <c r="E1031" s="60"/>
      <c r="F1031" s="60"/>
      <c r="G1031" s="61"/>
      <c r="K1031" s="59"/>
      <c r="L1031" s="60"/>
      <c r="M1031" s="60"/>
      <c r="N1031" s="60"/>
      <c r="O1031" s="61"/>
      <c r="S1031" s="59"/>
      <c r="T1031" s="60"/>
      <c r="U1031" s="60"/>
      <c r="V1031" s="60"/>
      <c r="W1031" s="61"/>
      <c r="AA1031" s="59"/>
      <c r="AB1031" s="60"/>
      <c r="AC1031" s="60"/>
      <c r="AD1031" s="60"/>
      <c r="AE1031" s="61"/>
    </row>
    <row r="1032" spans="2:31" x14ac:dyDescent="0.25">
      <c r="B1032" s="53">
        <f t="shared" si="15"/>
        <v>204</v>
      </c>
      <c r="C1032" s="59"/>
      <c r="D1032" s="15" t="str">
        <f>IF(D1030="","","Исполнитель"&amp;": ")</f>
        <v/>
      </c>
      <c r="E1032" s="62" t="str">
        <f>IFERROR(VLOOKUP(C$13&amp;$B1032,Aux!$B:$M,4,0),"")</f>
        <v/>
      </c>
      <c r="F1032" s="62"/>
      <c r="G1032" s="63" t="str">
        <f>IFERROR(IF(VLOOKUP(C$13&amp;$B1030,Aux!$B:$M,8,0)="Да","✔","🕓"),"")</f>
        <v/>
      </c>
      <c r="K1032" s="59"/>
      <c r="L1032" s="15" t="str">
        <f>IF(L1030="","","Исполнитель"&amp;": ")</f>
        <v/>
      </c>
      <c r="M1032" s="62" t="str">
        <f>IFERROR(VLOOKUP(K$13&amp;$B1032,Aux!$B:$M,4,0),"")</f>
        <v/>
      </c>
      <c r="N1032" s="62"/>
      <c r="O1032" s="63" t="str">
        <f>IFERROR(IF(VLOOKUP(K$13&amp;$B1030,Aux!$B:$M,8,0)="Да","✔","🕓"),"")</f>
        <v/>
      </c>
      <c r="S1032" s="59"/>
      <c r="T1032" s="15" t="str">
        <f>IF(T1030="","","Исполнитель"&amp;": ")</f>
        <v/>
      </c>
      <c r="U1032" s="62" t="str">
        <f>IFERROR(VLOOKUP(S$13&amp;$B1032,Aux!$B:$M,4,0),"")</f>
        <v/>
      </c>
      <c r="V1032" s="62"/>
      <c r="W1032" s="63" t="str">
        <f>IFERROR(IF(VLOOKUP(S$13&amp;$B1030,Aux!$B:$M,8,0)="Да","✔","🕓"),"")</f>
        <v/>
      </c>
      <c r="AA1032" s="59"/>
      <c r="AB1032" s="15" t="str">
        <f>IF(AB1030="","","Исполнитель"&amp;": ")</f>
        <v/>
      </c>
      <c r="AC1032" s="62" t="str">
        <f>IFERROR(VLOOKUP(AA$13&amp;$B1032,Aux!$B:$M,4,0),"")</f>
        <v/>
      </c>
      <c r="AD1032" s="62"/>
      <c r="AE1032" s="63" t="str">
        <f>IFERROR(IF(VLOOKUP(AA$13&amp;$B1030,Aux!$B:$M,8,0)="Да","✔","🕓"),"")</f>
        <v/>
      </c>
    </row>
    <row r="1033" spans="2:31" x14ac:dyDescent="0.25">
      <c r="B1033" s="53">
        <f t="shared" si="15"/>
        <v>204</v>
      </c>
      <c r="C1033" s="59"/>
      <c r="D1033" s="16" t="str">
        <f>IF(D1030="","","Срок сдачи"&amp;": ")</f>
        <v/>
      </c>
      <c r="E1033" s="64" t="str">
        <f>IFERROR(VLOOKUP(C$13&amp;$B1033,Aux!$B:$M,6,0),"")</f>
        <v/>
      </c>
      <c r="F1033" s="64"/>
      <c r="G1033" s="63"/>
      <c r="K1033" s="59"/>
      <c r="L1033" s="16" t="str">
        <f>IF(L1030="","","Срок сдачи"&amp;": ")</f>
        <v/>
      </c>
      <c r="M1033" s="64" t="str">
        <f>IFERROR(VLOOKUP(K$13&amp;$B1033,Aux!$B:$M,6,0),"")</f>
        <v/>
      </c>
      <c r="N1033" s="64"/>
      <c r="O1033" s="63"/>
      <c r="S1033" s="59"/>
      <c r="T1033" s="16" t="str">
        <f>IF(T1030="","","Срок сдачи"&amp;": ")</f>
        <v/>
      </c>
      <c r="U1033" s="64" t="str">
        <f>IFERROR(VLOOKUP(S$13&amp;$B1033,Aux!$B:$M,6,0),"")</f>
        <v/>
      </c>
      <c r="V1033" s="64"/>
      <c r="W1033" s="63"/>
      <c r="AA1033" s="59"/>
      <c r="AB1033" s="16" t="str">
        <f>IF(AB1030="","","Срок сдачи"&amp;": ")</f>
        <v/>
      </c>
      <c r="AC1033" s="64" t="str">
        <f>IFERROR(VLOOKUP(AA$13&amp;$B1033,Aux!$B:$M,6,0),"")</f>
        <v/>
      </c>
      <c r="AD1033" s="64"/>
      <c r="AE1033" s="63"/>
    </row>
    <row r="1034" spans="2:31" x14ac:dyDescent="0.25">
      <c r="B1034" s="53">
        <f t="shared" si="15"/>
        <v>204</v>
      </c>
      <c r="C1034" s="7"/>
      <c r="D1034" s="17"/>
      <c r="E1034" s="7"/>
      <c r="F1034" s="18"/>
      <c r="G1034" s="18"/>
      <c r="K1034" s="13"/>
      <c r="L1034" s="17"/>
      <c r="M1034" s="13"/>
      <c r="N1034" s="14"/>
      <c r="O1034" s="14"/>
      <c r="S1034" s="13"/>
      <c r="T1034" s="17"/>
      <c r="U1034" s="13"/>
      <c r="V1034" s="14"/>
      <c r="W1034" s="14"/>
      <c r="AA1034" s="13"/>
      <c r="AB1034" s="17"/>
      <c r="AC1034" s="13"/>
      <c r="AD1034" s="14"/>
      <c r="AE1034" s="30"/>
    </row>
    <row r="1035" spans="2:31" x14ac:dyDescent="0.25">
      <c r="B1035" s="53">
        <f t="shared" si="15"/>
        <v>205</v>
      </c>
      <c r="C1035" s="59" t="str">
        <f>IFERROR(VLOOKUP(C$13&amp;$B1039,Aux!$B:$M,5,0),"")</f>
        <v/>
      </c>
      <c r="D1035" s="60" t="str">
        <f>IFERROR(VLOOKUP(C$13&amp;$B1035,Aux!$B:$M,3,0),"")</f>
        <v/>
      </c>
      <c r="E1035" s="60"/>
      <c r="F1035" s="60"/>
      <c r="G1035" s="61" t="str">
        <f>IFERROR(VLOOKUP(C$13&amp;$B1035,Aux!$B:$M,9,0),"")</f>
        <v/>
      </c>
      <c r="K1035" s="59" t="str">
        <f>IFERROR(VLOOKUP(K$13&amp;$B1039,Aux!$B:$M,5,0),"")</f>
        <v/>
      </c>
      <c r="L1035" s="60" t="str">
        <f>IFERROR(VLOOKUP(K$13&amp;$B1035,Aux!$B:$M,3,0),"")</f>
        <v/>
      </c>
      <c r="M1035" s="60"/>
      <c r="N1035" s="60"/>
      <c r="O1035" s="61" t="str">
        <f>IFERROR(VLOOKUP(K$13&amp;$B1035,Aux!$B:$M,9,0),"")</f>
        <v/>
      </c>
      <c r="S1035" s="59" t="str">
        <f>IFERROR(VLOOKUP(S$13&amp;$B1039,Aux!$B:$M,5,0),"")</f>
        <v/>
      </c>
      <c r="T1035" s="60" t="str">
        <f>IFERROR(VLOOKUP(S$13&amp;$B1035,Aux!$B:$M,3,0),"")</f>
        <v/>
      </c>
      <c r="U1035" s="60"/>
      <c r="V1035" s="60"/>
      <c r="W1035" s="61" t="str">
        <f>IFERROR(VLOOKUP(S$13&amp;$B1035,Aux!$B:$M,9,0),"")</f>
        <v/>
      </c>
      <c r="AA1035" s="59" t="str">
        <f>IFERROR(VLOOKUP(AA$13&amp;$B1039,Aux!$B:$M,5,0),"")</f>
        <v/>
      </c>
      <c r="AB1035" s="60" t="str">
        <f>IFERROR(VLOOKUP(AA$13&amp;$B1035,Aux!$B:$M,3,0),"")</f>
        <v/>
      </c>
      <c r="AC1035" s="60"/>
      <c r="AD1035" s="60"/>
      <c r="AE1035" s="61" t="str">
        <f>IFERROR(VLOOKUP(AA$13&amp;$B1035,Aux!$B:$M,9,0),"")</f>
        <v/>
      </c>
    </row>
    <row r="1036" spans="2:31" x14ac:dyDescent="0.25">
      <c r="B1036" s="53">
        <f t="shared" si="15"/>
        <v>205</v>
      </c>
      <c r="C1036" s="59"/>
      <c r="D1036" s="60"/>
      <c r="E1036" s="60"/>
      <c r="F1036" s="60"/>
      <c r="G1036" s="61"/>
      <c r="K1036" s="59"/>
      <c r="L1036" s="60"/>
      <c r="M1036" s="60"/>
      <c r="N1036" s="60"/>
      <c r="O1036" s="61"/>
      <c r="S1036" s="59"/>
      <c r="T1036" s="60"/>
      <c r="U1036" s="60"/>
      <c r="V1036" s="60"/>
      <c r="W1036" s="61"/>
      <c r="AA1036" s="59"/>
      <c r="AB1036" s="60"/>
      <c r="AC1036" s="60"/>
      <c r="AD1036" s="60"/>
      <c r="AE1036" s="61"/>
    </row>
    <row r="1037" spans="2:31" x14ac:dyDescent="0.25">
      <c r="B1037" s="53">
        <f t="shared" si="15"/>
        <v>205</v>
      </c>
      <c r="C1037" s="59"/>
      <c r="D1037" s="15" t="str">
        <f>IF(D1035="","","Исполнитель"&amp;": ")</f>
        <v/>
      </c>
      <c r="E1037" s="62" t="str">
        <f>IFERROR(VLOOKUP(C$13&amp;$B1037,Aux!$B:$M,4,0),"")</f>
        <v/>
      </c>
      <c r="F1037" s="62"/>
      <c r="G1037" s="63" t="str">
        <f>IFERROR(IF(VLOOKUP(C$13&amp;$B1035,Aux!$B:$M,8,0)="Да","✔","🕓"),"")</f>
        <v/>
      </c>
      <c r="K1037" s="59"/>
      <c r="L1037" s="15" t="str">
        <f>IF(L1035="","","Исполнитель"&amp;": ")</f>
        <v/>
      </c>
      <c r="M1037" s="62" t="str">
        <f>IFERROR(VLOOKUP(K$13&amp;$B1037,Aux!$B:$M,4,0),"")</f>
        <v/>
      </c>
      <c r="N1037" s="62"/>
      <c r="O1037" s="63" t="str">
        <f>IFERROR(IF(VLOOKUP(K$13&amp;$B1035,Aux!$B:$M,8,0)="Да","✔","🕓"),"")</f>
        <v/>
      </c>
      <c r="S1037" s="59"/>
      <c r="T1037" s="15" t="str">
        <f>IF(T1035="","","Исполнитель"&amp;": ")</f>
        <v/>
      </c>
      <c r="U1037" s="62" t="str">
        <f>IFERROR(VLOOKUP(S$13&amp;$B1037,Aux!$B:$M,4,0),"")</f>
        <v/>
      </c>
      <c r="V1037" s="62"/>
      <c r="W1037" s="63" t="str">
        <f>IFERROR(IF(VLOOKUP(S$13&amp;$B1035,Aux!$B:$M,8,0)="Да","✔","🕓"),"")</f>
        <v/>
      </c>
      <c r="AA1037" s="59"/>
      <c r="AB1037" s="15" t="str">
        <f>IF(AB1035="","","Исполнитель"&amp;": ")</f>
        <v/>
      </c>
      <c r="AC1037" s="62" t="str">
        <f>IFERROR(VLOOKUP(AA$13&amp;$B1037,Aux!$B:$M,4,0),"")</f>
        <v/>
      </c>
      <c r="AD1037" s="62"/>
      <c r="AE1037" s="63" t="str">
        <f>IFERROR(IF(VLOOKUP(AA$13&amp;$B1035,Aux!$B:$M,8,0)="Да","✔","🕓"),"")</f>
        <v/>
      </c>
    </row>
    <row r="1038" spans="2:31" x14ac:dyDescent="0.25">
      <c r="B1038" s="53">
        <f t="shared" si="15"/>
        <v>205</v>
      </c>
      <c r="C1038" s="59"/>
      <c r="D1038" s="16" t="str">
        <f>IF(D1035="","","Срок сдачи"&amp;": ")</f>
        <v/>
      </c>
      <c r="E1038" s="64" t="str">
        <f>IFERROR(VLOOKUP(C$13&amp;$B1038,Aux!$B:$M,6,0),"")</f>
        <v/>
      </c>
      <c r="F1038" s="64"/>
      <c r="G1038" s="63"/>
      <c r="K1038" s="59"/>
      <c r="L1038" s="16" t="str">
        <f>IF(L1035="","","Срок сдачи"&amp;": ")</f>
        <v/>
      </c>
      <c r="M1038" s="64" t="str">
        <f>IFERROR(VLOOKUP(K$13&amp;$B1038,Aux!$B:$M,6,0),"")</f>
        <v/>
      </c>
      <c r="N1038" s="64"/>
      <c r="O1038" s="63"/>
      <c r="S1038" s="59"/>
      <c r="T1038" s="16" t="str">
        <f>IF(T1035="","","Срок сдачи"&amp;": ")</f>
        <v/>
      </c>
      <c r="U1038" s="64" t="str">
        <f>IFERROR(VLOOKUP(S$13&amp;$B1038,Aux!$B:$M,6,0),"")</f>
        <v/>
      </c>
      <c r="V1038" s="64"/>
      <c r="W1038" s="63"/>
      <c r="AA1038" s="59"/>
      <c r="AB1038" s="16" t="str">
        <f>IF(AB1035="","","Срок сдачи"&amp;": ")</f>
        <v/>
      </c>
      <c r="AC1038" s="64" t="str">
        <f>IFERROR(VLOOKUP(AA$13&amp;$B1038,Aux!$B:$M,6,0),"")</f>
        <v/>
      </c>
      <c r="AD1038" s="64"/>
      <c r="AE1038" s="63"/>
    </row>
    <row r="1039" spans="2:31" x14ac:dyDescent="0.25">
      <c r="B1039" s="53">
        <f t="shared" si="15"/>
        <v>205</v>
      </c>
      <c r="C1039" s="7"/>
      <c r="D1039" s="17"/>
      <c r="E1039" s="7"/>
      <c r="F1039" s="18"/>
      <c r="G1039" s="18"/>
      <c r="K1039" s="13"/>
      <c r="L1039" s="17"/>
      <c r="M1039" s="13"/>
      <c r="N1039" s="14"/>
      <c r="O1039" s="14"/>
      <c r="S1039" s="13"/>
      <c r="T1039" s="17"/>
      <c r="U1039" s="13"/>
      <c r="V1039" s="14"/>
      <c r="W1039" s="14"/>
      <c r="AA1039" s="13"/>
      <c r="AB1039" s="17"/>
      <c r="AC1039" s="13"/>
      <c r="AD1039" s="14"/>
      <c r="AE1039" s="30"/>
    </row>
    <row r="1040" spans="2:31" x14ac:dyDescent="0.25">
      <c r="B1040" s="53">
        <f t="shared" si="15"/>
        <v>206</v>
      </c>
      <c r="C1040" s="59" t="str">
        <f>IFERROR(VLOOKUP(C$13&amp;$B1044,Aux!$B:$M,5,0),"")</f>
        <v/>
      </c>
      <c r="D1040" s="60" t="str">
        <f>IFERROR(VLOOKUP(C$13&amp;$B1040,Aux!$B:$M,3,0),"")</f>
        <v/>
      </c>
      <c r="E1040" s="60"/>
      <c r="F1040" s="60"/>
      <c r="G1040" s="61" t="str">
        <f>IFERROR(VLOOKUP(C$13&amp;$B1040,Aux!$B:$M,9,0),"")</f>
        <v/>
      </c>
      <c r="K1040" s="59" t="str">
        <f>IFERROR(VLOOKUP(K$13&amp;$B1044,Aux!$B:$M,5,0),"")</f>
        <v/>
      </c>
      <c r="L1040" s="60" t="str">
        <f>IFERROR(VLOOKUP(K$13&amp;$B1040,Aux!$B:$M,3,0),"")</f>
        <v/>
      </c>
      <c r="M1040" s="60"/>
      <c r="N1040" s="60"/>
      <c r="O1040" s="61" t="str">
        <f>IFERROR(VLOOKUP(K$13&amp;$B1040,Aux!$B:$M,9,0),"")</f>
        <v/>
      </c>
      <c r="S1040" s="59" t="str">
        <f>IFERROR(VLOOKUP(S$13&amp;$B1044,Aux!$B:$M,5,0),"")</f>
        <v/>
      </c>
      <c r="T1040" s="60" t="str">
        <f>IFERROR(VLOOKUP(S$13&amp;$B1040,Aux!$B:$M,3,0),"")</f>
        <v/>
      </c>
      <c r="U1040" s="60"/>
      <c r="V1040" s="60"/>
      <c r="W1040" s="61" t="str">
        <f>IFERROR(VLOOKUP(S$13&amp;$B1040,Aux!$B:$M,9,0),"")</f>
        <v/>
      </c>
      <c r="AA1040" s="59" t="str">
        <f>IFERROR(VLOOKUP(AA$13&amp;$B1044,Aux!$B:$M,5,0),"")</f>
        <v/>
      </c>
      <c r="AB1040" s="60" t="str">
        <f>IFERROR(VLOOKUP(AA$13&amp;$B1040,Aux!$B:$M,3,0),"")</f>
        <v/>
      </c>
      <c r="AC1040" s="60"/>
      <c r="AD1040" s="60"/>
      <c r="AE1040" s="61" t="str">
        <f>IFERROR(VLOOKUP(AA$13&amp;$B1040,Aux!$B:$M,9,0),"")</f>
        <v/>
      </c>
    </row>
    <row r="1041" spans="2:31" x14ac:dyDescent="0.25">
      <c r="B1041" s="53">
        <f t="shared" si="15"/>
        <v>206</v>
      </c>
      <c r="C1041" s="59"/>
      <c r="D1041" s="60"/>
      <c r="E1041" s="60"/>
      <c r="F1041" s="60"/>
      <c r="G1041" s="61"/>
      <c r="K1041" s="59"/>
      <c r="L1041" s="60"/>
      <c r="M1041" s="60"/>
      <c r="N1041" s="60"/>
      <c r="O1041" s="61"/>
      <c r="S1041" s="59"/>
      <c r="T1041" s="60"/>
      <c r="U1041" s="60"/>
      <c r="V1041" s="60"/>
      <c r="W1041" s="61"/>
      <c r="AA1041" s="59"/>
      <c r="AB1041" s="60"/>
      <c r="AC1041" s="60"/>
      <c r="AD1041" s="60"/>
      <c r="AE1041" s="61"/>
    </row>
    <row r="1042" spans="2:31" x14ac:dyDescent="0.25">
      <c r="B1042" s="53">
        <f t="shared" si="15"/>
        <v>206</v>
      </c>
      <c r="C1042" s="59"/>
      <c r="D1042" s="15" t="str">
        <f>IF(D1040="","","Исполнитель"&amp;": ")</f>
        <v/>
      </c>
      <c r="E1042" s="62" t="str">
        <f>IFERROR(VLOOKUP(C$13&amp;$B1042,Aux!$B:$M,4,0),"")</f>
        <v/>
      </c>
      <c r="F1042" s="62"/>
      <c r="G1042" s="63" t="str">
        <f>IFERROR(IF(VLOOKUP(C$13&amp;$B1040,Aux!$B:$M,8,0)="Да","✔","🕓"),"")</f>
        <v/>
      </c>
      <c r="K1042" s="59"/>
      <c r="L1042" s="15" t="str">
        <f>IF(L1040="","","Исполнитель"&amp;": ")</f>
        <v/>
      </c>
      <c r="M1042" s="62" t="str">
        <f>IFERROR(VLOOKUP(K$13&amp;$B1042,Aux!$B:$M,4,0),"")</f>
        <v/>
      </c>
      <c r="N1042" s="62"/>
      <c r="O1042" s="63" t="str">
        <f>IFERROR(IF(VLOOKUP(K$13&amp;$B1040,Aux!$B:$M,8,0)="Да","✔","🕓"),"")</f>
        <v/>
      </c>
      <c r="S1042" s="59"/>
      <c r="T1042" s="15" t="str">
        <f>IF(T1040="","","Исполнитель"&amp;": ")</f>
        <v/>
      </c>
      <c r="U1042" s="62" t="str">
        <f>IFERROR(VLOOKUP(S$13&amp;$B1042,Aux!$B:$M,4,0),"")</f>
        <v/>
      </c>
      <c r="V1042" s="62"/>
      <c r="W1042" s="63" t="str">
        <f>IFERROR(IF(VLOOKUP(S$13&amp;$B1040,Aux!$B:$M,8,0)="Да","✔","🕓"),"")</f>
        <v/>
      </c>
      <c r="AA1042" s="59"/>
      <c r="AB1042" s="15" t="str">
        <f>IF(AB1040="","","Исполнитель"&amp;": ")</f>
        <v/>
      </c>
      <c r="AC1042" s="62" t="str">
        <f>IFERROR(VLOOKUP(AA$13&amp;$B1042,Aux!$B:$M,4,0),"")</f>
        <v/>
      </c>
      <c r="AD1042" s="62"/>
      <c r="AE1042" s="63" t="str">
        <f>IFERROR(IF(VLOOKUP(AA$13&amp;$B1040,Aux!$B:$M,8,0)="Да","✔","🕓"),"")</f>
        <v/>
      </c>
    </row>
    <row r="1043" spans="2:31" x14ac:dyDescent="0.25">
      <c r="B1043" s="53">
        <f t="shared" si="15"/>
        <v>206</v>
      </c>
      <c r="C1043" s="59"/>
      <c r="D1043" s="16" t="str">
        <f>IF(D1040="","","Срок сдачи"&amp;": ")</f>
        <v/>
      </c>
      <c r="E1043" s="64" t="str">
        <f>IFERROR(VLOOKUP(C$13&amp;$B1043,Aux!$B:$M,6,0),"")</f>
        <v/>
      </c>
      <c r="F1043" s="64"/>
      <c r="G1043" s="63"/>
      <c r="K1043" s="59"/>
      <c r="L1043" s="16" t="str">
        <f>IF(L1040="","","Срок сдачи"&amp;": ")</f>
        <v/>
      </c>
      <c r="M1043" s="64" t="str">
        <f>IFERROR(VLOOKUP(K$13&amp;$B1043,Aux!$B:$M,6,0),"")</f>
        <v/>
      </c>
      <c r="N1043" s="64"/>
      <c r="O1043" s="63"/>
      <c r="S1043" s="59"/>
      <c r="T1043" s="16" t="str">
        <f>IF(T1040="","","Срок сдачи"&amp;": ")</f>
        <v/>
      </c>
      <c r="U1043" s="64" t="str">
        <f>IFERROR(VLOOKUP(S$13&amp;$B1043,Aux!$B:$M,6,0),"")</f>
        <v/>
      </c>
      <c r="V1043" s="64"/>
      <c r="W1043" s="63"/>
      <c r="AA1043" s="59"/>
      <c r="AB1043" s="16" t="str">
        <f>IF(AB1040="","","Срок сдачи"&amp;": ")</f>
        <v/>
      </c>
      <c r="AC1043" s="64" t="str">
        <f>IFERROR(VLOOKUP(AA$13&amp;$B1043,Aux!$B:$M,6,0),"")</f>
        <v/>
      </c>
      <c r="AD1043" s="64"/>
      <c r="AE1043" s="63"/>
    </row>
    <row r="1044" spans="2:31" x14ac:dyDescent="0.25">
      <c r="B1044" s="53">
        <f t="shared" si="15"/>
        <v>206</v>
      </c>
      <c r="C1044" s="7"/>
      <c r="D1044" s="17"/>
      <c r="E1044" s="7"/>
      <c r="F1044" s="18"/>
      <c r="G1044" s="18"/>
      <c r="K1044" s="13"/>
      <c r="L1044" s="17"/>
      <c r="M1044" s="13"/>
      <c r="N1044" s="14"/>
      <c r="O1044" s="14"/>
      <c r="S1044" s="13"/>
      <c r="T1044" s="17"/>
      <c r="U1044" s="13"/>
      <c r="V1044" s="14"/>
      <c r="W1044" s="14"/>
      <c r="AA1044" s="13"/>
      <c r="AB1044" s="17"/>
      <c r="AC1044" s="13"/>
      <c r="AD1044" s="14"/>
      <c r="AE1044" s="30"/>
    </row>
    <row r="1045" spans="2:31" x14ac:dyDescent="0.25">
      <c r="B1045" s="53">
        <f t="shared" ref="B1045:B1108" si="16">B1040+1</f>
        <v>207</v>
      </c>
      <c r="C1045" s="59" t="str">
        <f>IFERROR(VLOOKUP(C$13&amp;$B1049,Aux!$B:$M,5,0),"")</f>
        <v/>
      </c>
      <c r="D1045" s="60" t="str">
        <f>IFERROR(VLOOKUP(C$13&amp;$B1045,Aux!$B:$M,3,0),"")</f>
        <v/>
      </c>
      <c r="E1045" s="60"/>
      <c r="F1045" s="60"/>
      <c r="G1045" s="61" t="str">
        <f>IFERROR(VLOOKUP(C$13&amp;$B1045,Aux!$B:$M,9,0),"")</f>
        <v/>
      </c>
      <c r="K1045" s="59" t="str">
        <f>IFERROR(VLOOKUP(K$13&amp;$B1049,Aux!$B:$M,5,0),"")</f>
        <v/>
      </c>
      <c r="L1045" s="60" t="str">
        <f>IFERROR(VLOOKUP(K$13&amp;$B1045,Aux!$B:$M,3,0),"")</f>
        <v/>
      </c>
      <c r="M1045" s="60"/>
      <c r="N1045" s="60"/>
      <c r="O1045" s="61" t="str">
        <f>IFERROR(VLOOKUP(K$13&amp;$B1045,Aux!$B:$M,9,0),"")</f>
        <v/>
      </c>
      <c r="S1045" s="59" t="str">
        <f>IFERROR(VLOOKUP(S$13&amp;$B1049,Aux!$B:$M,5,0),"")</f>
        <v/>
      </c>
      <c r="T1045" s="60" t="str">
        <f>IFERROR(VLOOKUP(S$13&amp;$B1045,Aux!$B:$M,3,0),"")</f>
        <v/>
      </c>
      <c r="U1045" s="60"/>
      <c r="V1045" s="60"/>
      <c r="W1045" s="61" t="str">
        <f>IFERROR(VLOOKUP(S$13&amp;$B1045,Aux!$B:$M,9,0),"")</f>
        <v/>
      </c>
      <c r="AA1045" s="59" t="str">
        <f>IFERROR(VLOOKUP(AA$13&amp;$B1049,Aux!$B:$M,5,0),"")</f>
        <v/>
      </c>
      <c r="AB1045" s="60" t="str">
        <f>IFERROR(VLOOKUP(AA$13&amp;$B1045,Aux!$B:$M,3,0),"")</f>
        <v/>
      </c>
      <c r="AC1045" s="60"/>
      <c r="AD1045" s="60"/>
      <c r="AE1045" s="61" t="str">
        <f>IFERROR(VLOOKUP(AA$13&amp;$B1045,Aux!$B:$M,9,0),"")</f>
        <v/>
      </c>
    </row>
    <row r="1046" spans="2:31" x14ac:dyDescent="0.25">
      <c r="B1046" s="53">
        <f t="shared" si="16"/>
        <v>207</v>
      </c>
      <c r="C1046" s="59"/>
      <c r="D1046" s="60"/>
      <c r="E1046" s="60"/>
      <c r="F1046" s="60"/>
      <c r="G1046" s="61"/>
      <c r="K1046" s="59"/>
      <c r="L1046" s="60"/>
      <c r="M1046" s="60"/>
      <c r="N1046" s="60"/>
      <c r="O1046" s="61"/>
      <c r="S1046" s="59"/>
      <c r="T1046" s="60"/>
      <c r="U1046" s="60"/>
      <c r="V1046" s="60"/>
      <c r="W1046" s="61"/>
      <c r="AA1046" s="59"/>
      <c r="AB1046" s="60"/>
      <c r="AC1046" s="60"/>
      <c r="AD1046" s="60"/>
      <c r="AE1046" s="61"/>
    </row>
    <row r="1047" spans="2:31" x14ac:dyDescent="0.25">
      <c r="B1047" s="53">
        <f t="shared" si="16"/>
        <v>207</v>
      </c>
      <c r="C1047" s="59"/>
      <c r="D1047" s="15" t="str">
        <f>IF(D1045="","","Исполнитель"&amp;": ")</f>
        <v/>
      </c>
      <c r="E1047" s="62" t="str">
        <f>IFERROR(VLOOKUP(C$13&amp;$B1047,Aux!$B:$M,4,0),"")</f>
        <v/>
      </c>
      <c r="F1047" s="62"/>
      <c r="G1047" s="63" t="str">
        <f>IFERROR(IF(VLOOKUP(C$13&amp;$B1045,Aux!$B:$M,8,0)="Да","✔","🕓"),"")</f>
        <v/>
      </c>
      <c r="K1047" s="59"/>
      <c r="L1047" s="15" t="str">
        <f>IF(L1045="","","Исполнитель"&amp;": ")</f>
        <v/>
      </c>
      <c r="M1047" s="62" t="str">
        <f>IFERROR(VLOOKUP(K$13&amp;$B1047,Aux!$B:$M,4,0),"")</f>
        <v/>
      </c>
      <c r="N1047" s="62"/>
      <c r="O1047" s="63" t="str">
        <f>IFERROR(IF(VLOOKUP(K$13&amp;$B1045,Aux!$B:$M,8,0)="Да","✔","🕓"),"")</f>
        <v/>
      </c>
      <c r="S1047" s="59"/>
      <c r="T1047" s="15" t="str">
        <f>IF(T1045="","","Исполнитель"&amp;": ")</f>
        <v/>
      </c>
      <c r="U1047" s="62" t="str">
        <f>IFERROR(VLOOKUP(S$13&amp;$B1047,Aux!$B:$M,4,0),"")</f>
        <v/>
      </c>
      <c r="V1047" s="62"/>
      <c r="W1047" s="63" t="str">
        <f>IFERROR(IF(VLOOKUP(S$13&amp;$B1045,Aux!$B:$M,8,0)="Да","✔","🕓"),"")</f>
        <v/>
      </c>
      <c r="AA1047" s="59"/>
      <c r="AB1047" s="15" t="str">
        <f>IF(AB1045="","","Исполнитель"&amp;": ")</f>
        <v/>
      </c>
      <c r="AC1047" s="62" t="str">
        <f>IFERROR(VLOOKUP(AA$13&amp;$B1047,Aux!$B:$M,4,0),"")</f>
        <v/>
      </c>
      <c r="AD1047" s="62"/>
      <c r="AE1047" s="63" t="str">
        <f>IFERROR(IF(VLOOKUP(AA$13&amp;$B1045,Aux!$B:$M,8,0)="Да","✔","🕓"),"")</f>
        <v/>
      </c>
    </row>
    <row r="1048" spans="2:31" x14ac:dyDescent="0.25">
      <c r="B1048" s="53">
        <f t="shared" si="16"/>
        <v>207</v>
      </c>
      <c r="C1048" s="59"/>
      <c r="D1048" s="16" t="str">
        <f>IF(D1045="","","Срок сдачи"&amp;": ")</f>
        <v/>
      </c>
      <c r="E1048" s="64" t="str">
        <f>IFERROR(VLOOKUP(C$13&amp;$B1048,Aux!$B:$M,6,0),"")</f>
        <v/>
      </c>
      <c r="F1048" s="64"/>
      <c r="G1048" s="63"/>
      <c r="K1048" s="59"/>
      <c r="L1048" s="16" t="str">
        <f>IF(L1045="","","Срок сдачи"&amp;": ")</f>
        <v/>
      </c>
      <c r="M1048" s="64" t="str">
        <f>IFERROR(VLOOKUP(K$13&amp;$B1048,Aux!$B:$M,6,0),"")</f>
        <v/>
      </c>
      <c r="N1048" s="64"/>
      <c r="O1048" s="63"/>
      <c r="S1048" s="59"/>
      <c r="T1048" s="16" t="str">
        <f>IF(T1045="","","Срок сдачи"&amp;": ")</f>
        <v/>
      </c>
      <c r="U1048" s="64" t="str">
        <f>IFERROR(VLOOKUP(S$13&amp;$B1048,Aux!$B:$M,6,0),"")</f>
        <v/>
      </c>
      <c r="V1048" s="64"/>
      <c r="W1048" s="63"/>
      <c r="AA1048" s="59"/>
      <c r="AB1048" s="16" t="str">
        <f>IF(AB1045="","","Срок сдачи"&amp;": ")</f>
        <v/>
      </c>
      <c r="AC1048" s="64" t="str">
        <f>IFERROR(VLOOKUP(AA$13&amp;$B1048,Aux!$B:$M,6,0),"")</f>
        <v/>
      </c>
      <c r="AD1048" s="64"/>
      <c r="AE1048" s="63"/>
    </row>
    <row r="1049" spans="2:31" x14ac:dyDescent="0.25">
      <c r="B1049" s="53">
        <f t="shared" si="16"/>
        <v>207</v>
      </c>
      <c r="C1049" s="7"/>
      <c r="D1049" s="17"/>
      <c r="E1049" s="7"/>
      <c r="F1049" s="18"/>
      <c r="G1049" s="18"/>
      <c r="K1049" s="13"/>
      <c r="L1049" s="17"/>
      <c r="M1049" s="13"/>
      <c r="N1049" s="14"/>
      <c r="O1049" s="14"/>
      <c r="S1049" s="13"/>
      <c r="T1049" s="17"/>
      <c r="U1049" s="13"/>
      <c r="V1049" s="14"/>
      <c r="W1049" s="14"/>
      <c r="AA1049" s="13"/>
      <c r="AB1049" s="17"/>
      <c r="AC1049" s="13"/>
      <c r="AD1049" s="14"/>
      <c r="AE1049" s="30"/>
    </row>
    <row r="1050" spans="2:31" x14ac:dyDescent="0.25">
      <c r="B1050" s="53">
        <f t="shared" si="16"/>
        <v>208</v>
      </c>
      <c r="C1050" s="59" t="str">
        <f>IFERROR(VLOOKUP(C$13&amp;$B1054,Aux!$B:$M,5,0),"")</f>
        <v/>
      </c>
      <c r="D1050" s="60" t="str">
        <f>IFERROR(VLOOKUP(C$13&amp;$B1050,Aux!$B:$M,3,0),"")</f>
        <v/>
      </c>
      <c r="E1050" s="60"/>
      <c r="F1050" s="60"/>
      <c r="G1050" s="61" t="str">
        <f>IFERROR(VLOOKUP(C$13&amp;$B1050,Aux!$B:$M,9,0),"")</f>
        <v/>
      </c>
      <c r="K1050" s="59" t="str">
        <f>IFERROR(VLOOKUP(K$13&amp;$B1054,Aux!$B:$M,5,0),"")</f>
        <v/>
      </c>
      <c r="L1050" s="60" t="str">
        <f>IFERROR(VLOOKUP(K$13&amp;$B1050,Aux!$B:$M,3,0),"")</f>
        <v/>
      </c>
      <c r="M1050" s="60"/>
      <c r="N1050" s="60"/>
      <c r="O1050" s="61" t="str">
        <f>IFERROR(VLOOKUP(K$13&amp;$B1050,Aux!$B:$M,9,0),"")</f>
        <v/>
      </c>
      <c r="S1050" s="59" t="str">
        <f>IFERROR(VLOOKUP(S$13&amp;$B1054,Aux!$B:$M,5,0),"")</f>
        <v/>
      </c>
      <c r="T1050" s="60" t="str">
        <f>IFERROR(VLOOKUP(S$13&amp;$B1050,Aux!$B:$M,3,0),"")</f>
        <v/>
      </c>
      <c r="U1050" s="60"/>
      <c r="V1050" s="60"/>
      <c r="W1050" s="61" t="str">
        <f>IFERROR(VLOOKUP(S$13&amp;$B1050,Aux!$B:$M,9,0),"")</f>
        <v/>
      </c>
      <c r="AA1050" s="59" t="str">
        <f>IFERROR(VLOOKUP(AA$13&amp;$B1054,Aux!$B:$M,5,0),"")</f>
        <v/>
      </c>
      <c r="AB1050" s="60" t="str">
        <f>IFERROR(VLOOKUP(AA$13&amp;$B1050,Aux!$B:$M,3,0),"")</f>
        <v/>
      </c>
      <c r="AC1050" s="60"/>
      <c r="AD1050" s="60"/>
      <c r="AE1050" s="61" t="str">
        <f>IFERROR(VLOOKUP(AA$13&amp;$B1050,Aux!$B:$M,9,0),"")</f>
        <v/>
      </c>
    </row>
    <row r="1051" spans="2:31" x14ac:dyDescent="0.25">
      <c r="B1051" s="53">
        <f t="shared" si="16"/>
        <v>208</v>
      </c>
      <c r="C1051" s="59"/>
      <c r="D1051" s="60"/>
      <c r="E1051" s="60"/>
      <c r="F1051" s="60"/>
      <c r="G1051" s="61"/>
      <c r="K1051" s="59"/>
      <c r="L1051" s="60"/>
      <c r="M1051" s="60"/>
      <c r="N1051" s="60"/>
      <c r="O1051" s="61"/>
      <c r="S1051" s="59"/>
      <c r="T1051" s="60"/>
      <c r="U1051" s="60"/>
      <c r="V1051" s="60"/>
      <c r="W1051" s="61"/>
      <c r="AA1051" s="59"/>
      <c r="AB1051" s="60"/>
      <c r="AC1051" s="60"/>
      <c r="AD1051" s="60"/>
      <c r="AE1051" s="61"/>
    </row>
    <row r="1052" spans="2:31" x14ac:dyDescent="0.25">
      <c r="B1052" s="53">
        <f t="shared" si="16"/>
        <v>208</v>
      </c>
      <c r="C1052" s="59"/>
      <c r="D1052" s="15" t="str">
        <f>IF(D1050="","","Исполнитель"&amp;": ")</f>
        <v/>
      </c>
      <c r="E1052" s="62" t="str">
        <f>IFERROR(VLOOKUP(C$13&amp;$B1052,Aux!$B:$M,4,0),"")</f>
        <v/>
      </c>
      <c r="F1052" s="62"/>
      <c r="G1052" s="63" t="str">
        <f>IFERROR(IF(VLOOKUP(C$13&amp;$B1050,Aux!$B:$M,8,0)="Да","✔","🕓"),"")</f>
        <v/>
      </c>
      <c r="K1052" s="59"/>
      <c r="L1052" s="15" t="str">
        <f>IF(L1050="","","Исполнитель"&amp;": ")</f>
        <v/>
      </c>
      <c r="M1052" s="62" t="str">
        <f>IFERROR(VLOOKUP(K$13&amp;$B1052,Aux!$B:$M,4,0),"")</f>
        <v/>
      </c>
      <c r="N1052" s="62"/>
      <c r="O1052" s="63" t="str">
        <f>IFERROR(IF(VLOOKUP(K$13&amp;$B1050,Aux!$B:$M,8,0)="Да","✔","🕓"),"")</f>
        <v/>
      </c>
      <c r="S1052" s="59"/>
      <c r="T1052" s="15" t="str">
        <f>IF(T1050="","","Исполнитель"&amp;": ")</f>
        <v/>
      </c>
      <c r="U1052" s="62" t="str">
        <f>IFERROR(VLOOKUP(S$13&amp;$B1052,Aux!$B:$M,4,0),"")</f>
        <v/>
      </c>
      <c r="V1052" s="62"/>
      <c r="W1052" s="63" t="str">
        <f>IFERROR(IF(VLOOKUP(S$13&amp;$B1050,Aux!$B:$M,8,0)="Да","✔","🕓"),"")</f>
        <v/>
      </c>
      <c r="AA1052" s="59"/>
      <c r="AB1052" s="15" t="str">
        <f>IF(AB1050="","","Исполнитель"&amp;": ")</f>
        <v/>
      </c>
      <c r="AC1052" s="62" t="str">
        <f>IFERROR(VLOOKUP(AA$13&amp;$B1052,Aux!$B:$M,4,0),"")</f>
        <v/>
      </c>
      <c r="AD1052" s="62"/>
      <c r="AE1052" s="63" t="str">
        <f>IFERROR(IF(VLOOKUP(AA$13&amp;$B1050,Aux!$B:$M,8,0)="Да","✔","🕓"),"")</f>
        <v/>
      </c>
    </row>
    <row r="1053" spans="2:31" x14ac:dyDescent="0.25">
      <c r="B1053" s="53">
        <f t="shared" si="16"/>
        <v>208</v>
      </c>
      <c r="C1053" s="59"/>
      <c r="D1053" s="16" t="str">
        <f>IF(D1050="","","Срок сдачи"&amp;": ")</f>
        <v/>
      </c>
      <c r="E1053" s="64" t="str">
        <f>IFERROR(VLOOKUP(C$13&amp;$B1053,Aux!$B:$M,6,0),"")</f>
        <v/>
      </c>
      <c r="F1053" s="64"/>
      <c r="G1053" s="63"/>
      <c r="K1053" s="59"/>
      <c r="L1053" s="16" t="str">
        <f>IF(L1050="","","Срок сдачи"&amp;": ")</f>
        <v/>
      </c>
      <c r="M1053" s="64" t="str">
        <f>IFERROR(VLOOKUP(K$13&amp;$B1053,Aux!$B:$M,6,0),"")</f>
        <v/>
      </c>
      <c r="N1053" s="64"/>
      <c r="O1053" s="63"/>
      <c r="S1053" s="59"/>
      <c r="T1053" s="16" t="str">
        <f>IF(T1050="","","Срок сдачи"&amp;": ")</f>
        <v/>
      </c>
      <c r="U1053" s="64" t="str">
        <f>IFERROR(VLOOKUP(S$13&amp;$B1053,Aux!$B:$M,6,0),"")</f>
        <v/>
      </c>
      <c r="V1053" s="64"/>
      <c r="W1053" s="63"/>
      <c r="AA1053" s="59"/>
      <c r="AB1053" s="16" t="str">
        <f>IF(AB1050="","","Срок сдачи"&amp;": ")</f>
        <v/>
      </c>
      <c r="AC1053" s="64" t="str">
        <f>IFERROR(VLOOKUP(AA$13&amp;$B1053,Aux!$B:$M,6,0),"")</f>
        <v/>
      </c>
      <c r="AD1053" s="64"/>
      <c r="AE1053" s="63"/>
    </row>
    <row r="1054" spans="2:31" x14ac:dyDescent="0.25">
      <c r="B1054" s="53">
        <f t="shared" si="16"/>
        <v>208</v>
      </c>
      <c r="C1054" s="7"/>
      <c r="D1054" s="17"/>
      <c r="E1054" s="7"/>
      <c r="F1054" s="18"/>
      <c r="G1054" s="18"/>
      <c r="K1054" s="13"/>
      <c r="L1054" s="17"/>
      <c r="M1054" s="13"/>
      <c r="N1054" s="14"/>
      <c r="O1054" s="14"/>
      <c r="S1054" s="13"/>
      <c r="T1054" s="17"/>
      <c r="U1054" s="13"/>
      <c r="V1054" s="14"/>
      <c r="W1054" s="14"/>
      <c r="AA1054" s="13"/>
      <c r="AB1054" s="17"/>
      <c r="AC1054" s="13"/>
      <c r="AD1054" s="14"/>
      <c r="AE1054" s="30"/>
    </row>
    <row r="1055" spans="2:31" x14ac:dyDescent="0.25">
      <c r="B1055" s="53">
        <f t="shared" si="16"/>
        <v>209</v>
      </c>
      <c r="C1055" s="59" t="str">
        <f>IFERROR(VLOOKUP(C$13&amp;$B1059,Aux!$B:$M,5,0),"")</f>
        <v/>
      </c>
      <c r="D1055" s="60" t="str">
        <f>IFERROR(VLOOKUP(C$13&amp;$B1055,Aux!$B:$M,3,0),"")</f>
        <v/>
      </c>
      <c r="E1055" s="60"/>
      <c r="F1055" s="60"/>
      <c r="G1055" s="61" t="str">
        <f>IFERROR(VLOOKUP(C$13&amp;$B1055,Aux!$B:$M,9,0),"")</f>
        <v/>
      </c>
      <c r="K1055" s="59" t="str">
        <f>IFERROR(VLOOKUP(K$13&amp;$B1059,Aux!$B:$M,5,0),"")</f>
        <v/>
      </c>
      <c r="L1055" s="60" t="str">
        <f>IFERROR(VLOOKUP(K$13&amp;$B1055,Aux!$B:$M,3,0),"")</f>
        <v/>
      </c>
      <c r="M1055" s="60"/>
      <c r="N1055" s="60"/>
      <c r="O1055" s="61" t="str">
        <f>IFERROR(VLOOKUP(K$13&amp;$B1055,Aux!$B:$M,9,0),"")</f>
        <v/>
      </c>
      <c r="S1055" s="59" t="str">
        <f>IFERROR(VLOOKUP(S$13&amp;$B1059,Aux!$B:$M,5,0),"")</f>
        <v/>
      </c>
      <c r="T1055" s="60" t="str">
        <f>IFERROR(VLOOKUP(S$13&amp;$B1055,Aux!$B:$M,3,0),"")</f>
        <v/>
      </c>
      <c r="U1055" s="60"/>
      <c r="V1055" s="60"/>
      <c r="W1055" s="61" t="str">
        <f>IFERROR(VLOOKUP(S$13&amp;$B1055,Aux!$B:$M,9,0),"")</f>
        <v/>
      </c>
      <c r="AA1055" s="59" t="str">
        <f>IFERROR(VLOOKUP(AA$13&amp;$B1059,Aux!$B:$M,5,0),"")</f>
        <v/>
      </c>
      <c r="AB1055" s="60" t="str">
        <f>IFERROR(VLOOKUP(AA$13&amp;$B1055,Aux!$B:$M,3,0),"")</f>
        <v/>
      </c>
      <c r="AC1055" s="60"/>
      <c r="AD1055" s="60"/>
      <c r="AE1055" s="61" t="str">
        <f>IFERROR(VLOOKUP(AA$13&amp;$B1055,Aux!$B:$M,9,0),"")</f>
        <v/>
      </c>
    </row>
    <row r="1056" spans="2:31" x14ac:dyDescent="0.25">
      <c r="B1056" s="53">
        <f t="shared" si="16"/>
        <v>209</v>
      </c>
      <c r="C1056" s="59"/>
      <c r="D1056" s="60"/>
      <c r="E1056" s="60"/>
      <c r="F1056" s="60"/>
      <c r="G1056" s="61"/>
      <c r="K1056" s="59"/>
      <c r="L1056" s="60"/>
      <c r="M1056" s="60"/>
      <c r="N1056" s="60"/>
      <c r="O1056" s="61"/>
      <c r="S1056" s="59"/>
      <c r="T1056" s="60"/>
      <c r="U1056" s="60"/>
      <c r="V1056" s="60"/>
      <c r="W1056" s="61"/>
      <c r="AA1056" s="59"/>
      <c r="AB1056" s="60"/>
      <c r="AC1056" s="60"/>
      <c r="AD1056" s="60"/>
      <c r="AE1056" s="61"/>
    </row>
    <row r="1057" spans="2:31" x14ac:dyDescent="0.25">
      <c r="B1057" s="53">
        <f t="shared" si="16"/>
        <v>209</v>
      </c>
      <c r="C1057" s="59"/>
      <c r="D1057" s="15" t="str">
        <f>IF(D1055="","","Исполнитель"&amp;": ")</f>
        <v/>
      </c>
      <c r="E1057" s="62" t="str">
        <f>IFERROR(VLOOKUP(C$13&amp;$B1057,Aux!$B:$M,4,0),"")</f>
        <v/>
      </c>
      <c r="F1057" s="62"/>
      <c r="G1057" s="63" t="str">
        <f>IFERROR(IF(VLOOKUP(C$13&amp;$B1055,Aux!$B:$M,8,0)="Да","✔","🕓"),"")</f>
        <v/>
      </c>
      <c r="K1057" s="59"/>
      <c r="L1057" s="15" t="str">
        <f>IF(L1055="","","Исполнитель"&amp;": ")</f>
        <v/>
      </c>
      <c r="M1057" s="62" t="str">
        <f>IFERROR(VLOOKUP(K$13&amp;$B1057,Aux!$B:$M,4,0),"")</f>
        <v/>
      </c>
      <c r="N1057" s="62"/>
      <c r="O1057" s="63" t="str">
        <f>IFERROR(IF(VLOOKUP(K$13&amp;$B1055,Aux!$B:$M,8,0)="Да","✔","🕓"),"")</f>
        <v/>
      </c>
      <c r="S1057" s="59"/>
      <c r="T1057" s="15" t="str">
        <f>IF(T1055="","","Исполнитель"&amp;": ")</f>
        <v/>
      </c>
      <c r="U1057" s="62" t="str">
        <f>IFERROR(VLOOKUP(S$13&amp;$B1057,Aux!$B:$M,4,0),"")</f>
        <v/>
      </c>
      <c r="V1057" s="62"/>
      <c r="W1057" s="63" t="str">
        <f>IFERROR(IF(VLOOKUP(S$13&amp;$B1055,Aux!$B:$M,8,0)="Да","✔","🕓"),"")</f>
        <v/>
      </c>
      <c r="AA1057" s="59"/>
      <c r="AB1057" s="15" t="str">
        <f>IF(AB1055="","","Исполнитель"&amp;": ")</f>
        <v/>
      </c>
      <c r="AC1057" s="62" t="str">
        <f>IFERROR(VLOOKUP(AA$13&amp;$B1057,Aux!$B:$M,4,0),"")</f>
        <v/>
      </c>
      <c r="AD1057" s="62"/>
      <c r="AE1057" s="63" t="str">
        <f>IFERROR(IF(VLOOKUP(AA$13&amp;$B1055,Aux!$B:$M,8,0)="Да","✔","🕓"),"")</f>
        <v/>
      </c>
    </row>
    <row r="1058" spans="2:31" x14ac:dyDescent="0.25">
      <c r="B1058" s="53">
        <f t="shared" si="16"/>
        <v>209</v>
      </c>
      <c r="C1058" s="59"/>
      <c r="D1058" s="16" t="str">
        <f>IF(D1055="","","Срок сдачи"&amp;": ")</f>
        <v/>
      </c>
      <c r="E1058" s="64" t="str">
        <f>IFERROR(VLOOKUP(C$13&amp;$B1058,Aux!$B:$M,6,0),"")</f>
        <v/>
      </c>
      <c r="F1058" s="64"/>
      <c r="G1058" s="63"/>
      <c r="K1058" s="59"/>
      <c r="L1058" s="16" t="str">
        <f>IF(L1055="","","Срок сдачи"&amp;": ")</f>
        <v/>
      </c>
      <c r="M1058" s="64" t="str">
        <f>IFERROR(VLOOKUP(K$13&amp;$B1058,Aux!$B:$M,6,0),"")</f>
        <v/>
      </c>
      <c r="N1058" s="64"/>
      <c r="O1058" s="63"/>
      <c r="S1058" s="59"/>
      <c r="T1058" s="16" t="str">
        <f>IF(T1055="","","Срок сдачи"&amp;": ")</f>
        <v/>
      </c>
      <c r="U1058" s="64" t="str">
        <f>IFERROR(VLOOKUP(S$13&amp;$B1058,Aux!$B:$M,6,0),"")</f>
        <v/>
      </c>
      <c r="V1058" s="64"/>
      <c r="W1058" s="63"/>
      <c r="AA1058" s="59"/>
      <c r="AB1058" s="16" t="str">
        <f>IF(AB1055="","","Срок сдачи"&amp;": ")</f>
        <v/>
      </c>
      <c r="AC1058" s="64" t="str">
        <f>IFERROR(VLOOKUP(AA$13&amp;$B1058,Aux!$B:$M,6,0),"")</f>
        <v/>
      </c>
      <c r="AD1058" s="64"/>
      <c r="AE1058" s="63"/>
    </row>
    <row r="1059" spans="2:31" x14ac:dyDescent="0.25">
      <c r="B1059" s="53">
        <f t="shared" si="16"/>
        <v>209</v>
      </c>
      <c r="C1059" s="7"/>
      <c r="D1059" s="17"/>
      <c r="E1059" s="7"/>
      <c r="F1059" s="18"/>
      <c r="G1059" s="18"/>
      <c r="K1059" s="13"/>
      <c r="L1059" s="17"/>
      <c r="M1059" s="13"/>
      <c r="N1059" s="14"/>
      <c r="O1059" s="14"/>
      <c r="S1059" s="13"/>
      <c r="T1059" s="17"/>
      <c r="U1059" s="13"/>
      <c r="V1059" s="14"/>
      <c r="W1059" s="14"/>
      <c r="AA1059" s="13"/>
      <c r="AB1059" s="17"/>
      <c r="AC1059" s="13"/>
      <c r="AD1059" s="14"/>
      <c r="AE1059" s="30"/>
    </row>
    <row r="1060" spans="2:31" x14ac:dyDescent="0.25">
      <c r="B1060" s="53">
        <f t="shared" si="16"/>
        <v>210</v>
      </c>
      <c r="C1060" s="59" t="str">
        <f>IFERROR(VLOOKUP(C$13&amp;$B1064,Aux!$B:$M,5,0),"")</f>
        <v/>
      </c>
      <c r="D1060" s="60" t="str">
        <f>IFERROR(VLOOKUP(C$13&amp;$B1060,Aux!$B:$M,3,0),"")</f>
        <v/>
      </c>
      <c r="E1060" s="60"/>
      <c r="F1060" s="60"/>
      <c r="G1060" s="61" t="str">
        <f>IFERROR(VLOOKUP(C$13&amp;$B1060,Aux!$B:$M,9,0),"")</f>
        <v/>
      </c>
      <c r="K1060" s="59" t="str">
        <f>IFERROR(VLOOKUP(K$13&amp;$B1064,Aux!$B:$M,5,0),"")</f>
        <v/>
      </c>
      <c r="L1060" s="60" t="str">
        <f>IFERROR(VLOOKUP(K$13&amp;$B1060,Aux!$B:$M,3,0),"")</f>
        <v/>
      </c>
      <c r="M1060" s="60"/>
      <c r="N1060" s="60"/>
      <c r="O1060" s="61" t="str">
        <f>IFERROR(VLOOKUP(K$13&amp;$B1060,Aux!$B:$M,9,0),"")</f>
        <v/>
      </c>
      <c r="S1060" s="59" t="str">
        <f>IFERROR(VLOOKUP(S$13&amp;$B1064,Aux!$B:$M,5,0),"")</f>
        <v/>
      </c>
      <c r="T1060" s="60" t="str">
        <f>IFERROR(VLOOKUP(S$13&amp;$B1060,Aux!$B:$M,3,0),"")</f>
        <v/>
      </c>
      <c r="U1060" s="60"/>
      <c r="V1060" s="60"/>
      <c r="W1060" s="61" t="str">
        <f>IFERROR(VLOOKUP(S$13&amp;$B1060,Aux!$B:$M,9,0),"")</f>
        <v/>
      </c>
      <c r="AA1060" s="59" t="str">
        <f>IFERROR(VLOOKUP(AA$13&amp;$B1064,Aux!$B:$M,5,0),"")</f>
        <v/>
      </c>
      <c r="AB1060" s="60" t="str">
        <f>IFERROR(VLOOKUP(AA$13&amp;$B1060,Aux!$B:$M,3,0),"")</f>
        <v/>
      </c>
      <c r="AC1060" s="60"/>
      <c r="AD1060" s="60"/>
      <c r="AE1060" s="61" t="str">
        <f>IFERROR(VLOOKUP(AA$13&amp;$B1060,Aux!$B:$M,9,0),"")</f>
        <v/>
      </c>
    </row>
    <row r="1061" spans="2:31" x14ac:dyDescent="0.25">
      <c r="B1061" s="53">
        <f t="shared" si="16"/>
        <v>210</v>
      </c>
      <c r="C1061" s="59"/>
      <c r="D1061" s="60"/>
      <c r="E1061" s="60"/>
      <c r="F1061" s="60"/>
      <c r="G1061" s="61"/>
      <c r="K1061" s="59"/>
      <c r="L1061" s="60"/>
      <c r="M1061" s="60"/>
      <c r="N1061" s="60"/>
      <c r="O1061" s="61"/>
      <c r="S1061" s="59"/>
      <c r="T1061" s="60"/>
      <c r="U1061" s="60"/>
      <c r="V1061" s="60"/>
      <c r="W1061" s="61"/>
      <c r="AA1061" s="59"/>
      <c r="AB1061" s="60"/>
      <c r="AC1061" s="60"/>
      <c r="AD1061" s="60"/>
      <c r="AE1061" s="61"/>
    </row>
    <row r="1062" spans="2:31" x14ac:dyDescent="0.25">
      <c r="B1062" s="53">
        <f t="shared" si="16"/>
        <v>210</v>
      </c>
      <c r="C1062" s="59"/>
      <c r="D1062" s="15" t="str">
        <f>IF(D1060="","","Исполнитель"&amp;": ")</f>
        <v/>
      </c>
      <c r="E1062" s="62" t="str">
        <f>IFERROR(VLOOKUP(C$13&amp;$B1062,Aux!$B:$M,4,0),"")</f>
        <v/>
      </c>
      <c r="F1062" s="62"/>
      <c r="G1062" s="63" t="str">
        <f>IFERROR(IF(VLOOKUP(C$13&amp;$B1060,Aux!$B:$M,8,0)="Да","✔","🕓"),"")</f>
        <v/>
      </c>
      <c r="K1062" s="59"/>
      <c r="L1062" s="15" t="str">
        <f>IF(L1060="","","Исполнитель"&amp;": ")</f>
        <v/>
      </c>
      <c r="M1062" s="62" t="str">
        <f>IFERROR(VLOOKUP(K$13&amp;$B1062,Aux!$B:$M,4,0),"")</f>
        <v/>
      </c>
      <c r="N1062" s="62"/>
      <c r="O1062" s="63" t="str">
        <f>IFERROR(IF(VLOOKUP(K$13&amp;$B1060,Aux!$B:$M,8,0)="Да","✔","🕓"),"")</f>
        <v/>
      </c>
      <c r="S1062" s="59"/>
      <c r="T1062" s="15" t="str">
        <f>IF(T1060="","","Исполнитель"&amp;": ")</f>
        <v/>
      </c>
      <c r="U1062" s="62" t="str">
        <f>IFERROR(VLOOKUP(S$13&amp;$B1062,Aux!$B:$M,4,0),"")</f>
        <v/>
      </c>
      <c r="V1062" s="62"/>
      <c r="W1062" s="63" t="str">
        <f>IFERROR(IF(VLOOKUP(S$13&amp;$B1060,Aux!$B:$M,8,0)="Да","✔","🕓"),"")</f>
        <v/>
      </c>
      <c r="AA1062" s="59"/>
      <c r="AB1062" s="15" t="str">
        <f>IF(AB1060="","","Исполнитель"&amp;": ")</f>
        <v/>
      </c>
      <c r="AC1062" s="62" t="str">
        <f>IFERROR(VLOOKUP(AA$13&amp;$B1062,Aux!$B:$M,4,0),"")</f>
        <v/>
      </c>
      <c r="AD1062" s="62"/>
      <c r="AE1062" s="63" t="str">
        <f>IFERROR(IF(VLOOKUP(AA$13&amp;$B1060,Aux!$B:$M,8,0)="Да","✔","🕓"),"")</f>
        <v/>
      </c>
    </row>
    <row r="1063" spans="2:31" x14ac:dyDescent="0.25">
      <c r="B1063" s="53">
        <f t="shared" si="16"/>
        <v>210</v>
      </c>
      <c r="C1063" s="59"/>
      <c r="D1063" s="16" t="str">
        <f>IF(D1060="","","Срок сдачи"&amp;": ")</f>
        <v/>
      </c>
      <c r="E1063" s="64" t="str">
        <f>IFERROR(VLOOKUP(C$13&amp;$B1063,Aux!$B:$M,6,0),"")</f>
        <v/>
      </c>
      <c r="F1063" s="64"/>
      <c r="G1063" s="63"/>
      <c r="K1063" s="59"/>
      <c r="L1063" s="16" t="str">
        <f>IF(L1060="","","Срок сдачи"&amp;": ")</f>
        <v/>
      </c>
      <c r="M1063" s="64" t="str">
        <f>IFERROR(VLOOKUP(K$13&amp;$B1063,Aux!$B:$M,6,0),"")</f>
        <v/>
      </c>
      <c r="N1063" s="64"/>
      <c r="O1063" s="63"/>
      <c r="S1063" s="59"/>
      <c r="T1063" s="16" t="str">
        <f>IF(T1060="","","Срок сдачи"&amp;": ")</f>
        <v/>
      </c>
      <c r="U1063" s="64" t="str">
        <f>IFERROR(VLOOKUP(S$13&amp;$B1063,Aux!$B:$M,6,0),"")</f>
        <v/>
      </c>
      <c r="V1063" s="64"/>
      <c r="W1063" s="63"/>
      <c r="AA1063" s="59"/>
      <c r="AB1063" s="16" t="str">
        <f>IF(AB1060="","","Срок сдачи"&amp;": ")</f>
        <v/>
      </c>
      <c r="AC1063" s="64" t="str">
        <f>IFERROR(VLOOKUP(AA$13&amp;$B1063,Aux!$B:$M,6,0),"")</f>
        <v/>
      </c>
      <c r="AD1063" s="64"/>
      <c r="AE1063" s="63"/>
    </row>
    <row r="1064" spans="2:31" x14ac:dyDescent="0.25">
      <c r="B1064" s="53">
        <f t="shared" si="16"/>
        <v>210</v>
      </c>
      <c r="C1064" s="7"/>
      <c r="D1064" s="17"/>
      <c r="E1064" s="7"/>
      <c r="F1064" s="18"/>
      <c r="G1064" s="18"/>
      <c r="K1064" s="13"/>
      <c r="L1064" s="17"/>
      <c r="M1064" s="13"/>
      <c r="N1064" s="14"/>
      <c r="O1064" s="14"/>
      <c r="S1064" s="13"/>
      <c r="T1064" s="17"/>
      <c r="U1064" s="13"/>
      <c r="V1064" s="14"/>
      <c r="W1064" s="14"/>
      <c r="AA1064" s="13"/>
      <c r="AB1064" s="17"/>
      <c r="AC1064" s="13"/>
      <c r="AD1064" s="14"/>
      <c r="AE1064" s="30"/>
    </row>
    <row r="1065" spans="2:31" x14ac:dyDescent="0.25">
      <c r="B1065" s="53">
        <f t="shared" si="16"/>
        <v>211</v>
      </c>
      <c r="C1065" s="59" t="str">
        <f>IFERROR(VLOOKUP(C$13&amp;$B1069,Aux!$B:$M,5,0),"")</f>
        <v/>
      </c>
      <c r="D1065" s="60" t="str">
        <f>IFERROR(VLOOKUP(C$13&amp;$B1065,Aux!$B:$M,3,0),"")</f>
        <v/>
      </c>
      <c r="E1065" s="60"/>
      <c r="F1065" s="60"/>
      <c r="G1065" s="61" t="str">
        <f>IFERROR(VLOOKUP(C$13&amp;$B1065,Aux!$B:$M,9,0),"")</f>
        <v/>
      </c>
      <c r="K1065" s="59" t="str">
        <f>IFERROR(VLOOKUP(K$13&amp;$B1069,Aux!$B:$M,5,0),"")</f>
        <v/>
      </c>
      <c r="L1065" s="60" t="str">
        <f>IFERROR(VLOOKUP(K$13&amp;$B1065,Aux!$B:$M,3,0),"")</f>
        <v/>
      </c>
      <c r="M1065" s="60"/>
      <c r="N1065" s="60"/>
      <c r="O1065" s="61" t="str">
        <f>IFERROR(VLOOKUP(K$13&amp;$B1065,Aux!$B:$M,9,0),"")</f>
        <v/>
      </c>
      <c r="S1065" s="59" t="str">
        <f>IFERROR(VLOOKUP(S$13&amp;$B1069,Aux!$B:$M,5,0),"")</f>
        <v/>
      </c>
      <c r="T1065" s="60" t="str">
        <f>IFERROR(VLOOKUP(S$13&amp;$B1065,Aux!$B:$M,3,0),"")</f>
        <v/>
      </c>
      <c r="U1065" s="60"/>
      <c r="V1065" s="60"/>
      <c r="W1065" s="61" t="str">
        <f>IFERROR(VLOOKUP(S$13&amp;$B1065,Aux!$B:$M,9,0),"")</f>
        <v/>
      </c>
      <c r="AA1065" s="59" t="str">
        <f>IFERROR(VLOOKUP(AA$13&amp;$B1069,Aux!$B:$M,5,0),"")</f>
        <v/>
      </c>
      <c r="AB1065" s="60" t="str">
        <f>IFERROR(VLOOKUP(AA$13&amp;$B1065,Aux!$B:$M,3,0),"")</f>
        <v/>
      </c>
      <c r="AC1065" s="60"/>
      <c r="AD1065" s="60"/>
      <c r="AE1065" s="61" t="str">
        <f>IFERROR(VLOOKUP(AA$13&amp;$B1065,Aux!$B:$M,9,0),"")</f>
        <v/>
      </c>
    </row>
    <row r="1066" spans="2:31" x14ac:dyDescent="0.25">
      <c r="B1066" s="53">
        <f t="shared" si="16"/>
        <v>211</v>
      </c>
      <c r="C1066" s="59"/>
      <c r="D1066" s="60"/>
      <c r="E1066" s="60"/>
      <c r="F1066" s="60"/>
      <c r="G1066" s="61"/>
      <c r="K1066" s="59"/>
      <c r="L1066" s="60"/>
      <c r="M1066" s="60"/>
      <c r="N1066" s="60"/>
      <c r="O1066" s="61"/>
      <c r="S1066" s="59"/>
      <c r="T1066" s="60"/>
      <c r="U1066" s="60"/>
      <c r="V1066" s="60"/>
      <c r="W1066" s="61"/>
      <c r="AA1066" s="59"/>
      <c r="AB1066" s="60"/>
      <c r="AC1066" s="60"/>
      <c r="AD1066" s="60"/>
      <c r="AE1066" s="61"/>
    </row>
    <row r="1067" spans="2:31" x14ac:dyDescent="0.25">
      <c r="B1067" s="53">
        <f t="shared" si="16"/>
        <v>211</v>
      </c>
      <c r="C1067" s="59"/>
      <c r="D1067" s="15" t="str">
        <f>IF(D1065="","","Исполнитель"&amp;": ")</f>
        <v/>
      </c>
      <c r="E1067" s="62" t="str">
        <f>IFERROR(VLOOKUP(C$13&amp;$B1067,Aux!$B:$M,4,0),"")</f>
        <v/>
      </c>
      <c r="F1067" s="62"/>
      <c r="G1067" s="63" t="str">
        <f>IFERROR(IF(VLOOKUP(C$13&amp;$B1065,Aux!$B:$M,8,0)="Да","✔","🕓"),"")</f>
        <v/>
      </c>
      <c r="K1067" s="59"/>
      <c r="L1067" s="15" t="str">
        <f>IF(L1065="","","Исполнитель"&amp;": ")</f>
        <v/>
      </c>
      <c r="M1067" s="62" t="str">
        <f>IFERROR(VLOOKUP(K$13&amp;$B1067,Aux!$B:$M,4,0),"")</f>
        <v/>
      </c>
      <c r="N1067" s="62"/>
      <c r="O1067" s="63" t="str">
        <f>IFERROR(IF(VLOOKUP(K$13&amp;$B1065,Aux!$B:$M,8,0)="Да","✔","🕓"),"")</f>
        <v/>
      </c>
      <c r="S1067" s="59"/>
      <c r="T1067" s="15" t="str">
        <f>IF(T1065="","","Исполнитель"&amp;": ")</f>
        <v/>
      </c>
      <c r="U1067" s="62" t="str">
        <f>IFERROR(VLOOKUP(S$13&amp;$B1067,Aux!$B:$M,4,0),"")</f>
        <v/>
      </c>
      <c r="V1067" s="62"/>
      <c r="W1067" s="63" t="str">
        <f>IFERROR(IF(VLOOKUP(S$13&amp;$B1065,Aux!$B:$M,8,0)="Да","✔","🕓"),"")</f>
        <v/>
      </c>
      <c r="AA1067" s="59"/>
      <c r="AB1067" s="15" t="str">
        <f>IF(AB1065="","","Исполнитель"&amp;": ")</f>
        <v/>
      </c>
      <c r="AC1067" s="62" t="str">
        <f>IFERROR(VLOOKUP(AA$13&amp;$B1067,Aux!$B:$M,4,0),"")</f>
        <v/>
      </c>
      <c r="AD1067" s="62"/>
      <c r="AE1067" s="63" t="str">
        <f>IFERROR(IF(VLOOKUP(AA$13&amp;$B1065,Aux!$B:$M,8,0)="Да","✔","🕓"),"")</f>
        <v/>
      </c>
    </row>
    <row r="1068" spans="2:31" x14ac:dyDescent="0.25">
      <c r="B1068" s="53">
        <f t="shared" si="16"/>
        <v>211</v>
      </c>
      <c r="C1068" s="59"/>
      <c r="D1068" s="16" t="str">
        <f>IF(D1065="","","Срок сдачи"&amp;": ")</f>
        <v/>
      </c>
      <c r="E1068" s="64" t="str">
        <f>IFERROR(VLOOKUP(C$13&amp;$B1068,Aux!$B:$M,6,0),"")</f>
        <v/>
      </c>
      <c r="F1068" s="64"/>
      <c r="G1068" s="63"/>
      <c r="K1068" s="59"/>
      <c r="L1068" s="16" t="str">
        <f>IF(L1065="","","Срок сдачи"&amp;": ")</f>
        <v/>
      </c>
      <c r="M1068" s="64" t="str">
        <f>IFERROR(VLOOKUP(K$13&amp;$B1068,Aux!$B:$M,6,0),"")</f>
        <v/>
      </c>
      <c r="N1068" s="64"/>
      <c r="O1068" s="63"/>
      <c r="S1068" s="59"/>
      <c r="T1068" s="16" t="str">
        <f>IF(T1065="","","Срок сдачи"&amp;": ")</f>
        <v/>
      </c>
      <c r="U1068" s="64" t="str">
        <f>IFERROR(VLOOKUP(S$13&amp;$B1068,Aux!$B:$M,6,0),"")</f>
        <v/>
      </c>
      <c r="V1068" s="64"/>
      <c r="W1068" s="63"/>
      <c r="AA1068" s="59"/>
      <c r="AB1068" s="16" t="str">
        <f>IF(AB1065="","","Срок сдачи"&amp;": ")</f>
        <v/>
      </c>
      <c r="AC1068" s="64" t="str">
        <f>IFERROR(VLOOKUP(AA$13&amp;$B1068,Aux!$B:$M,6,0),"")</f>
        <v/>
      </c>
      <c r="AD1068" s="64"/>
      <c r="AE1068" s="63"/>
    </row>
    <row r="1069" spans="2:31" x14ac:dyDescent="0.25">
      <c r="B1069" s="53">
        <f t="shared" si="16"/>
        <v>211</v>
      </c>
      <c r="C1069" s="7"/>
      <c r="D1069" s="17"/>
      <c r="E1069" s="7"/>
      <c r="F1069" s="18"/>
      <c r="G1069" s="18"/>
      <c r="K1069" s="13"/>
      <c r="L1069" s="17"/>
      <c r="M1069" s="13"/>
      <c r="N1069" s="14"/>
      <c r="O1069" s="14"/>
      <c r="S1069" s="13"/>
      <c r="T1069" s="17"/>
      <c r="U1069" s="13"/>
      <c r="V1069" s="14"/>
      <c r="W1069" s="14"/>
      <c r="AA1069" s="13"/>
      <c r="AB1069" s="17"/>
      <c r="AC1069" s="13"/>
      <c r="AD1069" s="14"/>
      <c r="AE1069" s="30"/>
    </row>
    <row r="1070" spans="2:31" x14ac:dyDescent="0.25">
      <c r="B1070" s="53">
        <f t="shared" si="16"/>
        <v>212</v>
      </c>
      <c r="C1070" s="59" t="str">
        <f>IFERROR(VLOOKUP(C$13&amp;$B1074,Aux!$B:$M,5,0),"")</f>
        <v/>
      </c>
      <c r="D1070" s="60" t="str">
        <f>IFERROR(VLOOKUP(C$13&amp;$B1070,Aux!$B:$M,3,0),"")</f>
        <v/>
      </c>
      <c r="E1070" s="60"/>
      <c r="F1070" s="60"/>
      <c r="G1070" s="61" t="str">
        <f>IFERROR(VLOOKUP(C$13&amp;$B1070,Aux!$B:$M,9,0),"")</f>
        <v/>
      </c>
      <c r="K1070" s="59" t="str">
        <f>IFERROR(VLOOKUP(K$13&amp;$B1074,Aux!$B:$M,5,0),"")</f>
        <v/>
      </c>
      <c r="L1070" s="60" t="str">
        <f>IFERROR(VLOOKUP(K$13&amp;$B1070,Aux!$B:$M,3,0),"")</f>
        <v/>
      </c>
      <c r="M1070" s="60"/>
      <c r="N1070" s="60"/>
      <c r="O1070" s="61" t="str">
        <f>IFERROR(VLOOKUP(K$13&amp;$B1070,Aux!$B:$M,9,0),"")</f>
        <v/>
      </c>
      <c r="S1070" s="59" t="str">
        <f>IFERROR(VLOOKUP(S$13&amp;$B1074,Aux!$B:$M,5,0),"")</f>
        <v/>
      </c>
      <c r="T1070" s="60" t="str">
        <f>IFERROR(VLOOKUP(S$13&amp;$B1070,Aux!$B:$M,3,0),"")</f>
        <v/>
      </c>
      <c r="U1070" s="60"/>
      <c r="V1070" s="60"/>
      <c r="W1070" s="61" t="str">
        <f>IFERROR(VLOOKUP(S$13&amp;$B1070,Aux!$B:$M,9,0),"")</f>
        <v/>
      </c>
      <c r="AA1070" s="59" t="str">
        <f>IFERROR(VLOOKUP(AA$13&amp;$B1074,Aux!$B:$M,5,0),"")</f>
        <v/>
      </c>
      <c r="AB1070" s="60" t="str">
        <f>IFERROR(VLOOKUP(AA$13&amp;$B1070,Aux!$B:$M,3,0),"")</f>
        <v/>
      </c>
      <c r="AC1070" s="60"/>
      <c r="AD1070" s="60"/>
      <c r="AE1070" s="61" t="str">
        <f>IFERROR(VLOOKUP(AA$13&amp;$B1070,Aux!$B:$M,9,0),"")</f>
        <v/>
      </c>
    </row>
    <row r="1071" spans="2:31" x14ac:dyDescent="0.25">
      <c r="B1071" s="53">
        <f t="shared" si="16"/>
        <v>212</v>
      </c>
      <c r="C1071" s="59"/>
      <c r="D1071" s="60"/>
      <c r="E1071" s="60"/>
      <c r="F1071" s="60"/>
      <c r="G1071" s="61"/>
      <c r="K1071" s="59"/>
      <c r="L1071" s="60"/>
      <c r="M1071" s="60"/>
      <c r="N1071" s="60"/>
      <c r="O1071" s="61"/>
      <c r="S1071" s="59"/>
      <c r="T1071" s="60"/>
      <c r="U1071" s="60"/>
      <c r="V1071" s="60"/>
      <c r="W1071" s="61"/>
      <c r="AA1071" s="59"/>
      <c r="AB1071" s="60"/>
      <c r="AC1071" s="60"/>
      <c r="AD1071" s="60"/>
      <c r="AE1071" s="61"/>
    </row>
    <row r="1072" spans="2:31" x14ac:dyDescent="0.25">
      <c r="B1072" s="53">
        <f t="shared" si="16"/>
        <v>212</v>
      </c>
      <c r="C1072" s="59"/>
      <c r="D1072" s="15" t="str">
        <f>IF(D1070="","","Исполнитель"&amp;": ")</f>
        <v/>
      </c>
      <c r="E1072" s="62" t="str">
        <f>IFERROR(VLOOKUP(C$13&amp;$B1072,Aux!$B:$M,4,0),"")</f>
        <v/>
      </c>
      <c r="F1072" s="62"/>
      <c r="G1072" s="63" t="str">
        <f>IFERROR(IF(VLOOKUP(C$13&amp;$B1070,Aux!$B:$M,8,0)="Да","✔","🕓"),"")</f>
        <v/>
      </c>
      <c r="K1072" s="59"/>
      <c r="L1072" s="15" t="str">
        <f>IF(L1070="","","Исполнитель"&amp;": ")</f>
        <v/>
      </c>
      <c r="M1072" s="62" t="str">
        <f>IFERROR(VLOOKUP(K$13&amp;$B1072,Aux!$B:$M,4,0),"")</f>
        <v/>
      </c>
      <c r="N1072" s="62"/>
      <c r="O1072" s="63" t="str">
        <f>IFERROR(IF(VLOOKUP(K$13&amp;$B1070,Aux!$B:$M,8,0)="Да","✔","🕓"),"")</f>
        <v/>
      </c>
      <c r="S1072" s="59"/>
      <c r="T1072" s="15" t="str">
        <f>IF(T1070="","","Исполнитель"&amp;": ")</f>
        <v/>
      </c>
      <c r="U1072" s="62" t="str">
        <f>IFERROR(VLOOKUP(S$13&amp;$B1072,Aux!$B:$M,4,0),"")</f>
        <v/>
      </c>
      <c r="V1072" s="62"/>
      <c r="W1072" s="63" t="str">
        <f>IFERROR(IF(VLOOKUP(S$13&amp;$B1070,Aux!$B:$M,8,0)="Да","✔","🕓"),"")</f>
        <v/>
      </c>
      <c r="AA1072" s="59"/>
      <c r="AB1072" s="15" t="str">
        <f>IF(AB1070="","","Исполнитель"&amp;": ")</f>
        <v/>
      </c>
      <c r="AC1072" s="62" t="str">
        <f>IFERROR(VLOOKUP(AA$13&amp;$B1072,Aux!$B:$M,4,0),"")</f>
        <v/>
      </c>
      <c r="AD1072" s="62"/>
      <c r="AE1072" s="63" t="str">
        <f>IFERROR(IF(VLOOKUP(AA$13&amp;$B1070,Aux!$B:$M,8,0)="Да","✔","🕓"),"")</f>
        <v/>
      </c>
    </row>
    <row r="1073" spans="2:31" x14ac:dyDescent="0.25">
      <c r="B1073" s="53">
        <f t="shared" si="16"/>
        <v>212</v>
      </c>
      <c r="C1073" s="59"/>
      <c r="D1073" s="16" t="str">
        <f>IF(D1070="","","Срок сдачи"&amp;": ")</f>
        <v/>
      </c>
      <c r="E1073" s="64" t="str">
        <f>IFERROR(VLOOKUP(C$13&amp;$B1073,Aux!$B:$M,6,0),"")</f>
        <v/>
      </c>
      <c r="F1073" s="64"/>
      <c r="G1073" s="63"/>
      <c r="K1073" s="59"/>
      <c r="L1073" s="16" t="str">
        <f>IF(L1070="","","Срок сдачи"&amp;": ")</f>
        <v/>
      </c>
      <c r="M1073" s="64" t="str">
        <f>IFERROR(VLOOKUP(K$13&amp;$B1073,Aux!$B:$M,6,0),"")</f>
        <v/>
      </c>
      <c r="N1073" s="64"/>
      <c r="O1073" s="63"/>
      <c r="S1073" s="59"/>
      <c r="T1073" s="16" t="str">
        <f>IF(T1070="","","Срок сдачи"&amp;": ")</f>
        <v/>
      </c>
      <c r="U1073" s="64" t="str">
        <f>IFERROR(VLOOKUP(S$13&amp;$B1073,Aux!$B:$M,6,0),"")</f>
        <v/>
      </c>
      <c r="V1073" s="64"/>
      <c r="W1073" s="63"/>
      <c r="AA1073" s="59"/>
      <c r="AB1073" s="16" t="str">
        <f>IF(AB1070="","","Срок сдачи"&amp;": ")</f>
        <v/>
      </c>
      <c r="AC1073" s="64" t="str">
        <f>IFERROR(VLOOKUP(AA$13&amp;$B1073,Aux!$B:$M,6,0),"")</f>
        <v/>
      </c>
      <c r="AD1073" s="64"/>
      <c r="AE1073" s="63"/>
    </row>
    <row r="1074" spans="2:31" x14ac:dyDescent="0.25">
      <c r="B1074" s="53">
        <f t="shared" si="16"/>
        <v>212</v>
      </c>
      <c r="C1074" s="7"/>
      <c r="D1074" s="17"/>
      <c r="E1074" s="7"/>
      <c r="F1074" s="18"/>
      <c r="G1074" s="18"/>
      <c r="K1074" s="13"/>
      <c r="L1074" s="17"/>
      <c r="M1074" s="13"/>
      <c r="N1074" s="14"/>
      <c r="O1074" s="14"/>
      <c r="S1074" s="13"/>
      <c r="T1074" s="17"/>
      <c r="U1074" s="13"/>
      <c r="V1074" s="14"/>
      <c r="W1074" s="14"/>
      <c r="AA1074" s="13"/>
      <c r="AB1074" s="17"/>
      <c r="AC1074" s="13"/>
      <c r="AD1074" s="14"/>
      <c r="AE1074" s="30"/>
    </row>
    <row r="1075" spans="2:31" x14ac:dyDescent="0.25">
      <c r="B1075" s="53">
        <f t="shared" si="16"/>
        <v>213</v>
      </c>
      <c r="C1075" s="59" t="str">
        <f>IFERROR(VLOOKUP(C$13&amp;$B1079,Aux!$B:$M,5,0),"")</f>
        <v/>
      </c>
      <c r="D1075" s="60" t="str">
        <f>IFERROR(VLOOKUP(C$13&amp;$B1075,Aux!$B:$M,3,0),"")</f>
        <v/>
      </c>
      <c r="E1075" s="60"/>
      <c r="F1075" s="60"/>
      <c r="G1075" s="61" t="str">
        <f>IFERROR(VLOOKUP(C$13&amp;$B1075,Aux!$B:$M,9,0),"")</f>
        <v/>
      </c>
      <c r="K1075" s="59" t="str">
        <f>IFERROR(VLOOKUP(K$13&amp;$B1079,Aux!$B:$M,5,0),"")</f>
        <v/>
      </c>
      <c r="L1075" s="60" t="str">
        <f>IFERROR(VLOOKUP(K$13&amp;$B1075,Aux!$B:$M,3,0),"")</f>
        <v/>
      </c>
      <c r="M1075" s="60"/>
      <c r="N1075" s="60"/>
      <c r="O1075" s="61" t="str">
        <f>IFERROR(VLOOKUP(K$13&amp;$B1075,Aux!$B:$M,9,0),"")</f>
        <v/>
      </c>
      <c r="S1075" s="59" t="str">
        <f>IFERROR(VLOOKUP(S$13&amp;$B1079,Aux!$B:$M,5,0),"")</f>
        <v/>
      </c>
      <c r="T1075" s="60" t="str">
        <f>IFERROR(VLOOKUP(S$13&amp;$B1075,Aux!$B:$M,3,0),"")</f>
        <v/>
      </c>
      <c r="U1075" s="60"/>
      <c r="V1075" s="60"/>
      <c r="W1075" s="61" t="str">
        <f>IFERROR(VLOOKUP(S$13&amp;$B1075,Aux!$B:$M,9,0),"")</f>
        <v/>
      </c>
      <c r="AA1075" s="59" t="str">
        <f>IFERROR(VLOOKUP(AA$13&amp;$B1079,Aux!$B:$M,5,0),"")</f>
        <v/>
      </c>
      <c r="AB1075" s="60" t="str">
        <f>IFERROR(VLOOKUP(AA$13&amp;$B1075,Aux!$B:$M,3,0),"")</f>
        <v/>
      </c>
      <c r="AC1075" s="60"/>
      <c r="AD1075" s="60"/>
      <c r="AE1075" s="61" t="str">
        <f>IFERROR(VLOOKUP(AA$13&amp;$B1075,Aux!$B:$M,9,0),"")</f>
        <v/>
      </c>
    </row>
    <row r="1076" spans="2:31" x14ac:dyDescent="0.25">
      <c r="B1076" s="53">
        <f t="shared" si="16"/>
        <v>213</v>
      </c>
      <c r="C1076" s="59"/>
      <c r="D1076" s="60"/>
      <c r="E1076" s="60"/>
      <c r="F1076" s="60"/>
      <c r="G1076" s="61"/>
      <c r="K1076" s="59"/>
      <c r="L1076" s="60"/>
      <c r="M1076" s="60"/>
      <c r="N1076" s="60"/>
      <c r="O1076" s="61"/>
      <c r="S1076" s="59"/>
      <c r="T1076" s="60"/>
      <c r="U1076" s="60"/>
      <c r="V1076" s="60"/>
      <c r="W1076" s="61"/>
      <c r="AA1076" s="59"/>
      <c r="AB1076" s="60"/>
      <c r="AC1076" s="60"/>
      <c r="AD1076" s="60"/>
      <c r="AE1076" s="61"/>
    </row>
    <row r="1077" spans="2:31" x14ac:dyDescent="0.25">
      <c r="B1077" s="53">
        <f t="shared" si="16"/>
        <v>213</v>
      </c>
      <c r="C1077" s="59"/>
      <c r="D1077" s="15" t="str">
        <f>IF(D1075="","","Исполнитель"&amp;": ")</f>
        <v/>
      </c>
      <c r="E1077" s="62" t="str">
        <f>IFERROR(VLOOKUP(C$13&amp;$B1077,Aux!$B:$M,4,0),"")</f>
        <v/>
      </c>
      <c r="F1077" s="62"/>
      <c r="G1077" s="63" t="str">
        <f>IFERROR(IF(VLOOKUP(C$13&amp;$B1075,Aux!$B:$M,8,0)="Да","✔","🕓"),"")</f>
        <v/>
      </c>
      <c r="K1077" s="59"/>
      <c r="L1077" s="15" t="str">
        <f>IF(L1075="","","Исполнитель"&amp;": ")</f>
        <v/>
      </c>
      <c r="M1077" s="62" t="str">
        <f>IFERROR(VLOOKUP(K$13&amp;$B1077,Aux!$B:$M,4,0),"")</f>
        <v/>
      </c>
      <c r="N1077" s="62"/>
      <c r="O1077" s="63" t="str">
        <f>IFERROR(IF(VLOOKUP(K$13&amp;$B1075,Aux!$B:$M,8,0)="Да","✔","🕓"),"")</f>
        <v/>
      </c>
      <c r="S1077" s="59"/>
      <c r="T1077" s="15" t="str">
        <f>IF(T1075="","","Исполнитель"&amp;": ")</f>
        <v/>
      </c>
      <c r="U1077" s="62" t="str">
        <f>IFERROR(VLOOKUP(S$13&amp;$B1077,Aux!$B:$M,4,0),"")</f>
        <v/>
      </c>
      <c r="V1077" s="62"/>
      <c r="W1077" s="63" t="str">
        <f>IFERROR(IF(VLOOKUP(S$13&amp;$B1075,Aux!$B:$M,8,0)="Да","✔","🕓"),"")</f>
        <v/>
      </c>
      <c r="AA1077" s="59"/>
      <c r="AB1077" s="15" t="str">
        <f>IF(AB1075="","","Исполнитель"&amp;": ")</f>
        <v/>
      </c>
      <c r="AC1077" s="62" t="str">
        <f>IFERROR(VLOOKUP(AA$13&amp;$B1077,Aux!$B:$M,4,0),"")</f>
        <v/>
      </c>
      <c r="AD1077" s="62"/>
      <c r="AE1077" s="63" t="str">
        <f>IFERROR(IF(VLOOKUP(AA$13&amp;$B1075,Aux!$B:$M,8,0)="Да","✔","🕓"),"")</f>
        <v/>
      </c>
    </row>
    <row r="1078" spans="2:31" x14ac:dyDescent="0.25">
      <c r="B1078" s="53">
        <f t="shared" si="16"/>
        <v>213</v>
      </c>
      <c r="C1078" s="59"/>
      <c r="D1078" s="16" t="str">
        <f>IF(D1075="","","Срок сдачи"&amp;": ")</f>
        <v/>
      </c>
      <c r="E1078" s="64" t="str">
        <f>IFERROR(VLOOKUP(C$13&amp;$B1078,Aux!$B:$M,6,0),"")</f>
        <v/>
      </c>
      <c r="F1078" s="64"/>
      <c r="G1078" s="63"/>
      <c r="K1078" s="59"/>
      <c r="L1078" s="16" t="str">
        <f>IF(L1075="","","Срок сдачи"&amp;": ")</f>
        <v/>
      </c>
      <c r="M1078" s="64" t="str">
        <f>IFERROR(VLOOKUP(K$13&amp;$B1078,Aux!$B:$M,6,0),"")</f>
        <v/>
      </c>
      <c r="N1078" s="64"/>
      <c r="O1078" s="63"/>
      <c r="S1078" s="59"/>
      <c r="T1078" s="16" t="str">
        <f>IF(T1075="","","Срок сдачи"&amp;": ")</f>
        <v/>
      </c>
      <c r="U1078" s="64" t="str">
        <f>IFERROR(VLOOKUP(S$13&amp;$B1078,Aux!$B:$M,6,0),"")</f>
        <v/>
      </c>
      <c r="V1078" s="64"/>
      <c r="W1078" s="63"/>
      <c r="AA1078" s="59"/>
      <c r="AB1078" s="16" t="str">
        <f>IF(AB1075="","","Срок сдачи"&amp;": ")</f>
        <v/>
      </c>
      <c r="AC1078" s="64" t="str">
        <f>IFERROR(VLOOKUP(AA$13&amp;$B1078,Aux!$B:$M,6,0),"")</f>
        <v/>
      </c>
      <c r="AD1078" s="64"/>
      <c r="AE1078" s="63"/>
    </row>
    <row r="1079" spans="2:31" x14ac:dyDescent="0.25">
      <c r="B1079" s="53">
        <f t="shared" si="16"/>
        <v>213</v>
      </c>
      <c r="C1079" s="7"/>
      <c r="D1079" s="17"/>
      <c r="E1079" s="7"/>
      <c r="F1079" s="18"/>
      <c r="G1079" s="18"/>
      <c r="K1079" s="13"/>
      <c r="L1079" s="17"/>
      <c r="M1079" s="13"/>
      <c r="N1079" s="14"/>
      <c r="O1079" s="14"/>
      <c r="S1079" s="13"/>
      <c r="T1079" s="17"/>
      <c r="U1079" s="13"/>
      <c r="V1079" s="14"/>
      <c r="W1079" s="14"/>
      <c r="AA1079" s="13"/>
      <c r="AB1079" s="17"/>
      <c r="AC1079" s="13"/>
      <c r="AD1079" s="14"/>
      <c r="AE1079" s="30"/>
    </row>
    <row r="1080" spans="2:31" x14ac:dyDescent="0.25">
      <c r="B1080" s="53">
        <f t="shared" si="16"/>
        <v>214</v>
      </c>
      <c r="C1080" s="59" t="str">
        <f>IFERROR(VLOOKUP(C$13&amp;$B1084,Aux!$B:$M,5,0),"")</f>
        <v/>
      </c>
      <c r="D1080" s="60" t="str">
        <f>IFERROR(VLOOKUP(C$13&amp;$B1080,Aux!$B:$M,3,0),"")</f>
        <v/>
      </c>
      <c r="E1080" s="60"/>
      <c r="F1080" s="60"/>
      <c r="G1080" s="61" t="str">
        <f>IFERROR(VLOOKUP(C$13&amp;$B1080,Aux!$B:$M,9,0),"")</f>
        <v/>
      </c>
      <c r="K1080" s="59" t="str">
        <f>IFERROR(VLOOKUP(K$13&amp;$B1084,Aux!$B:$M,5,0),"")</f>
        <v/>
      </c>
      <c r="L1080" s="60" t="str">
        <f>IFERROR(VLOOKUP(K$13&amp;$B1080,Aux!$B:$M,3,0),"")</f>
        <v/>
      </c>
      <c r="M1080" s="60"/>
      <c r="N1080" s="60"/>
      <c r="O1080" s="61" t="str">
        <f>IFERROR(VLOOKUP(K$13&amp;$B1080,Aux!$B:$M,9,0),"")</f>
        <v/>
      </c>
      <c r="S1080" s="59" t="str">
        <f>IFERROR(VLOOKUP(S$13&amp;$B1084,Aux!$B:$M,5,0),"")</f>
        <v/>
      </c>
      <c r="T1080" s="60" t="str">
        <f>IFERROR(VLOOKUP(S$13&amp;$B1080,Aux!$B:$M,3,0),"")</f>
        <v/>
      </c>
      <c r="U1080" s="60"/>
      <c r="V1080" s="60"/>
      <c r="W1080" s="61" t="str">
        <f>IFERROR(VLOOKUP(S$13&amp;$B1080,Aux!$B:$M,9,0),"")</f>
        <v/>
      </c>
      <c r="AA1080" s="59" t="str">
        <f>IFERROR(VLOOKUP(AA$13&amp;$B1084,Aux!$B:$M,5,0),"")</f>
        <v/>
      </c>
      <c r="AB1080" s="60" t="str">
        <f>IFERROR(VLOOKUP(AA$13&amp;$B1080,Aux!$B:$M,3,0),"")</f>
        <v/>
      </c>
      <c r="AC1080" s="60"/>
      <c r="AD1080" s="60"/>
      <c r="AE1080" s="61" t="str">
        <f>IFERROR(VLOOKUP(AA$13&amp;$B1080,Aux!$B:$M,9,0),"")</f>
        <v/>
      </c>
    </row>
    <row r="1081" spans="2:31" x14ac:dyDescent="0.25">
      <c r="B1081" s="53">
        <f t="shared" si="16"/>
        <v>214</v>
      </c>
      <c r="C1081" s="59"/>
      <c r="D1081" s="60"/>
      <c r="E1081" s="60"/>
      <c r="F1081" s="60"/>
      <c r="G1081" s="61"/>
      <c r="K1081" s="59"/>
      <c r="L1081" s="60"/>
      <c r="M1081" s="60"/>
      <c r="N1081" s="60"/>
      <c r="O1081" s="61"/>
      <c r="S1081" s="59"/>
      <c r="T1081" s="60"/>
      <c r="U1081" s="60"/>
      <c r="V1081" s="60"/>
      <c r="W1081" s="61"/>
      <c r="AA1081" s="59"/>
      <c r="AB1081" s="60"/>
      <c r="AC1081" s="60"/>
      <c r="AD1081" s="60"/>
      <c r="AE1081" s="61"/>
    </row>
    <row r="1082" spans="2:31" x14ac:dyDescent="0.25">
      <c r="B1082" s="53">
        <f t="shared" si="16"/>
        <v>214</v>
      </c>
      <c r="C1082" s="59"/>
      <c r="D1082" s="15" t="str">
        <f>IF(D1080="","","Исполнитель"&amp;": ")</f>
        <v/>
      </c>
      <c r="E1082" s="62" t="str">
        <f>IFERROR(VLOOKUP(C$13&amp;$B1082,Aux!$B:$M,4,0),"")</f>
        <v/>
      </c>
      <c r="F1082" s="62"/>
      <c r="G1082" s="63" t="str">
        <f>IFERROR(IF(VLOOKUP(C$13&amp;$B1080,Aux!$B:$M,8,0)="Да","✔","🕓"),"")</f>
        <v/>
      </c>
      <c r="K1082" s="59"/>
      <c r="L1082" s="15" t="str">
        <f>IF(L1080="","","Исполнитель"&amp;": ")</f>
        <v/>
      </c>
      <c r="M1082" s="62" t="str">
        <f>IFERROR(VLOOKUP(K$13&amp;$B1082,Aux!$B:$M,4,0),"")</f>
        <v/>
      </c>
      <c r="N1082" s="62"/>
      <c r="O1082" s="63" t="str">
        <f>IFERROR(IF(VLOOKUP(K$13&amp;$B1080,Aux!$B:$M,8,0)="Да","✔","🕓"),"")</f>
        <v/>
      </c>
      <c r="S1082" s="59"/>
      <c r="T1082" s="15" t="str">
        <f>IF(T1080="","","Исполнитель"&amp;": ")</f>
        <v/>
      </c>
      <c r="U1082" s="62" t="str">
        <f>IFERROR(VLOOKUP(S$13&amp;$B1082,Aux!$B:$M,4,0),"")</f>
        <v/>
      </c>
      <c r="V1082" s="62"/>
      <c r="W1082" s="63" t="str">
        <f>IFERROR(IF(VLOOKUP(S$13&amp;$B1080,Aux!$B:$M,8,0)="Да","✔","🕓"),"")</f>
        <v/>
      </c>
      <c r="AA1082" s="59"/>
      <c r="AB1082" s="15" t="str">
        <f>IF(AB1080="","","Исполнитель"&amp;": ")</f>
        <v/>
      </c>
      <c r="AC1082" s="62" t="str">
        <f>IFERROR(VLOOKUP(AA$13&amp;$B1082,Aux!$B:$M,4,0),"")</f>
        <v/>
      </c>
      <c r="AD1082" s="62"/>
      <c r="AE1082" s="63" t="str">
        <f>IFERROR(IF(VLOOKUP(AA$13&amp;$B1080,Aux!$B:$M,8,0)="Да","✔","🕓"),"")</f>
        <v/>
      </c>
    </row>
    <row r="1083" spans="2:31" x14ac:dyDescent="0.25">
      <c r="B1083" s="53">
        <f t="shared" si="16"/>
        <v>214</v>
      </c>
      <c r="C1083" s="59"/>
      <c r="D1083" s="16" t="str">
        <f>IF(D1080="","","Срок сдачи"&amp;": ")</f>
        <v/>
      </c>
      <c r="E1083" s="64" t="str">
        <f>IFERROR(VLOOKUP(C$13&amp;$B1083,Aux!$B:$M,6,0),"")</f>
        <v/>
      </c>
      <c r="F1083" s="64"/>
      <c r="G1083" s="63"/>
      <c r="K1083" s="59"/>
      <c r="L1083" s="16" t="str">
        <f>IF(L1080="","","Срок сдачи"&amp;": ")</f>
        <v/>
      </c>
      <c r="M1083" s="64" t="str">
        <f>IFERROR(VLOOKUP(K$13&amp;$B1083,Aux!$B:$M,6,0),"")</f>
        <v/>
      </c>
      <c r="N1083" s="64"/>
      <c r="O1083" s="63"/>
      <c r="S1083" s="59"/>
      <c r="T1083" s="16" t="str">
        <f>IF(T1080="","","Срок сдачи"&amp;": ")</f>
        <v/>
      </c>
      <c r="U1083" s="64" t="str">
        <f>IFERROR(VLOOKUP(S$13&amp;$B1083,Aux!$B:$M,6,0),"")</f>
        <v/>
      </c>
      <c r="V1083" s="64"/>
      <c r="W1083" s="63"/>
      <c r="AA1083" s="59"/>
      <c r="AB1083" s="16" t="str">
        <f>IF(AB1080="","","Срок сдачи"&amp;": ")</f>
        <v/>
      </c>
      <c r="AC1083" s="64" t="str">
        <f>IFERROR(VLOOKUP(AA$13&amp;$B1083,Aux!$B:$M,6,0),"")</f>
        <v/>
      </c>
      <c r="AD1083" s="64"/>
      <c r="AE1083" s="63"/>
    </row>
    <row r="1084" spans="2:31" x14ac:dyDescent="0.25">
      <c r="B1084" s="53">
        <f t="shared" si="16"/>
        <v>214</v>
      </c>
      <c r="C1084" s="7"/>
      <c r="D1084" s="17"/>
      <c r="E1084" s="7"/>
      <c r="F1084" s="18"/>
      <c r="G1084" s="18"/>
      <c r="K1084" s="13"/>
      <c r="L1084" s="17"/>
      <c r="M1084" s="13"/>
      <c r="N1084" s="14"/>
      <c r="O1084" s="14"/>
      <c r="S1084" s="13"/>
      <c r="T1084" s="17"/>
      <c r="U1084" s="13"/>
      <c r="V1084" s="14"/>
      <c r="W1084" s="14"/>
      <c r="AA1084" s="13"/>
      <c r="AB1084" s="17"/>
      <c r="AC1084" s="13"/>
      <c r="AD1084" s="14"/>
      <c r="AE1084" s="30"/>
    </row>
    <row r="1085" spans="2:31" x14ac:dyDescent="0.25">
      <c r="B1085" s="53">
        <f t="shared" si="16"/>
        <v>215</v>
      </c>
      <c r="C1085" s="59" t="str">
        <f>IFERROR(VLOOKUP(C$13&amp;$B1089,Aux!$B:$M,5,0),"")</f>
        <v/>
      </c>
      <c r="D1085" s="60" t="str">
        <f>IFERROR(VLOOKUP(C$13&amp;$B1085,Aux!$B:$M,3,0),"")</f>
        <v/>
      </c>
      <c r="E1085" s="60"/>
      <c r="F1085" s="60"/>
      <c r="G1085" s="61" t="str">
        <f>IFERROR(VLOOKUP(C$13&amp;$B1085,Aux!$B:$M,9,0),"")</f>
        <v/>
      </c>
      <c r="K1085" s="59" t="str">
        <f>IFERROR(VLOOKUP(K$13&amp;$B1089,Aux!$B:$M,5,0),"")</f>
        <v/>
      </c>
      <c r="L1085" s="60" t="str">
        <f>IFERROR(VLOOKUP(K$13&amp;$B1085,Aux!$B:$M,3,0),"")</f>
        <v/>
      </c>
      <c r="M1085" s="60"/>
      <c r="N1085" s="60"/>
      <c r="O1085" s="61" t="str">
        <f>IFERROR(VLOOKUP(K$13&amp;$B1085,Aux!$B:$M,9,0),"")</f>
        <v/>
      </c>
      <c r="S1085" s="59" t="str">
        <f>IFERROR(VLOOKUP(S$13&amp;$B1089,Aux!$B:$M,5,0),"")</f>
        <v/>
      </c>
      <c r="T1085" s="60" t="str">
        <f>IFERROR(VLOOKUP(S$13&amp;$B1085,Aux!$B:$M,3,0),"")</f>
        <v/>
      </c>
      <c r="U1085" s="60"/>
      <c r="V1085" s="60"/>
      <c r="W1085" s="61" t="str">
        <f>IFERROR(VLOOKUP(S$13&amp;$B1085,Aux!$B:$M,9,0),"")</f>
        <v/>
      </c>
      <c r="AA1085" s="59" t="str">
        <f>IFERROR(VLOOKUP(AA$13&amp;$B1089,Aux!$B:$M,5,0),"")</f>
        <v/>
      </c>
      <c r="AB1085" s="60" t="str">
        <f>IFERROR(VLOOKUP(AA$13&amp;$B1085,Aux!$B:$M,3,0),"")</f>
        <v/>
      </c>
      <c r="AC1085" s="60"/>
      <c r="AD1085" s="60"/>
      <c r="AE1085" s="61" t="str">
        <f>IFERROR(VLOOKUP(AA$13&amp;$B1085,Aux!$B:$M,9,0),"")</f>
        <v/>
      </c>
    </row>
    <row r="1086" spans="2:31" x14ac:dyDescent="0.25">
      <c r="B1086" s="53">
        <f t="shared" si="16"/>
        <v>215</v>
      </c>
      <c r="C1086" s="59"/>
      <c r="D1086" s="60"/>
      <c r="E1086" s="60"/>
      <c r="F1086" s="60"/>
      <c r="G1086" s="61"/>
      <c r="K1086" s="59"/>
      <c r="L1086" s="60"/>
      <c r="M1086" s="60"/>
      <c r="N1086" s="60"/>
      <c r="O1086" s="61"/>
      <c r="S1086" s="59"/>
      <c r="T1086" s="60"/>
      <c r="U1086" s="60"/>
      <c r="V1086" s="60"/>
      <c r="W1086" s="61"/>
      <c r="AA1086" s="59"/>
      <c r="AB1086" s="60"/>
      <c r="AC1086" s="60"/>
      <c r="AD1086" s="60"/>
      <c r="AE1086" s="61"/>
    </row>
    <row r="1087" spans="2:31" x14ac:dyDescent="0.25">
      <c r="B1087" s="53">
        <f t="shared" si="16"/>
        <v>215</v>
      </c>
      <c r="C1087" s="59"/>
      <c r="D1087" s="15" t="str">
        <f>IF(D1085="","","Исполнитель"&amp;": ")</f>
        <v/>
      </c>
      <c r="E1087" s="62" t="str">
        <f>IFERROR(VLOOKUP(C$13&amp;$B1087,Aux!$B:$M,4,0),"")</f>
        <v/>
      </c>
      <c r="F1087" s="62"/>
      <c r="G1087" s="63" t="str">
        <f>IFERROR(IF(VLOOKUP(C$13&amp;$B1085,Aux!$B:$M,8,0)="Да","✔","🕓"),"")</f>
        <v/>
      </c>
      <c r="K1087" s="59"/>
      <c r="L1087" s="15" t="str">
        <f>IF(L1085="","","Исполнитель"&amp;": ")</f>
        <v/>
      </c>
      <c r="M1087" s="62" t="str">
        <f>IFERROR(VLOOKUP(K$13&amp;$B1087,Aux!$B:$M,4,0),"")</f>
        <v/>
      </c>
      <c r="N1087" s="62"/>
      <c r="O1087" s="63" t="str">
        <f>IFERROR(IF(VLOOKUP(K$13&amp;$B1085,Aux!$B:$M,8,0)="Да","✔","🕓"),"")</f>
        <v/>
      </c>
      <c r="S1087" s="59"/>
      <c r="T1087" s="15" t="str">
        <f>IF(T1085="","","Исполнитель"&amp;": ")</f>
        <v/>
      </c>
      <c r="U1087" s="62" t="str">
        <f>IFERROR(VLOOKUP(S$13&amp;$B1087,Aux!$B:$M,4,0),"")</f>
        <v/>
      </c>
      <c r="V1087" s="62"/>
      <c r="W1087" s="63" t="str">
        <f>IFERROR(IF(VLOOKUP(S$13&amp;$B1085,Aux!$B:$M,8,0)="Да","✔","🕓"),"")</f>
        <v/>
      </c>
      <c r="AA1087" s="59"/>
      <c r="AB1087" s="15" t="str">
        <f>IF(AB1085="","","Исполнитель"&amp;": ")</f>
        <v/>
      </c>
      <c r="AC1087" s="62" t="str">
        <f>IFERROR(VLOOKUP(AA$13&amp;$B1087,Aux!$B:$M,4,0),"")</f>
        <v/>
      </c>
      <c r="AD1087" s="62"/>
      <c r="AE1087" s="63" t="str">
        <f>IFERROR(IF(VLOOKUP(AA$13&amp;$B1085,Aux!$B:$M,8,0)="Да","✔","🕓"),"")</f>
        <v/>
      </c>
    </row>
    <row r="1088" spans="2:31" x14ac:dyDescent="0.25">
      <c r="B1088" s="53">
        <f t="shared" si="16"/>
        <v>215</v>
      </c>
      <c r="C1088" s="59"/>
      <c r="D1088" s="16" t="str">
        <f>IF(D1085="","","Срок сдачи"&amp;": ")</f>
        <v/>
      </c>
      <c r="E1088" s="64" t="str">
        <f>IFERROR(VLOOKUP(C$13&amp;$B1088,Aux!$B:$M,6,0),"")</f>
        <v/>
      </c>
      <c r="F1088" s="64"/>
      <c r="G1088" s="63"/>
      <c r="K1088" s="59"/>
      <c r="L1088" s="16" t="str">
        <f>IF(L1085="","","Срок сдачи"&amp;": ")</f>
        <v/>
      </c>
      <c r="M1088" s="64" t="str">
        <f>IFERROR(VLOOKUP(K$13&amp;$B1088,Aux!$B:$M,6,0),"")</f>
        <v/>
      </c>
      <c r="N1088" s="64"/>
      <c r="O1088" s="63"/>
      <c r="S1088" s="59"/>
      <c r="T1088" s="16" t="str">
        <f>IF(T1085="","","Срок сдачи"&amp;": ")</f>
        <v/>
      </c>
      <c r="U1088" s="64" t="str">
        <f>IFERROR(VLOOKUP(S$13&amp;$B1088,Aux!$B:$M,6,0),"")</f>
        <v/>
      </c>
      <c r="V1088" s="64"/>
      <c r="W1088" s="63"/>
      <c r="AA1088" s="59"/>
      <c r="AB1088" s="16" t="str">
        <f>IF(AB1085="","","Срок сдачи"&amp;": ")</f>
        <v/>
      </c>
      <c r="AC1088" s="64" t="str">
        <f>IFERROR(VLOOKUP(AA$13&amp;$B1088,Aux!$B:$M,6,0),"")</f>
        <v/>
      </c>
      <c r="AD1088" s="64"/>
      <c r="AE1088" s="63"/>
    </row>
    <row r="1089" spans="2:31" x14ac:dyDescent="0.25">
      <c r="B1089" s="53">
        <f t="shared" si="16"/>
        <v>215</v>
      </c>
      <c r="C1089" s="7"/>
      <c r="D1089" s="17"/>
      <c r="E1089" s="7"/>
      <c r="F1089" s="18"/>
      <c r="G1089" s="18"/>
      <c r="K1089" s="13"/>
      <c r="L1089" s="17"/>
      <c r="M1089" s="13"/>
      <c r="N1089" s="14"/>
      <c r="O1089" s="14"/>
      <c r="S1089" s="13"/>
      <c r="T1089" s="17"/>
      <c r="U1089" s="13"/>
      <c r="V1089" s="14"/>
      <c r="W1089" s="14"/>
      <c r="AA1089" s="13"/>
      <c r="AB1089" s="17"/>
      <c r="AC1089" s="13"/>
      <c r="AD1089" s="14"/>
      <c r="AE1089" s="30"/>
    </row>
    <row r="1090" spans="2:31" x14ac:dyDescent="0.25">
      <c r="B1090" s="53">
        <f t="shared" si="16"/>
        <v>216</v>
      </c>
      <c r="C1090" s="59" t="str">
        <f>IFERROR(VLOOKUP(C$13&amp;$B1094,Aux!$B:$M,5,0),"")</f>
        <v/>
      </c>
      <c r="D1090" s="60" t="str">
        <f>IFERROR(VLOOKUP(C$13&amp;$B1090,Aux!$B:$M,3,0),"")</f>
        <v/>
      </c>
      <c r="E1090" s="60"/>
      <c r="F1090" s="60"/>
      <c r="G1090" s="61" t="str">
        <f>IFERROR(VLOOKUP(C$13&amp;$B1090,Aux!$B:$M,9,0),"")</f>
        <v/>
      </c>
      <c r="K1090" s="59" t="str">
        <f>IFERROR(VLOOKUP(K$13&amp;$B1094,Aux!$B:$M,5,0),"")</f>
        <v/>
      </c>
      <c r="L1090" s="60" t="str">
        <f>IFERROR(VLOOKUP(K$13&amp;$B1090,Aux!$B:$M,3,0),"")</f>
        <v/>
      </c>
      <c r="M1090" s="60"/>
      <c r="N1090" s="60"/>
      <c r="O1090" s="61" t="str">
        <f>IFERROR(VLOOKUP(K$13&amp;$B1090,Aux!$B:$M,9,0),"")</f>
        <v/>
      </c>
      <c r="S1090" s="59" t="str">
        <f>IFERROR(VLOOKUP(S$13&amp;$B1094,Aux!$B:$M,5,0),"")</f>
        <v/>
      </c>
      <c r="T1090" s="60" t="str">
        <f>IFERROR(VLOOKUP(S$13&amp;$B1090,Aux!$B:$M,3,0),"")</f>
        <v/>
      </c>
      <c r="U1090" s="60"/>
      <c r="V1090" s="60"/>
      <c r="W1090" s="61" t="str">
        <f>IFERROR(VLOOKUP(S$13&amp;$B1090,Aux!$B:$M,9,0),"")</f>
        <v/>
      </c>
      <c r="AA1090" s="59" t="str">
        <f>IFERROR(VLOOKUP(AA$13&amp;$B1094,Aux!$B:$M,5,0),"")</f>
        <v/>
      </c>
      <c r="AB1090" s="60" t="str">
        <f>IFERROR(VLOOKUP(AA$13&amp;$B1090,Aux!$B:$M,3,0),"")</f>
        <v/>
      </c>
      <c r="AC1090" s="60"/>
      <c r="AD1090" s="60"/>
      <c r="AE1090" s="61" t="str">
        <f>IFERROR(VLOOKUP(AA$13&amp;$B1090,Aux!$B:$M,9,0),"")</f>
        <v/>
      </c>
    </row>
    <row r="1091" spans="2:31" x14ac:dyDescent="0.25">
      <c r="B1091" s="53">
        <f t="shared" si="16"/>
        <v>216</v>
      </c>
      <c r="C1091" s="59"/>
      <c r="D1091" s="60"/>
      <c r="E1091" s="60"/>
      <c r="F1091" s="60"/>
      <c r="G1091" s="61"/>
      <c r="K1091" s="59"/>
      <c r="L1091" s="60"/>
      <c r="M1091" s="60"/>
      <c r="N1091" s="60"/>
      <c r="O1091" s="61"/>
      <c r="S1091" s="59"/>
      <c r="T1091" s="60"/>
      <c r="U1091" s="60"/>
      <c r="V1091" s="60"/>
      <c r="W1091" s="61"/>
      <c r="AA1091" s="59"/>
      <c r="AB1091" s="60"/>
      <c r="AC1091" s="60"/>
      <c r="AD1091" s="60"/>
      <c r="AE1091" s="61"/>
    </row>
    <row r="1092" spans="2:31" x14ac:dyDescent="0.25">
      <c r="B1092" s="53">
        <f t="shared" si="16"/>
        <v>216</v>
      </c>
      <c r="C1092" s="59"/>
      <c r="D1092" s="15" t="str">
        <f>IF(D1090="","","Исполнитель"&amp;": ")</f>
        <v/>
      </c>
      <c r="E1092" s="62" t="str">
        <f>IFERROR(VLOOKUP(C$13&amp;$B1092,Aux!$B:$M,4,0),"")</f>
        <v/>
      </c>
      <c r="F1092" s="62"/>
      <c r="G1092" s="63" t="str">
        <f>IFERROR(IF(VLOOKUP(C$13&amp;$B1090,Aux!$B:$M,8,0)="Да","✔","🕓"),"")</f>
        <v/>
      </c>
      <c r="K1092" s="59"/>
      <c r="L1092" s="15" t="str">
        <f>IF(L1090="","","Исполнитель"&amp;": ")</f>
        <v/>
      </c>
      <c r="M1092" s="62" t="str">
        <f>IFERROR(VLOOKUP(K$13&amp;$B1092,Aux!$B:$M,4,0),"")</f>
        <v/>
      </c>
      <c r="N1092" s="62"/>
      <c r="O1092" s="63" t="str">
        <f>IFERROR(IF(VLOOKUP(K$13&amp;$B1090,Aux!$B:$M,8,0)="Да","✔","🕓"),"")</f>
        <v/>
      </c>
      <c r="S1092" s="59"/>
      <c r="T1092" s="15" t="str">
        <f>IF(T1090="","","Исполнитель"&amp;": ")</f>
        <v/>
      </c>
      <c r="U1092" s="62" t="str">
        <f>IFERROR(VLOOKUP(S$13&amp;$B1092,Aux!$B:$M,4,0),"")</f>
        <v/>
      </c>
      <c r="V1092" s="62"/>
      <c r="W1092" s="63" t="str">
        <f>IFERROR(IF(VLOOKUP(S$13&amp;$B1090,Aux!$B:$M,8,0)="Да","✔","🕓"),"")</f>
        <v/>
      </c>
      <c r="AA1092" s="59"/>
      <c r="AB1092" s="15" t="str">
        <f>IF(AB1090="","","Исполнитель"&amp;": ")</f>
        <v/>
      </c>
      <c r="AC1092" s="62" t="str">
        <f>IFERROR(VLOOKUP(AA$13&amp;$B1092,Aux!$B:$M,4,0),"")</f>
        <v/>
      </c>
      <c r="AD1092" s="62"/>
      <c r="AE1092" s="63" t="str">
        <f>IFERROR(IF(VLOOKUP(AA$13&amp;$B1090,Aux!$B:$M,8,0)="Да","✔","🕓"),"")</f>
        <v/>
      </c>
    </row>
    <row r="1093" spans="2:31" x14ac:dyDescent="0.25">
      <c r="B1093" s="53">
        <f t="shared" si="16"/>
        <v>216</v>
      </c>
      <c r="C1093" s="59"/>
      <c r="D1093" s="16" t="str">
        <f>IF(D1090="","","Срок сдачи"&amp;": ")</f>
        <v/>
      </c>
      <c r="E1093" s="64" t="str">
        <f>IFERROR(VLOOKUP(C$13&amp;$B1093,Aux!$B:$M,6,0),"")</f>
        <v/>
      </c>
      <c r="F1093" s="64"/>
      <c r="G1093" s="63"/>
      <c r="K1093" s="59"/>
      <c r="L1093" s="16" t="str">
        <f>IF(L1090="","","Срок сдачи"&amp;": ")</f>
        <v/>
      </c>
      <c r="M1093" s="64" t="str">
        <f>IFERROR(VLOOKUP(K$13&amp;$B1093,Aux!$B:$M,6,0),"")</f>
        <v/>
      </c>
      <c r="N1093" s="64"/>
      <c r="O1093" s="63"/>
      <c r="S1093" s="59"/>
      <c r="T1093" s="16" t="str">
        <f>IF(T1090="","","Срок сдачи"&amp;": ")</f>
        <v/>
      </c>
      <c r="U1093" s="64" t="str">
        <f>IFERROR(VLOOKUP(S$13&amp;$B1093,Aux!$B:$M,6,0),"")</f>
        <v/>
      </c>
      <c r="V1093" s="64"/>
      <c r="W1093" s="63"/>
      <c r="AA1093" s="59"/>
      <c r="AB1093" s="16" t="str">
        <f>IF(AB1090="","","Срок сдачи"&amp;": ")</f>
        <v/>
      </c>
      <c r="AC1093" s="64" t="str">
        <f>IFERROR(VLOOKUP(AA$13&amp;$B1093,Aux!$B:$M,6,0),"")</f>
        <v/>
      </c>
      <c r="AD1093" s="64"/>
      <c r="AE1093" s="63"/>
    </row>
    <row r="1094" spans="2:31" x14ac:dyDescent="0.25">
      <c r="B1094" s="53">
        <f t="shared" si="16"/>
        <v>216</v>
      </c>
      <c r="C1094" s="7"/>
      <c r="D1094" s="17"/>
      <c r="E1094" s="7"/>
      <c r="F1094" s="18"/>
      <c r="G1094" s="18"/>
      <c r="K1094" s="13"/>
      <c r="L1094" s="17"/>
      <c r="M1094" s="13"/>
      <c r="N1094" s="14"/>
      <c r="O1094" s="14"/>
      <c r="S1094" s="13"/>
      <c r="T1094" s="17"/>
      <c r="U1094" s="13"/>
      <c r="V1094" s="14"/>
      <c r="W1094" s="14"/>
      <c r="AA1094" s="13"/>
      <c r="AB1094" s="17"/>
      <c r="AC1094" s="13"/>
      <c r="AD1094" s="14"/>
      <c r="AE1094" s="30"/>
    </row>
    <row r="1095" spans="2:31" x14ac:dyDescent="0.25">
      <c r="B1095" s="53">
        <f t="shared" si="16"/>
        <v>217</v>
      </c>
      <c r="C1095" s="59" t="str">
        <f>IFERROR(VLOOKUP(C$13&amp;$B1099,Aux!$B:$M,5,0),"")</f>
        <v/>
      </c>
      <c r="D1095" s="60" t="str">
        <f>IFERROR(VLOOKUP(C$13&amp;$B1095,Aux!$B:$M,3,0),"")</f>
        <v/>
      </c>
      <c r="E1095" s="60"/>
      <c r="F1095" s="60"/>
      <c r="G1095" s="61" t="str">
        <f>IFERROR(VLOOKUP(C$13&amp;$B1095,Aux!$B:$M,9,0),"")</f>
        <v/>
      </c>
      <c r="K1095" s="59" t="str">
        <f>IFERROR(VLOOKUP(K$13&amp;$B1099,Aux!$B:$M,5,0),"")</f>
        <v/>
      </c>
      <c r="L1095" s="60" t="str">
        <f>IFERROR(VLOOKUP(K$13&amp;$B1095,Aux!$B:$M,3,0),"")</f>
        <v/>
      </c>
      <c r="M1095" s="60"/>
      <c r="N1095" s="60"/>
      <c r="O1095" s="61" t="str">
        <f>IFERROR(VLOOKUP(K$13&amp;$B1095,Aux!$B:$M,9,0),"")</f>
        <v/>
      </c>
      <c r="S1095" s="59" t="str">
        <f>IFERROR(VLOOKUP(S$13&amp;$B1099,Aux!$B:$M,5,0),"")</f>
        <v/>
      </c>
      <c r="T1095" s="60" t="str">
        <f>IFERROR(VLOOKUP(S$13&amp;$B1095,Aux!$B:$M,3,0),"")</f>
        <v/>
      </c>
      <c r="U1095" s="60"/>
      <c r="V1095" s="60"/>
      <c r="W1095" s="61" t="str">
        <f>IFERROR(VLOOKUP(S$13&amp;$B1095,Aux!$B:$M,9,0),"")</f>
        <v/>
      </c>
      <c r="AA1095" s="59" t="str">
        <f>IFERROR(VLOOKUP(AA$13&amp;$B1099,Aux!$B:$M,5,0),"")</f>
        <v/>
      </c>
      <c r="AB1095" s="60" t="str">
        <f>IFERROR(VLOOKUP(AA$13&amp;$B1095,Aux!$B:$M,3,0),"")</f>
        <v/>
      </c>
      <c r="AC1095" s="60"/>
      <c r="AD1095" s="60"/>
      <c r="AE1095" s="61" t="str">
        <f>IFERROR(VLOOKUP(AA$13&amp;$B1095,Aux!$B:$M,9,0),"")</f>
        <v/>
      </c>
    </row>
    <row r="1096" spans="2:31" x14ac:dyDescent="0.25">
      <c r="B1096" s="53">
        <f t="shared" si="16"/>
        <v>217</v>
      </c>
      <c r="C1096" s="59"/>
      <c r="D1096" s="60"/>
      <c r="E1096" s="60"/>
      <c r="F1096" s="60"/>
      <c r="G1096" s="61"/>
      <c r="K1096" s="59"/>
      <c r="L1096" s="60"/>
      <c r="M1096" s="60"/>
      <c r="N1096" s="60"/>
      <c r="O1096" s="61"/>
      <c r="S1096" s="59"/>
      <c r="T1096" s="60"/>
      <c r="U1096" s="60"/>
      <c r="V1096" s="60"/>
      <c r="W1096" s="61"/>
      <c r="AA1096" s="59"/>
      <c r="AB1096" s="60"/>
      <c r="AC1096" s="60"/>
      <c r="AD1096" s="60"/>
      <c r="AE1096" s="61"/>
    </row>
    <row r="1097" spans="2:31" x14ac:dyDescent="0.25">
      <c r="B1097" s="53">
        <f t="shared" si="16"/>
        <v>217</v>
      </c>
      <c r="C1097" s="59"/>
      <c r="D1097" s="15" t="str">
        <f>IF(D1095="","","Исполнитель"&amp;": ")</f>
        <v/>
      </c>
      <c r="E1097" s="62" t="str">
        <f>IFERROR(VLOOKUP(C$13&amp;$B1097,Aux!$B:$M,4,0),"")</f>
        <v/>
      </c>
      <c r="F1097" s="62"/>
      <c r="G1097" s="63" t="str">
        <f>IFERROR(IF(VLOOKUP(C$13&amp;$B1095,Aux!$B:$M,8,0)="Да","✔","🕓"),"")</f>
        <v/>
      </c>
      <c r="K1097" s="59"/>
      <c r="L1097" s="15" t="str">
        <f>IF(L1095="","","Исполнитель"&amp;": ")</f>
        <v/>
      </c>
      <c r="M1097" s="62" t="str">
        <f>IFERROR(VLOOKUP(K$13&amp;$B1097,Aux!$B:$M,4,0),"")</f>
        <v/>
      </c>
      <c r="N1097" s="62"/>
      <c r="O1097" s="63" t="str">
        <f>IFERROR(IF(VLOOKUP(K$13&amp;$B1095,Aux!$B:$M,8,0)="Да","✔","🕓"),"")</f>
        <v/>
      </c>
      <c r="S1097" s="59"/>
      <c r="T1097" s="15" t="str">
        <f>IF(T1095="","","Исполнитель"&amp;": ")</f>
        <v/>
      </c>
      <c r="U1097" s="62" t="str">
        <f>IFERROR(VLOOKUP(S$13&amp;$B1097,Aux!$B:$M,4,0),"")</f>
        <v/>
      </c>
      <c r="V1097" s="62"/>
      <c r="W1097" s="63" t="str">
        <f>IFERROR(IF(VLOOKUP(S$13&amp;$B1095,Aux!$B:$M,8,0)="Да","✔","🕓"),"")</f>
        <v/>
      </c>
      <c r="AA1097" s="59"/>
      <c r="AB1097" s="15" t="str">
        <f>IF(AB1095="","","Исполнитель"&amp;": ")</f>
        <v/>
      </c>
      <c r="AC1097" s="62" t="str">
        <f>IFERROR(VLOOKUP(AA$13&amp;$B1097,Aux!$B:$M,4,0),"")</f>
        <v/>
      </c>
      <c r="AD1097" s="62"/>
      <c r="AE1097" s="63" t="str">
        <f>IFERROR(IF(VLOOKUP(AA$13&amp;$B1095,Aux!$B:$M,8,0)="Да","✔","🕓"),"")</f>
        <v/>
      </c>
    </row>
    <row r="1098" spans="2:31" x14ac:dyDescent="0.25">
      <c r="B1098" s="53">
        <f t="shared" si="16"/>
        <v>217</v>
      </c>
      <c r="C1098" s="59"/>
      <c r="D1098" s="16" t="str">
        <f>IF(D1095="","","Срок сдачи"&amp;": ")</f>
        <v/>
      </c>
      <c r="E1098" s="64" t="str">
        <f>IFERROR(VLOOKUP(C$13&amp;$B1098,Aux!$B:$M,6,0),"")</f>
        <v/>
      </c>
      <c r="F1098" s="64"/>
      <c r="G1098" s="63"/>
      <c r="K1098" s="59"/>
      <c r="L1098" s="16" t="str">
        <f>IF(L1095="","","Срок сдачи"&amp;": ")</f>
        <v/>
      </c>
      <c r="M1098" s="64" t="str">
        <f>IFERROR(VLOOKUP(K$13&amp;$B1098,Aux!$B:$M,6,0),"")</f>
        <v/>
      </c>
      <c r="N1098" s="64"/>
      <c r="O1098" s="63"/>
      <c r="S1098" s="59"/>
      <c r="T1098" s="16" t="str">
        <f>IF(T1095="","","Срок сдачи"&amp;": ")</f>
        <v/>
      </c>
      <c r="U1098" s="64" t="str">
        <f>IFERROR(VLOOKUP(S$13&amp;$B1098,Aux!$B:$M,6,0),"")</f>
        <v/>
      </c>
      <c r="V1098" s="64"/>
      <c r="W1098" s="63"/>
      <c r="AA1098" s="59"/>
      <c r="AB1098" s="16" t="str">
        <f>IF(AB1095="","","Срок сдачи"&amp;": ")</f>
        <v/>
      </c>
      <c r="AC1098" s="64" t="str">
        <f>IFERROR(VLOOKUP(AA$13&amp;$B1098,Aux!$B:$M,6,0),"")</f>
        <v/>
      </c>
      <c r="AD1098" s="64"/>
      <c r="AE1098" s="63"/>
    </row>
    <row r="1099" spans="2:31" x14ac:dyDescent="0.25">
      <c r="B1099" s="53">
        <f t="shared" si="16"/>
        <v>217</v>
      </c>
      <c r="C1099" s="7"/>
      <c r="D1099" s="17"/>
      <c r="E1099" s="7"/>
      <c r="F1099" s="18"/>
      <c r="G1099" s="18"/>
      <c r="K1099" s="13"/>
      <c r="L1099" s="17"/>
      <c r="M1099" s="13"/>
      <c r="N1099" s="14"/>
      <c r="O1099" s="14"/>
      <c r="S1099" s="13"/>
      <c r="T1099" s="17"/>
      <c r="U1099" s="13"/>
      <c r="V1099" s="14"/>
      <c r="W1099" s="14"/>
      <c r="AA1099" s="13"/>
      <c r="AB1099" s="17"/>
      <c r="AC1099" s="13"/>
      <c r="AD1099" s="14"/>
      <c r="AE1099" s="30"/>
    </row>
    <row r="1100" spans="2:31" x14ac:dyDescent="0.25">
      <c r="B1100" s="53">
        <f t="shared" si="16"/>
        <v>218</v>
      </c>
      <c r="C1100" s="59" t="str">
        <f>IFERROR(VLOOKUP(C$13&amp;$B1104,Aux!$B:$M,5,0),"")</f>
        <v/>
      </c>
      <c r="D1100" s="60" t="str">
        <f>IFERROR(VLOOKUP(C$13&amp;$B1100,Aux!$B:$M,3,0),"")</f>
        <v/>
      </c>
      <c r="E1100" s="60"/>
      <c r="F1100" s="60"/>
      <c r="G1100" s="61" t="str">
        <f>IFERROR(VLOOKUP(C$13&amp;$B1100,Aux!$B:$M,9,0),"")</f>
        <v/>
      </c>
      <c r="K1100" s="59" t="str">
        <f>IFERROR(VLOOKUP(K$13&amp;$B1104,Aux!$B:$M,5,0),"")</f>
        <v/>
      </c>
      <c r="L1100" s="60" t="str">
        <f>IFERROR(VLOOKUP(K$13&amp;$B1100,Aux!$B:$M,3,0),"")</f>
        <v/>
      </c>
      <c r="M1100" s="60"/>
      <c r="N1100" s="60"/>
      <c r="O1100" s="61" t="str">
        <f>IFERROR(VLOOKUP(K$13&amp;$B1100,Aux!$B:$M,9,0),"")</f>
        <v/>
      </c>
      <c r="S1100" s="59" t="str">
        <f>IFERROR(VLOOKUP(S$13&amp;$B1104,Aux!$B:$M,5,0),"")</f>
        <v/>
      </c>
      <c r="T1100" s="60" t="str">
        <f>IFERROR(VLOOKUP(S$13&amp;$B1100,Aux!$B:$M,3,0),"")</f>
        <v/>
      </c>
      <c r="U1100" s="60"/>
      <c r="V1100" s="60"/>
      <c r="W1100" s="61" t="str">
        <f>IFERROR(VLOOKUP(S$13&amp;$B1100,Aux!$B:$M,9,0),"")</f>
        <v/>
      </c>
      <c r="AA1100" s="59" t="str">
        <f>IFERROR(VLOOKUP(AA$13&amp;$B1104,Aux!$B:$M,5,0),"")</f>
        <v/>
      </c>
      <c r="AB1100" s="60" t="str">
        <f>IFERROR(VLOOKUP(AA$13&amp;$B1100,Aux!$B:$M,3,0),"")</f>
        <v/>
      </c>
      <c r="AC1100" s="60"/>
      <c r="AD1100" s="60"/>
      <c r="AE1100" s="61" t="str">
        <f>IFERROR(VLOOKUP(AA$13&amp;$B1100,Aux!$B:$M,9,0),"")</f>
        <v/>
      </c>
    </row>
    <row r="1101" spans="2:31" x14ac:dyDescent="0.25">
      <c r="B1101" s="53">
        <f t="shared" si="16"/>
        <v>218</v>
      </c>
      <c r="C1101" s="59"/>
      <c r="D1101" s="60"/>
      <c r="E1101" s="60"/>
      <c r="F1101" s="60"/>
      <c r="G1101" s="61"/>
      <c r="K1101" s="59"/>
      <c r="L1101" s="60"/>
      <c r="M1101" s="60"/>
      <c r="N1101" s="60"/>
      <c r="O1101" s="61"/>
      <c r="S1101" s="59"/>
      <c r="T1101" s="60"/>
      <c r="U1101" s="60"/>
      <c r="V1101" s="60"/>
      <c r="W1101" s="61"/>
      <c r="AA1101" s="59"/>
      <c r="AB1101" s="60"/>
      <c r="AC1101" s="60"/>
      <c r="AD1101" s="60"/>
      <c r="AE1101" s="61"/>
    </row>
    <row r="1102" spans="2:31" x14ac:dyDescent="0.25">
      <c r="B1102" s="53">
        <f t="shared" si="16"/>
        <v>218</v>
      </c>
      <c r="C1102" s="59"/>
      <c r="D1102" s="15" t="str">
        <f>IF(D1100="","","Исполнитель"&amp;": ")</f>
        <v/>
      </c>
      <c r="E1102" s="62" t="str">
        <f>IFERROR(VLOOKUP(C$13&amp;$B1102,Aux!$B:$M,4,0),"")</f>
        <v/>
      </c>
      <c r="F1102" s="62"/>
      <c r="G1102" s="63" t="str">
        <f>IFERROR(IF(VLOOKUP(C$13&amp;$B1100,Aux!$B:$M,8,0)="Да","✔","🕓"),"")</f>
        <v/>
      </c>
      <c r="K1102" s="59"/>
      <c r="L1102" s="15" t="str">
        <f>IF(L1100="","","Исполнитель"&amp;": ")</f>
        <v/>
      </c>
      <c r="M1102" s="62" t="str">
        <f>IFERROR(VLOOKUP(K$13&amp;$B1102,Aux!$B:$M,4,0),"")</f>
        <v/>
      </c>
      <c r="N1102" s="62"/>
      <c r="O1102" s="63" t="str">
        <f>IFERROR(IF(VLOOKUP(K$13&amp;$B1100,Aux!$B:$M,8,0)="Да","✔","🕓"),"")</f>
        <v/>
      </c>
      <c r="S1102" s="59"/>
      <c r="T1102" s="15" t="str">
        <f>IF(T1100="","","Исполнитель"&amp;": ")</f>
        <v/>
      </c>
      <c r="U1102" s="62" t="str">
        <f>IFERROR(VLOOKUP(S$13&amp;$B1102,Aux!$B:$M,4,0),"")</f>
        <v/>
      </c>
      <c r="V1102" s="62"/>
      <c r="W1102" s="63" t="str">
        <f>IFERROR(IF(VLOOKUP(S$13&amp;$B1100,Aux!$B:$M,8,0)="Да","✔","🕓"),"")</f>
        <v/>
      </c>
      <c r="AA1102" s="59"/>
      <c r="AB1102" s="15" t="str">
        <f>IF(AB1100="","","Исполнитель"&amp;": ")</f>
        <v/>
      </c>
      <c r="AC1102" s="62" t="str">
        <f>IFERROR(VLOOKUP(AA$13&amp;$B1102,Aux!$B:$M,4,0),"")</f>
        <v/>
      </c>
      <c r="AD1102" s="62"/>
      <c r="AE1102" s="63" t="str">
        <f>IFERROR(IF(VLOOKUP(AA$13&amp;$B1100,Aux!$B:$M,8,0)="Да","✔","🕓"),"")</f>
        <v/>
      </c>
    </row>
    <row r="1103" spans="2:31" x14ac:dyDescent="0.25">
      <c r="B1103" s="53">
        <f t="shared" si="16"/>
        <v>218</v>
      </c>
      <c r="C1103" s="59"/>
      <c r="D1103" s="16" t="str">
        <f>IF(D1100="","","Срок сдачи"&amp;": ")</f>
        <v/>
      </c>
      <c r="E1103" s="64" t="str">
        <f>IFERROR(VLOOKUP(C$13&amp;$B1103,Aux!$B:$M,6,0),"")</f>
        <v/>
      </c>
      <c r="F1103" s="64"/>
      <c r="G1103" s="63"/>
      <c r="K1103" s="59"/>
      <c r="L1103" s="16" t="str">
        <f>IF(L1100="","","Срок сдачи"&amp;": ")</f>
        <v/>
      </c>
      <c r="M1103" s="64" t="str">
        <f>IFERROR(VLOOKUP(K$13&amp;$B1103,Aux!$B:$M,6,0),"")</f>
        <v/>
      </c>
      <c r="N1103" s="64"/>
      <c r="O1103" s="63"/>
      <c r="S1103" s="59"/>
      <c r="T1103" s="16" t="str">
        <f>IF(T1100="","","Срок сдачи"&amp;": ")</f>
        <v/>
      </c>
      <c r="U1103" s="64" t="str">
        <f>IFERROR(VLOOKUP(S$13&amp;$B1103,Aux!$B:$M,6,0),"")</f>
        <v/>
      </c>
      <c r="V1103" s="64"/>
      <c r="W1103" s="63"/>
      <c r="AA1103" s="59"/>
      <c r="AB1103" s="16" t="str">
        <f>IF(AB1100="","","Срок сдачи"&amp;": ")</f>
        <v/>
      </c>
      <c r="AC1103" s="64" t="str">
        <f>IFERROR(VLOOKUP(AA$13&amp;$B1103,Aux!$B:$M,6,0),"")</f>
        <v/>
      </c>
      <c r="AD1103" s="64"/>
      <c r="AE1103" s="63"/>
    </row>
    <row r="1104" spans="2:31" x14ac:dyDescent="0.25">
      <c r="B1104" s="53">
        <f t="shared" si="16"/>
        <v>218</v>
      </c>
      <c r="C1104" s="7"/>
      <c r="D1104" s="17"/>
      <c r="E1104" s="7"/>
      <c r="F1104" s="18"/>
      <c r="G1104" s="18"/>
      <c r="K1104" s="13"/>
      <c r="L1104" s="17"/>
      <c r="M1104" s="13"/>
      <c r="N1104" s="14"/>
      <c r="O1104" s="14"/>
      <c r="S1104" s="13"/>
      <c r="T1104" s="17"/>
      <c r="U1104" s="13"/>
      <c r="V1104" s="14"/>
      <c r="W1104" s="14"/>
      <c r="AA1104" s="13"/>
      <c r="AB1104" s="17"/>
      <c r="AC1104" s="13"/>
      <c r="AD1104" s="14"/>
      <c r="AE1104" s="30"/>
    </row>
    <row r="1105" spans="2:31" x14ac:dyDescent="0.25">
      <c r="B1105" s="53">
        <f t="shared" si="16"/>
        <v>219</v>
      </c>
      <c r="C1105" s="59" t="str">
        <f>IFERROR(VLOOKUP(C$13&amp;$B1109,Aux!$B:$M,5,0),"")</f>
        <v/>
      </c>
      <c r="D1105" s="60" t="str">
        <f>IFERROR(VLOOKUP(C$13&amp;$B1105,Aux!$B:$M,3,0),"")</f>
        <v/>
      </c>
      <c r="E1105" s="60"/>
      <c r="F1105" s="60"/>
      <c r="G1105" s="61" t="str">
        <f>IFERROR(VLOOKUP(C$13&amp;$B1105,Aux!$B:$M,9,0),"")</f>
        <v/>
      </c>
      <c r="K1105" s="59" t="str">
        <f>IFERROR(VLOOKUP(K$13&amp;$B1109,Aux!$B:$M,5,0),"")</f>
        <v/>
      </c>
      <c r="L1105" s="60" t="str">
        <f>IFERROR(VLOOKUP(K$13&amp;$B1105,Aux!$B:$M,3,0),"")</f>
        <v/>
      </c>
      <c r="M1105" s="60"/>
      <c r="N1105" s="60"/>
      <c r="O1105" s="61" t="str">
        <f>IFERROR(VLOOKUP(K$13&amp;$B1105,Aux!$B:$M,9,0),"")</f>
        <v/>
      </c>
      <c r="S1105" s="59" t="str">
        <f>IFERROR(VLOOKUP(S$13&amp;$B1109,Aux!$B:$M,5,0),"")</f>
        <v/>
      </c>
      <c r="T1105" s="60" t="str">
        <f>IFERROR(VLOOKUP(S$13&amp;$B1105,Aux!$B:$M,3,0),"")</f>
        <v/>
      </c>
      <c r="U1105" s="60"/>
      <c r="V1105" s="60"/>
      <c r="W1105" s="61" t="str">
        <f>IFERROR(VLOOKUP(S$13&amp;$B1105,Aux!$B:$M,9,0),"")</f>
        <v/>
      </c>
      <c r="AA1105" s="59" t="str">
        <f>IFERROR(VLOOKUP(AA$13&amp;$B1109,Aux!$B:$M,5,0),"")</f>
        <v/>
      </c>
      <c r="AB1105" s="60" t="str">
        <f>IFERROR(VLOOKUP(AA$13&amp;$B1105,Aux!$B:$M,3,0),"")</f>
        <v/>
      </c>
      <c r="AC1105" s="60"/>
      <c r="AD1105" s="60"/>
      <c r="AE1105" s="61" t="str">
        <f>IFERROR(VLOOKUP(AA$13&amp;$B1105,Aux!$B:$M,9,0),"")</f>
        <v/>
      </c>
    </row>
    <row r="1106" spans="2:31" x14ac:dyDescent="0.25">
      <c r="B1106" s="53">
        <f t="shared" si="16"/>
        <v>219</v>
      </c>
      <c r="C1106" s="59"/>
      <c r="D1106" s="60"/>
      <c r="E1106" s="60"/>
      <c r="F1106" s="60"/>
      <c r="G1106" s="61"/>
      <c r="K1106" s="59"/>
      <c r="L1106" s="60"/>
      <c r="M1106" s="60"/>
      <c r="N1106" s="60"/>
      <c r="O1106" s="61"/>
      <c r="S1106" s="59"/>
      <c r="T1106" s="60"/>
      <c r="U1106" s="60"/>
      <c r="V1106" s="60"/>
      <c r="W1106" s="61"/>
      <c r="AA1106" s="59"/>
      <c r="AB1106" s="60"/>
      <c r="AC1106" s="60"/>
      <c r="AD1106" s="60"/>
      <c r="AE1106" s="61"/>
    </row>
    <row r="1107" spans="2:31" x14ac:dyDescent="0.25">
      <c r="B1107" s="53">
        <f t="shared" si="16"/>
        <v>219</v>
      </c>
      <c r="C1107" s="59"/>
      <c r="D1107" s="15" t="str">
        <f>IF(D1105="","","Исполнитель"&amp;": ")</f>
        <v/>
      </c>
      <c r="E1107" s="62" t="str">
        <f>IFERROR(VLOOKUP(C$13&amp;$B1107,Aux!$B:$M,4,0),"")</f>
        <v/>
      </c>
      <c r="F1107" s="62"/>
      <c r="G1107" s="63" t="str">
        <f>IFERROR(IF(VLOOKUP(C$13&amp;$B1105,Aux!$B:$M,8,0)="Да","✔","🕓"),"")</f>
        <v/>
      </c>
      <c r="K1107" s="59"/>
      <c r="L1107" s="15" t="str">
        <f>IF(L1105="","","Исполнитель"&amp;": ")</f>
        <v/>
      </c>
      <c r="M1107" s="62" t="str">
        <f>IFERROR(VLOOKUP(K$13&amp;$B1107,Aux!$B:$M,4,0),"")</f>
        <v/>
      </c>
      <c r="N1107" s="62"/>
      <c r="O1107" s="63" t="str">
        <f>IFERROR(IF(VLOOKUP(K$13&amp;$B1105,Aux!$B:$M,8,0)="Да","✔","🕓"),"")</f>
        <v/>
      </c>
      <c r="S1107" s="59"/>
      <c r="T1107" s="15" t="str">
        <f>IF(T1105="","","Исполнитель"&amp;": ")</f>
        <v/>
      </c>
      <c r="U1107" s="62" t="str">
        <f>IFERROR(VLOOKUP(S$13&amp;$B1107,Aux!$B:$M,4,0),"")</f>
        <v/>
      </c>
      <c r="V1107" s="62"/>
      <c r="W1107" s="63" t="str">
        <f>IFERROR(IF(VLOOKUP(S$13&amp;$B1105,Aux!$B:$M,8,0)="Да","✔","🕓"),"")</f>
        <v/>
      </c>
      <c r="AA1107" s="59"/>
      <c r="AB1107" s="15" t="str">
        <f>IF(AB1105="","","Исполнитель"&amp;": ")</f>
        <v/>
      </c>
      <c r="AC1107" s="62" t="str">
        <f>IFERROR(VLOOKUP(AA$13&amp;$B1107,Aux!$B:$M,4,0),"")</f>
        <v/>
      </c>
      <c r="AD1107" s="62"/>
      <c r="AE1107" s="63" t="str">
        <f>IFERROR(IF(VLOOKUP(AA$13&amp;$B1105,Aux!$B:$M,8,0)="Да","✔","🕓"),"")</f>
        <v/>
      </c>
    </row>
    <row r="1108" spans="2:31" x14ac:dyDescent="0.25">
      <c r="B1108" s="53">
        <f t="shared" si="16"/>
        <v>219</v>
      </c>
      <c r="C1108" s="59"/>
      <c r="D1108" s="16" t="str">
        <f>IF(D1105="","","Срок сдачи"&amp;": ")</f>
        <v/>
      </c>
      <c r="E1108" s="64" t="str">
        <f>IFERROR(VLOOKUP(C$13&amp;$B1108,Aux!$B:$M,6,0),"")</f>
        <v/>
      </c>
      <c r="F1108" s="64"/>
      <c r="G1108" s="63"/>
      <c r="K1108" s="59"/>
      <c r="L1108" s="16" t="str">
        <f>IF(L1105="","","Срок сдачи"&amp;": ")</f>
        <v/>
      </c>
      <c r="M1108" s="64" t="str">
        <f>IFERROR(VLOOKUP(K$13&amp;$B1108,Aux!$B:$M,6,0),"")</f>
        <v/>
      </c>
      <c r="N1108" s="64"/>
      <c r="O1108" s="63"/>
      <c r="S1108" s="59"/>
      <c r="T1108" s="16" t="str">
        <f>IF(T1105="","","Срок сдачи"&amp;": ")</f>
        <v/>
      </c>
      <c r="U1108" s="64" t="str">
        <f>IFERROR(VLOOKUP(S$13&amp;$B1108,Aux!$B:$M,6,0),"")</f>
        <v/>
      </c>
      <c r="V1108" s="64"/>
      <c r="W1108" s="63"/>
      <c r="AA1108" s="59"/>
      <c r="AB1108" s="16" t="str">
        <f>IF(AB1105="","","Срок сдачи"&amp;": ")</f>
        <v/>
      </c>
      <c r="AC1108" s="64" t="str">
        <f>IFERROR(VLOOKUP(AA$13&amp;$B1108,Aux!$B:$M,6,0),"")</f>
        <v/>
      </c>
      <c r="AD1108" s="64"/>
      <c r="AE1108" s="63"/>
    </row>
    <row r="1109" spans="2:31" x14ac:dyDescent="0.25">
      <c r="B1109" s="53">
        <f t="shared" ref="B1109:B1172" si="17">B1104+1</f>
        <v>219</v>
      </c>
      <c r="C1109" s="7"/>
      <c r="D1109" s="17"/>
      <c r="E1109" s="7"/>
      <c r="F1109" s="18"/>
      <c r="G1109" s="18"/>
      <c r="K1109" s="13"/>
      <c r="L1109" s="17"/>
      <c r="M1109" s="13"/>
      <c r="N1109" s="14"/>
      <c r="O1109" s="14"/>
      <c r="S1109" s="13"/>
      <c r="T1109" s="17"/>
      <c r="U1109" s="13"/>
      <c r="V1109" s="14"/>
      <c r="W1109" s="14"/>
      <c r="AA1109" s="13"/>
      <c r="AB1109" s="17"/>
      <c r="AC1109" s="13"/>
      <c r="AD1109" s="14"/>
      <c r="AE1109" s="30"/>
    </row>
    <row r="1110" spans="2:31" x14ac:dyDescent="0.25">
      <c r="B1110" s="53">
        <f t="shared" si="17"/>
        <v>220</v>
      </c>
      <c r="C1110" s="59" t="str">
        <f>IFERROR(VLOOKUP(C$13&amp;$B1114,Aux!$B:$M,5,0),"")</f>
        <v/>
      </c>
      <c r="D1110" s="60" t="str">
        <f>IFERROR(VLOOKUP(C$13&amp;$B1110,Aux!$B:$M,3,0),"")</f>
        <v/>
      </c>
      <c r="E1110" s="60"/>
      <c r="F1110" s="60"/>
      <c r="G1110" s="61" t="str">
        <f>IFERROR(VLOOKUP(C$13&amp;$B1110,Aux!$B:$M,9,0),"")</f>
        <v/>
      </c>
      <c r="K1110" s="59" t="str">
        <f>IFERROR(VLOOKUP(K$13&amp;$B1114,Aux!$B:$M,5,0),"")</f>
        <v/>
      </c>
      <c r="L1110" s="60" t="str">
        <f>IFERROR(VLOOKUP(K$13&amp;$B1110,Aux!$B:$M,3,0),"")</f>
        <v/>
      </c>
      <c r="M1110" s="60"/>
      <c r="N1110" s="60"/>
      <c r="O1110" s="61" t="str">
        <f>IFERROR(VLOOKUP(K$13&amp;$B1110,Aux!$B:$M,9,0),"")</f>
        <v/>
      </c>
      <c r="S1110" s="59" t="str">
        <f>IFERROR(VLOOKUP(S$13&amp;$B1114,Aux!$B:$M,5,0),"")</f>
        <v/>
      </c>
      <c r="T1110" s="60" t="str">
        <f>IFERROR(VLOOKUP(S$13&amp;$B1110,Aux!$B:$M,3,0),"")</f>
        <v/>
      </c>
      <c r="U1110" s="60"/>
      <c r="V1110" s="60"/>
      <c r="W1110" s="61" t="str">
        <f>IFERROR(VLOOKUP(S$13&amp;$B1110,Aux!$B:$M,9,0),"")</f>
        <v/>
      </c>
      <c r="AA1110" s="59" t="str">
        <f>IFERROR(VLOOKUP(AA$13&amp;$B1114,Aux!$B:$M,5,0),"")</f>
        <v/>
      </c>
      <c r="AB1110" s="60" t="str">
        <f>IFERROR(VLOOKUP(AA$13&amp;$B1110,Aux!$B:$M,3,0),"")</f>
        <v/>
      </c>
      <c r="AC1110" s="60"/>
      <c r="AD1110" s="60"/>
      <c r="AE1110" s="61" t="str">
        <f>IFERROR(VLOOKUP(AA$13&amp;$B1110,Aux!$B:$M,9,0),"")</f>
        <v/>
      </c>
    </row>
    <row r="1111" spans="2:31" x14ac:dyDescent="0.25">
      <c r="B1111" s="53">
        <f t="shared" si="17"/>
        <v>220</v>
      </c>
      <c r="C1111" s="59"/>
      <c r="D1111" s="60"/>
      <c r="E1111" s="60"/>
      <c r="F1111" s="60"/>
      <c r="G1111" s="61"/>
      <c r="K1111" s="59"/>
      <c r="L1111" s="60"/>
      <c r="M1111" s="60"/>
      <c r="N1111" s="60"/>
      <c r="O1111" s="61"/>
      <c r="S1111" s="59"/>
      <c r="T1111" s="60"/>
      <c r="U1111" s="60"/>
      <c r="V1111" s="60"/>
      <c r="W1111" s="61"/>
      <c r="AA1111" s="59"/>
      <c r="AB1111" s="60"/>
      <c r="AC1111" s="60"/>
      <c r="AD1111" s="60"/>
      <c r="AE1111" s="61"/>
    </row>
    <row r="1112" spans="2:31" x14ac:dyDescent="0.25">
      <c r="B1112" s="53">
        <f t="shared" si="17"/>
        <v>220</v>
      </c>
      <c r="C1112" s="59"/>
      <c r="D1112" s="15" t="str">
        <f>IF(D1110="","","Исполнитель"&amp;": ")</f>
        <v/>
      </c>
      <c r="E1112" s="62" t="str">
        <f>IFERROR(VLOOKUP(C$13&amp;$B1112,Aux!$B:$M,4,0),"")</f>
        <v/>
      </c>
      <c r="F1112" s="62"/>
      <c r="G1112" s="63" t="str">
        <f>IFERROR(IF(VLOOKUP(C$13&amp;$B1110,Aux!$B:$M,8,0)="Да","✔","🕓"),"")</f>
        <v/>
      </c>
      <c r="K1112" s="59"/>
      <c r="L1112" s="15" t="str">
        <f>IF(L1110="","","Исполнитель"&amp;": ")</f>
        <v/>
      </c>
      <c r="M1112" s="62" t="str">
        <f>IFERROR(VLOOKUP(K$13&amp;$B1112,Aux!$B:$M,4,0),"")</f>
        <v/>
      </c>
      <c r="N1112" s="62"/>
      <c r="O1112" s="63" t="str">
        <f>IFERROR(IF(VLOOKUP(K$13&amp;$B1110,Aux!$B:$M,8,0)="Да","✔","🕓"),"")</f>
        <v/>
      </c>
      <c r="S1112" s="59"/>
      <c r="T1112" s="15" t="str">
        <f>IF(T1110="","","Исполнитель"&amp;": ")</f>
        <v/>
      </c>
      <c r="U1112" s="62" t="str">
        <f>IFERROR(VLOOKUP(S$13&amp;$B1112,Aux!$B:$M,4,0),"")</f>
        <v/>
      </c>
      <c r="V1112" s="62"/>
      <c r="W1112" s="63" t="str">
        <f>IFERROR(IF(VLOOKUP(S$13&amp;$B1110,Aux!$B:$M,8,0)="Да","✔","🕓"),"")</f>
        <v/>
      </c>
      <c r="AA1112" s="59"/>
      <c r="AB1112" s="15" t="str">
        <f>IF(AB1110="","","Исполнитель"&amp;": ")</f>
        <v/>
      </c>
      <c r="AC1112" s="62" t="str">
        <f>IFERROR(VLOOKUP(AA$13&amp;$B1112,Aux!$B:$M,4,0),"")</f>
        <v/>
      </c>
      <c r="AD1112" s="62"/>
      <c r="AE1112" s="63" t="str">
        <f>IFERROR(IF(VLOOKUP(AA$13&amp;$B1110,Aux!$B:$M,8,0)="Да","✔","🕓"),"")</f>
        <v/>
      </c>
    </row>
    <row r="1113" spans="2:31" x14ac:dyDescent="0.25">
      <c r="B1113" s="53">
        <f t="shared" si="17"/>
        <v>220</v>
      </c>
      <c r="C1113" s="59"/>
      <c r="D1113" s="16" t="str">
        <f>IF(D1110="","","Срок сдачи"&amp;": ")</f>
        <v/>
      </c>
      <c r="E1113" s="64" t="str">
        <f>IFERROR(VLOOKUP(C$13&amp;$B1113,Aux!$B:$M,6,0),"")</f>
        <v/>
      </c>
      <c r="F1113" s="64"/>
      <c r="G1113" s="63"/>
      <c r="K1113" s="59"/>
      <c r="L1113" s="16" t="str">
        <f>IF(L1110="","","Срок сдачи"&amp;": ")</f>
        <v/>
      </c>
      <c r="M1113" s="64" t="str">
        <f>IFERROR(VLOOKUP(K$13&amp;$B1113,Aux!$B:$M,6,0),"")</f>
        <v/>
      </c>
      <c r="N1113" s="64"/>
      <c r="O1113" s="63"/>
      <c r="S1113" s="59"/>
      <c r="T1113" s="16" t="str">
        <f>IF(T1110="","","Срок сдачи"&amp;": ")</f>
        <v/>
      </c>
      <c r="U1113" s="64" t="str">
        <f>IFERROR(VLOOKUP(S$13&amp;$B1113,Aux!$B:$M,6,0),"")</f>
        <v/>
      </c>
      <c r="V1113" s="64"/>
      <c r="W1113" s="63"/>
      <c r="AA1113" s="59"/>
      <c r="AB1113" s="16" t="str">
        <f>IF(AB1110="","","Срок сдачи"&amp;": ")</f>
        <v/>
      </c>
      <c r="AC1113" s="64" t="str">
        <f>IFERROR(VLOOKUP(AA$13&amp;$B1113,Aux!$B:$M,6,0),"")</f>
        <v/>
      </c>
      <c r="AD1113" s="64"/>
      <c r="AE1113" s="63"/>
    </row>
    <row r="1114" spans="2:31" x14ac:dyDescent="0.25">
      <c r="B1114" s="53">
        <f t="shared" si="17"/>
        <v>220</v>
      </c>
      <c r="C1114" s="7"/>
      <c r="D1114" s="17"/>
      <c r="E1114" s="7"/>
      <c r="F1114" s="18"/>
      <c r="G1114" s="18"/>
      <c r="K1114" s="13"/>
      <c r="L1114" s="17"/>
      <c r="M1114" s="13"/>
      <c r="N1114" s="14"/>
      <c r="O1114" s="14"/>
      <c r="S1114" s="13"/>
      <c r="T1114" s="17"/>
      <c r="U1114" s="13"/>
      <c r="V1114" s="14"/>
      <c r="W1114" s="14"/>
      <c r="AA1114" s="13"/>
      <c r="AB1114" s="17"/>
      <c r="AC1114" s="13"/>
      <c r="AD1114" s="14"/>
      <c r="AE1114" s="30"/>
    </row>
    <row r="1115" spans="2:31" x14ac:dyDescent="0.25">
      <c r="B1115" s="53">
        <f t="shared" si="17"/>
        <v>221</v>
      </c>
      <c r="C1115" s="59" t="str">
        <f>IFERROR(VLOOKUP(C$13&amp;$B1119,Aux!$B:$M,5,0),"")</f>
        <v/>
      </c>
      <c r="D1115" s="60" t="str">
        <f>IFERROR(VLOOKUP(C$13&amp;$B1115,Aux!$B:$M,3,0),"")</f>
        <v/>
      </c>
      <c r="E1115" s="60"/>
      <c r="F1115" s="60"/>
      <c r="G1115" s="61" t="str">
        <f>IFERROR(VLOOKUP(C$13&amp;$B1115,Aux!$B:$M,9,0),"")</f>
        <v/>
      </c>
      <c r="K1115" s="59" t="str">
        <f>IFERROR(VLOOKUP(K$13&amp;$B1119,Aux!$B:$M,5,0),"")</f>
        <v/>
      </c>
      <c r="L1115" s="60" t="str">
        <f>IFERROR(VLOOKUP(K$13&amp;$B1115,Aux!$B:$M,3,0),"")</f>
        <v/>
      </c>
      <c r="M1115" s="60"/>
      <c r="N1115" s="60"/>
      <c r="O1115" s="61" t="str">
        <f>IFERROR(VLOOKUP(K$13&amp;$B1115,Aux!$B:$M,9,0),"")</f>
        <v/>
      </c>
      <c r="S1115" s="59" t="str">
        <f>IFERROR(VLOOKUP(S$13&amp;$B1119,Aux!$B:$M,5,0),"")</f>
        <v/>
      </c>
      <c r="T1115" s="60" t="str">
        <f>IFERROR(VLOOKUP(S$13&amp;$B1115,Aux!$B:$M,3,0),"")</f>
        <v/>
      </c>
      <c r="U1115" s="60"/>
      <c r="V1115" s="60"/>
      <c r="W1115" s="61" t="str">
        <f>IFERROR(VLOOKUP(S$13&amp;$B1115,Aux!$B:$M,9,0),"")</f>
        <v/>
      </c>
      <c r="AA1115" s="59" t="str">
        <f>IFERROR(VLOOKUP(AA$13&amp;$B1119,Aux!$B:$M,5,0),"")</f>
        <v/>
      </c>
      <c r="AB1115" s="60" t="str">
        <f>IFERROR(VLOOKUP(AA$13&amp;$B1115,Aux!$B:$M,3,0),"")</f>
        <v/>
      </c>
      <c r="AC1115" s="60"/>
      <c r="AD1115" s="60"/>
      <c r="AE1115" s="61" t="str">
        <f>IFERROR(VLOOKUP(AA$13&amp;$B1115,Aux!$B:$M,9,0),"")</f>
        <v/>
      </c>
    </row>
    <row r="1116" spans="2:31" x14ac:dyDescent="0.25">
      <c r="B1116" s="53">
        <f t="shared" si="17"/>
        <v>221</v>
      </c>
      <c r="C1116" s="59"/>
      <c r="D1116" s="60"/>
      <c r="E1116" s="60"/>
      <c r="F1116" s="60"/>
      <c r="G1116" s="61"/>
      <c r="K1116" s="59"/>
      <c r="L1116" s="60"/>
      <c r="M1116" s="60"/>
      <c r="N1116" s="60"/>
      <c r="O1116" s="61"/>
      <c r="S1116" s="59"/>
      <c r="T1116" s="60"/>
      <c r="U1116" s="60"/>
      <c r="V1116" s="60"/>
      <c r="W1116" s="61"/>
      <c r="AA1116" s="59"/>
      <c r="AB1116" s="60"/>
      <c r="AC1116" s="60"/>
      <c r="AD1116" s="60"/>
      <c r="AE1116" s="61"/>
    </row>
    <row r="1117" spans="2:31" x14ac:dyDescent="0.25">
      <c r="B1117" s="53">
        <f t="shared" si="17"/>
        <v>221</v>
      </c>
      <c r="C1117" s="59"/>
      <c r="D1117" s="15" t="str">
        <f>IF(D1115="","","Исполнитель"&amp;": ")</f>
        <v/>
      </c>
      <c r="E1117" s="62" t="str">
        <f>IFERROR(VLOOKUP(C$13&amp;$B1117,Aux!$B:$M,4,0),"")</f>
        <v/>
      </c>
      <c r="F1117" s="62"/>
      <c r="G1117" s="63" t="str">
        <f>IFERROR(IF(VLOOKUP(C$13&amp;$B1115,Aux!$B:$M,8,0)="Да","✔","🕓"),"")</f>
        <v/>
      </c>
      <c r="K1117" s="59"/>
      <c r="L1117" s="15" t="str">
        <f>IF(L1115="","","Исполнитель"&amp;": ")</f>
        <v/>
      </c>
      <c r="M1117" s="62" t="str">
        <f>IFERROR(VLOOKUP(K$13&amp;$B1117,Aux!$B:$M,4,0),"")</f>
        <v/>
      </c>
      <c r="N1117" s="62"/>
      <c r="O1117" s="63" t="str">
        <f>IFERROR(IF(VLOOKUP(K$13&amp;$B1115,Aux!$B:$M,8,0)="Да","✔","🕓"),"")</f>
        <v/>
      </c>
      <c r="S1117" s="59"/>
      <c r="T1117" s="15" t="str">
        <f>IF(T1115="","","Исполнитель"&amp;": ")</f>
        <v/>
      </c>
      <c r="U1117" s="62" t="str">
        <f>IFERROR(VLOOKUP(S$13&amp;$B1117,Aux!$B:$M,4,0),"")</f>
        <v/>
      </c>
      <c r="V1117" s="62"/>
      <c r="W1117" s="63" t="str">
        <f>IFERROR(IF(VLOOKUP(S$13&amp;$B1115,Aux!$B:$M,8,0)="Да","✔","🕓"),"")</f>
        <v/>
      </c>
      <c r="AA1117" s="59"/>
      <c r="AB1117" s="15" t="str">
        <f>IF(AB1115="","","Исполнитель"&amp;": ")</f>
        <v/>
      </c>
      <c r="AC1117" s="62" t="str">
        <f>IFERROR(VLOOKUP(AA$13&amp;$B1117,Aux!$B:$M,4,0),"")</f>
        <v/>
      </c>
      <c r="AD1117" s="62"/>
      <c r="AE1117" s="63" t="str">
        <f>IFERROR(IF(VLOOKUP(AA$13&amp;$B1115,Aux!$B:$M,8,0)="Да","✔","🕓"),"")</f>
        <v/>
      </c>
    </row>
    <row r="1118" spans="2:31" x14ac:dyDescent="0.25">
      <c r="B1118" s="53">
        <f t="shared" si="17"/>
        <v>221</v>
      </c>
      <c r="C1118" s="59"/>
      <c r="D1118" s="16" t="str">
        <f>IF(D1115="","","Срок сдачи"&amp;": ")</f>
        <v/>
      </c>
      <c r="E1118" s="64" t="str">
        <f>IFERROR(VLOOKUP(C$13&amp;$B1118,Aux!$B:$M,6,0),"")</f>
        <v/>
      </c>
      <c r="F1118" s="64"/>
      <c r="G1118" s="63"/>
      <c r="K1118" s="59"/>
      <c r="L1118" s="16" t="str">
        <f>IF(L1115="","","Срок сдачи"&amp;": ")</f>
        <v/>
      </c>
      <c r="M1118" s="64" t="str">
        <f>IFERROR(VLOOKUP(K$13&amp;$B1118,Aux!$B:$M,6,0),"")</f>
        <v/>
      </c>
      <c r="N1118" s="64"/>
      <c r="O1118" s="63"/>
      <c r="S1118" s="59"/>
      <c r="T1118" s="16" t="str">
        <f>IF(T1115="","","Срок сдачи"&amp;": ")</f>
        <v/>
      </c>
      <c r="U1118" s="64" t="str">
        <f>IFERROR(VLOOKUP(S$13&amp;$B1118,Aux!$B:$M,6,0),"")</f>
        <v/>
      </c>
      <c r="V1118" s="64"/>
      <c r="W1118" s="63"/>
      <c r="AA1118" s="59"/>
      <c r="AB1118" s="16" t="str">
        <f>IF(AB1115="","","Срок сдачи"&amp;": ")</f>
        <v/>
      </c>
      <c r="AC1118" s="64" t="str">
        <f>IFERROR(VLOOKUP(AA$13&amp;$B1118,Aux!$B:$M,6,0),"")</f>
        <v/>
      </c>
      <c r="AD1118" s="64"/>
      <c r="AE1118" s="63"/>
    </row>
    <row r="1119" spans="2:31" x14ac:dyDescent="0.25">
      <c r="B1119" s="53">
        <f t="shared" si="17"/>
        <v>221</v>
      </c>
      <c r="C1119" s="7"/>
      <c r="D1119" s="17"/>
      <c r="E1119" s="7"/>
      <c r="F1119" s="18"/>
      <c r="G1119" s="18"/>
      <c r="K1119" s="13"/>
      <c r="L1119" s="17"/>
      <c r="M1119" s="13"/>
      <c r="N1119" s="14"/>
      <c r="O1119" s="14"/>
      <c r="S1119" s="13"/>
      <c r="T1119" s="17"/>
      <c r="U1119" s="13"/>
      <c r="V1119" s="14"/>
      <c r="W1119" s="14"/>
      <c r="AA1119" s="13"/>
      <c r="AB1119" s="17"/>
      <c r="AC1119" s="13"/>
      <c r="AD1119" s="14"/>
      <c r="AE1119" s="30"/>
    </row>
    <row r="1120" spans="2:31" x14ac:dyDescent="0.25">
      <c r="B1120" s="53">
        <f t="shared" si="17"/>
        <v>222</v>
      </c>
      <c r="C1120" s="59" t="str">
        <f>IFERROR(VLOOKUP(C$13&amp;$B1124,Aux!$B:$M,5,0),"")</f>
        <v/>
      </c>
      <c r="D1120" s="60" t="str">
        <f>IFERROR(VLOOKUP(C$13&amp;$B1120,Aux!$B:$M,3,0),"")</f>
        <v/>
      </c>
      <c r="E1120" s="60"/>
      <c r="F1120" s="60"/>
      <c r="G1120" s="61" t="str">
        <f>IFERROR(VLOOKUP(C$13&amp;$B1120,Aux!$B:$M,9,0),"")</f>
        <v/>
      </c>
      <c r="K1120" s="59" t="str">
        <f>IFERROR(VLOOKUP(K$13&amp;$B1124,Aux!$B:$M,5,0),"")</f>
        <v/>
      </c>
      <c r="L1120" s="60" t="str">
        <f>IFERROR(VLOOKUP(K$13&amp;$B1120,Aux!$B:$M,3,0),"")</f>
        <v/>
      </c>
      <c r="M1120" s="60"/>
      <c r="N1120" s="60"/>
      <c r="O1120" s="61" t="str">
        <f>IFERROR(VLOOKUP(K$13&amp;$B1120,Aux!$B:$M,9,0),"")</f>
        <v/>
      </c>
      <c r="S1120" s="59" t="str">
        <f>IFERROR(VLOOKUP(S$13&amp;$B1124,Aux!$B:$M,5,0),"")</f>
        <v/>
      </c>
      <c r="T1120" s="60" t="str">
        <f>IFERROR(VLOOKUP(S$13&amp;$B1120,Aux!$B:$M,3,0),"")</f>
        <v/>
      </c>
      <c r="U1120" s="60"/>
      <c r="V1120" s="60"/>
      <c r="W1120" s="61" t="str">
        <f>IFERROR(VLOOKUP(S$13&amp;$B1120,Aux!$B:$M,9,0),"")</f>
        <v/>
      </c>
      <c r="AA1120" s="59" t="str">
        <f>IFERROR(VLOOKUP(AA$13&amp;$B1124,Aux!$B:$M,5,0),"")</f>
        <v/>
      </c>
      <c r="AB1120" s="60" t="str">
        <f>IFERROR(VLOOKUP(AA$13&amp;$B1120,Aux!$B:$M,3,0),"")</f>
        <v/>
      </c>
      <c r="AC1120" s="60"/>
      <c r="AD1120" s="60"/>
      <c r="AE1120" s="61" t="str">
        <f>IFERROR(VLOOKUP(AA$13&amp;$B1120,Aux!$B:$M,9,0),"")</f>
        <v/>
      </c>
    </row>
    <row r="1121" spans="2:31" x14ac:dyDescent="0.25">
      <c r="B1121" s="53">
        <f t="shared" si="17"/>
        <v>222</v>
      </c>
      <c r="C1121" s="59"/>
      <c r="D1121" s="60"/>
      <c r="E1121" s="60"/>
      <c r="F1121" s="60"/>
      <c r="G1121" s="61"/>
      <c r="K1121" s="59"/>
      <c r="L1121" s="60"/>
      <c r="M1121" s="60"/>
      <c r="N1121" s="60"/>
      <c r="O1121" s="61"/>
      <c r="S1121" s="59"/>
      <c r="T1121" s="60"/>
      <c r="U1121" s="60"/>
      <c r="V1121" s="60"/>
      <c r="W1121" s="61"/>
      <c r="AA1121" s="59"/>
      <c r="AB1121" s="60"/>
      <c r="AC1121" s="60"/>
      <c r="AD1121" s="60"/>
      <c r="AE1121" s="61"/>
    </row>
    <row r="1122" spans="2:31" x14ac:dyDescent="0.25">
      <c r="B1122" s="53">
        <f t="shared" si="17"/>
        <v>222</v>
      </c>
      <c r="C1122" s="59"/>
      <c r="D1122" s="15" t="str">
        <f>IF(D1120="","","Исполнитель"&amp;": ")</f>
        <v/>
      </c>
      <c r="E1122" s="62" t="str">
        <f>IFERROR(VLOOKUP(C$13&amp;$B1122,Aux!$B:$M,4,0),"")</f>
        <v/>
      </c>
      <c r="F1122" s="62"/>
      <c r="G1122" s="63" t="str">
        <f>IFERROR(IF(VLOOKUP(C$13&amp;$B1120,Aux!$B:$M,8,0)="Да","✔","🕓"),"")</f>
        <v/>
      </c>
      <c r="K1122" s="59"/>
      <c r="L1122" s="15" t="str">
        <f>IF(L1120="","","Исполнитель"&amp;": ")</f>
        <v/>
      </c>
      <c r="M1122" s="62" t="str">
        <f>IFERROR(VLOOKUP(K$13&amp;$B1122,Aux!$B:$M,4,0),"")</f>
        <v/>
      </c>
      <c r="N1122" s="62"/>
      <c r="O1122" s="63" t="str">
        <f>IFERROR(IF(VLOOKUP(K$13&amp;$B1120,Aux!$B:$M,8,0)="Да","✔","🕓"),"")</f>
        <v/>
      </c>
      <c r="S1122" s="59"/>
      <c r="T1122" s="15" t="str">
        <f>IF(T1120="","","Исполнитель"&amp;": ")</f>
        <v/>
      </c>
      <c r="U1122" s="62" t="str">
        <f>IFERROR(VLOOKUP(S$13&amp;$B1122,Aux!$B:$M,4,0),"")</f>
        <v/>
      </c>
      <c r="V1122" s="62"/>
      <c r="W1122" s="63" t="str">
        <f>IFERROR(IF(VLOOKUP(S$13&amp;$B1120,Aux!$B:$M,8,0)="Да","✔","🕓"),"")</f>
        <v/>
      </c>
      <c r="AA1122" s="59"/>
      <c r="AB1122" s="15" t="str">
        <f>IF(AB1120="","","Исполнитель"&amp;": ")</f>
        <v/>
      </c>
      <c r="AC1122" s="62" t="str">
        <f>IFERROR(VLOOKUP(AA$13&amp;$B1122,Aux!$B:$M,4,0),"")</f>
        <v/>
      </c>
      <c r="AD1122" s="62"/>
      <c r="AE1122" s="63" t="str">
        <f>IFERROR(IF(VLOOKUP(AA$13&amp;$B1120,Aux!$B:$M,8,0)="Да","✔","🕓"),"")</f>
        <v/>
      </c>
    </row>
    <row r="1123" spans="2:31" x14ac:dyDescent="0.25">
      <c r="B1123" s="53">
        <f t="shared" si="17"/>
        <v>222</v>
      </c>
      <c r="C1123" s="59"/>
      <c r="D1123" s="16" t="str">
        <f>IF(D1120="","","Срок сдачи"&amp;": ")</f>
        <v/>
      </c>
      <c r="E1123" s="64" t="str">
        <f>IFERROR(VLOOKUP(C$13&amp;$B1123,Aux!$B:$M,6,0),"")</f>
        <v/>
      </c>
      <c r="F1123" s="64"/>
      <c r="G1123" s="63"/>
      <c r="K1123" s="59"/>
      <c r="L1123" s="16" t="str">
        <f>IF(L1120="","","Срок сдачи"&amp;": ")</f>
        <v/>
      </c>
      <c r="M1123" s="64" t="str">
        <f>IFERROR(VLOOKUP(K$13&amp;$B1123,Aux!$B:$M,6,0),"")</f>
        <v/>
      </c>
      <c r="N1123" s="64"/>
      <c r="O1123" s="63"/>
      <c r="S1123" s="59"/>
      <c r="T1123" s="16" t="str">
        <f>IF(T1120="","","Срок сдачи"&amp;": ")</f>
        <v/>
      </c>
      <c r="U1123" s="64" t="str">
        <f>IFERROR(VLOOKUP(S$13&amp;$B1123,Aux!$B:$M,6,0),"")</f>
        <v/>
      </c>
      <c r="V1123" s="64"/>
      <c r="W1123" s="63"/>
      <c r="AA1123" s="59"/>
      <c r="AB1123" s="16" t="str">
        <f>IF(AB1120="","","Срок сдачи"&amp;": ")</f>
        <v/>
      </c>
      <c r="AC1123" s="64" t="str">
        <f>IFERROR(VLOOKUP(AA$13&amp;$B1123,Aux!$B:$M,6,0),"")</f>
        <v/>
      </c>
      <c r="AD1123" s="64"/>
      <c r="AE1123" s="63"/>
    </row>
    <row r="1124" spans="2:31" x14ac:dyDescent="0.25">
      <c r="B1124" s="53">
        <f t="shared" si="17"/>
        <v>222</v>
      </c>
      <c r="C1124" s="7"/>
      <c r="D1124" s="17"/>
      <c r="E1124" s="7"/>
      <c r="F1124" s="18"/>
      <c r="G1124" s="18"/>
      <c r="K1124" s="13"/>
      <c r="L1124" s="17"/>
      <c r="M1124" s="13"/>
      <c r="N1124" s="14"/>
      <c r="O1124" s="14"/>
      <c r="S1124" s="13"/>
      <c r="T1124" s="17"/>
      <c r="U1124" s="13"/>
      <c r="V1124" s="14"/>
      <c r="W1124" s="14"/>
      <c r="AA1124" s="13"/>
      <c r="AB1124" s="17"/>
      <c r="AC1124" s="13"/>
      <c r="AD1124" s="14"/>
      <c r="AE1124" s="30"/>
    </row>
    <row r="1125" spans="2:31" x14ac:dyDescent="0.25">
      <c r="B1125" s="53">
        <f t="shared" si="17"/>
        <v>223</v>
      </c>
      <c r="C1125" s="59" t="str">
        <f>IFERROR(VLOOKUP(C$13&amp;$B1129,Aux!$B:$M,5,0),"")</f>
        <v/>
      </c>
      <c r="D1125" s="60" t="str">
        <f>IFERROR(VLOOKUP(C$13&amp;$B1125,Aux!$B:$M,3,0),"")</f>
        <v/>
      </c>
      <c r="E1125" s="60"/>
      <c r="F1125" s="60"/>
      <c r="G1125" s="61" t="str">
        <f>IFERROR(VLOOKUP(C$13&amp;$B1125,Aux!$B:$M,9,0),"")</f>
        <v/>
      </c>
      <c r="K1125" s="59" t="str">
        <f>IFERROR(VLOOKUP(K$13&amp;$B1129,Aux!$B:$M,5,0),"")</f>
        <v/>
      </c>
      <c r="L1125" s="60" t="str">
        <f>IFERROR(VLOOKUP(K$13&amp;$B1125,Aux!$B:$M,3,0),"")</f>
        <v/>
      </c>
      <c r="M1125" s="60"/>
      <c r="N1125" s="60"/>
      <c r="O1125" s="61" t="str">
        <f>IFERROR(VLOOKUP(K$13&amp;$B1125,Aux!$B:$M,9,0),"")</f>
        <v/>
      </c>
      <c r="S1125" s="59" t="str">
        <f>IFERROR(VLOOKUP(S$13&amp;$B1129,Aux!$B:$M,5,0),"")</f>
        <v/>
      </c>
      <c r="T1125" s="60" t="str">
        <f>IFERROR(VLOOKUP(S$13&amp;$B1125,Aux!$B:$M,3,0),"")</f>
        <v/>
      </c>
      <c r="U1125" s="60"/>
      <c r="V1125" s="60"/>
      <c r="W1125" s="61" t="str">
        <f>IFERROR(VLOOKUP(S$13&amp;$B1125,Aux!$B:$M,9,0),"")</f>
        <v/>
      </c>
      <c r="AA1125" s="59" t="str">
        <f>IFERROR(VLOOKUP(AA$13&amp;$B1129,Aux!$B:$M,5,0),"")</f>
        <v/>
      </c>
      <c r="AB1125" s="60" t="str">
        <f>IFERROR(VLOOKUP(AA$13&amp;$B1125,Aux!$B:$M,3,0),"")</f>
        <v/>
      </c>
      <c r="AC1125" s="60"/>
      <c r="AD1125" s="60"/>
      <c r="AE1125" s="61" t="str">
        <f>IFERROR(VLOOKUP(AA$13&amp;$B1125,Aux!$B:$M,9,0),"")</f>
        <v/>
      </c>
    </row>
    <row r="1126" spans="2:31" x14ac:dyDescent="0.25">
      <c r="B1126" s="53">
        <f t="shared" si="17"/>
        <v>223</v>
      </c>
      <c r="C1126" s="59"/>
      <c r="D1126" s="60"/>
      <c r="E1126" s="60"/>
      <c r="F1126" s="60"/>
      <c r="G1126" s="61"/>
      <c r="K1126" s="59"/>
      <c r="L1126" s="60"/>
      <c r="M1126" s="60"/>
      <c r="N1126" s="60"/>
      <c r="O1126" s="61"/>
      <c r="S1126" s="59"/>
      <c r="T1126" s="60"/>
      <c r="U1126" s="60"/>
      <c r="V1126" s="60"/>
      <c r="W1126" s="61"/>
      <c r="AA1126" s="59"/>
      <c r="AB1126" s="60"/>
      <c r="AC1126" s="60"/>
      <c r="AD1126" s="60"/>
      <c r="AE1126" s="61"/>
    </row>
    <row r="1127" spans="2:31" x14ac:dyDescent="0.25">
      <c r="B1127" s="53">
        <f t="shared" si="17"/>
        <v>223</v>
      </c>
      <c r="C1127" s="59"/>
      <c r="D1127" s="15" t="str">
        <f>IF(D1125="","","Исполнитель"&amp;": ")</f>
        <v/>
      </c>
      <c r="E1127" s="62" t="str">
        <f>IFERROR(VLOOKUP(C$13&amp;$B1127,Aux!$B:$M,4,0),"")</f>
        <v/>
      </c>
      <c r="F1127" s="62"/>
      <c r="G1127" s="63" t="str">
        <f>IFERROR(IF(VLOOKUP(C$13&amp;$B1125,Aux!$B:$M,8,0)="Да","✔","🕓"),"")</f>
        <v/>
      </c>
      <c r="K1127" s="59"/>
      <c r="L1127" s="15" t="str">
        <f>IF(L1125="","","Исполнитель"&amp;": ")</f>
        <v/>
      </c>
      <c r="M1127" s="62" t="str">
        <f>IFERROR(VLOOKUP(K$13&amp;$B1127,Aux!$B:$M,4,0),"")</f>
        <v/>
      </c>
      <c r="N1127" s="62"/>
      <c r="O1127" s="63" t="str">
        <f>IFERROR(IF(VLOOKUP(K$13&amp;$B1125,Aux!$B:$M,8,0)="Да","✔","🕓"),"")</f>
        <v/>
      </c>
      <c r="S1127" s="59"/>
      <c r="T1127" s="15" t="str">
        <f>IF(T1125="","","Исполнитель"&amp;": ")</f>
        <v/>
      </c>
      <c r="U1127" s="62" t="str">
        <f>IFERROR(VLOOKUP(S$13&amp;$B1127,Aux!$B:$M,4,0),"")</f>
        <v/>
      </c>
      <c r="V1127" s="62"/>
      <c r="W1127" s="63" t="str">
        <f>IFERROR(IF(VLOOKUP(S$13&amp;$B1125,Aux!$B:$M,8,0)="Да","✔","🕓"),"")</f>
        <v/>
      </c>
      <c r="AA1127" s="59"/>
      <c r="AB1127" s="15" t="str">
        <f>IF(AB1125="","","Исполнитель"&amp;": ")</f>
        <v/>
      </c>
      <c r="AC1127" s="62" t="str">
        <f>IFERROR(VLOOKUP(AA$13&amp;$B1127,Aux!$B:$M,4,0),"")</f>
        <v/>
      </c>
      <c r="AD1127" s="62"/>
      <c r="AE1127" s="63" t="str">
        <f>IFERROR(IF(VLOOKUP(AA$13&amp;$B1125,Aux!$B:$M,8,0)="Да","✔","🕓"),"")</f>
        <v/>
      </c>
    </row>
    <row r="1128" spans="2:31" x14ac:dyDescent="0.25">
      <c r="B1128" s="53">
        <f t="shared" si="17"/>
        <v>223</v>
      </c>
      <c r="C1128" s="59"/>
      <c r="D1128" s="16" t="str">
        <f>IF(D1125="","","Срок сдачи"&amp;": ")</f>
        <v/>
      </c>
      <c r="E1128" s="64" t="str">
        <f>IFERROR(VLOOKUP(C$13&amp;$B1128,Aux!$B:$M,6,0),"")</f>
        <v/>
      </c>
      <c r="F1128" s="64"/>
      <c r="G1128" s="63"/>
      <c r="K1128" s="59"/>
      <c r="L1128" s="16" t="str">
        <f>IF(L1125="","","Срок сдачи"&amp;": ")</f>
        <v/>
      </c>
      <c r="M1128" s="64" t="str">
        <f>IFERROR(VLOOKUP(K$13&amp;$B1128,Aux!$B:$M,6,0),"")</f>
        <v/>
      </c>
      <c r="N1128" s="64"/>
      <c r="O1128" s="63"/>
      <c r="S1128" s="59"/>
      <c r="T1128" s="16" t="str">
        <f>IF(T1125="","","Срок сдачи"&amp;": ")</f>
        <v/>
      </c>
      <c r="U1128" s="64" t="str">
        <f>IFERROR(VLOOKUP(S$13&amp;$B1128,Aux!$B:$M,6,0),"")</f>
        <v/>
      </c>
      <c r="V1128" s="64"/>
      <c r="W1128" s="63"/>
      <c r="AA1128" s="59"/>
      <c r="AB1128" s="16" t="str">
        <f>IF(AB1125="","","Срок сдачи"&amp;": ")</f>
        <v/>
      </c>
      <c r="AC1128" s="64" t="str">
        <f>IFERROR(VLOOKUP(AA$13&amp;$B1128,Aux!$B:$M,6,0),"")</f>
        <v/>
      </c>
      <c r="AD1128" s="64"/>
      <c r="AE1128" s="63"/>
    </row>
    <row r="1129" spans="2:31" x14ac:dyDescent="0.25">
      <c r="B1129" s="53">
        <f t="shared" si="17"/>
        <v>223</v>
      </c>
      <c r="C1129" s="7"/>
      <c r="D1129" s="17"/>
      <c r="E1129" s="7"/>
      <c r="F1129" s="18"/>
      <c r="G1129" s="18"/>
      <c r="K1129" s="13"/>
      <c r="L1129" s="17"/>
      <c r="M1129" s="13"/>
      <c r="N1129" s="14"/>
      <c r="O1129" s="14"/>
      <c r="S1129" s="13"/>
      <c r="T1129" s="17"/>
      <c r="U1129" s="13"/>
      <c r="V1129" s="14"/>
      <c r="W1129" s="14"/>
      <c r="AA1129" s="13"/>
      <c r="AB1129" s="17"/>
      <c r="AC1129" s="13"/>
      <c r="AD1129" s="14"/>
      <c r="AE1129" s="30"/>
    </row>
    <row r="1130" spans="2:31" x14ac:dyDescent="0.25">
      <c r="B1130" s="53">
        <f t="shared" si="17"/>
        <v>224</v>
      </c>
      <c r="C1130" s="59" t="str">
        <f>IFERROR(VLOOKUP(C$13&amp;$B1134,Aux!$B:$M,5,0),"")</f>
        <v/>
      </c>
      <c r="D1130" s="60" t="str">
        <f>IFERROR(VLOOKUP(C$13&amp;$B1130,Aux!$B:$M,3,0),"")</f>
        <v/>
      </c>
      <c r="E1130" s="60"/>
      <c r="F1130" s="60"/>
      <c r="G1130" s="61" t="str">
        <f>IFERROR(VLOOKUP(C$13&amp;$B1130,Aux!$B:$M,9,0),"")</f>
        <v/>
      </c>
      <c r="K1130" s="59" t="str">
        <f>IFERROR(VLOOKUP(K$13&amp;$B1134,Aux!$B:$M,5,0),"")</f>
        <v/>
      </c>
      <c r="L1130" s="60" t="str">
        <f>IFERROR(VLOOKUP(K$13&amp;$B1130,Aux!$B:$M,3,0),"")</f>
        <v/>
      </c>
      <c r="M1130" s="60"/>
      <c r="N1130" s="60"/>
      <c r="O1130" s="61" t="str">
        <f>IFERROR(VLOOKUP(K$13&amp;$B1130,Aux!$B:$M,9,0),"")</f>
        <v/>
      </c>
      <c r="S1130" s="59" t="str">
        <f>IFERROR(VLOOKUP(S$13&amp;$B1134,Aux!$B:$M,5,0),"")</f>
        <v/>
      </c>
      <c r="T1130" s="60" t="str">
        <f>IFERROR(VLOOKUP(S$13&amp;$B1130,Aux!$B:$M,3,0),"")</f>
        <v/>
      </c>
      <c r="U1130" s="60"/>
      <c r="V1130" s="60"/>
      <c r="W1130" s="61" t="str">
        <f>IFERROR(VLOOKUP(S$13&amp;$B1130,Aux!$B:$M,9,0),"")</f>
        <v/>
      </c>
      <c r="AA1130" s="59" t="str">
        <f>IFERROR(VLOOKUP(AA$13&amp;$B1134,Aux!$B:$M,5,0),"")</f>
        <v/>
      </c>
      <c r="AB1130" s="60" t="str">
        <f>IFERROR(VLOOKUP(AA$13&amp;$B1130,Aux!$B:$M,3,0),"")</f>
        <v/>
      </c>
      <c r="AC1130" s="60"/>
      <c r="AD1130" s="60"/>
      <c r="AE1130" s="61" t="str">
        <f>IFERROR(VLOOKUP(AA$13&amp;$B1130,Aux!$B:$M,9,0),"")</f>
        <v/>
      </c>
    </row>
    <row r="1131" spans="2:31" x14ac:dyDescent="0.25">
      <c r="B1131" s="53">
        <f t="shared" si="17"/>
        <v>224</v>
      </c>
      <c r="C1131" s="59"/>
      <c r="D1131" s="60"/>
      <c r="E1131" s="60"/>
      <c r="F1131" s="60"/>
      <c r="G1131" s="61"/>
      <c r="K1131" s="59"/>
      <c r="L1131" s="60"/>
      <c r="M1131" s="60"/>
      <c r="N1131" s="60"/>
      <c r="O1131" s="61"/>
      <c r="S1131" s="59"/>
      <c r="T1131" s="60"/>
      <c r="U1131" s="60"/>
      <c r="V1131" s="60"/>
      <c r="W1131" s="61"/>
      <c r="AA1131" s="59"/>
      <c r="AB1131" s="60"/>
      <c r="AC1131" s="60"/>
      <c r="AD1131" s="60"/>
      <c r="AE1131" s="61"/>
    </row>
    <row r="1132" spans="2:31" x14ac:dyDescent="0.25">
      <c r="B1132" s="53">
        <f t="shared" si="17"/>
        <v>224</v>
      </c>
      <c r="C1132" s="59"/>
      <c r="D1132" s="15" t="str">
        <f>IF(D1130="","","Исполнитель"&amp;": ")</f>
        <v/>
      </c>
      <c r="E1132" s="62" t="str">
        <f>IFERROR(VLOOKUP(C$13&amp;$B1132,Aux!$B:$M,4,0),"")</f>
        <v/>
      </c>
      <c r="F1132" s="62"/>
      <c r="G1132" s="63" t="str">
        <f>IFERROR(IF(VLOOKUP(C$13&amp;$B1130,Aux!$B:$M,8,0)="Да","✔","🕓"),"")</f>
        <v/>
      </c>
      <c r="K1132" s="59"/>
      <c r="L1132" s="15" t="str">
        <f>IF(L1130="","","Исполнитель"&amp;": ")</f>
        <v/>
      </c>
      <c r="M1132" s="62" t="str">
        <f>IFERROR(VLOOKUP(K$13&amp;$B1132,Aux!$B:$M,4,0),"")</f>
        <v/>
      </c>
      <c r="N1132" s="62"/>
      <c r="O1132" s="63" t="str">
        <f>IFERROR(IF(VLOOKUP(K$13&amp;$B1130,Aux!$B:$M,8,0)="Да","✔","🕓"),"")</f>
        <v/>
      </c>
      <c r="S1132" s="59"/>
      <c r="T1132" s="15" t="str">
        <f>IF(T1130="","","Исполнитель"&amp;": ")</f>
        <v/>
      </c>
      <c r="U1132" s="62" t="str">
        <f>IFERROR(VLOOKUP(S$13&amp;$B1132,Aux!$B:$M,4,0),"")</f>
        <v/>
      </c>
      <c r="V1132" s="62"/>
      <c r="W1132" s="63" t="str">
        <f>IFERROR(IF(VLOOKUP(S$13&amp;$B1130,Aux!$B:$M,8,0)="Да","✔","🕓"),"")</f>
        <v/>
      </c>
      <c r="AA1132" s="59"/>
      <c r="AB1132" s="15" t="str">
        <f>IF(AB1130="","","Исполнитель"&amp;": ")</f>
        <v/>
      </c>
      <c r="AC1132" s="62" t="str">
        <f>IFERROR(VLOOKUP(AA$13&amp;$B1132,Aux!$B:$M,4,0),"")</f>
        <v/>
      </c>
      <c r="AD1132" s="62"/>
      <c r="AE1132" s="63" t="str">
        <f>IFERROR(IF(VLOOKUP(AA$13&amp;$B1130,Aux!$B:$M,8,0)="Да","✔","🕓"),"")</f>
        <v/>
      </c>
    </row>
    <row r="1133" spans="2:31" x14ac:dyDescent="0.25">
      <c r="B1133" s="53">
        <f t="shared" si="17"/>
        <v>224</v>
      </c>
      <c r="C1133" s="59"/>
      <c r="D1133" s="16" t="str">
        <f>IF(D1130="","","Срок сдачи"&amp;": ")</f>
        <v/>
      </c>
      <c r="E1133" s="64" t="str">
        <f>IFERROR(VLOOKUP(C$13&amp;$B1133,Aux!$B:$M,6,0),"")</f>
        <v/>
      </c>
      <c r="F1133" s="64"/>
      <c r="G1133" s="63"/>
      <c r="K1133" s="59"/>
      <c r="L1133" s="16" t="str">
        <f>IF(L1130="","","Срок сдачи"&amp;": ")</f>
        <v/>
      </c>
      <c r="M1133" s="64" t="str">
        <f>IFERROR(VLOOKUP(K$13&amp;$B1133,Aux!$B:$M,6,0),"")</f>
        <v/>
      </c>
      <c r="N1133" s="64"/>
      <c r="O1133" s="63"/>
      <c r="S1133" s="59"/>
      <c r="T1133" s="16" t="str">
        <f>IF(T1130="","","Срок сдачи"&amp;": ")</f>
        <v/>
      </c>
      <c r="U1133" s="64" t="str">
        <f>IFERROR(VLOOKUP(S$13&amp;$B1133,Aux!$B:$M,6,0),"")</f>
        <v/>
      </c>
      <c r="V1133" s="64"/>
      <c r="W1133" s="63"/>
      <c r="AA1133" s="59"/>
      <c r="AB1133" s="16" t="str">
        <f>IF(AB1130="","","Срок сдачи"&amp;": ")</f>
        <v/>
      </c>
      <c r="AC1133" s="64" t="str">
        <f>IFERROR(VLOOKUP(AA$13&amp;$B1133,Aux!$B:$M,6,0),"")</f>
        <v/>
      </c>
      <c r="AD1133" s="64"/>
      <c r="AE1133" s="63"/>
    </row>
    <row r="1134" spans="2:31" x14ac:dyDescent="0.25">
      <c r="B1134" s="53">
        <f t="shared" si="17"/>
        <v>224</v>
      </c>
      <c r="C1134" s="7"/>
      <c r="D1134" s="17"/>
      <c r="E1134" s="7"/>
      <c r="F1134" s="18"/>
      <c r="G1134" s="18"/>
      <c r="K1134" s="13"/>
      <c r="L1134" s="17"/>
      <c r="M1134" s="13"/>
      <c r="N1134" s="14"/>
      <c r="O1134" s="14"/>
      <c r="S1134" s="13"/>
      <c r="T1134" s="17"/>
      <c r="U1134" s="13"/>
      <c r="V1134" s="14"/>
      <c r="W1134" s="14"/>
      <c r="AA1134" s="13"/>
      <c r="AB1134" s="17"/>
      <c r="AC1134" s="13"/>
      <c r="AD1134" s="14"/>
      <c r="AE1134" s="30"/>
    </row>
    <row r="1135" spans="2:31" x14ac:dyDescent="0.25">
      <c r="B1135" s="53">
        <f t="shared" si="17"/>
        <v>225</v>
      </c>
      <c r="C1135" s="59" t="str">
        <f>IFERROR(VLOOKUP(C$13&amp;$B1139,Aux!$B:$M,5,0),"")</f>
        <v/>
      </c>
      <c r="D1135" s="60" t="str">
        <f>IFERROR(VLOOKUP(C$13&amp;$B1135,Aux!$B:$M,3,0),"")</f>
        <v/>
      </c>
      <c r="E1135" s="60"/>
      <c r="F1135" s="60"/>
      <c r="G1135" s="61" t="str">
        <f>IFERROR(VLOOKUP(C$13&amp;$B1135,Aux!$B:$M,9,0),"")</f>
        <v/>
      </c>
      <c r="K1135" s="59" t="str">
        <f>IFERROR(VLOOKUP(K$13&amp;$B1139,Aux!$B:$M,5,0),"")</f>
        <v/>
      </c>
      <c r="L1135" s="60" t="str">
        <f>IFERROR(VLOOKUP(K$13&amp;$B1135,Aux!$B:$M,3,0),"")</f>
        <v/>
      </c>
      <c r="M1135" s="60"/>
      <c r="N1135" s="60"/>
      <c r="O1135" s="61" t="str">
        <f>IFERROR(VLOOKUP(K$13&amp;$B1135,Aux!$B:$M,9,0),"")</f>
        <v/>
      </c>
      <c r="S1135" s="59" t="str">
        <f>IFERROR(VLOOKUP(S$13&amp;$B1139,Aux!$B:$M,5,0),"")</f>
        <v/>
      </c>
      <c r="T1135" s="60" t="str">
        <f>IFERROR(VLOOKUP(S$13&amp;$B1135,Aux!$B:$M,3,0),"")</f>
        <v/>
      </c>
      <c r="U1135" s="60"/>
      <c r="V1135" s="60"/>
      <c r="W1135" s="61" t="str">
        <f>IFERROR(VLOOKUP(S$13&amp;$B1135,Aux!$B:$M,9,0),"")</f>
        <v/>
      </c>
      <c r="AA1135" s="59" t="str">
        <f>IFERROR(VLOOKUP(AA$13&amp;$B1139,Aux!$B:$M,5,0),"")</f>
        <v/>
      </c>
      <c r="AB1135" s="60" t="str">
        <f>IFERROR(VLOOKUP(AA$13&amp;$B1135,Aux!$B:$M,3,0),"")</f>
        <v/>
      </c>
      <c r="AC1135" s="60"/>
      <c r="AD1135" s="60"/>
      <c r="AE1135" s="61" t="str">
        <f>IFERROR(VLOOKUP(AA$13&amp;$B1135,Aux!$B:$M,9,0),"")</f>
        <v/>
      </c>
    </row>
    <row r="1136" spans="2:31" x14ac:dyDescent="0.25">
      <c r="B1136" s="53">
        <f t="shared" si="17"/>
        <v>225</v>
      </c>
      <c r="C1136" s="59"/>
      <c r="D1136" s="60"/>
      <c r="E1136" s="60"/>
      <c r="F1136" s="60"/>
      <c r="G1136" s="61"/>
      <c r="K1136" s="59"/>
      <c r="L1136" s="60"/>
      <c r="M1136" s="60"/>
      <c r="N1136" s="60"/>
      <c r="O1136" s="61"/>
      <c r="S1136" s="59"/>
      <c r="T1136" s="60"/>
      <c r="U1136" s="60"/>
      <c r="V1136" s="60"/>
      <c r="W1136" s="61"/>
      <c r="AA1136" s="59"/>
      <c r="AB1136" s="60"/>
      <c r="AC1136" s="60"/>
      <c r="AD1136" s="60"/>
      <c r="AE1136" s="61"/>
    </row>
    <row r="1137" spans="2:31" x14ac:dyDescent="0.25">
      <c r="B1137" s="53">
        <f t="shared" si="17"/>
        <v>225</v>
      </c>
      <c r="C1137" s="59"/>
      <c r="D1137" s="15" t="str">
        <f>IF(D1135="","","Исполнитель"&amp;": ")</f>
        <v/>
      </c>
      <c r="E1137" s="62" t="str">
        <f>IFERROR(VLOOKUP(C$13&amp;$B1137,Aux!$B:$M,4,0),"")</f>
        <v/>
      </c>
      <c r="F1137" s="62"/>
      <c r="G1137" s="63" t="str">
        <f>IFERROR(IF(VLOOKUP(C$13&amp;$B1135,Aux!$B:$M,8,0)="Да","✔","🕓"),"")</f>
        <v/>
      </c>
      <c r="K1137" s="59"/>
      <c r="L1137" s="15" t="str">
        <f>IF(L1135="","","Исполнитель"&amp;": ")</f>
        <v/>
      </c>
      <c r="M1137" s="62" t="str">
        <f>IFERROR(VLOOKUP(K$13&amp;$B1137,Aux!$B:$M,4,0),"")</f>
        <v/>
      </c>
      <c r="N1137" s="62"/>
      <c r="O1137" s="63" t="str">
        <f>IFERROR(IF(VLOOKUP(K$13&amp;$B1135,Aux!$B:$M,8,0)="Да","✔","🕓"),"")</f>
        <v/>
      </c>
      <c r="S1137" s="59"/>
      <c r="T1137" s="15" t="str">
        <f>IF(T1135="","","Исполнитель"&amp;": ")</f>
        <v/>
      </c>
      <c r="U1137" s="62" t="str">
        <f>IFERROR(VLOOKUP(S$13&amp;$B1137,Aux!$B:$M,4,0),"")</f>
        <v/>
      </c>
      <c r="V1137" s="62"/>
      <c r="W1137" s="63" t="str">
        <f>IFERROR(IF(VLOOKUP(S$13&amp;$B1135,Aux!$B:$M,8,0)="Да","✔","🕓"),"")</f>
        <v/>
      </c>
      <c r="AA1137" s="59"/>
      <c r="AB1137" s="15" t="str">
        <f>IF(AB1135="","","Исполнитель"&amp;": ")</f>
        <v/>
      </c>
      <c r="AC1137" s="62" t="str">
        <f>IFERROR(VLOOKUP(AA$13&amp;$B1137,Aux!$B:$M,4,0),"")</f>
        <v/>
      </c>
      <c r="AD1137" s="62"/>
      <c r="AE1137" s="63" t="str">
        <f>IFERROR(IF(VLOOKUP(AA$13&amp;$B1135,Aux!$B:$M,8,0)="Да","✔","🕓"),"")</f>
        <v/>
      </c>
    </row>
    <row r="1138" spans="2:31" x14ac:dyDescent="0.25">
      <c r="B1138" s="53">
        <f t="shared" si="17"/>
        <v>225</v>
      </c>
      <c r="C1138" s="59"/>
      <c r="D1138" s="16" t="str">
        <f>IF(D1135="","","Срок сдачи"&amp;": ")</f>
        <v/>
      </c>
      <c r="E1138" s="64" t="str">
        <f>IFERROR(VLOOKUP(C$13&amp;$B1138,Aux!$B:$M,6,0),"")</f>
        <v/>
      </c>
      <c r="F1138" s="64"/>
      <c r="G1138" s="63"/>
      <c r="K1138" s="59"/>
      <c r="L1138" s="16" t="str">
        <f>IF(L1135="","","Срок сдачи"&amp;": ")</f>
        <v/>
      </c>
      <c r="M1138" s="64" t="str">
        <f>IFERROR(VLOOKUP(K$13&amp;$B1138,Aux!$B:$M,6,0),"")</f>
        <v/>
      </c>
      <c r="N1138" s="64"/>
      <c r="O1138" s="63"/>
      <c r="S1138" s="59"/>
      <c r="T1138" s="16" t="str">
        <f>IF(T1135="","","Срок сдачи"&amp;": ")</f>
        <v/>
      </c>
      <c r="U1138" s="64" t="str">
        <f>IFERROR(VLOOKUP(S$13&amp;$B1138,Aux!$B:$M,6,0),"")</f>
        <v/>
      </c>
      <c r="V1138" s="64"/>
      <c r="W1138" s="63"/>
      <c r="AA1138" s="59"/>
      <c r="AB1138" s="16" t="str">
        <f>IF(AB1135="","","Срок сдачи"&amp;": ")</f>
        <v/>
      </c>
      <c r="AC1138" s="64" t="str">
        <f>IFERROR(VLOOKUP(AA$13&amp;$B1138,Aux!$B:$M,6,0),"")</f>
        <v/>
      </c>
      <c r="AD1138" s="64"/>
      <c r="AE1138" s="63"/>
    </row>
    <row r="1139" spans="2:31" x14ac:dyDescent="0.25">
      <c r="B1139" s="53">
        <f t="shared" si="17"/>
        <v>225</v>
      </c>
      <c r="C1139" s="7"/>
      <c r="D1139" s="17"/>
      <c r="E1139" s="7"/>
      <c r="F1139" s="18"/>
      <c r="G1139" s="18"/>
      <c r="K1139" s="13"/>
      <c r="L1139" s="17"/>
      <c r="M1139" s="13"/>
      <c r="N1139" s="14"/>
      <c r="O1139" s="14"/>
      <c r="S1139" s="13"/>
      <c r="T1139" s="17"/>
      <c r="U1139" s="13"/>
      <c r="V1139" s="14"/>
      <c r="W1139" s="14"/>
      <c r="AA1139" s="13"/>
      <c r="AB1139" s="17"/>
      <c r="AC1139" s="13"/>
      <c r="AD1139" s="14"/>
      <c r="AE1139" s="30"/>
    </row>
    <row r="1140" spans="2:31" x14ac:dyDescent="0.25">
      <c r="B1140" s="53">
        <f t="shared" si="17"/>
        <v>226</v>
      </c>
      <c r="C1140" s="59" t="str">
        <f>IFERROR(VLOOKUP(C$13&amp;$B1144,Aux!$B:$M,5,0),"")</f>
        <v/>
      </c>
      <c r="D1140" s="60" t="str">
        <f>IFERROR(VLOOKUP(C$13&amp;$B1140,Aux!$B:$M,3,0),"")</f>
        <v/>
      </c>
      <c r="E1140" s="60"/>
      <c r="F1140" s="60"/>
      <c r="G1140" s="61" t="str">
        <f>IFERROR(VLOOKUP(C$13&amp;$B1140,Aux!$B:$M,9,0),"")</f>
        <v/>
      </c>
      <c r="K1140" s="59" t="str">
        <f>IFERROR(VLOOKUP(K$13&amp;$B1144,Aux!$B:$M,5,0),"")</f>
        <v/>
      </c>
      <c r="L1140" s="60" t="str">
        <f>IFERROR(VLOOKUP(K$13&amp;$B1140,Aux!$B:$M,3,0),"")</f>
        <v/>
      </c>
      <c r="M1140" s="60"/>
      <c r="N1140" s="60"/>
      <c r="O1140" s="61" t="str">
        <f>IFERROR(VLOOKUP(K$13&amp;$B1140,Aux!$B:$M,9,0),"")</f>
        <v/>
      </c>
      <c r="S1140" s="59" t="str">
        <f>IFERROR(VLOOKUP(S$13&amp;$B1144,Aux!$B:$M,5,0),"")</f>
        <v/>
      </c>
      <c r="T1140" s="60" t="str">
        <f>IFERROR(VLOOKUP(S$13&amp;$B1140,Aux!$B:$M,3,0),"")</f>
        <v/>
      </c>
      <c r="U1140" s="60"/>
      <c r="V1140" s="60"/>
      <c r="W1140" s="61" t="str">
        <f>IFERROR(VLOOKUP(S$13&amp;$B1140,Aux!$B:$M,9,0),"")</f>
        <v/>
      </c>
      <c r="AA1140" s="59" t="str">
        <f>IFERROR(VLOOKUP(AA$13&amp;$B1144,Aux!$B:$M,5,0),"")</f>
        <v/>
      </c>
      <c r="AB1140" s="60" t="str">
        <f>IFERROR(VLOOKUP(AA$13&amp;$B1140,Aux!$B:$M,3,0),"")</f>
        <v/>
      </c>
      <c r="AC1140" s="60"/>
      <c r="AD1140" s="60"/>
      <c r="AE1140" s="61" t="str">
        <f>IFERROR(VLOOKUP(AA$13&amp;$B1140,Aux!$B:$M,9,0),"")</f>
        <v/>
      </c>
    </row>
    <row r="1141" spans="2:31" x14ac:dyDescent="0.25">
      <c r="B1141" s="53">
        <f t="shared" si="17"/>
        <v>226</v>
      </c>
      <c r="C1141" s="59"/>
      <c r="D1141" s="60"/>
      <c r="E1141" s="60"/>
      <c r="F1141" s="60"/>
      <c r="G1141" s="61"/>
      <c r="K1141" s="59"/>
      <c r="L1141" s="60"/>
      <c r="M1141" s="60"/>
      <c r="N1141" s="60"/>
      <c r="O1141" s="61"/>
      <c r="S1141" s="59"/>
      <c r="T1141" s="60"/>
      <c r="U1141" s="60"/>
      <c r="V1141" s="60"/>
      <c r="W1141" s="61"/>
      <c r="AA1141" s="59"/>
      <c r="AB1141" s="60"/>
      <c r="AC1141" s="60"/>
      <c r="AD1141" s="60"/>
      <c r="AE1141" s="61"/>
    </row>
    <row r="1142" spans="2:31" x14ac:dyDescent="0.25">
      <c r="B1142" s="53">
        <f t="shared" si="17"/>
        <v>226</v>
      </c>
      <c r="C1142" s="59"/>
      <c r="D1142" s="15" t="str">
        <f>IF(D1140="","","Исполнитель"&amp;": ")</f>
        <v/>
      </c>
      <c r="E1142" s="62" t="str">
        <f>IFERROR(VLOOKUP(C$13&amp;$B1142,Aux!$B:$M,4,0),"")</f>
        <v/>
      </c>
      <c r="F1142" s="62"/>
      <c r="G1142" s="63" t="str">
        <f>IFERROR(IF(VLOOKUP(C$13&amp;$B1140,Aux!$B:$M,8,0)="Да","✔","🕓"),"")</f>
        <v/>
      </c>
      <c r="K1142" s="59"/>
      <c r="L1142" s="15" t="str">
        <f>IF(L1140="","","Исполнитель"&amp;": ")</f>
        <v/>
      </c>
      <c r="M1142" s="62" t="str">
        <f>IFERROR(VLOOKUP(K$13&amp;$B1142,Aux!$B:$M,4,0),"")</f>
        <v/>
      </c>
      <c r="N1142" s="62"/>
      <c r="O1142" s="63" t="str">
        <f>IFERROR(IF(VLOOKUP(K$13&amp;$B1140,Aux!$B:$M,8,0)="Да","✔","🕓"),"")</f>
        <v/>
      </c>
      <c r="S1142" s="59"/>
      <c r="T1142" s="15" t="str">
        <f>IF(T1140="","","Исполнитель"&amp;": ")</f>
        <v/>
      </c>
      <c r="U1142" s="62" t="str">
        <f>IFERROR(VLOOKUP(S$13&amp;$B1142,Aux!$B:$M,4,0),"")</f>
        <v/>
      </c>
      <c r="V1142" s="62"/>
      <c r="W1142" s="63" t="str">
        <f>IFERROR(IF(VLOOKUP(S$13&amp;$B1140,Aux!$B:$M,8,0)="Да","✔","🕓"),"")</f>
        <v/>
      </c>
      <c r="AA1142" s="59"/>
      <c r="AB1142" s="15" t="str">
        <f>IF(AB1140="","","Исполнитель"&amp;": ")</f>
        <v/>
      </c>
      <c r="AC1142" s="62" t="str">
        <f>IFERROR(VLOOKUP(AA$13&amp;$B1142,Aux!$B:$M,4,0),"")</f>
        <v/>
      </c>
      <c r="AD1142" s="62"/>
      <c r="AE1142" s="63" t="str">
        <f>IFERROR(IF(VLOOKUP(AA$13&amp;$B1140,Aux!$B:$M,8,0)="Да","✔","🕓"),"")</f>
        <v/>
      </c>
    </row>
    <row r="1143" spans="2:31" x14ac:dyDescent="0.25">
      <c r="B1143" s="53">
        <f t="shared" si="17"/>
        <v>226</v>
      </c>
      <c r="C1143" s="59"/>
      <c r="D1143" s="16" t="str">
        <f>IF(D1140="","","Срок сдачи"&amp;": ")</f>
        <v/>
      </c>
      <c r="E1143" s="64" t="str">
        <f>IFERROR(VLOOKUP(C$13&amp;$B1143,Aux!$B:$M,6,0),"")</f>
        <v/>
      </c>
      <c r="F1143" s="64"/>
      <c r="G1143" s="63"/>
      <c r="K1143" s="59"/>
      <c r="L1143" s="16" t="str">
        <f>IF(L1140="","","Срок сдачи"&amp;": ")</f>
        <v/>
      </c>
      <c r="M1143" s="64" t="str">
        <f>IFERROR(VLOOKUP(K$13&amp;$B1143,Aux!$B:$M,6,0),"")</f>
        <v/>
      </c>
      <c r="N1143" s="64"/>
      <c r="O1143" s="63"/>
      <c r="S1143" s="59"/>
      <c r="T1143" s="16" t="str">
        <f>IF(T1140="","","Срок сдачи"&amp;": ")</f>
        <v/>
      </c>
      <c r="U1143" s="64" t="str">
        <f>IFERROR(VLOOKUP(S$13&amp;$B1143,Aux!$B:$M,6,0),"")</f>
        <v/>
      </c>
      <c r="V1143" s="64"/>
      <c r="W1143" s="63"/>
      <c r="AA1143" s="59"/>
      <c r="AB1143" s="16" t="str">
        <f>IF(AB1140="","","Срок сдачи"&amp;": ")</f>
        <v/>
      </c>
      <c r="AC1143" s="64" t="str">
        <f>IFERROR(VLOOKUP(AA$13&amp;$B1143,Aux!$B:$M,6,0),"")</f>
        <v/>
      </c>
      <c r="AD1143" s="64"/>
      <c r="AE1143" s="63"/>
    </row>
    <row r="1144" spans="2:31" x14ac:dyDescent="0.25">
      <c r="B1144" s="53">
        <f t="shared" si="17"/>
        <v>226</v>
      </c>
      <c r="C1144" s="7"/>
      <c r="D1144" s="17"/>
      <c r="E1144" s="7"/>
      <c r="F1144" s="18"/>
      <c r="G1144" s="18"/>
      <c r="K1144" s="13"/>
      <c r="L1144" s="17"/>
      <c r="M1144" s="13"/>
      <c r="N1144" s="14"/>
      <c r="O1144" s="14"/>
      <c r="S1144" s="13"/>
      <c r="T1144" s="17"/>
      <c r="U1144" s="13"/>
      <c r="V1144" s="14"/>
      <c r="W1144" s="14"/>
      <c r="AA1144" s="13"/>
      <c r="AB1144" s="17"/>
      <c r="AC1144" s="13"/>
      <c r="AD1144" s="14"/>
      <c r="AE1144" s="30"/>
    </row>
    <row r="1145" spans="2:31" x14ac:dyDescent="0.25">
      <c r="B1145" s="53">
        <f t="shared" si="17"/>
        <v>227</v>
      </c>
      <c r="C1145" s="59" t="str">
        <f>IFERROR(VLOOKUP(C$13&amp;$B1149,Aux!$B:$M,5,0),"")</f>
        <v/>
      </c>
      <c r="D1145" s="60" t="str">
        <f>IFERROR(VLOOKUP(C$13&amp;$B1145,Aux!$B:$M,3,0),"")</f>
        <v/>
      </c>
      <c r="E1145" s="60"/>
      <c r="F1145" s="60"/>
      <c r="G1145" s="61" t="str">
        <f>IFERROR(VLOOKUP(C$13&amp;$B1145,Aux!$B:$M,9,0),"")</f>
        <v/>
      </c>
      <c r="K1145" s="59" t="str">
        <f>IFERROR(VLOOKUP(K$13&amp;$B1149,Aux!$B:$M,5,0),"")</f>
        <v/>
      </c>
      <c r="L1145" s="60" t="str">
        <f>IFERROR(VLOOKUP(K$13&amp;$B1145,Aux!$B:$M,3,0),"")</f>
        <v/>
      </c>
      <c r="M1145" s="60"/>
      <c r="N1145" s="60"/>
      <c r="O1145" s="61" t="str">
        <f>IFERROR(VLOOKUP(K$13&amp;$B1145,Aux!$B:$M,9,0),"")</f>
        <v/>
      </c>
      <c r="S1145" s="59" t="str">
        <f>IFERROR(VLOOKUP(S$13&amp;$B1149,Aux!$B:$M,5,0),"")</f>
        <v/>
      </c>
      <c r="T1145" s="60" t="str">
        <f>IFERROR(VLOOKUP(S$13&amp;$B1145,Aux!$B:$M,3,0),"")</f>
        <v/>
      </c>
      <c r="U1145" s="60"/>
      <c r="V1145" s="60"/>
      <c r="W1145" s="61" t="str">
        <f>IFERROR(VLOOKUP(S$13&amp;$B1145,Aux!$B:$M,9,0),"")</f>
        <v/>
      </c>
      <c r="AA1145" s="59" t="str">
        <f>IFERROR(VLOOKUP(AA$13&amp;$B1149,Aux!$B:$M,5,0),"")</f>
        <v/>
      </c>
      <c r="AB1145" s="60" t="str">
        <f>IFERROR(VLOOKUP(AA$13&amp;$B1145,Aux!$B:$M,3,0),"")</f>
        <v/>
      </c>
      <c r="AC1145" s="60"/>
      <c r="AD1145" s="60"/>
      <c r="AE1145" s="61" t="str">
        <f>IFERROR(VLOOKUP(AA$13&amp;$B1145,Aux!$B:$M,9,0),"")</f>
        <v/>
      </c>
    </row>
    <row r="1146" spans="2:31" x14ac:dyDescent="0.25">
      <c r="B1146" s="53">
        <f t="shared" si="17"/>
        <v>227</v>
      </c>
      <c r="C1146" s="59"/>
      <c r="D1146" s="60"/>
      <c r="E1146" s="60"/>
      <c r="F1146" s="60"/>
      <c r="G1146" s="61"/>
      <c r="K1146" s="59"/>
      <c r="L1146" s="60"/>
      <c r="M1146" s="60"/>
      <c r="N1146" s="60"/>
      <c r="O1146" s="61"/>
      <c r="S1146" s="59"/>
      <c r="T1146" s="60"/>
      <c r="U1146" s="60"/>
      <c r="V1146" s="60"/>
      <c r="W1146" s="61"/>
      <c r="AA1146" s="59"/>
      <c r="AB1146" s="60"/>
      <c r="AC1146" s="60"/>
      <c r="AD1146" s="60"/>
      <c r="AE1146" s="61"/>
    </row>
    <row r="1147" spans="2:31" x14ac:dyDescent="0.25">
      <c r="B1147" s="53">
        <f t="shared" si="17"/>
        <v>227</v>
      </c>
      <c r="C1147" s="59"/>
      <c r="D1147" s="15" t="str">
        <f>IF(D1145="","","Исполнитель"&amp;": ")</f>
        <v/>
      </c>
      <c r="E1147" s="62" t="str">
        <f>IFERROR(VLOOKUP(C$13&amp;$B1147,Aux!$B:$M,4,0),"")</f>
        <v/>
      </c>
      <c r="F1147" s="62"/>
      <c r="G1147" s="63" t="str">
        <f>IFERROR(IF(VLOOKUP(C$13&amp;$B1145,Aux!$B:$M,8,0)="Да","✔","🕓"),"")</f>
        <v/>
      </c>
      <c r="K1147" s="59"/>
      <c r="L1147" s="15" t="str">
        <f>IF(L1145="","","Исполнитель"&amp;": ")</f>
        <v/>
      </c>
      <c r="M1147" s="62" t="str">
        <f>IFERROR(VLOOKUP(K$13&amp;$B1147,Aux!$B:$M,4,0),"")</f>
        <v/>
      </c>
      <c r="N1147" s="62"/>
      <c r="O1147" s="63" t="str">
        <f>IFERROR(IF(VLOOKUP(K$13&amp;$B1145,Aux!$B:$M,8,0)="Да","✔","🕓"),"")</f>
        <v/>
      </c>
      <c r="S1147" s="59"/>
      <c r="T1147" s="15" t="str">
        <f>IF(T1145="","","Исполнитель"&amp;": ")</f>
        <v/>
      </c>
      <c r="U1147" s="62" t="str">
        <f>IFERROR(VLOOKUP(S$13&amp;$B1147,Aux!$B:$M,4,0),"")</f>
        <v/>
      </c>
      <c r="V1147" s="62"/>
      <c r="W1147" s="63" t="str">
        <f>IFERROR(IF(VLOOKUP(S$13&amp;$B1145,Aux!$B:$M,8,0)="Да","✔","🕓"),"")</f>
        <v/>
      </c>
      <c r="AA1147" s="59"/>
      <c r="AB1147" s="15" t="str">
        <f>IF(AB1145="","","Исполнитель"&amp;": ")</f>
        <v/>
      </c>
      <c r="AC1147" s="62" t="str">
        <f>IFERROR(VLOOKUP(AA$13&amp;$B1147,Aux!$B:$M,4,0),"")</f>
        <v/>
      </c>
      <c r="AD1147" s="62"/>
      <c r="AE1147" s="63" t="str">
        <f>IFERROR(IF(VLOOKUP(AA$13&amp;$B1145,Aux!$B:$M,8,0)="Да","✔","🕓"),"")</f>
        <v/>
      </c>
    </row>
    <row r="1148" spans="2:31" x14ac:dyDescent="0.25">
      <c r="B1148" s="53">
        <f t="shared" si="17"/>
        <v>227</v>
      </c>
      <c r="C1148" s="59"/>
      <c r="D1148" s="16" t="str">
        <f>IF(D1145="","","Срок сдачи"&amp;": ")</f>
        <v/>
      </c>
      <c r="E1148" s="64" t="str">
        <f>IFERROR(VLOOKUP(C$13&amp;$B1148,Aux!$B:$M,6,0),"")</f>
        <v/>
      </c>
      <c r="F1148" s="64"/>
      <c r="G1148" s="63"/>
      <c r="K1148" s="59"/>
      <c r="L1148" s="16" t="str">
        <f>IF(L1145="","","Срок сдачи"&amp;": ")</f>
        <v/>
      </c>
      <c r="M1148" s="64" t="str">
        <f>IFERROR(VLOOKUP(K$13&amp;$B1148,Aux!$B:$M,6,0),"")</f>
        <v/>
      </c>
      <c r="N1148" s="64"/>
      <c r="O1148" s="63"/>
      <c r="S1148" s="59"/>
      <c r="T1148" s="16" t="str">
        <f>IF(T1145="","","Срок сдачи"&amp;": ")</f>
        <v/>
      </c>
      <c r="U1148" s="64" t="str">
        <f>IFERROR(VLOOKUP(S$13&amp;$B1148,Aux!$B:$M,6,0),"")</f>
        <v/>
      </c>
      <c r="V1148" s="64"/>
      <c r="W1148" s="63"/>
      <c r="AA1148" s="59"/>
      <c r="AB1148" s="16" t="str">
        <f>IF(AB1145="","","Срок сдачи"&amp;": ")</f>
        <v/>
      </c>
      <c r="AC1148" s="64" t="str">
        <f>IFERROR(VLOOKUP(AA$13&amp;$B1148,Aux!$B:$M,6,0),"")</f>
        <v/>
      </c>
      <c r="AD1148" s="64"/>
      <c r="AE1148" s="63"/>
    </row>
    <row r="1149" spans="2:31" x14ac:dyDescent="0.25">
      <c r="B1149" s="53">
        <f t="shared" si="17"/>
        <v>227</v>
      </c>
      <c r="C1149" s="7"/>
      <c r="D1149" s="17"/>
      <c r="E1149" s="7"/>
      <c r="F1149" s="18"/>
      <c r="G1149" s="18"/>
      <c r="K1149" s="13"/>
      <c r="L1149" s="17"/>
      <c r="M1149" s="13"/>
      <c r="N1149" s="14"/>
      <c r="O1149" s="14"/>
      <c r="S1149" s="13"/>
      <c r="T1149" s="17"/>
      <c r="U1149" s="13"/>
      <c r="V1149" s="14"/>
      <c r="W1149" s="14"/>
      <c r="AA1149" s="13"/>
      <c r="AB1149" s="17"/>
      <c r="AC1149" s="13"/>
      <c r="AD1149" s="14"/>
      <c r="AE1149" s="30"/>
    </row>
    <row r="1150" spans="2:31" x14ac:dyDescent="0.25">
      <c r="B1150" s="53">
        <f t="shared" si="17"/>
        <v>228</v>
      </c>
      <c r="C1150" s="59" t="str">
        <f>IFERROR(VLOOKUP(C$13&amp;$B1154,Aux!$B:$M,5,0),"")</f>
        <v/>
      </c>
      <c r="D1150" s="60" t="str">
        <f>IFERROR(VLOOKUP(C$13&amp;$B1150,Aux!$B:$M,3,0),"")</f>
        <v/>
      </c>
      <c r="E1150" s="60"/>
      <c r="F1150" s="60"/>
      <c r="G1150" s="61" t="str">
        <f>IFERROR(VLOOKUP(C$13&amp;$B1150,Aux!$B:$M,9,0),"")</f>
        <v/>
      </c>
      <c r="K1150" s="59" t="str">
        <f>IFERROR(VLOOKUP(K$13&amp;$B1154,Aux!$B:$M,5,0),"")</f>
        <v/>
      </c>
      <c r="L1150" s="60" t="str">
        <f>IFERROR(VLOOKUP(K$13&amp;$B1150,Aux!$B:$M,3,0),"")</f>
        <v/>
      </c>
      <c r="M1150" s="60"/>
      <c r="N1150" s="60"/>
      <c r="O1150" s="61" t="str">
        <f>IFERROR(VLOOKUP(K$13&amp;$B1150,Aux!$B:$M,9,0),"")</f>
        <v/>
      </c>
      <c r="S1150" s="59" t="str">
        <f>IFERROR(VLOOKUP(S$13&amp;$B1154,Aux!$B:$M,5,0),"")</f>
        <v/>
      </c>
      <c r="T1150" s="60" t="str">
        <f>IFERROR(VLOOKUP(S$13&amp;$B1150,Aux!$B:$M,3,0),"")</f>
        <v/>
      </c>
      <c r="U1150" s="60"/>
      <c r="V1150" s="60"/>
      <c r="W1150" s="61" t="str">
        <f>IFERROR(VLOOKUP(S$13&amp;$B1150,Aux!$B:$M,9,0),"")</f>
        <v/>
      </c>
      <c r="AA1150" s="59" t="str">
        <f>IFERROR(VLOOKUP(AA$13&amp;$B1154,Aux!$B:$M,5,0),"")</f>
        <v/>
      </c>
      <c r="AB1150" s="60" t="str">
        <f>IFERROR(VLOOKUP(AA$13&amp;$B1150,Aux!$B:$M,3,0),"")</f>
        <v/>
      </c>
      <c r="AC1150" s="60"/>
      <c r="AD1150" s="60"/>
      <c r="AE1150" s="61" t="str">
        <f>IFERROR(VLOOKUP(AA$13&amp;$B1150,Aux!$B:$M,9,0),"")</f>
        <v/>
      </c>
    </row>
    <row r="1151" spans="2:31" x14ac:dyDescent="0.25">
      <c r="B1151" s="53">
        <f t="shared" si="17"/>
        <v>228</v>
      </c>
      <c r="C1151" s="59"/>
      <c r="D1151" s="60"/>
      <c r="E1151" s="60"/>
      <c r="F1151" s="60"/>
      <c r="G1151" s="61"/>
      <c r="K1151" s="59"/>
      <c r="L1151" s="60"/>
      <c r="M1151" s="60"/>
      <c r="N1151" s="60"/>
      <c r="O1151" s="61"/>
      <c r="S1151" s="59"/>
      <c r="T1151" s="60"/>
      <c r="U1151" s="60"/>
      <c r="V1151" s="60"/>
      <c r="W1151" s="61"/>
      <c r="AA1151" s="59"/>
      <c r="AB1151" s="60"/>
      <c r="AC1151" s="60"/>
      <c r="AD1151" s="60"/>
      <c r="AE1151" s="61"/>
    </row>
    <row r="1152" spans="2:31" x14ac:dyDescent="0.25">
      <c r="B1152" s="53">
        <f t="shared" si="17"/>
        <v>228</v>
      </c>
      <c r="C1152" s="59"/>
      <c r="D1152" s="15" t="str">
        <f>IF(D1150="","","Исполнитель"&amp;": ")</f>
        <v/>
      </c>
      <c r="E1152" s="62" t="str">
        <f>IFERROR(VLOOKUP(C$13&amp;$B1152,Aux!$B:$M,4,0),"")</f>
        <v/>
      </c>
      <c r="F1152" s="62"/>
      <c r="G1152" s="63" t="str">
        <f>IFERROR(IF(VLOOKUP(C$13&amp;$B1150,Aux!$B:$M,8,0)="Да","✔","🕓"),"")</f>
        <v/>
      </c>
      <c r="K1152" s="59"/>
      <c r="L1152" s="15" t="str">
        <f>IF(L1150="","","Исполнитель"&amp;": ")</f>
        <v/>
      </c>
      <c r="M1152" s="62" t="str">
        <f>IFERROR(VLOOKUP(K$13&amp;$B1152,Aux!$B:$M,4,0),"")</f>
        <v/>
      </c>
      <c r="N1152" s="62"/>
      <c r="O1152" s="63" t="str">
        <f>IFERROR(IF(VLOOKUP(K$13&amp;$B1150,Aux!$B:$M,8,0)="Да","✔","🕓"),"")</f>
        <v/>
      </c>
      <c r="S1152" s="59"/>
      <c r="T1152" s="15" t="str">
        <f>IF(T1150="","","Исполнитель"&amp;": ")</f>
        <v/>
      </c>
      <c r="U1152" s="62" t="str">
        <f>IFERROR(VLOOKUP(S$13&amp;$B1152,Aux!$B:$M,4,0),"")</f>
        <v/>
      </c>
      <c r="V1152" s="62"/>
      <c r="W1152" s="63" t="str">
        <f>IFERROR(IF(VLOOKUP(S$13&amp;$B1150,Aux!$B:$M,8,0)="Да","✔","🕓"),"")</f>
        <v/>
      </c>
      <c r="AA1152" s="59"/>
      <c r="AB1152" s="15" t="str">
        <f>IF(AB1150="","","Исполнитель"&amp;": ")</f>
        <v/>
      </c>
      <c r="AC1152" s="62" t="str">
        <f>IFERROR(VLOOKUP(AA$13&amp;$B1152,Aux!$B:$M,4,0),"")</f>
        <v/>
      </c>
      <c r="AD1152" s="62"/>
      <c r="AE1152" s="63" t="str">
        <f>IFERROR(IF(VLOOKUP(AA$13&amp;$B1150,Aux!$B:$M,8,0)="Да","✔","🕓"),"")</f>
        <v/>
      </c>
    </row>
    <row r="1153" spans="2:31" x14ac:dyDescent="0.25">
      <c r="B1153" s="53">
        <f t="shared" si="17"/>
        <v>228</v>
      </c>
      <c r="C1153" s="59"/>
      <c r="D1153" s="16" t="str">
        <f>IF(D1150="","","Срок сдачи"&amp;": ")</f>
        <v/>
      </c>
      <c r="E1153" s="64" t="str">
        <f>IFERROR(VLOOKUP(C$13&amp;$B1153,Aux!$B:$M,6,0),"")</f>
        <v/>
      </c>
      <c r="F1153" s="64"/>
      <c r="G1153" s="63"/>
      <c r="K1153" s="59"/>
      <c r="L1153" s="16" t="str">
        <f>IF(L1150="","","Срок сдачи"&amp;": ")</f>
        <v/>
      </c>
      <c r="M1153" s="64" t="str">
        <f>IFERROR(VLOOKUP(K$13&amp;$B1153,Aux!$B:$M,6,0),"")</f>
        <v/>
      </c>
      <c r="N1153" s="64"/>
      <c r="O1153" s="63"/>
      <c r="S1153" s="59"/>
      <c r="T1153" s="16" t="str">
        <f>IF(T1150="","","Срок сдачи"&amp;": ")</f>
        <v/>
      </c>
      <c r="U1153" s="64" t="str">
        <f>IFERROR(VLOOKUP(S$13&amp;$B1153,Aux!$B:$M,6,0),"")</f>
        <v/>
      </c>
      <c r="V1153" s="64"/>
      <c r="W1153" s="63"/>
      <c r="AA1153" s="59"/>
      <c r="AB1153" s="16" t="str">
        <f>IF(AB1150="","","Срок сдачи"&amp;": ")</f>
        <v/>
      </c>
      <c r="AC1153" s="64" t="str">
        <f>IFERROR(VLOOKUP(AA$13&amp;$B1153,Aux!$B:$M,6,0),"")</f>
        <v/>
      </c>
      <c r="AD1153" s="64"/>
      <c r="AE1153" s="63"/>
    </row>
    <row r="1154" spans="2:31" x14ac:dyDescent="0.25">
      <c r="B1154" s="53">
        <f t="shared" si="17"/>
        <v>228</v>
      </c>
      <c r="C1154" s="7"/>
      <c r="D1154" s="17"/>
      <c r="E1154" s="7"/>
      <c r="F1154" s="18"/>
      <c r="G1154" s="18"/>
      <c r="K1154" s="13"/>
      <c r="L1154" s="17"/>
      <c r="M1154" s="13"/>
      <c r="N1154" s="14"/>
      <c r="O1154" s="14"/>
      <c r="S1154" s="13"/>
      <c r="T1154" s="17"/>
      <c r="U1154" s="13"/>
      <c r="V1154" s="14"/>
      <c r="W1154" s="14"/>
      <c r="AA1154" s="13"/>
      <c r="AB1154" s="17"/>
      <c r="AC1154" s="13"/>
      <c r="AD1154" s="14"/>
      <c r="AE1154" s="30"/>
    </row>
    <row r="1155" spans="2:31" x14ac:dyDescent="0.25">
      <c r="B1155" s="53">
        <f t="shared" si="17"/>
        <v>229</v>
      </c>
      <c r="C1155" s="59" t="str">
        <f>IFERROR(VLOOKUP(C$13&amp;$B1159,Aux!$B:$M,5,0),"")</f>
        <v/>
      </c>
      <c r="D1155" s="60" t="str">
        <f>IFERROR(VLOOKUP(C$13&amp;$B1155,Aux!$B:$M,3,0),"")</f>
        <v/>
      </c>
      <c r="E1155" s="60"/>
      <c r="F1155" s="60"/>
      <c r="G1155" s="61" t="str">
        <f>IFERROR(VLOOKUP(C$13&amp;$B1155,Aux!$B:$M,9,0),"")</f>
        <v/>
      </c>
      <c r="K1155" s="59" t="str">
        <f>IFERROR(VLOOKUP(K$13&amp;$B1159,Aux!$B:$M,5,0),"")</f>
        <v/>
      </c>
      <c r="L1155" s="60" t="str">
        <f>IFERROR(VLOOKUP(K$13&amp;$B1155,Aux!$B:$M,3,0),"")</f>
        <v/>
      </c>
      <c r="M1155" s="60"/>
      <c r="N1155" s="60"/>
      <c r="O1155" s="61" t="str">
        <f>IFERROR(VLOOKUP(K$13&amp;$B1155,Aux!$B:$M,9,0),"")</f>
        <v/>
      </c>
      <c r="S1155" s="59" t="str">
        <f>IFERROR(VLOOKUP(S$13&amp;$B1159,Aux!$B:$M,5,0),"")</f>
        <v/>
      </c>
      <c r="T1155" s="60" t="str">
        <f>IFERROR(VLOOKUP(S$13&amp;$B1155,Aux!$B:$M,3,0),"")</f>
        <v/>
      </c>
      <c r="U1155" s="60"/>
      <c r="V1155" s="60"/>
      <c r="W1155" s="61" t="str">
        <f>IFERROR(VLOOKUP(S$13&amp;$B1155,Aux!$B:$M,9,0),"")</f>
        <v/>
      </c>
      <c r="AA1155" s="59" t="str">
        <f>IFERROR(VLOOKUP(AA$13&amp;$B1159,Aux!$B:$M,5,0),"")</f>
        <v/>
      </c>
      <c r="AB1155" s="60" t="str">
        <f>IFERROR(VLOOKUP(AA$13&amp;$B1155,Aux!$B:$M,3,0),"")</f>
        <v/>
      </c>
      <c r="AC1155" s="60"/>
      <c r="AD1155" s="60"/>
      <c r="AE1155" s="61" t="str">
        <f>IFERROR(VLOOKUP(AA$13&amp;$B1155,Aux!$B:$M,9,0),"")</f>
        <v/>
      </c>
    </row>
    <row r="1156" spans="2:31" x14ac:dyDescent="0.25">
      <c r="B1156" s="53">
        <f t="shared" si="17"/>
        <v>229</v>
      </c>
      <c r="C1156" s="59"/>
      <c r="D1156" s="60"/>
      <c r="E1156" s="60"/>
      <c r="F1156" s="60"/>
      <c r="G1156" s="61"/>
      <c r="K1156" s="59"/>
      <c r="L1156" s="60"/>
      <c r="M1156" s="60"/>
      <c r="N1156" s="60"/>
      <c r="O1156" s="61"/>
      <c r="S1156" s="59"/>
      <c r="T1156" s="60"/>
      <c r="U1156" s="60"/>
      <c r="V1156" s="60"/>
      <c r="W1156" s="61"/>
      <c r="AA1156" s="59"/>
      <c r="AB1156" s="60"/>
      <c r="AC1156" s="60"/>
      <c r="AD1156" s="60"/>
      <c r="AE1156" s="61"/>
    </row>
    <row r="1157" spans="2:31" x14ac:dyDescent="0.25">
      <c r="B1157" s="53">
        <f t="shared" si="17"/>
        <v>229</v>
      </c>
      <c r="C1157" s="59"/>
      <c r="D1157" s="15" t="str">
        <f>IF(D1155="","","Исполнитель"&amp;": ")</f>
        <v/>
      </c>
      <c r="E1157" s="62" t="str">
        <f>IFERROR(VLOOKUP(C$13&amp;$B1157,Aux!$B:$M,4,0),"")</f>
        <v/>
      </c>
      <c r="F1157" s="62"/>
      <c r="G1157" s="63" t="str">
        <f>IFERROR(IF(VLOOKUP(C$13&amp;$B1155,Aux!$B:$M,8,0)="Да","✔","🕓"),"")</f>
        <v/>
      </c>
      <c r="K1157" s="59"/>
      <c r="L1157" s="15" t="str">
        <f>IF(L1155="","","Исполнитель"&amp;": ")</f>
        <v/>
      </c>
      <c r="M1157" s="62" t="str">
        <f>IFERROR(VLOOKUP(K$13&amp;$B1157,Aux!$B:$M,4,0),"")</f>
        <v/>
      </c>
      <c r="N1157" s="62"/>
      <c r="O1157" s="63" t="str">
        <f>IFERROR(IF(VLOOKUP(K$13&amp;$B1155,Aux!$B:$M,8,0)="Да","✔","🕓"),"")</f>
        <v/>
      </c>
      <c r="S1157" s="59"/>
      <c r="T1157" s="15" t="str">
        <f>IF(T1155="","","Исполнитель"&amp;": ")</f>
        <v/>
      </c>
      <c r="U1157" s="62" t="str">
        <f>IFERROR(VLOOKUP(S$13&amp;$B1157,Aux!$B:$M,4,0),"")</f>
        <v/>
      </c>
      <c r="V1157" s="62"/>
      <c r="W1157" s="63" t="str">
        <f>IFERROR(IF(VLOOKUP(S$13&amp;$B1155,Aux!$B:$M,8,0)="Да","✔","🕓"),"")</f>
        <v/>
      </c>
      <c r="AA1157" s="59"/>
      <c r="AB1157" s="15" t="str">
        <f>IF(AB1155="","","Исполнитель"&amp;": ")</f>
        <v/>
      </c>
      <c r="AC1157" s="62" t="str">
        <f>IFERROR(VLOOKUP(AA$13&amp;$B1157,Aux!$B:$M,4,0),"")</f>
        <v/>
      </c>
      <c r="AD1157" s="62"/>
      <c r="AE1157" s="63" t="str">
        <f>IFERROR(IF(VLOOKUP(AA$13&amp;$B1155,Aux!$B:$M,8,0)="Да","✔","🕓"),"")</f>
        <v/>
      </c>
    </row>
    <row r="1158" spans="2:31" x14ac:dyDescent="0.25">
      <c r="B1158" s="53">
        <f t="shared" si="17"/>
        <v>229</v>
      </c>
      <c r="C1158" s="59"/>
      <c r="D1158" s="16" t="str">
        <f>IF(D1155="","","Срок сдачи"&amp;": ")</f>
        <v/>
      </c>
      <c r="E1158" s="64" t="str">
        <f>IFERROR(VLOOKUP(C$13&amp;$B1158,Aux!$B:$M,6,0),"")</f>
        <v/>
      </c>
      <c r="F1158" s="64"/>
      <c r="G1158" s="63"/>
      <c r="K1158" s="59"/>
      <c r="L1158" s="16" t="str">
        <f>IF(L1155="","","Срок сдачи"&amp;": ")</f>
        <v/>
      </c>
      <c r="M1158" s="64" t="str">
        <f>IFERROR(VLOOKUP(K$13&amp;$B1158,Aux!$B:$M,6,0),"")</f>
        <v/>
      </c>
      <c r="N1158" s="64"/>
      <c r="O1158" s="63"/>
      <c r="S1158" s="59"/>
      <c r="T1158" s="16" t="str">
        <f>IF(T1155="","","Срок сдачи"&amp;": ")</f>
        <v/>
      </c>
      <c r="U1158" s="64" t="str">
        <f>IFERROR(VLOOKUP(S$13&amp;$B1158,Aux!$B:$M,6,0),"")</f>
        <v/>
      </c>
      <c r="V1158" s="64"/>
      <c r="W1158" s="63"/>
      <c r="AA1158" s="59"/>
      <c r="AB1158" s="16" t="str">
        <f>IF(AB1155="","","Срок сдачи"&amp;": ")</f>
        <v/>
      </c>
      <c r="AC1158" s="64" t="str">
        <f>IFERROR(VLOOKUP(AA$13&amp;$B1158,Aux!$B:$M,6,0),"")</f>
        <v/>
      </c>
      <c r="AD1158" s="64"/>
      <c r="AE1158" s="63"/>
    </row>
    <row r="1159" spans="2:31" x14ac:dyDescent="0.25">
      <c r="B1159" s="53">
        <f t="shared" si="17"/>
        <v>229</v>
      </c>
      <c r="C1159" s="7"/>
      <c r="D1159" s="17"/>
      <c r="E1159" s="7"/>
      <c r="F1159" s="18"/>
      <c r="G1159" s="18"/>
      <c r="K1159" s="13"/>
      <c r="L1159" s="17"/>
      <c r="M1159" s="13"/>
      <c r="N1159" s="14"/>
      <c r="O1159" s="14"/>
      <c r="S1159" s="13"/>
      <c r="T1159" s="17"/>
      <c r="U1159" s="13"/>
      <c r="V1159" s="14"/>
      <c r="W1159" s="14"/>
      <c r="AA1159" s="13"/>
      <c r="AB1159" s="17"/>
      <c r="AC1159" s="13"/>
      <c r="AD1159" s="14"/>
      <c r="AE1159" s="30"/>
    </row>
    <row r="1160" spans="2:31" x14ac:dyDescent="0.25">
      <c r="B1160" s="53">
        <f t="shared" si="17"/>
        <v>230</v>
      </c>
      <c r="C1160" s="59" t="str">
        <f>IFERROR(VLOOKUP(C$13&amp;$B1164,Aux!$B:$M,5,0),"")</f>
        <v/>
      </c>
      <c r="D1160" s="60" t="str">
        <f>IFERROR(VLOOKUP(C$13&amp;$B1160,Aux!$B:$M,3,0),"")</f>
        <v/>
      </c>
      <c r="E1160" s="60"/>
      <c r="F1160" s="60"/>
      <c r="G1160" s="61" t="str">
        <f>IFERROR(VLOOKUP(C$13&amp;$B1160,Aux!$B:$M,9,0),"")</f>
        <v/>
      </c>
      <c r="K1160" s="59" t="str">
        <f>IFERROR(VLOOKUP(K$13&amp;$B1164,Aux!$B:$M,5,0),"")</f>
        <v/>
      </c>
      <c r="L1160" s="60" t="str">
        <f>IFERROR(VLOOKUP(K$13&amp;$B1160,Aux!$B:$M,3,0),"")</f>
        <v/>
      </c>
      <c r="M1160" s="60"/>
      <c r="N1160" s="60"/>
      <c r="O1160" s="61" t="str">
        <f>IFERROR(VLOOKUP(K$13&amp;$B1160,Aux!$B:$M,9,0),"")</f>
        <v/>
      </c>
      <c r="S1160" s="59" t="str">
        <f>IFERROR(VLOOKUP(S$13&amp;$B1164,Aux!$B:$M,5,0),"")</f>
        <v/>
      </c>
      <c r="T1160" s="60" t="str">
        <f>IFERROR(VLOOKUP(S$13&amp;$B1160,Aux!$B:$M,3,0),"")</f>
        <v/>
      </c>
      <c r="U1160" s="60"/>
      <c r="V1160" s="60"/>
      <c r="W1160" s="61" t="str">
        <f>IFERROR(VLOOKUP(S$13&amp;$B1160,Aux!$B:$M,9,0),"")</f>
        <v/>
      </c>
      <c r="AA1160" s="59" t="str">
        <f>IFERROR(VLOOKUP(AA$13&amp;$B1164,Aux!$B:$M,5,0),"")</f>
        <v/>
      </c>
      <c r="AB1160" s="60" t="str">
        <f>IFERROR(VLOOKUP(AA$13&amp;$B1160,Aux!$B:$M,3,0),"")</f>
        <v/>
      </c>
      <c r="AC1160" s="60"/>
      <c r="AD1160" s="60"/>
      <c r="AE1160" s="61" t="str">
        <f>IFERROR(VLOOKUP(AA$13&amp;$B1160,Aux!$B:$M,9,0),"")</f>
        <v/>
      </c>
    </row>
    <row r="1161" spans="2:31" x14ac:dyDescent="0.25">
      <c r="B1161" s="53">
        <f t="shared" si="17"/>
        <v>230</v>
      </c>
      <c r="C1161" s="59"/>
      <c r="D1161" s="60"/>
      <c r="E1161" s="60"/>
      <c r="F1161" s="60"/>
      <c r="G1161" s="61"/>
      <c r="K1161" s="59"/>
      <c r="L1161" s="60"/>
      <c r="M1161" s="60"/>
      <c r="N1161" s="60"/>
      <c r="O1161" s="61"/>
      <c r="S1161" s="59"/>
      <c r="T1161" s="60"/>
      <c r="U1161" s="60"/>
      <c r="V1161" s="60"/>
      <c r="W1161" s="61"/>
      <c r="AA1161" s="59"/>
      <c r="AB1161" s="60"/>
      <c r="AC1161" s="60"/>
      <c r="AD1161" s="60"/>
      <c r="AE1161" s="61"/>
    </row>
    <row r="1162" spans="2:31" x14ac:dyDescent="0.25">
      <c r="B1162" s="53">
        <f t="shared" si="17"/>
        <v>230</v>
      </c>
      <c r="C1162" s="59"/>
      <c r="D1162" s="15" t="str">
        <f>IF(D1160="","","Исполнитель"&amp;": ")</f>
        <v/>
      </c>
      <c r="E1162" s="62" t="str">
        <f>IFERROR(VLOOKUP(C$13&amp;$B1162,Aux!$B:$M,4,0),"")</f>
        <v/>
      </c>
      <c r="F1162" s="62"/>
      <c r="G1162" s="63" t="str">
        <f>IFERROR(IF(VLOOKUP(C$13&amp;$B1160,Aux!$B:$M,8,0)="Да","✔","🕓"),"")</f>
        <v/>
      </c>
      <c r="K1162" s="59"/>
      <c r="L1162" s="15" t="str">
        <f>IF(L1160="","","Исполнитель"&amp;": ")</f>
        <v/>
      </c>
      <c r="M1162" s="62" t="str">
        <f>IFERROR(VLOOKUP(K$13&amp;$B1162,Aux!$B:$M,4,0),"")</f>
        <v/>
      </c>
      <c r="N1162" s="62"/>
      <c r="O1162" s="63" t="str">
        <f>IFERROR(IF(VLOOKUP(K$13&amp;$B1160,Aux!$B:$M,8,0)="Да","✔","🕓"),"")</f>
        <v/>
      </c>
      <c r="S1162" s="59"/>
      <c r="T1162" s="15" t="str">
        <f>IF(T1160="","","Исполнитель"&amp;": ")</f>
        <v/>
      </c>
      <c r="U1162" s="62" t="str">
        <f>IFERROR(VLOOKUP(S$13&amp;$B1162,Aux!$B:$M,4,0),"")</f>
        <v/>
      </c>
      <c r="V1162" s="62"/>
      <c r="W1162" s="63" t="str">
        <f>IFERROR(IF(VLOOKUP(S$13&amp;$B1160,Aux!$B:$M,8,0)="Да","✔","🕓"),"")</f>
        <v/>
      </c>
      <c r="AA1162" s="59"/>
      <c r="AB1162" s="15" t="str">
        <f>IF(AB1160="","","Исполнитель"&amp;": ")</f>
        <v/>
      </c>
      <c r="AC1162" s="62" t="str">
        <f>IFERROR(VLOOKUP(AA$13&amp;$B1162,Aux!$B:$M,4,0),"")</f>
        <v/>
      </c>
      <c r="AD1162" s="62"/>
      <c r="AE1162" s="63" t="str">
        <f>IFERROR(IF(VLOOKUP(AA$13&amp;$B1160,Aux!$B:$M,8,0)="Да","✔","🕓"),"")</f>
        <v/>
      </c>
    </row>
    <row r="1163" spans="2:31" x14ac:dyDescent="0.25">
      <c r="B1163" s="53">
        <f t="shared" si="17"/>
        <v>230</v>
      </c>
      <c r="C1163" s="59"/>
      <c r="D1163" s="16" t="str">
        <f>IF(D1160="","","Срок сдачи"&amp;": ")</f>
        <v/>
      </c>
      <c r="E1163" s="64" t="str">
        <f>IFERROR(VLOOKUP(C$13&amp;$B1163,Aux!$B:$M,6,0),"")</f>
        <v/>
      </c>
      <c r="F1163" s="64"/>
      <c r="G1163" s="63"/>
      <c r="K1163" s="59"/>
      <c r="L1163" s="16" t="str">
        <f>IF(L1160="","","Срок сдачи"&amp;": ")</f>
        <v/>
      </c>
      <c r="M1163" s="64" t="str">
        <f>IFERROR(VLOOKUP(K$13&amp;$B1163,Aux!$B:$M,6,0),"")</f>
        <v/>
      </c>
      <c r="N1163" s="64"/>
      <c r="O1163" s="63"/>
      <c r="S1163" s="59"/>
      <c r="T1163" s="16" t="str">
        <f>IF(T1160="","","Срок сдачи"&amp;": ")</f>
        <v/>
      </c>
      <c r="U1163" s="64" t="str">
        <f>IFERROR(VLOOKUP(S$13&amp;$B1163,Aux!$B:$M,6,0),"")</f>
        <v/>
      </c>
      <c r="V1163" s="64"/>
      <c r="W1163" s="63"/>
      <c r="AA1163" s="59"/>
      <c r="AB1163" s="16" t="str">
        <f>IF(AB1160="","","Срок сдачи"&amp;": ")</f>
        <v/>
      </c>
      <c r="AC1163" s="64" t="str">
        <f>IFERROR(VLOOKUP(AA$13&amp;$B1163,Aux!$B:$M,6,0),"")</f>
        <v/>
      </c>
      <c r="AD1163" s="64"/>
      <c r="AE1163" s="63"/>
    </row>
    <row r="1164" spans="2:31" x14ac:dyDescent="0.25">
      <c r="B1164" s="53">
        <f t="shared" si="17"/>
        <v>230</v>
      </c>
      <c r="C1164" s="7"/>
      <c r="D1164" s="17"/>
      <c r="E1164" s="7"/>
      <c r="F1164" s="18"/>
      <c r="G1164" s="18"/>
      <c r="K1164" s="13"/>
      <c r="L1164" s="17"/>
      <c r="M1164" s="13"/>
      <c r="N1164" s="14"/>
      <c r="O1164" s="14"/>
      <c r="S1164" s="13"/>
      <c r="T1164" s="17"/>
      <c r="U1164" s="13"/>
      <c r="V1164" s="14"/>
      <c r="W1164" s="14"/>
      <c r="AA1164" s="13"/>
      <c r="AB1164" s="17"/>
      <c r="AC1164" s="13"/>
      <c r="AD1164" s="14"/>
      <c r="AE1164" s="30"/>
    </row>
    <row r="1165" spans="2:31" x14ac:dyDescent="0.25">
      <c r="B1165" s="53">
        <f t="shared" si="17"/>
        <v>231</v>
      </c>
      <c r="C1165" s="59" t="str">
        <f>IFERROR(VLOOKUP(C$13&amp;$B1169,Aux!$B:$M,5,0),"")</f>
        <v/>
      </c>
      <c r="D1165" s="60" t="str">
        <f>IFERROR(VLOOKUP(C$13&amp;$B1165,Aux!$B:$M,3,0),"")</f>
        <v/>
      </c>
      <c r="E1165" s="60"/>
      <c r="F1165" s="60"/>
      <c r="G1165" s="61" t="str">
        <f>IFERROR(VLOOKUP(C$13&amp;$B1165,Aux!$B:$M,9,0),"")</f>
        <v/>
      </c>
      <c r="K1165" s="59" t="str">
        <f>IFERROR(VLOOKUP(K$13&amp;$B1169,Aux!$B:$M,5,0),"")</f>
        <v/>
      </c>
      <c r="L1165" s="60" t="str">
        <f>IFERROR(VLOOKUP(K$13&amp;$B1165,Aux!$B:$M,3,0),"")</f>
        <v/>
      </c>
      <c r="M1165" s="60"/>
      <c r="N1165" s="60"/>
      <c r="O1165" s="61" t="str">
        <f>IFERROR(VLOOKUP(K$13&amp;$B1165,Aux!$B:$M,9,0),"")</f>
        <v/>
      </c>
      <c r="S1165" s="59" t="str">
        <f>IFERROR(VLOOKUP(S$13&amp;$B1169,Aux!$B:$M,5,0),"")</f>
        <v/>
      </c>
      <c r="T1165" s="60" t="str">
        <f>IFERROR(VLOOKUP(S$13&amp;$B1165,Aux!$B:$M,3,0),"")</f>
        <v/>
      </c>
      <c r="U1165" s="60"/>
      <c r="V1165" s="60"/>
      <c r="W1165" s="61" t="str">
        <f>IFERROR(VLOOKUP(S$13&amp;$B1165,Aux!$B:$M,9,0),"")</f>
        <v/>
      </c>
      <c r="AA1165" s="59" t="str">
        <f>IFERROR(VLOOKUP(AA$13&amp;$B1169,Aux!$B:$M,5,0),"")</f>
        <v/>
      </c>
      <c r="AB1165" s="60" t="str">
        <f>IFERROR(VLOOKUP(AA$13&amp;$B1165,Aux!$B:$M,3,0),"")</f>
        <v/>
      </c>
      <c r="AC1165" s="60"/>
      <c r="AD1165" s="60"/>
      <c r="AE1165" s="61" t="str">
        <f>IFERROR(VLOOKUP(AA$13&amp;$B1165,Aux!$B:$M,9,0),"")</f>
        <v/>
      </c>
    </row>
    <row r="1166" spans="2:31" x14ac:dyDescent="0.25">
      <c r="B1166" s="53">
        <f t="shared" si="17"/>
        <v>231</v>
      </c>
      <c r="C1166" s="59"/>
      <c r="D1166" s="60"/>
      <c r="E1166" s="60"/>
      <c r="F1166" s="60"/>
      <c r="G1166" s="61"/>
      <c r="K1166" s="59"/>
      <c r="L1166" s="60"/>
      <c r="M1166" s="60"/>
      <c r="N1166" s="60"/>
      <c r="O1166" s="61"/>
      <c r="S1166" s="59"/>
      <c r="T1166" s="60"/>
      <c r="U1166" s="60"/>
      <c r="V1166" s="60"/>
      <c r="W1166" s="61"/>
      <c r="AA1166" s="59"/>
      <c r="AB1166" s="60"/>
      <c r="AC1166" s="60"/>
      <c r="AD1166" s="60"/>
      <c r="AE1166" s="61"/>
    </row>
    <row r="1167" spans="2:31" x14ac:dyDescent="0.25">
      <c r="B1167" s="53">
        <f t="shared" si="17"/>
        <v>231</v>
      </c>
      <c r="C1167" s="59"/>
      <c r="D1167" s="15" t="str">
        <f>IF(D1165="","","Исполнитель"&amp;": ")</f>
        <v/>
      </c>
      <c r="E1167" s="62" t="str">
        <f>IFERROR(VLOOKUP(C$13&amp;$B1167,Aux!$B:$M,4,0),"")</f>
        <v/>
      </c>
      <c r="F1167" s="62"/>
      <c r="G1167" s="63" t="str">
        <f>IFERROR(IF(VLOOKUP(C$13&amp;$B1165,Aux!$B:$M,8,0)="Да","✔","🕓"),"")</f>
        <v/>
      </c>
      <c r="K1167" s="59"/>
      <c r="L1167" s="15" t="str">
        <f>IF(L1165="","","Исполнитель"&amp;": ")</f>
        <v/>
      </c>
      <c r="M1167" s="62" t="str">
        <f>IFERROR(VLOOKUP(K$13&amp;$B1167,Aux!$B:$M,4,0),"")</f>
        <v/>
      </c>
      <c r="N1167" s="62"/>
      <c r="O1167" s="63" t="str">
        <f>IFERROR(IF(VLOOKUP(K$13&amp;$B1165,Aux!$B:$M,8,0)="Да","✔","🕓"),"")</f>
        <v/>
      </c>
      <c r="S1167" s="59"/>
      <c r="T1167" s="15" t="str">
        <f>IF(T1165="","","Исполнитель"&amp;": ")</f>
        <v/>
      </c>
      <c r="U1167" s="62" t="str">
        <f>IFERROR(VLOOKUP(S$13&amp;$B1167,Aux!$B:$M,4,0),"")</f>
        <v/>
      </c>
      <c r="V1167" s="62"/>
      <c r="W1167" s="63" t="str">
        <f>IFERROR(IF(VLOOKUP(S$13&amp;$B1165,Aux!$B:$M,8,0)="Да","✔","🕓"),"")</f>
        <v/>
      </c>
      <c r="AA1167" s="59"/>
      <c r="AB1167" s="15" t="str">
        <f>IF(AB1165="","","Исполнитель"&amp;": ")</f>
        <v/>
      </c>
      <c r="AC1167" s="62" t="str">
        <f>IFERROR(VLOOKUP(AA$13&amp;$B1167,Aux!$B:$M,4,0),"")</f>
        <v/>
      </c>
      <c r="AD1167" s="62"/>
      <c r="AE1167" s="63" t="str">
        <f>IFERROR(IF(VLOOKUP(AA$13&amp;$B1165,Aux!$B:$M,8,0)="Да","✔","🕓"),"")</f>
        <v/>
      </c>
    </row>
    <row r="1168" spans="2:31" x14ac:dyDescent="0.25">
      <c r="B1168" s="53">
        <f t="shared" si="17"/>
        <v>231</v>
      </c>
      <c r="C1168" s="59"/>
      <c r="D1168" s="16" t="str">
        <f>IF(D1165="","","Срок сдачи"&amp;": ")</f>
        <v/>
      </c>
      <c r="E1168" s="64" t="str">
        <f>IFERROR(VLOOKUP(C$13&amp;$B1168,Aux!$B:$M,6,0),"")</f>
        <v/>
      </c>
      <c r="F1168" s="64"/>
      <c r="G1168" s="63"/>
      <c r="K1168" s="59"/>
      <c r="L1168" s="16" t="str">
        <f>IF(L1165="","","Срок сдачи"&amp;": ")</f>
        <v/>
      </c>
      <c r="M1168" s="64" t="str">
        <f>IFERROR(VLOOKUP(K$13&amp;$B1168,Aux!$B:$M,6,0),"")</f>
        <v/>
      </c>
      <c r="N1168" s="64"/>
      <c r="O1168" s="63"/>
      <c r="S1168" s="59"/>
      <c r="T1168" s="16" t="str">
        <f>IF(T1165="","","Срок сдачи"&amp;": ")</f>
        <v/>
      </c>
      <c r="U1168" s="64" t="str">
        <f>IFERROR(VLOOKUP(S$13&amp;$B1168,Aux!$B:$M,6,0),"")</f>
        <v/>
      </c>
      <c r="V1168" s="64"/>
      <c r="W1168" s="63"/>
      <c r="AA1168" s="59"/>
      <c r="AB1168" s="16" t="str">
        <f>IF(AB1165="","","Срок сдачи"&amp;": ")</f>
        <v/>
      </c>
      <c r="AC1168" s="64" t="str">
        <f>IFERROR(VLOOKUP(AA$13&amp;$B1168,Aux!$B:$M,6,0),"")</f>
        <v/>
      </c>
      <c r="AD1168" s="64"/>
      <c r="AE1168" s="63"/>
    </row>
    <row r="1169" spans="2:31" x14ac:dyDescent="0.25">
      <c r="B1169" s="53">
        <f t="shared" si="17"/>
        <v>231</v>
      </c>
      <c r="C1169" s="7"/>
      <c r="D1169" s="17"/>
      <c r="E1169" s="7"/>
      <c r="F1169" s="18"/>
      <c r="G1169" s="18"/>
      <c r="K1169" s="13"/>
      <c r="L1169" s="17"/>
      <c r="M1169" s="13"/>
      <c r="N1169" s="14"/>
      <c r="O1169" s="14"/>
      <c r="S1169" s="13"/>
      <c r="T1169" s="17"/>
      <c r="U1169" s="13"/>
      <c r="V1169" s="14"/>
      <c r="W1169" s="14"/>
      <c r="AA1169" s="13"/>
      <c r="AB1169" s="17"/>
      <c r="AC1169" s="13"/>
      <c r="AD1169" s="14"/>
      <c r="AE1169" s="30"/>
    </row>
    <row r="1170" spans="2:31" x14ac:dyDescent="0.25">
      <c r="B1170" s="53">
        <f t="shared" si="17"/>
        <v>232</v>
      </c>
      <c r="C1170" s="59" t="str">
        <f>IFERROR(VLOOKUP(C$13&amp;$B1174,Aux!$B:$M,5,0),"")</f>
        <v/>
      </c>
      <c r="D1170" s="60" t="str">
        <f>IFERROR(VLOOKUP(C$13&amp;$B1170,Aux!$B:$M,3,0),"")</f>
        <v/>
      </c>
      <c r="E1170" s="60"/>
      <c r="F1170" s="60"/>
      <c r="G1170" s="61" t="str">
        <f>IFERROR(VLOOKUP(C$13&amp;$B1170,Aux!$B:$M,9,0),"")</f>
        <v/>
      </c>
      <c r="K1170" s="59" t="str">
        <f>IFERROR(VLOOKUP(K$13&amp;$B1174,Aux!$B:$M,5,0),"")</f>
        <v/>
      </c>
      <c r="L1170" s="60" t="str">
        <f>IFERROR(VLOOKUP(K$13&amp;$B1170,Aux!$B:$M,3,0),"")</f>
        <v/>
      </c>
      <c r="M1170" s="60"/>
      <c r="N1170" s="60"/>
      <c r="O1170" s="61" t="str">
        <f>IFERROR(VLOOKUP(K$13&amp;$B1170,Aux!$B:$M,9,0),"")</f>
        <v/>
      </c>
      <c r="S1170" s="59" t="str">
        <f>IFERROR(VLOOKUP(S$13&amp;$B1174,Aux!$B:$M,5,0),"")</f>
        <v/>
      </c>
      <c r="T1170" s="60" t="str">
        <f>IFERROR(VLOOKUP(S$13&amp;$B1170,Aux!$B:$M,3,0),"")</f>
        <v/>
      </c>
      <c r="U1170" s="60"/>
      <c r="V1170" s="60"/>
      <c r="W1170" s="61" t="str">
        <f>IFERROR(VLOOKUP(S$13&amp;$B1170,Aux!$B:$M,9,0),"")</f>
        <v/>
      </c>
      <c r="AA1170" s="59" t="str">
        <f>IFERROR(VLOOKUP(AA$13&amp;$B1174,Aux!$B:$M,5,0),"")</f>
        <v/>
      </c>
      <c r="AB1170" s="60" t="str">
        <f>IFERROR(VLOOKUP(AA$13&amp;$B1170,Aux!$B:$M,3,0),"")</f>
        <v/>
      </c>
      <c r="AC1170" s="60"/>
      <c r="AD1170" s="60"/>
      <c r="AE1170" s="61" t="str">
        <f>IFERROR(VLOOKUP(AA$13&amp;$B1170,Aux!$B:$M,9,0),"")</f>
        <v/>
      </c>
    </row>
    <row r="1171" spans="2:31" x14ac:dyDescent="0.25">
      <c r="B1171" s="53">
        <f t="shared" si="17"/>
        <v>232</v>
      </c>
      <c r="C1171" s="59"/>
      <c r="D1171" s="60"/>
      <c r="E1171" s="60"/>
      <c r="F1171" s="60"/>
      <c r="G1171" s="61"/>
      <c r="K1171" s="59"/>
      <c r="L1171" s="60"/>
      <c r="M1171" s="60"/>
      <c r="N1171" s="60"/>
      <c r="O1171" s="61"/>
      <c r="S1171" s="59"/>
      <c r="T1171" s="60"/>
      <c r="U1171" s="60"/>
      <c r="V1171" s="60"/>
      <c r="W1171" s="61"/>
      <c r="AA1171" s="59"/>
      <c r="AB1171" s="60"/>
      <c r="AC1171" s="60"/>
      <c r="AD1171" s="60"/>
      <c r="AE1171" s="61"/>
    </row>
    <row r="1172" spans="2:31" x14ac:dyDescent="0.25">
      <c r="B1172" s="53">
        <f t="shared" si="17"/>
        <v>232</v>
      </c>
      <c r="C1172" s="59"/>
      <c r="D1172" s="15" t="str">
        <f>IF(D1170="","","Исполнитель"&amp;": ")</f>
        <v/>
      </c>
      <c r="E1172" s="62" t="str">
        <f>IFERROR(VLOOKUP(C$13&amp;$B1172,Aux!$B:$M,4,0),"")</f>
        <v/>
      </c>
      <c r="F1172" s="62"/>
      <c r="G1172" s="63" t="str">
        <f>IFERROR(IF(VLOOKUP(C$13&amp;$B1170,Aux!$B:$M,8,0)="Да","✔","🕓"),"")</f>
        <v/>
      </c>
      <c r="K1172" s="59"/>
      <c r="L1172" s="15" t="str">
        <f>IF(L1170="","","Исполнитель"&amp;": ")</f>
        <v/>
      </c>
      <c r="M1172" s="62" t="str">
        <f>IFERROR(VLOOKUP(K$13&amp;$B1172,Aux!$B:$M,4,0),"")</f>
        <v/>
      </c>
      <c r="N1172" s="62"/>
      <c r="O1172" s="63" t="str">
        <f>IFERROR(IF(VLOOKUP(K$13&amp;$B1170,Aux!$B:$M,8,0)="Да","✔","🕓"),"")</f>
        <v/>
      </c>
      <c r="S1172" s="59"/>
      <c r="T1172" s="15" t="str">
        <f>IF(T1170="","","Исполнитель"&amp;": ")</f>
        <v/>
      </c>
      <c r="U1172" s="62" t="str">
        <f>IFERROR(VLOOKUP(S$13&amp;$B1172,Aux!$B:$M,4,0),"")</f>
        <v/>
      </c>
      <c r="V1172" s="62"/>
      <c r="W1172" s="63" t="str">
        <f>IFERROR(IF(VLOOKUP(S$13&amp;$B1170,Aux!$B:$M,8,0)="Да","✔","🕓"),"")</f>
        <v/>
      </c>
      <c r="AA1172" s="59"/>
      <c r="AB1172" s="15" t="str">
        <f>IF(AB1170="","","Исполнитель"&amp;": ")</f>
        <v/>
      </c>
      <c r="AC1172" s="62" t="str">
        <f>IFERROR(VLOOKUP(AA$13&amp;$B1172,Aux!$B:$M,4,0),"")</f>
        <v/>
      </c>
      <c r="AD1172" s="62"/>
      <c r="AE1172" s="63" t="str">
        <f>IFERROR(IF(VLOOKUP(AA$13&amp;$B1170,Aux!$B:$M,8,0)="Да","✔","🕓"),"")</f>
        <v/>
      </c>
    </row>
    <row r="1173" spans="2:31" x14ac:dyDescent="0.25">
      <c r="B1173" s="53">
        <f t="shared" ref="B1173:B1236" si="18">B1168+1</f>
        <v>232</v>
      </c>
      <c r="C1173" s="59"/>
      <c r="D1173" s="16" t="str">
        <f>IF(D1170="","","Срок сдачи"&amp;": ")</f>
        <v/>
      </c>
      <c r="E1173" s="64" t="str">
        <f>IFERROR(VLOOKUP(C$13&amp;$B1173,Aux!$B:$M,6,0),"")</f>
        <v/>
      </c>
      <c r="F1173" s="64"/>
      <c r="G1173" s="63"/>
      <c r="K1173" s="59"/>
      <c r="L1173" s="16" t="str">
        <f>IF(L1170="","","Срок сдачи"&amp;": ")</f>
        <v/>
      </c>
      <c r="M1173" s="64" t="str">
        <f>IFERROR(VLOOKUP(K$13&amp;$B1173,Aux!$B:$M,6,0),"")</f>
        <v/>
      </c>
      <c r="N1173" s="64"/>
      <c r="O1173" s="63"/>
      <c r="S1173" s="59"/>
      <c r="T1173" s="16" t="str">
        <f>IF(T1170="","","Срок сдачи"&amp;": ")</f>
        <v/>
      </c>
      <c r="U1173" s="64" t="str">
        <f>IFERROR(VLOOKUP(S$13&amp;$B1173,Aux!$B:$M,6,0),"")</f>
        <v/>
      </c>
      <c r="V1173" s="64"/>
      <c r="W1173" s="63"/>
      <c r="AA1173" s="59"/>
      <c r="AB1173" s="16" t="str">
        <f>IF(AB1170="","","Срок сдачи"&amp;": ")</f>
        <v/>
      </c>
      <c r="AC1173" s="64" t="str">
        <f>IFERROR(VLOOKUP(AA$13&amp;$B1173,Aux!$B:$M,6,0),"")</f>
        <v/>
      </c>
      <c r="AD1173" s="64"/>
      <c r="AE1173" s="63"/>
    </row>
    <row r="1174" spans="2:31" x14ac:dyDescent="0.25">
      <c r="B1174" s="53">
        <f t="shared" si="18"/>
        <v>232</v>
      </c>
      <c r="C1174" s="7"/>
      <c r="D1174" s="17"/>
      <c r="E1174" s="7"/>
      <c r="F1174" s="18"/>
      <c r="G1174" s="18"/>
      <c r="K1174" s="13"/>
      <c r="L1174" s="17"/>
      <c r="M1174" s="13"/>
      <c r="N1174" s="14"/>
      <c r="O1174" s="14"/>
      <c r="S1174" s="13"/>
      <c r="T1174" s="17"/>
      <c r="U1174" s="13"/>
      <c r="V1174" s="14"/>
      <c r="W1174" s="14"/>
      <c r="AA1174" s="13"/>
      <c r="AB1174" s="17"/>
      <c r="AC1174" s="13"/>
      <c r="AD1174" s="14"/>
      <c r="AE1174" s="30"/>
    </row>
    <row r="1175" spans="2:31" x14ac:dyDescent="0.25">
      <c r="B1175" s="53">
        <f t="shared" si="18"/>
        <v>233</v>
      </c>
      <c r="C1175" s="59" t="str">
        <f>IFERROR(VLOOKUP(C$13&amp;$B1179,Aux!$B:$M,5,0),"")</f>
        <v/>
      </c>
      <c r="D1175" s="60" t="str">
        <f>IFERROR(VLOOKUP(C$13&amp;$B1175,Aux!$B:$M,3,0),"")</f>
        <v/>
      </c>
      <c r="E1175" s="60"/>
      <c r="F1175" s="60"/>
      <c r="G1175" s="61" t="str">
        <f>IFERROR(VLOOKUP(C$13&amp;$B1175,Aux!$B:$M,9,0),"")</f>
        <v/>
      </c>
      <c r="K1175" s="59" t="str">
        <f>IFERROR(VLOOKUP(K$13&amp;$B1179,Aux!$B:$M,5,0),"")</f>
        <v/>
      </c>
      <c r="L1175" s="60" t="str">
        <f>IFERROR(VLOOKUP(K$13&amp;$B1175,Aux!$B:$M,3,0),"")</f>
        <v/>
      </c>
      <c r="M1175" s="60"/>
      <c r="N1175" s="60"/>
      <c r="O1175" s="61" t="str">
        <f>IFERROR(VLOOKUP(K$13&amp;$B1175,Aux!$B:$M,9,0),"")</f>
        <v/>
      </c>
      <c r="S1175" s="59" t="str">
        <f>IFERROR(VLOOKUP(S$13&amp;$B1179,Aux!$B:$M,5,0),"")</f>
        <v/>
      </c>
      <c r="T1175" s="60" t="str">
        <f>IFERROR(VLOOKUP(S$13&amp;$B1175,Aux!$B:$M,3,0),"")</f>
        <v/>
      </c>
      <c r="U1175" s="60"/>
      <c r="V1175" s="60"/>
      <c r="W1175" s="61" t="str">
        <f>IFERROR(VLOOKUP(S$13&amp;$B1175,Aux!$B:$M,9,0),"")</f>
        <v/>
      </c>
      <c r="AA1175" s="59" t="str">
        <f>IFERROR(VLOOKUP(AA$13&amp;$B1179,Aux!$B:$M,5,0),"")</f>
        <v/>
      </c>
      <c r="AB1175" s="60" t="str">
        <f>IFERROR(VLOOKUP(AA$13&amp;$B1175,Aux!$B:$M,3,0),"")</f>
        <v/>
      </c>
      <c r="AC1175" s="60"/>
      <c r="AD1175" s="60"/>
      <c r="AE1175" s="61" t="str">
        <f>IFERROR(VLOOKUP(AA$13&amp;$B1175,Aux!$B:$M,9,0),"")</f>
        <v/>
      </c>
    </row>
    <row r="1176" spans="2:31" x14ac:dyDescent="0.25">
      <c r="B1176" s="53">
        <f t="shared" si="18"/>
        <v>233</v>
      </c>
      <c r="C1176" s="59"/>
      <c r="D1176" s="60"/>
      <c r="E1176" s="60"/>
      <c r="F1176" s="60"/>
      <c r="G1176" s="61"/>
      <c r="K1176" s="59"/>
      <c r="L1176" s="60"/>
      <c r="M1176" s="60"/>
      <c r="N1176" s="60"/>
      <c r="O1176" s="61"/>
      <c r="S1176" s="59"/>
      <c r="T1176" s="60"/>
      <c r="U1176" s="60"/>
      <c r="V1176" s="60"/>
      <c r="W1176" s="61"/>
      <c r="AA1176" s="59"/>
      <c r="AB1176" s="60"/>
      <c r="AC1176" s="60"/>
      <c r="AD1176" s="60"/>
      <c r="AE1176" s="61"/>
    </row>
    <row r="1177" spans="2:31" x14ac:dyDescent="0.25">
      <c r="B1177" s="53">
        <f t="shared" si="18"/>
        <v>233</v>
      </c>
      <c r="C1177" s="59"/>
      <c r="D1177" s="15" t="str">
        <f>IF(D1175="","","Исполнитель"&amp;": ")</f>
        <v/>
      </c>
      <c r="E1177" s="62" t="str">
        <f>IFERROR(VLOOKUP(C$13&amp;$B1177,Aux!$B:$M,4,0),"")</f>
        <v/>
      </c>
      <c r="F1177" s="62"/>
      <c r="G1177" s="63" t="str">
        <f>IFERROR(IF(VLOOKUP(C$13&amp;$B1175,Aux!$B:$M,8,0)="Да","✔","🕓"),"")</f>
        <v/>
      </c>
      <c r="K1177" s="59"/>
      <c r="L1177" s="15" t="str">
        <f>IF(L1175="","","Исполнитель"&amp;": ")</f>
        <v/>
      </c>
      <c r="M1177" s="62" t="str">
        <f>IFERROR(VLOOKUP(K$13&amp;$B1177,Aux!$B:$M,4,0),"")</f>
        <v/>
      </c>
      <c r="N1177" s="62"/>
      <c r="O1177" s="63" t="str">
        <f>IFERROR(IF(VLOOKUP(K$13&amp;$B1175,Aux!$B:$M,8,0)="Да","✔","🕓"),"")</f>
        <v/>
      </c>
      <c r="S1177" s="59"/>
      <c r="T1177" s="15" t="str">
        <f>IF(T1175="","","Исполнитель"&amp;": ")</f>
        <v/>
      </c>
      <c r="U1177" s="62" t="str">
        <f>IFERROR(VLOOKUP(S$13&amp;$B1177,Aux!$B:$M,4,0),"")</f>
        <v/>
      </c>
      <c r="V1177" s="62"/>
      <c r="W1177" s="63" t="str">
        <f>IFERROR(IF(VLOOKUP(S$13&amp;$B1175,Aux!$B:$M,8,0)="Да","✔","🕓"),"")</f>
        <v/>
      </c>
      <c r="AA1177" s="59"/>
      <c r="AB1177" s="15" t="str">
        <f>IF(AB1175="","","Исполнитель"&amp;": ")</f>
        <v/>
      </c>
      <c r="AC1177" s="62" t="str">
        <f>IFERROR(VLOOKUP(AA$13&amp;$B1177,Aux!$B:$M,4,0),"")</f>
        <v/>
      </c>
      <c r="AD1177" s="62"/>
      <c r="AE1177" s="63" t="str">
        <f>IFERROR(IF(VLOOKUP(AA$13&amp;$B1175,Aux!$B:$M,8,0)="Да","✔","🕓"),"")</f>
        <v/>
      </c>
    </row>
    <row r="1178" spans="2:31" x14ac:dyDescent="0.25">
      <c r="B1178" s="53">
        <f t="shared" si="18"/>
        <v>233</v>
      </c>
      <c r="C1178" s="59"/>
      <c r="D1178" s="16" t="str">
        <f>IF(D1175="","","Срок сдачи"&amp;": ")</f>
        <v/>
      </c>
      <c r="E1178" s="64" t="str">
        <f>IFERROR(VLOOKUP(C$13&amp;$B1178,Aux!$B:$M,6,0),"")</f>
        <v/>
      </c>
      <c r="F1178" s="64"/>
      <c r="G1178" s="63"/>
      <c r="K1178" s="59"/>
      <c r="L1178" s="16" t="str">
        <f>IF(L1175="","","Срок сдачи"&amp;": ")</f>
        <v/>
      </c>
      <c r="M1178" s="64" t="str">
        <f>IFERROR(VLOOKUP(K$13&amp;$B1178,Aux!$B:$M,6,0),"")</f>
        <v/>
      </c>
      <c r="N1178" s="64"/>
      <c r="O1178" s="63"/>
      <c r="S1178" s="59"/>
      <c r="T1178" s="16" t="str">
        <f>IF(T1175="","","Срок сдачи"&amp;": ")</f>
        <v/>
      </c>
      <c r="U1178" s="64" t="str">
        <f>IFERROR(VLOOKUP(S$13&amp;$B1178,Aux!$B:$M,6,0),"")</f>
        <v/>
      </c>
      <c r="V1178" s="64"/>
      <c r="W1178" s="63"/>
      <c r="AA1178" s="59"/>
      <c r="AB1178" s="16" t="str">
        <f>IF(AB1175="","","Срок сдачи"&amp;": ")</f>
        <v/>
      </c>
      <c r="AC1178" s="64" t="str">
        <f>IFERROR(VLOOKUP(AA$13&amp;$B1178,Aux!$B:$M,6,0),"")</f>
        <v/>
      </c>
      <c r="AD1178" s="64"/>
      <c r="AE1178" s="63"/>
    </row>
    <row r="1179" spans="2:31" x14ac:dyDescent="0.25">
      <c r="B1179" s="53">
        <f t="shared" si="18"/>
        <v>233</v>
      </c>
      <c r="C1179" s="7"/>
      <c r="D1179" s="17"/>
      <c r="E1179" s="7"/>
      <c r="F1179" s="18"/>
      <c r="G1179" s="18"/>
      <c r="K1179" s="13"/>
      <c r="L1179" s="17"/>
      <c r="M1179" s="13"/>
      <c r="N1179" s="14"/>
      <c r="O1179" s="14"/>
      <c r="S1179" s="13"/>
      <c r="T1179" s="17"/>
      <c r="U1179" s="13"/>
      <c r="V1179" s="14"/>
      <c r="W1179" s="14"/>
      <c r="AA1179" s="13"/>
      <c r="AB1179" s="17"/>
      <c r="AC1179" s="13"/>
      <c r="AD1179" s="14"/>
      <c r="AE1179" s="30"/>
    </row>
    <row r="1180" spans="2:31" x14ac:dyDescent="0.25">
      <c r="B1180" s="53">
        <f t="shared" si="18"/>
        <v>234</v>
      </c>
      <c r="C1180" s="59" t="str">
        <f>IFERROR(VLOOKUP(C$13&amp;$B1184,Aux!$B:$M,5,0),"")</f>
        <v/>
      </c>
      <c r="D1180" s="60" t="str">
        <f>IFERROR(VLOOKUP(C$13&amp;$B1180,Aux!$B:$M,3,0),"")</f>
        <v/>
      </c>
      <c r="E1180" s="60"/>
      <c r="F1180" s="60"/>
      <c r="G1180" s="61" t="str">
        <f>IFERROR(VLOOKUP(C$13&amp;$B1180,Aux!$B:$M,9,0),"")</f>
        <v/>
      </c>
      <c r="K1180" s="59" t="str">
        <f>IFERROR(VLOOKUP(K$13&amp;$B1184,Aux!$B:$M,5,0),"")</f>
        <v/>
      </c>
      <c r="L1180" s="60" t="str">
        <f>IFERROR(VLOOKUP(K$13&amp;$B1180,Aux!$B:$M,3,0),"")</f>
        <v/>
      </c>
      <c r="M1180" s="60"/>
      <c r="N1180" s="60"/>
      <c r="O1180" s="61" t="str">
        <f>IFERROR(VLOOKUP(K$13&amp;$B1180,Aux!$B:$M,9,0),"")</f>
        <v/>
      </c>
      <c r="S1180" s="59" t="str">
        <f>IFERROR(VLOOKUP(S$13&amp;$B1184,Aux!$B:$M,5,0),"")</f>
        <v/>
      </c>
      <c r="T1180" s="60" t="str">
        <f>IFERROR(VLOOKUP(S$13&amp;$B1180,Aux!$B:$M,3,0),"")</f>
        <v/>
      </c>
      <c r="U1180" s="60"/>
      <c r="V1180" s="60"/>
      <c r="W1180" s="61" t="str">
        <f>IFERROR(VLOOKUP(S$13&amp;$B1180,Aux!$B:$M,9,0),"")</f>
        <v/>
      </c>
      <c r="AA1180" s="59" t="str">
        <f>IFERROR(VLOOKUP(AA$13&amp;$B1184,Aux!$B:$M,5,0),"")</f>
        <v/>
      </c>
      <c r="AB1180" s="60" t="str">
        <f>IFERROR(VLOOKUP(AA$13&amp;$B1180,Aux!$B:$M,3,0),"")</f>
        <v/>
      </c>
      <c r="AC1180" s="60"/>
      <c r="AD1180" s="60"/>
      <c r="AE1180" s="61" t="str">
        <f>IFERROR(VLOOKUP(AA$13&amp;$B1180,Aux!$B:$M,9,0),"")</f>
        <v/>
      </c>
    </row>
    <row r="1181" spans="2:31" x14ac:dyDescent="0.25">
      <c r="B1181" s="53">
        <f t="shared" si="18"/>
        <v>234</v>
      </c>
      <c r="C1181" s="59"/>
      <c r="D1181" s="60"/>
      <c r="E1181" s="60"/>
      <c r="F1181" s="60"/>
      <c r="G1181" s="61"/>
      <c r="K1181" s="59"/>
      <c r="L1181" s="60"/>
      <c r="M1181" s="60"/>
      <c r="N1181" s="60"/>
      <c r="O1181" s="61"/>
      <c r="S1181" s="59"/>
      <c r="T1181" s="60"/>
      <c r="U1181" s="60"/>
      <c r="V1181" s="60"/>
      <c r="W1181" s="61"/>
      <c r="AA1181" s="59"/>
      <c r="AB1181" s="60"/>
      <c r="AC1181" s="60"/>
      <c r="AD1181" s="60"/>
      <c r="AE1181" s="61"/>
    </row>
    <row r="1182" spans="2:31" x14ac:dyDescent="0.25">
      <c r="B1182" s="53">
        <f t="shared" si="18"/>
        <v>234</v>
      </c>
      <c r="C1182" s="59"/>
      <c r="D1182" s="15" t="str">
        <f>IF(D1180="","","Исполнитель"&amp;": ")</f>
        <v/>
      </c>
      <c r="E1182" s="62" t="str">
        <f>IFERROR(VLOOKUP(C$13&amp;$B1182,Aux!$B:$M,4,0),"")</f>
        <v/>
      </c>
      <c r="F1182" s="62"/>
      <c r="G1182" s="63" t="str">
        <f>IFERROR(IF(VLOOKUP(C$13&amp;$B1180,Aux!$B:$M,8,0)="Да","✔","🕓"),"")</f>
        <v/>
      </c>
      <c r="K1182" s="59"/>
      <c r="L1182" s="15" t="str">
        <f>IF(L1180="","","Исполнитель"&amp;": ")</f>
        <v/>
      </c>
      <c r="M1182" s="62" t="str">
        <f>IFERROR(VLOOKUP(K$13&amp;$B1182,Aux!$B:$M,4,0),"")</f>
        <v/>
      </c>
      <c r="N1182" s="62"/>
      <c r="O1182" s="63" t="str">
        <f>IFERROR(IF(VLOOKUP(K$13&amp;$B1180,Aux!$B:$M,8,0)="Да","✔","🕓"),"")</f>
        <v/>
      </c>
      <c r="S1182" s="59"/>
      <c r="T1182" s="15" t="str">
        <f>IF(T1180="","","Исполнитель"&amp;": ")</f>
        <v/>
      </c>
      <c r="U1182" s="62" t="str">
        <f>IFERROR(VLOOKUP(S$13&amp;$B1182,Aux!$B:$M,4,0),"")</f>
        <v/>
      </c>
      <c r="V1182" s="62"/>
      <c r="W1182" s="63" t="str">
        <f>IFERROR(IF(VLOOKUP(S$13&amp;$B1180,Aux!$B:$M,8,0)="Да","✔","🕓"),"")</f>
        <v/>
      </c>
      <c r="AA1182" s="59"/>
      <c r="AB1182" s="15" t="str">
        <f>IF(AB1180="","","Исполнитель"&amp;": ")</f>
        <v/>
      </c>
      <c r="AC1182" s="62" t="str">
        <f>IFERROR(VLOOKUP(AA$13&amp;$B1182,Aux!$B:$M,4,0),"")</f>
        <v/>
      </c>
      <c r="AD1182" s="62"/>
      <c r="AE1182" s="63" t="str">
        <f>IFERROR(IF(VLOOKUP(AA$13&amp;$B1180,Aux!$B:$M,8,0)="Да","✔","🕓"),"")</f>
        <v/>
      </c>
    </row>
    <row r="1183" spans="2:31" x14ac:dyDescent="0.25">
      <c r="B1183" s="53">
        <f t="shared" si="18"/>
        <v>234</v>
      </c>
      <c r="C1183" s="59"/>
      <c r="D1183" s="16" t="str">
        <f>IF(D1180="","","Срок сдачи"&amp;": ")</f>
        <v/>
      </c>
      <c r="E1183" s="64" t="str">
        <f>IFERROR(VLOOKUP(C$13&amp;$B1183,Aux!$B:$M,6,0),"")</f>
        <v/>
      </c>
      <c r="F1183" s="64"/>
      <c r="G1183" s="63"/>
      <c r="K1183" s="59"/>
      <c r="L1183" s="16" t="str">
        <f>IF(L1180="","","Срок сдачи"&amp;": ")</f>
        <v/>
      </c>
      <c r="M1183" s="64" t="str">
        <f>IFERROR(VLOOKUP(K$13&amp;$B1183,Aux!$B:$M,6,0),"")</f>
        <v/>
      </c>
      <c r="N1183" s="64"/>
      <c r="O1183" s="63"/>
      <c r="S1183" s="59"/>
      <c r="T1183" s="16" t="str">
        <f>IF(T1180="","","Срок сдачи"&amp;": ")</f>
        <v/>
      </c>
      <c r="U1183" s="64" t="str">
        <f>IFERROR(VLOOKUP(S$13&amp;$B1183,Aux!$B:$M,6,0),"")</f>
        <v/>
      </c>
      <c r="V1183" s="64"/>
      <c r="W1183" s="63"/>
      <c r="AA1183" s="59"/>
      <c r="AB1183" s="16" t="str">
        <f>IF(AB1180="","","Срок сдачи"&amp;": ")</f>
        <v/>
      </c>
      <c r="AC1183" s="64" t="str">
        <f>IFERROR(VLOOKUP(AA$13&amp;$B1183,Aux!$B:$M,6,0),"")</f>
        <v/>
      </c>
      <c r="AD1183" s="64"/>
      <c r="AE1183" s="63"/>
    </row>
    <row r="1184" spans="2:31" x14ac:dyDescent="0.25">
      <c r="B1184" s="53">
        <f t="shared" si="18"/>
        <v>234</v>
      </c>
      <c r="C1184" s="7"/>
      <c r="D1184" s="17"/>
      <c r="E1184" s="7"/>
      <c r="F1184" s="18"/>
      <c r="G1184" s="18"/>
      <c r="K1184" s="13"/>
      <c r="L1184" s="17"/>
      <c r="M1184" s="13"/>
      <c r="N1184" s="14"/>
      <c r="O1184" s="14"/>
      <c r="S1184" s="13"/>
      <c r="T1184" s="17"/>
      <c r="U1184" s="13"/>
      <c r="V1184" s="14"/>
      <c r="W1184" s="14"/>
      <c r="AA1184" s="13"/>
      <c r="AB1184" s="17"/>
      <c r="AC1184" s="13"/>
      <c r="AD1184" s="14"/>
      <c r="AE1184" s="30"/>
    </row>
    <row r="1185" spans="2:31" x14ac:dyDescent="0.25">
      <c r="B1185" s="53">
        <f t="shared" si="18"/>
        <v>235</v>
      </c>
      <c r="C1185" s="59" t="str">
        <f>IFERROR(VLOOKUP(C$13&amp;$B1189,Aux!$B:$M,5,0),"")</f>
        <v/>
      </c>
      <c r="D1185" s="60" t="str">
        <f>IFERROR(VLOOKUP(C$13&amp;$B1185,Aux!$B:$M,3,0),"")</f>
        <v/>
      </c>
      <c r="E1185" s="60"/>
      <c r="F1185" s="60"/>
      <c r="G1185" s="61" t="str">
        <f>IFERROR(VLOOKUP(C$13&amp;$B1185,Aux!$B:$M,9,0),"")</f>
        <v/>
      </c>
      <c r="K1185" s="59" t="str">
        <f>IFERROR(VLOOKUP(K$13&amp;$B1189,Aux!$B:$M,5,0),"")</f>
        <v/>
      </c>
      <c r="L1185" s="60" t="str">
        <f>IFERROR(VLOOKUP(K$13&amp;$B1185,Aux!$B:$M,3,0),"")</f>
        <v/>
      </c>
      <c r="M1185" s="60"/>
      <c r="N1185" s="60"/>
      <c r="O1185" s="61" t="str">
        <f>IFERROR(VLOOKUP(K$13&amp;$B1185,Aux!$B:$M,9,0),"")</f>
        <v/>
      </c>
      <c r="S1185" s="59" t="str">
        <f>IFERROR(VLOOKUP(S$13&amp;$B1189,Aux!$B:$M,5,0),"")</f>
        <v/>
      </c>
      <c r="T1185" s="60" t="str">
        <f>IFERROR(VLOOKUP(S$13&amp;$B1185,Aux!$B:$M,3,0),"")</f>
        <v/>
      </c>
      <c r="U1185" s="60"/>
      <c r="V1185" s="60"/>
      <c r="W1185" s="61" t="str">
        <f>IFERROR(VLOOKUP(S$13&amp;$B1185,Aux!$B:$M,9,0),"")</f>
        <v/>
      </c>
      <c r="AA1185" s="59" t="str">
        <f>IFERROR(VLOOKUP(AA$13&amp;$B1189,Aux!$B:$M,5,0),"")</f>
        <v/>
      </c>
      <c r="AB1185" s="60" t="str">
        <f>IFERROR(VLOOKUP(AA$13&amp;$B1185,Aux!$B:$M,3,0),"")</f>
        <v/>
      </c>
      <c r="AC1185" s="60"/>
      <c r="AD1185" s="60"/>
      <c r="AE1185" s="61" t="str">
        <f>IFERROR(VLOOKUP(AA$13&amp;$B1185,Aux!$B:$M,9,0),"")</f>
        <v/>
      </c>
    </row>
    <row r="1186" spans="2:31" x14ac:dyDescent="0.25">
      <c r="B1186" s="53">
        <f t="shared" si="18"/>
        <v>235</v>
      </c>
      <c r="C1186" s="59"/>
      <c r="D1186" s="60"/>
      <c r="E1186" s="60"/>
      <c r="F1186" s="60"/>
      <c r="G1186" s="61"/>
      <c r="K1186" s="59"/>
      <c r="L1186" s="60"/>
      <c r="M1186" s="60"/>
      <c r="N1186" s="60"/>
      <c r="O1186" s="61"/>
      <c r="S1186" s="59"/>
      <c r="T1186" s="60"/>
      <c r="U1186" s="60"/>
      <c r="V1186" s="60"/>
      <c r="W1186" s="61"/>
      <c r="AA1186" s="59"/>
      <c r="AB1186" s="60"/>
      <c r="AC1186" s="60"/>
      <c r="AD1186" s="60"/>
      <c r="AE1186" s="61"/>
    </row>
    <row r="1187" spans="2:31" x14ac:dyDescent="0.25">
      <c r="B1187" s="53">
        <f t="shared" si="18"/>
        <v>235</v>
      </c>
      <c r="C1187" s="59"/>
      <c r="D1187" s="15" t="str">
        <f>IF(D1185="","","Исполнитель"&amp;": ")</f>
        <v/>
      </c>
      <c r="E1187" s="62" t="str">
        <f>IFERROR(VLOOKUP(C$13&amp;$B1187,Aux!$B:$M,4,0),"")</f>
        <v/>
      </c>
      <c r="F1187" s="62"/>
      <c r="G1187" s="63" t="str">
        <f>IFERROR(IF(VLOOKUP(C$13&amp;$B1185,Aux!$B:$M,8,0)="Да","✔","🕓"),"")</f>
        <v/>
      </c>
      <c r="K1187" s="59"/>
      <c r="L1187" s="15" t="str">
        <f>IF(L1185="","","Исполнитель"&amp;": ")</f>
        <v/>
      </c>
      <c r="M1187" s="62" t="str">
        <f>IFERROR(VLOOKUP(K$13&amp;$B1187,Aux!$B:$M,4,0),"")</f>
        <v/>
      </c>
      <c r="N1187" s="62"/>
      <c r="O1187" s="63" t="str">
        <f>IFERROR(IF(VLOOKUP(K$13&amp;$B1185,Aux!$B:$M,8,0)="Да","✔","🕓"),"")</f>
        <v/>
      </c>
      <c r="S1187" s="59"/>
      <c r="T1187" s="15" t="str">
        <f>IF(T1185="","","Исполнитель"&amp;": ")</f>
        <v/>
      </c>
      <c r="U1187" s="62" t="str">
        <f>IFERROR(VLOOKUP(S$13&amp;$B1187,Aux!$B:$M,4,0),"")</f>
        <v/>
      </c>
      <c r="V1187" s="62"/>
      <c r="W1187" s="63" t="str">
        <f>IFERROR(IF(VLOOKUP(S$13&amp;$B1185,Aux!$B:$M,8,0)="Да","✔","🕓"),"")</f>
        <v/>
      </c>
      <c r="AA1187" s="59"/>
      <c r="AB1187" s="15" t="str">
        <f>IF(AB1185="","","Исполнитель"&amp;": ")</f>
        <v/>
      </c>
      <c r="AC1187" s="62" t="str">
        <f>IFERROR(VLOOKUP(AA$13&amp;$B1187,Aux!$B:$M,4,0),"")</f>
        <v/>
      </c>
      <c r="AD1187" s="62"/>
      <c r="AE1187" s="63" t="str">
        <f>IFERROR(IF(VLOOKUP(AA$13&amp;$B1185,Aux!$B:$M,8,0)="Да","✔","🕓"),"")</f>
        <v/>
      </c>
    </row>
    <row r="1188" spans="2:31" x14ac:dyDescent="0.25">
      <c r="B1188" s="53">
        <f t="shared" si="18"/>
        <v>235</v>
      </c>
      <c r="C1188" s="59"/>
      <c r="D1188" s="16" t="str">
        <f>IF(D1185="","","Срок сдачи"&amp;": ")</f>
        <v/>
      </c>
      <c r="E1188" s="64" t="str">
        <f>IFERROR(VLOOKUP(C$13&amp;$B1188,Aux!$B:$M,6,0),"")</f>
        <v/>
      </c>
      <c r="F1188" s="64"/>
      <c r="G1188" s="63"/>
      <c r="K1188" s="59"/>
      <c r="L1188" s="16" t="str">
        <f>IF(L1185="","","Срок сдачи"&amp;": ")</f>
        <v/>
      </c>
      <c r="M1188" s="64" t="str">
        <f>IFERROR(VLOOKUP(K$13&amp;$B1188,Aux!$B:$M,6,0),"")</f>
        <v/>
      </c>
      <c r="N1188" s="64"/>
      <c r="O1188" s="63"/>
      <c r="S1188" s="59"/>
      <c r="T1188" s="16" t="str">
        <f>IF(T1185="","","Срок сдачи"&amp;": ")</f>
        <v/>
      </c>
      <c r="U1188" s="64" t="str">
        <f>IFERROR(VLOOKUP(S$13&amp;$B1188,Aux!$B:$M,6,0),"")</f>
        <v/>
      </c>
      <c r="V1188" s="64"/>
      <c r="W1188" s="63"/>
      <c r="AA1188" s="59"/>
      <c r="AB1188" s="16" t="str">
        <f>IF(AB1185="","","Срок сдачи"&amp;": ")</f>
        <v/>
      </c>
      <c r="AC1188" s="64" t="str">
        <f>IFERROR(VLOOKUP(AA$13&amp;$B1188,Aux!$B:$M,6,0),"")</f>
        <v/>
      </c>
      <c r="AD1188" s="64"/>
      <c r="AE1188" s="63"/>
    </row>
    <row r="1189" spans="2:31" x14ac:dyDescent="0.25">
      <c r="B1189" s="53">
        <f t="shared" si="18"/>
        <v>235</v>
      </c>
      <c r="C1189" s="7"/>
      <c r="D1189" s="17"/>
      <c r="E1189" s="7"/>
      <c r="F1189" s="18"/>
      <c r="G1189" s="18"/>
      <c r="K1189" s="13"/>
      <c r="L1189" s="17"/>
      <c r="M1189" s="13"/>
      <c r="N1189" s="14"/>
      <c r="O1189" s="14"/>
      <c r="S1189" s="13"/>
      <c r="T1189" s="17"/>
      <c r="U1189" s="13"/>
      <c r="V1189" s="14"/>
      <c r="W1189" s="14"/>
      <c r="AA1189" s="13"/>
      <c r="AB1189" s="17"/>
      <c r="AC1189" s="13"/>
      <c r="AD1189" s="14"/>
      <c r="AE1189" s="30"/>
    </row>
    <row r="1190" spans="2:31" x14ac:dyDescent="0.25">
      <c r="B1190" s="53">
        <f t="shared" si="18"/>
        <v>236</v>
      </c>
      <c r="C1190" s="59" t="str">
        <f>IFERROR(VLOOKUP(C$13&amp;$B1194,Aux!$B:$M,5,0),"")</f>
        <v/>
      </c>
      <c r="D1190" s="60" t="str">
        <f>IFERROR(VLOOKUP(C$13&amp;$B1190,Aux!$B:$M,3,0),"")</f>
        <v/>
      </c>
      <c r="E1190" s="60"/>
      <c r="F1190" s="60"/>
      <c r="G1190" s="61" t="str">
        <f>IFERROR(VLOOKUP(C$13&amp;$B1190,Aux!$B:$M,9,0),"")</f>
        <v/>
      </c>
      <c r="K1190" s="59" t="str">
        <f>IFERROR(VLOOKUP(K$13&amp;$B1194,Aux!$B:$M,5,0),"")</f>
        <v/>
      </c>
      <c r="L1190" s="60" t="str">
        <f>IFERROR(VLOOKUP(K$13&amp;$B1190,Aux!$B:$M,3,0),"")</f>
        <v/>
      </c>
      <c r="M1190" s="60"/>
      <c r="N1190" s="60"/>
      <c r="O1190" s="61" t="str">
        <f>IFERROR(VLOOKUP(K$13&amp;$B1190,Aux!$B:$M,9,0),"")</f>
        <v/>
      </c>
      <c r="S1190" s="59" t="str">
        <f>IFERROR(VLOOKUP(S$13&amp;$B1194,Aux!$B:$M,5,0),"")</f>
        <v/>
      </c>
      <c r="T1190" s="60" t="str">
        <f>IFERROR(VLOOKUP(S$13&amp;$B1190,Aux!$B:$M,3,0),"")</f>
        <v/>
      </c>
      <c r="U1190" s="60"/>
      <c r="V1190" s="60"/>
      <c r="W1190" s="61" t="str">
        <f>IFERROR(VLOOKUP(S$13&amp;$B1190,Aux!$B:$M,9,0),"")</f>
        <v/>
      </c>
      <c r="AA1190" s="59" t="str">
        <f>IFERROR(VLOOKUP(AA$13&amp;$B1194,Aux!$B:$M,5,0),"")</f>
        <v/>
      </c>
      <c r="AB1190" s="60" t="str">
        <f>IFERROR(VLOOKUP(AA$13&amp;$B1190,Aux!$B:$M,3,0),"")</f>
        <v/>
      </c>
      <c r="AC1190" s="60"/>
      <c r="AD1190" s="60"/>
      <c r="AE1190" s="61" t="str">
        <f>IFERROR(VLOOKUP(AA$13&amp;$B1190,Aux!$B:$M,9,0),"")</f>
        <v/>
      </c>
    </row>
    <row r="1191" spans="2:31" x14ac:dyDescent="0.25">
      <c r="B1191" s="53">
        <f t="shared" si="18"/>
        <v>236</v>
      </c>
      <c r="C1191" s="59"/>
      <c r="D1191" s="60"/>
      <c r="E1191" s="60"/>
      <c r="F1191" s="60"/>
      <c r="G1191" s="61"/>
      <c r="K1191" s="59"/>
      <c r="L1191" s="60"/>
      <c r="M1191" s="60"/>
      <c r="N1191" s="60"/>
      <c r="O1191" s="61"/>
      <c r="S1191" s="59"/>
      <c r="T1191" s="60"/>
      <c r="U1191" s="60"/>
      <c r="V1191" s="60"/>
      <c r="W1191" s="61"/>
      <c r="AA1191" s="59"/>
      <c r="AB1191" s="60"/>
      <c r="AC1191" s="60"/>
      <c r="AD1191" s="60"/>
      <c r="AE1191" s="61"/>
    </row>
    <row r="1192" spans="2:31" x14ac:dyDescent="0.25">
      <c r="B1192" s="53">
        <f t="shared" si="18"/>
        <v>236</v>
      </c>
      <c r="C1192" s="59"/>
      <c r="D1192" s="15" t="str">
        <f>IF(D1190="","","Исполнитель"&amp;": ")</f>
        <v/>
      </c>
      <c r="E1192" s="62" t="str">
        <f>IFERROR(VLOOKUP(C$13&amp;$B1192,Aux!$B:$M,4,0),"")</f>
        <v/>
      </c>
      <c r="F1192" s="62"/>
      <c r="G1192" s="63" t="str">
        <f>IFERROR(IF(VLOOKUP(C$13&amp;$B1190,Aux!$B:$M,8,0)="Да","✔","🕓"),"")</f>
        <v/>
      </c>
      <c r="K1192" s="59"/>
      <c r="L1192" s="15" t="str">
        <f>IF(L1190="","","Исполнитель"&amp;": ")</f>
        <v/>
      </c>
      <c r="M1192" s="62" t="str">
        <f>IFERROR(VLOOKUP(K$13&amp;$B1192,Aux!$B:$M,4,0),"")</f>
        <v/>
      </c>
      <c r="N1192" s="62"/>
      <c r="O1192" s="63" t="str">
        <f>IFERROR(IF(VLOOKUP(K$13&amp;$B1190,Aux!$B:$M,8,0)="Да","✔","🕓"),"")</f>
        <v/>
      </c>
      <c r="S1192" s="59"/>
      <c r="T1192" s="15" t="str">
        <f>IF(T1190="","","Исполнитель"&amp;": ")</f>
        <v/>
      </c>
      <c r="U1192" s="62" t="str">
        <f>IFERROR(VLOOKUP(S$13&amp;$B1192,Aux!$B:$M,4,0),"")</f>
        <v/>
      </c>
      <c r="V1192" s="62"/>
      <c r="W1192" s="63" t="str">
        <f>IFERROR(IF(VLOOKUP(S$13&amp;$B1190,Aux!$B:$M,8,0)="Да","✔","🕓"),"")</f>
        <v/>
      </c>
      <c r="AA1192" s="59"/>
      <c r="AB1192" s="15" t="str">
        <f>IF(AB1190="","","Исполнитель"&amp;": ")</f>
        <v/>
      </c>
      <c r="AC1192" s="62" t="str">
        <f>IFERROR(VLOOKUP(AA$13&amp;$B1192,Aux!$B:$M,4,0),"")</f>
        <v/>
      </c>
      <c r="AD1192" s="62"/>
      <c r="AE1192" s="63" t="str">
        <f>IFERROR(IF(VLOOKUP(AA$13&amp;$B1190,Aux!$B:$M,8,0)="Да","✔","🕓"),"")</f>
        <v/>
      </c>
    </row>
    <row r="1193" spans="2:31" x14ac:dyDescent="0.25">
      <c r="B1193" s="53">
        <f t="shared" si="18"/>
        <v>236</v>
      </c>
      <c r="C1193" s="59"/>
      <c r="D1193" s="16" t="str">
        <f>IF(D1190="","","Срок сдачи"&amp;": ")</f>
        <v/>
      </c>
      <c r="E1193" s="64" t="str">
        <f>IFERROR(VLOOKUP(C$13&amp;$B1193,Aux!$B:$M,6,0),"")</f>
        <v/>
      </c>
      <c r="F1193" s="64"/>
      <c r="G1193" s="63"/>
      <c r="K1193" s="59"/>
      <c r="L1193" s="16" t="str">
        <f>IF(L1190="","","Срок сдачи"&amp;": ")</f>
        <v/>
      </c>
      <c r="M1193" s="64" t="str">
        <f>IFERROR(VLOOKUP(K$13&amp;$B1193,Aux!$B:$M,6,0),"")</f>
        <v/>
      </c>
      <c r="N1193" s="64"/>
      <c r="O1193" s="63"/>
      <c r="S1193" s="59"/>
      <c r="T1193" s="16" t="str">
        <f>IF(T1190="","","Срок сдачи"&amp;": ")</f>
        <v/>
      </c>
      <c r="U1193" s="64" t="str">
        <f>IFERROR(VLOOKUP(S$13&amp;$B1193,Aux!$B:$M,6,0),"")</f>
        <v/>
      </c>
      <c r="V1193" s="64"/>
      <c r="W1193" s="63"/>
      <c r="AA1193" s="59"/>
      <c r="AB1193" s="16" t="str">
        <f>IF(AB1190="","","Срок сдачи"&amp;": ")</f>
        <v/>
      </c>
      <c r="AC1193" s="64" t="str">
        <f>IFERROR(VLOOKUP(AA$13&amp;$B1193,Aux!$B:$M,6,0),"")</f>
        <v/>
      </c>
      <c r="AD1193" s="64"/>
      <c r="AE1193" s="63"/>
    </row>
    <row r="1194" spans="2:31" x14ac:dyDescent="0.25">
      <c r="B1194" s="53">
        <f t="shared" si="18"/>
        <v>236</v>
      </c>
      <c r="C1194" s="7"/>
      <c r="D1194" s="17"/>
      <c r="E1194" s="7"/>
      <c r="F1194" s="18"/>
      <c r="G1194" s="18"/>
      <c r="K1194" s="13"/>
      <c r="L1194" s="17"/>
      <c r="M1194" s="13"/>
      <c r="N1194" s="14"/>
      <c r="O1194" s="14"/>
      <c r="S1194" s="13"/>
      <c r="T1194" s="17"/>
      <c r="U1194" s="13"/>
      <c r="V1194" s="14"/>
      <c r="W1194" s="14"/>
      <c r="AA1194" s="13"/>
      <c r="AB1194" s="17"/>
      <c r="AC1194" s="13"/>
      <c r="AD1194" s="14"/>
      <c r="AE1194" s="30"/>
    </row>
    <row r="1195" spans="2:31" x14ac:dyDescent="0.25">
      <c r="B1195" s="53">
        <f t="shared" si="18"/>
        <v>237</v>
      </c>
      <c r="C1195" s="59" t="str">
        <f>IFERROR(VLOOKUP(C$13&amp;$B1199,Aux!$B:$M,5,0),"")</f>
        <v/>
      </c>
      <c r="D1195" s="60" t="str">
        <f>IFERROR(VLOOKUP(C$13&amp;$B1195,Aux!$B:$M,3,0),"")</f>
        <v/>
      </c>
      <c r="E1195" s="60"/>
      <c r="F1195" s="60"/>
      <c r="G1195" s="61" t="str">
        <f>IFERROR(VLOOKUP(C$13&amp;$B1195,Aux!$B:$M,9,0),"")</f>
        <v/>
      </c>
      <c r="K1195" s="59" t="str">
        <f>IFERROR(VLOOKUP(K$13&amp;$B1199,Aux!$B:$M,5,0),"")</f>
        <v/>
      </c>
      <c r="L1195" s="60" t="str">
        <f>IFERROR(VLOOKUP(K$13&amp;$B1195,Aux!$B:$M,3,0),"")</f>
        <v/>
      </c>
      <c r="M1195" s="60"/>
      <c r="N1195" s="60"/>
      <c r="O1195" s="61" t="str">
        <f>IFERROR(VLOOKUP(K$13&amp;$B1195,Aux!$B:$M,9,0),"")</f>
        <v/>
      </c>
      <c r="S1195" s="59" t="str">
        <f>IFERROR(VLOOKUP(S$13&amp;$B1199,Aux!$B:$M,5,0),"")</f>
        <v/>
      </c>
      <c r="T1195" s="60" t="str">
        <f>IFERROR(VLOOKUP(S$13&amp;$B1195,Aux!$B:$M,3,0),"")</f>
        <v/>
      </c>
      <c r="U1195" s="60"/>
      <c r="V1195" s="60"/>
      <c r="W1195" s="61" t="str">
        <f>IFERROR(VLOOKUP(S$13&amp;$B1195,Aux!$B:$M,9,0),"")</f>
        <v/>
      </c>
      <c r="AA1195" s="59" t="str">
        <f>IFERROR(VLOOKUP(AA$13&amp;$B1199,Aux!$B:$M,5,0),"")</f>
        <v/>
      </c>
      <c r="AB1195" s="60" t="str">
        <f>IFERROR(VLOOKUP(AA$13&amp;$B1195,Aux!$B:$M,3,0),"")</f>
        <v/>
      </c>
      <c r="AC1195" s="60"/>
      <c r="AD1195" s="60"/>
      <c r="AE1195" s="61" t="str">
        <f>IFERROR(VLOOKUP(AA$13&amp;$B1195,Aux!$B:$M,9,0),"")</f>
        <v/>
      </c>
    </row>
    <row r="1196" spans="2:31" x14ac:dyDescent="0.25">
      <c r="B1196" s="53">
        <f t="shared" si="18"/>
        <v>237</v>
      </c>
      <c r="C1196" s="59"/>
      <c r="D1196" s="60"/>
      <c r="E1196" s="60"/>
      <c r="F1196" s="60"/>
      <c r="G1196" s="61"/>
      <c r="K1196" s="59"/>
      <c r="L1196" s="60"/>
      <c r="M1196" s="60"/>
      <c r="N1196" s="60"/>
      <c r="O1196" s="61"/>
      <c r="S1196" s="59"/>
      <c r="T1196" s="60"/>
      <c r="U1196" s="60"/>
      <c r="V1196" s="60"/>
      <c r="W1196" s="61"/>
      <c r="AA1196" s="59"/>
      <c r="AB1196" s="60"/>
      <c r="AC1196" s="60"/>
      <c r="AD1196" s="60"/>
      <c r="AE1196" s="61"/>
    </row>
    <row r="1197" spans="2:31" x14ac:dyDescent="0.25">
      <c r="B1197" s="53">
        <f t="shared" si="18"/>
        <v>237</v>
      </c>
      <c r="C1197" s="59"/>
      <c r="D1197" s="15" t="str">
        <f>IF(D1195="","","Исполнитель"&amp;": ")</f>
        <v/>
      </c>
      <c r="E1197" s="62" t="str">
        <f>IFERROR(VLOOKUP(C$13&amp;$B1197,Aux!$B:$M,4,0),"")</f>
        <v/>
      </c>
      <c r="F1197" s="62"/>
      <c r="G1197" s="63" t="str">
        <f>IFERROR(IF(VLOOKUP(C$13&amp;$B1195,Aux!$B:$M,8,0)="Да","✔","🕓"),"")</f>
        <v/>
      </c>
      <c r="K1197" s="59"/>
      <c r="L1197" s="15" t="str">
        <f>IF(L1195="","","Исполнитель"&amp;": ")</f>
        <v/>
      </c>
      <c r="M1197" s="62" t="str">
        <f>IFERROR(VLOOKUP(K$13&amp;$B1197,Aux!$B:$M,4,0),"")</f>
        <v/>
      </c>
      <c r="N1197" s="62"/>
      <c r="O1197" s="63" t="str">
        <f>IFERROR(IF(VLOOKUP(K$13&amp;$B1195,Aux!$B:$M,8,0)="Да","✔","🕓"),"")</f>
        <v/>
      </c>
      <c r="S1197" s="59"/>
      <c r="T1197" s="15" t="str">
        <f>IF(T1195="","","Исполнитель"&amp;": ")</f>
        <v/>
      </c>
      <c r="U1197" s="62" t="str">
        <f>IFERROR(VLOOKUP(S$13&amp;$B1197,Aux!$B:$M,4,0),"")</f>
        <v/>
      </c>
      <c r="V1197" s="62"/>
      <c r="W1197" s="63" t="str">
        <f>IFERROR(IF(VLOOKUP(S$13&amp;$B1195,Aux!$B:$M,8,0)="Да","✔","🕓"),"")</f>
        <v/>
      </c>
      <c r="AA1197" s="59"/>
      <c r="AB1197" s="15" t="str">
        <f>IF(AB1195="","","Исполнитель"&amp;": ")</f>
        <v/>
      </c>
      <c r="AC1197" s="62" t="str">
        <f>IFERROR(VLOOKUP(AA$13&amp;$B1197,Aux!$B:$M,4,0),"")</f>
        <v/>
      </c>
      <c r="AD1197" s="62"/>
      <c r="AE1197" s="63" t="str">
        <f>IFERROR(IF(VLOOKUP(AA$13&amp;$B1195,Aux!$B:$M,8,0)="Да","✔","🕓"),"")</f>
        <v/>
      </c>
    </row>
    <row r="1198" spans="2:31" x14ac:dyDescent="0.25">
      <c r="B1198" s="53">
        <f t="shared" si="18"/>
        <v>237</v>
      </c>
      <c r="C1198" s="59"/>
      <c r="D1198" s="16" t="str">
        <f>IF(D1195="","","Срок сдачи"&amp;": ")</f>
        <v/>
      </c>
      <c r="E1198" s="64" t="str">
        <f>IFERROR(VLOOKUP(C$13&amp;$B1198,Aux!$B:$M,6,0),"")</f>
        <v/>
      </c>
      <c r="F1198" s="64"/>
      <c r="G1198" s="63"/>
      <c r="K1198" s="59"/>
      <c r="L1198" s="16" t="str">
        <f>IF(L1195="","","Срок сдачи"&amp;": ")</f>
        <v/>
      </c>
      <c r="M1198" s="64" t="str">
        <f>IFERROR(VLOOKUP(K$13&amp;$B1198,Aux!$B:$M,6,0),"")</f>
        <v/>
      </c>
      <c r="N1198" s="64"/>
      <c r="O1198" s="63"/>
      <c r="S1198" s="59"/>
      <c r="T1198" s="16" t="str">
        <f>IF(T1195="","","Срок сдачи"&amp;": ")</f>
        <v/>
      </c>
      <c r="U1198" s="64" t="str">
        <f>IFERROR(VLOOKUP(S$13&amp;$B1198,Aux!$B:$M,6,0),"")</f>
        <v/>
      </c>
      <c r="V1198" s="64"/>
      <c r="W1198" s="63"/>
      <c r="AA1198" s="59"/>
      <c r="AB1198" s="16" t="str">
        <f>IF(AB1195="","","Срок сдачи"&amp;": ")</f>
        <v/>
      </c>
      <c r="AC1198" s="64" t="str">
        <f>IFERROR(VLOOKUP(AA$13&amp;$B1198,Aux!$B:$M,6,0),"")</f>
        <v/>
      </c>
      <c r="AD1198" s="64"/>
      <c r="AE1198" s="63"/>
    </row>
    <row r="1199" spans="2:31" x14ac:dyDescent="0.25">
      <c r="B1199" s="53">
        <f t="shared" si="18"/>
        <v>237</v>
      </c>
      <c r="C1199" s="7"/>
      <c r="D1199" s="17"/>
      <c r="E1199" s="7"/>
      <c r="F1199" s="18"/>
      <c r="G1199" s="18"/>
      <c r="K1199" s="13"/>
      <c r="L1199" s="17"/>
      <c r="M1199" s="13"/>
      <c r="N1199" s="14"/>
      <c r="O1199" s="14"/>
      <c r="S1199" s="13"/>
      <c r="T1199" s="17"/>
      <c r="U1199" s="13"/>
      <c r="V1199" s="14"/>
      <c r="W1199" s="14"/>
      <c r="AA1199" s="13"/>
      <c r="AB1199" s="17"/>
      <c r="AC1199" s="13"/>
      <c r="AD1199" s="14"/>
      <c r="AE1199" s="30"/>
    </row>
    <row r="1200" spans="2:31" x14ac:dyDescent="0.25">
      <c r="B1200" s="53">
        <f t="shared" si="18"/>
        <v>238</v>
      </c>
      <c r="C1200" s="59" t="str">
        <f>IFERROR(VLOOKUP(C$13&amp;$B1204,Aux!$B:$M,5,0),"")</f>
        <v/>
      </c>
      <c r="D1200" s="60" t="str">
        <f>IFERROR(VLOOKUP(C$13&amp;$B1200,Aux!$B:$M,3,0),"")</f>
        <v/>
      </c>
      <c r="E1200" s="60"/>
      <c r="F1200" s="60"/>
      <c r="G1200" s="61" t="str">
        <f>IFERROR(VLOOKUP(C$13&amp;$B1200,Aux!$B:$M,9,0),"")</f>
        <v/>
      </c>
      <c r="K1200" s="59" t="str">
        <f>IFERROR(VLOOKUP(K$13&amp;$B1204,Aux!$B:$M,5,0),"")</f>
        <v/>
      </c>
      <c r="L1200" s="60" t="str">
        <f>IFERROR(VLOOKUP(K$13&amp;$B1200,Aux!$B:$M,3,0),"")</f>
        <v/>
      </c>
      <c r="M1200" s="60"/>
      <c r="N1200" s="60"/>
      <c r="O1200" s="61" t="str">
        <f>IFERROR(VLOOKUP(K$13&amp;$B1200,Aux!$B:$M,9,0),"")</f>
        <v/>
      </c>
      <c r="S1200" s="59" t="str">
        <f>IFERROR(VLOOKUP(S$13&amp;$B1204,Aux!$B:$M,5,0),"")</f>
        <v/>
      </c>
      <c r="T1200" s="60" t="str">
        <f>IFERROR(VLOOKUP(S$13&amp;$B1200,Aux!$B:$M,3,0),"")</f>
        <v/>
      </c>
      <c r="U1200" s="60"/>
      <c r="V1200" s="60"/>
      <c r="W1200" s="61" t="str">
        <f>IFERROR(VLOOKUP(S$13&amp;$B1200,Aux!$B:$M,9,0),"")</f>
        <v/>
      </c>
      <c r="AA1200" s="59" t="str">
        <f>IFERROR(VLOOKUP(AA$13&amp;$B1204,Aux!$B:$M,5,0),"")</f>
        <v/>
      </c>
      <c r="AB1200" s="60" t="str">
        <f>IFERROR(VLOOKUP(AA$13&amp;$B1200,Aux!$B:$M,3,0),"")</f>
        <v/>
      </c>
      <c r="AC1200" s="60"/>
      <c r="AD1200" s="60"/>
      <c r="AE1200" s="61" t="str">
        <f>IFERROR(VLOOKUP(AA$13&amp;$B1200,Aux!$B:$M,9,0),"")</f>
        <v/>
      </c>
    </row>
    <row r="1201" spans="2:31" x14ac:dyDescent="0.25">
      <c r="B1201" s="53">
        <f t="shared" si="18"/>
        <v>238</v>
      </c>
      <c r="C1201" s="59"/>
      <c r="D1201" s="60"/>
      <c r="E1201" s="60"/>
      <c r="F1201" s="60"/>
      <c r="G1201" s="61"/>
      <c r="K1201" s="59"/>
      <c r="L1201" s="60"/>
      <c r="M1201" s="60"/>
      <c r="N1201" s="60"/>
      <c r="O1201" s="61"/>
      <c r="S1201" s="59"/>
      <c r="T1201" s="60"/>
      <c r="U1201" s="60"/>
      <c r="V1201" s="60"/>
      <c r="W1201" s="61"/>
      <c r="AA1201" s="59"/>
      <c r="AB1201" s="60"/>
      <c r="AC1201" s="60"/>
      <c r="AD1201" s="60"/>
      <c r="AE1201" s="61"/>
    </row>
    <row r="1202" spans="2:31" x14ac:dyDescent="0.25">
      <c r="B1202" s="53">
        <f t="shared" si="18"/>
        <v>238</v>
      </c>
      <c r="C1202" s="59"/>
      <c r="D1202" s="15" t="str">
        <f>IF(D1200="","","Исполнитель"&amp;": ")</f>
        <v/>
      </c>
      <c r="E1202" s="62" t="str">
        <f>IFERROR(VLOOKUP(C$13&amp;$B1202,Aux!$B:$M,4,0),"")</f>
        <v/>
      </c>
      <c r="F1202" s="62"/>
      <c r="G1202" s="63" t="str">
        <f>IFERROR(IF(VLOOKUP(C$13&amp;$B1200,Aux!$B:$M,8,0)="Да","✔","🕓"),"")</f>
        <v/>
      </c>
      <c r="K1202" s="59"/>
      <c r="L1202" s="15" t="str">
        <f>IF(L1200="","","Исполнитель"&amp;": ")</f>
        <v/>
      </c>
      <c r="M1202" s="62" t="str">
        <f>IFERROR(VLOOKUP(K$13&amp;$B1202,Aux!$B:$M,4,0),"")</f>
        <v/>
      </c>
      <c r="N1202" s="62"/>
      <c r="O1202" s="63" t="str">
        <f>IFERROR(IF(VLOOKUP(K$13&amp;$B1200,Aux!$B:$M,8,0)="Да","✔","🕓"),"")</f>
        <v/>
      </c>
      <c r="S1202" s="59"/>
      <c r="T1202" s="15" t="str">
        <f>IF(T1200="","","Исполнитель"&amp;": ")</f>
        <v/>
      </c>
      <c r="U1202" s="62" t="str">
        <f>IFERROR(VLOOKUP(S$13&amp;$B1202,Aux!$B:$M,4,0),"")</f>
        <v/>
      </c>
      <c r="V1202" s="62"/>
      <c r="W1202" s="63" t="str">
        <f>IFERROR(IF(VLOOKUP(S$13&amp;$B1200,Aux!$B:$M,8,0)="Да","✔","🕓"),"")</f>
        <v/>
      </c>
      <c r="AA1202" s="59"/>
      <c r="AB1202" s="15" t="str">
        <f>IF(AB1200="","","Исполнитель"&amp;": ")</f>
        <v/>
      </c>
      <c r="AC1202" s="62" t="str">
        <f>IFERROR(VLOOKUP(AA$13&amp;$B1202,Aux!$B:$M,4,0),"")</f>
        <v/>
      </c>
      <c r="AD1202" s="62"/>
      <c r="AE1202" s="63" t="str">
        <f>IFERROR(IF(VLOOKUP(AA$13&amp;$B1200,Aux!$B:$M,8,0)="Да","✔","🕓"),"")</f>
        <v/>
      </c>
    </row>
    <row r="1203" spans="2:31" x14ac:dyDescent="0.25">
      <c r="B1203" s="53">
        <f t="shared" si="18"/>
        <v>238</v>
      </c>
      <c r="C1203" s="59"/>
      <c r="D1203" s="16" t="str">
        <f>IF(D1200="","","Срок сдачи"&amp;": ")</f>
        <v/>
      </c>
      <c r="E1203" s="64" t="str">
        <f>IFERROR(VLOOKUP(C$13&amp;$B1203,Aux!$B:$M,6,0),"")</f>
        <v/>
      </c>
      <c r="F1203" s="64"/>
      <c r="G1203" s="63"/>
      <c r="K1203" s="59"/>
      <c r="L1203" s="16" t="str">
        <f>IF(L1200="","","Срок сдачи"&amp;": ")</f>
        <v/>
      </c>
      <c r="M1203" s="64" t="str">
        <f>IFERROR(VLOOKUP(K$13&amp;$B1203,Aux!$B:$M,6,0),"")</f>
        <v/>
      </c>
      <c r="N1203" s="64"/>
      <c r="O1203" s="63"/>
      <c r="S1203" s="59"/>
      <c r="T1203" s="16" t="str">
        <f>IF(T1200="","","Срок сдачи"&amp;": ")</f>
        <v/>
      </c>
      <c r="U1203" s="64" t="str">
        <f>IFERROR(VLOOKUP(S$13&amp;$B1203,Aux!$B:$M,6,0),"")</f>
        <v/>
      </c>
      <c r="V1203" s="64"/>
      <c r="W1203" s="63"/>
      <c r="AA1203" s="59"/>
      <c r="AB1203" s="16" t="str">
        <f>IF(AB1200="","","Срок сдачи"&amp;": ")</f>
        <v/>
      </c>
      <c r="AC1203" s="64" t="str">
        <f>IFERROR(VLOOKUP(AA$13&amp;$B1203,Aux!$B:$M,6,0),"")</f>
        <v/>
      </c>
      <c r="AD1203" s="64"/>
      <c r="AE1203" s="63"/>
    </row>
    <row r="1204" spans="2:31" x14ac:dyDescent="0.25">
      <c r="B1204" s="53">
        <f t="shared" si="18"/>
        <v>238</v>
      </c>
      <c r="C1204" s="7"/>
      <c r="D1204" s="17"/>
      <c r="E1204" s="7"/>
      <c r="F1204" s="18"/>
      <c r="G1204" s="18"/>
      <c r="K1204" s="13"/>
      <c r="L1204" s="17"/>
      <c r="M1204" s="13"/>
      <c r="N1204" s="14"/>
      <c r="O1204" s="14"/>
      <c r="S1204" s="13"/>
      <c r="T1204" s="17"/>
      <c r="U1204" s="13"/>
      <c r="V1204" s="14"/>
      <c r="W1204" s="14"/>
      <c r="AA1204" s="13"/>
      <c r="AB1204" s="17"/>
      <c r="AC1204" s="13"/>
      <c r="AD1204" s="14"/>
      <c r="AE1204" s="30"/>
    </row>
    <row r="1205" spans="2:31" x14ac:dyDescent="0.25">
      <c r="B1205" s="53">
        <f t="shared" si="18"/>
        <v>239</v>
      </c>
      <c r="C1205" s="59" t="str">
        <f>IFERROR(VLOOKUP(C$13&amp;$B1209,Aux!$B:$M,5,0),"")</f>
        <v/>
      </c>
      <c r="D1205" s="60" t="str">
        <f>IFERROR(VLOOKUP(C$13&amp;$B1205,Aux!$B:$M,3,0),"")</f>
        <v/>
      </c>
      <c r="E1205" s="60"/>
      <c r="F1205" s="60"/>
      <c r="G1205" s="61" t="str">
        <f>IFERROR(VLOOKUP(C$13&amp;$B1205,Aux!$B:$M,9,0),"")</f>
        <v/>
      </c>
      <c r="K1205" s="59" t="str">
        <f>IFERROR(VLOOKUP(K$13&amp;$B1209,Aux!$B:$M,5,0),"")</f>
        <v/>
      </c>
      <c r="L1205" s="60" t="str">
        <f>IFERROR(VLOOKUP(K$13&amp;$B1205,Aux!$B:$M,3,0),"")</f>
        <v/>
      </c>
      <c r="M1205" s="60"/>
      <c r="N1205" s="60"/>
      <c r="O1205" s="61" t="str">
        <f>IFERROR(VLOOKUP(K$13&amp;$B1205,Aux!$B:$M,9,0),"")</f>
        <v/>
      </c>
      <c r="S1205" s="59" t="str">
        <f>IFERROR(VLOOKUP(S$13&amp;$B1209,Aux!$B:$M,5,0),"")</f>
        <v/>
      </c>
      <c r="T1205" s="60" t="str">
        <f>IFERROR(VLOOKUP(S$13&amp;$B1205,Aux!$B:$M,3,0),"")</f>
        <v/>
      </c>
      <c r="U1205" s="60"/>
      <c r="V1205" s="60"/>
      <c r="W1205" s="61" t="str">
        <f>IFERROR(VLOOKUP(S$13&amp;$B1205,Aux!$B:$M,9,0),"")</f>
        <v/>
      </c>
      <c r="AA1205" s="59" t="str">
        <f>IFERROR(VLOOKUP(AA$13&amp;$B1209,Aux!$B:$M,5,0),"")</f>
        <v/>
      </c>
      <c r="AB1205" s="60" t="str">
        <f>IFERROR(VLOOKUP(AA$13&amp;$B1205,Aux!$B:$M,3,0),"")</f>
        <v/>
      </c>
      <c r="AC1205" s="60"/>
      <c r="AD1205" s="60"/>
      <c r="AE1205" s="61" t="str">
        <f>IFERROR(VLOOKUP(AA$13&amp;$B1205,Aux!$B:$M,9,0),"")</f>
        <v/>
      </c>
    </row>
    <row r="1206" spans="2:31" x14ac:dyDescent="0.25">
      <c r="B1206" s="53">
        <f t="shared" si="18"/>
        <v>239</v>
      </c>
      <c r="C1206" s="59"/>
      <c r="D1206" s="60"/>
      <c r="E1206" s="60"/>
      <c r="F1206" s="60"/>
      <c r="G1206" s="61"/>
      <c r="K1206" s="59"/>
      <c r="L1206" s="60"/>
      <c r="M1206" s="60"/>
      <c r="N1206" s="60"/>
      <c r="O1206" s="61"/>
      <c r="S1206" s="59"/>
      <c r="T1206" s="60"/>
      <c r="U1206" s="60"/>
      <c r="V1206" s="60"/>
      <c r="W1206" s="61"/>
      <c r="AA1206" s="59"/>
      <c r="AB1206" s="60"/>
      <c r="AC1206" s="60"/>
      <c r="AD1206" s="60"/>
      <c r="AE1206" s="61"/>
    </row>
    <row r="1207" spans="2:31" x14ac:dyDescent="0.25">
      <c r="B1207" s="53">
        <f t="shared" si="18"/>
        <v>239</v>
      </c>
      <c r="C1207" s="59"/>
      <c r="D1207" s="15" t="str">
        <f>IF(D1205="","","Исполнитель"&amp;": ")</f>
        <v/>
      </c>
      <c r="E1207" s="62" t="str">
        <f>IFERROR(VLOOKUP(C$13&amp;$B1207,Aux!$B:$M,4,0),"")</f>
        <v/>
      </c>
      <c r="F1207" s="62"/>
      <c r="G1207" s="63" t="str">
        <f>IFERROR(IF(VLOOKUP(C$13&amp;$B1205,Aux!$B:$M,8,0)="Да","✔","🕓"),"")</f>
        <v/>
      </c>
      <c r="K1207" s="59"/>
      <c r="L1207" s="15" t="str">
        <f>IF(L1205="","","Исполнитель"&amp;": ")</f>
        <v/>
      </c>
      <c r="M1207" s="62" t="str">
        <f>IFERROR(VLOOKUP(K$13&amp;$B1207,Aux!$B:$M,4,0),"")</f>
        <v/>
      </c>
      <c r="N1207" s="62"/>
      <c r="O1207" s="63" t="str">
        <f>IFERROR(IF(VLOOKUP(K$13&amp;$B1205,Aux!$B:$M,8,0)="Да","✔","🕓"),"")</f>
        <v/>
      </c>
      <c r="S1207" s="59"/>
      <c r="T1207" s="15" t="str">
        <f>IF(T1205="","","Исполнитель"&amp;": ")</f>
        <v/>
      </c>
      <c r="U1207" s="62" t="str">
        <f>IFERROR(VLOOKUP(S$13&amp;$B1207,Aux!$B:$M,4,0),"")</f>
        <v/>
      </c>
      <c r="V1207" s="62"/>
      <c r="W1207" s="63" t="str">
        <f>IFERROR(IF(VLOOKUP(S$13&amp;$B1205,Aux!$B:$M,8,0)="Да","✔","🕓"),"")</f>
        <v/>
      </c>
      <c r="AA1207" s="59"/>
      <c r="AB1207" s="15" t="str">
        <f>IF(AB1205="","","Исполнитель"&amp;": ")</f>
        <v/>
      </c>
      <c r="AC1207" s="62" t="str">
        <f>IFERROR(VLOOKUP(AA$13&amp;$B1207,Aux!$B:$M,4,0),"")</f>
        <v/>
      </c>
      <c r="AD1207" s="62"/>
      <c r="AE1207" s="63" t="str">
        <f>IFERROR(IF(VLOOKUP(AA$13&amp;$B1205,Aux!$B:$M,8,0)="Да","✔","🕓"),"")</f>
        <v/>
      </c>
    </row>
    <row r="1208" spans="2:31" x14ac:dyDescent="0.25">
      <c r="B1208" s="53">
        <f t="shared" si="18"/>
        <v>239</v>
      </c>
      <c r="C1208" s="59"/>
      <c r="D1208" s="16" t="str">
        <f>IF(D1205="","","Срок сдачи"&amp;": ")</f>
        <v/>
      </c>
      <c r="E1208" s="64" t="str">
        <f>IFERROR(VLOOKUP(C$13&amp;$B1208,Aux!$B:$M,6,0),"")</f>
        <v/>
      </c>
      <c r="F1208" s="64"/>
      <c r="G1208" s="63"/>
      <c r="K1208" s="59"/>
      <c r="L1208" s="16" t="str">
        <f>IF(L1205="","","Срок сдачи"&amp;": ")</f>
        <v/>
      </c>
      <c r="M1208" s="64" t="str">
        <f>IFERROR(VLOOKUP(K$13&amp;$B1208,Aux!$B:$M,6,0),"")</f>
        <v/>
      </c>
      <c r="N1208" s="64"/>
      <c r="O1208" s="63"/>
      <c r="S1208" s="59"/>
      <c r="T1208" s="16" t="str">
        <f>IF(T1205="","","Срок сдачи"&amp;": ")</f>
        <v/>
      </c>
      <c r="U1208" s="64" t="str">
        <f>IFERROR(VLOOKUP(S$13&amp;$B1208,Aux!$B:$M,6,0),"")</f>
        <v/>
      </c>
      <c r="V1208" s="64"/>
      <c r="W1208" s="63"/>
      <c r="AA1208" s="59"/>
      <c r="AB1208" s="16" t="str">
        <f>IF(AB1205="","","Срок сдачи"&amp;": ")</f>
        <v/>
      </c>
      <c r="AC1208" s="64" t="str">
        <f>IFERROR(VLOOKUP(AA$13&amp;$B1208,Aux!$B:$M,6,0),"")</f>
        <v/>
      </c>
      <c r="AD1208" s="64"/>
      <c r="AE1208" s="63"/>
    </row>
    <row r="1209" spans="2:31" x14ac:dyDescent="0.25">
      <c r="B1209" s="53">
        <f t="shared" si="18"/>
        <v>239</v>
      </c>
      <c r="C1209" s="7"/>
      <c r="D1209" s="17"/>
      <c r="E1209" s="7"/>
      <c r="F1209" s="18"/>
      <c r="G1209" s="18"/>
      <c r="K1209" s="13"/>
      <c r="L1209" s="17"/>
      <c r="M1209" s="13"/>
      <c r="N1209" s="14"/>
      <c r="O1209" s="14"/>
      <c r="S1209" s="13"/>
      <c r="T1209" s="17"/>
      <c r="U1209" s="13"/>
      <c r="V1209" s="14"/>
      <c r="W1209" s="14"/>
      <c r="AA1209" s="13"/>
      <c r="AB1209" s="17"/>
      <c r="AC1209" s="13"/>
      <c r="AD1209" s="14"/>
      <c r="AE1209" s="30"/>
    </row>
    <row r="1210" spans="2:31" x14ac:dyDescent="0.25">
      <c r="B1210" s="53">
        <f t="shared" si="18"/>
        <v>240</v>
      </c>
      <c r="C1210" s="59" t="str">
        <f>IFERROR(VLOOKUP(C$13&amp;$B1214,Aux!$B:$M,5,0),"")</f>
        <v/>
      </c>
      <c r="D1210" s="60" t="str">
        <f>IFERROR(VLOOKUP(C$13&amp;$B1210,Aux!$B:$M,3,0),"")</f>
        <v/>
      </c>
      <c r="E1210" s="60"/>
      <c r="F1210" s="60"/>
      <c r="G1210" s="61" t="str">
        <f>IFERROR(VLOOKUP(C$13&amp;$B1210,Aux!$B:$M,9,0),"")</f>
        <v/>
      </c>
      <c r="K1210" s="59" t="str">
        <f>IFERROR(VLOOKUP(K$13&amp;$B1214,Aux!$B:$M,5,0),"")</f>
        <v/>
      </c>
      <c r="L1210" s="60" t="str">
        <f>IFERROR(VLOOKUP(K$13&amp;$B1210,Aux!$B:$M,3,0),"")</f>
        <v/>
      </c>
      <c r="M1210" s="60"/>
      <c r="N1210" s="60"/>
      <c r="O1210" s="61" t="str">
        <f>IFERROR(VLOOKUP(K$13&amp;$B1210,Aux!$B:$M,9,0),"")</f>
        <v/>
      </c>
      <c r="S1210" s="59" t="str">
        <f>IFERROR(VLOOKUP(S$13&amp;$B1214,Aux!$B:$M,5,0),"")</f>
        <v/>
      </c>
      <c r="T1210" s="60" t="str">
        <f>IFERROR(VLOOKUP(S$13&amp;$B1210,Aux!$B:$M,3,0),"")</f>
        <v/>
      </c>
      <c r="U1210" s="60"/>
      <c r="V1210" s="60"/>
      <c r="W1210" s="61" t="str">
        <f>IFERROR(VLOOKUP(S$13&amp;$B1210,Aux!$B:$M,9,0),"")</f>
        <v/>
      </c>
      <c r="AA1210" s="59" t="str">
        <f>IFERROR(VLOOKUP(AA$13&amp;$B1214,Aux!$B:$M,5,0),"")</f>
        <v/>
      </c>
      <c r="AB1210" s="60" t="str">
        <f>IFERROR(VLOOKUP(AA$13&amp;$B1210,Aux!$B:$M,3,0),"")</f>
        <v/>
      </c>
      <c r="AC1210" s="60"/>
      <c r="AD1210" s="60"/>
      <c r="AE1210" s="61" t="str">
        <f>IFERROR(VLOOKUP(AA$13&amp;$B1210,Aux!$B:$M,9,0),"")</f>
        <v/>
      </c>
    </row>
    <row r="1211" spans="2:31" x14ac:dyDescent="0.25">
      <c r="B1211" s="53">
        <f t="shared" si="18"/>
        <v>240</v>
      </c>
      <c r="C1211" s="59"/>
      <c r="D1211" s="60"/>
      <c r="E1211" s="60"/>
      <c r="F1211" s="60"/>
      <c r="G1211" s="61"/>
      <c r="K1211" s="59"/>
      <c r="L1211" s="60"/>
      <c r="M1211" s="60"/>
      <c r="N1211" s="60"/>
      <c r="O1211" s="61"/>
      <c r="S1211" s="59"/>
      <c r="T1211" s="60"/>
      <c r="U1211" s="60"/>
      <c r="V1211" s="60"/>
      <c r="W1211" s="61"/>
      <c r="AA1211" s="59"/>
      <c r="AB1211" s="60"/>
      <c r="AC1211" s="60"/>
      <c r="AD1211" s="60"/>
      <c r="AE1211" s="61"/>
    </row>
    <row r="1212" spans="2:31" x14ac:dyDescent="0.25">
      <c r="B1212" s="53">
        <f t="shared" si="18"/>
        <v>240</v>
      </c>
      <c r="C1212" s="59"/>
      <c r="D1212" s="15" t="str">
        <f>IF(D1210="","","Исполнитель"&amp;": ")</f>
        <v/>
      </c>
      <c r="E1212" s="62" t="str">
        <f>IFERROR(VLOOKUP(C$13&amp;$B1212,Aux!$B:$M,4,0),"")</f>
        <v/>
      </c>
      <c r="F1212" s="62"/>
      <c r="G1212" s="63" t="str">
        <f>IFERROR(IF(VLOOKUP(C$13&amp;$B1210,Aux!$B:$M,8,0)="Да","✔","🕓"),"")</f>
        <v/>
      </c>
      <c r="K1212" s="59"/>
      <c r="L1212" s="15" t="str">
        <f>IF(L1210="","","Исполнитель"&amp;": ")</f>
        <v/>
      </c>
      <c r="M1212" s="62" t="str">
        <f>IFERROR(VLOOKUP(K$13&amp;$B1212,Aux!$B:$M,4,0),"")</f>
        <v/>
      </c>
      <c r="N1212" s="62"/>
      <c r="O1212" s="63" t="str">
        <f>IFERROR(IF(VLOOKUP(K$13&amp;$B1210,Aux!$B:$M,8,0)="Да","✔","🕓"),"")</f>
        <v/>
      </c>
      <c r="S1212" s="59"/>
      <c r="T1212" s="15" t="str">
        <f>IF(T1210="","","Исполнитель"&amp;": ")</f>
        <v/>
      </c>
      <c r="U1212" s="62" t="str">
        <f>IFERROR(VLOOKUP(S$13&amp;$B1212,Aux!$B:$M,4,0),"")</f>
        <v/>
      </c>
      <c r="V1212" s="62"/>
      <c r="W1212" s="63" t="str">
        <f>IFERROR(IF(VLOOKUP(S$13&amp;$B1210,Aux!$B:$M,8,0)="Да","✔","🕓"),"")</f>
        <v/>
      </c>
      <c r="AA1212" s="59"/>
      <c r="AB1212" s="15" t="str">
        <f>IF(AB1210="","","Исполнитель"&amp;": ")</f>
        <v/>
      </c>
      <c r="AC1212" s="62" t="str">
        <f>IFERROR(VLOOKUP(AA$13&amp;$B1212,Aux!$B:$M,4,0),"")</f>
        <v/>
      </c>
      <c r="AD1212" s="62"/>
      <c r="AE1212" s="63" t="str">
        <f>IFERROR(IF(VLOOKUP(AA$13&amp;$B1210,Aux!$B:$M,8,0)="Да","✔","🕓"),"")</f>
        <v/>
      </c>
    </row>
    <row r="1213" spans="2:31" x14ac:dyDescent="0.25">
      <c r="B1213" s="53">
        <f t="shared" si="18"/>
        <v>240</v>
      </c>
      <c r="C1213" s="59"/>
      <c r="D1213" s="16" t="str">
        <f>IF(D1210="","","Срок сдачи"&amp;": ")</f>
        <v/>
      </c>
      <c r="E1213" s="64" t="str">
        <f>IFERROR(VLOOKUP(C$13&amp;$B1213,Aux!$B:$M,6,0),"")</f>
        <v/>
      </c>
      <c r="F1213" s="64"/>
      <c r="G1213" s="63"/>
      <c r="K1213" s="59"/>
      <c r="L1213" s="16" t="str">
        <f>IF(L1210="","","Срок сдачи"&amp;": ")</f>
        <v/>
      </c>
      <c r="M1213" s="64" t="str">
        <f>IFERROR(VLOOKUP(K$13&amp;$B1213,Aux!$B:$M,6,0),"")</f>
        <v/>
      </c>
      <c r="N1213" s="64"/>
      <c r="O1213" s="63"/>
      <c r="S1213" s="59"/>
      <c r="T1213" s="16" t="str">
        <f>IF(T1210="","","Срок сдачи"&amp;": ")</f>
        <v/>
      </c>
      <c r="U1213" s="64" t="str">
        <f>IFERROR(VLOOKUP(S$13&amp;$B1213,Aux!$B:$M,6,0),"")</f>
        <v/>
      </c>
      <c r="V1213" s="64"/>
      <c r="W1213" s="63"/>
      <c r="AA1213" s="59"/>
      <c r="AB1213" s="16" t="str">
        <f>IF(AB1210="","","Срок сдачи"&amp;": ")</f>
        <v/>
      </c>
      <c r="AC1213" s="64" t="str">
        <f>IFERROR(VLOOKUP(AA$13&amp;$B1213,Aux!$B:$M,6,0),"")</f>
        <v/>
      </c>
      <c r="AD1213" s="64"/>
      <c r="AE1213" s="63"/>
    </row>
    <row r="1214" spans="2:31" x14ac:dyDescent="0.25">
      <c r="B1214" s="53">
        <f t="shared" si="18"/>
        <v>240</v>
      </c>
      <c r="C1214" s="7"/>
      <c r="D1214" s="17"/>
      <c r="E1214" s="7"/>
      <c r="F1214" s="18"/>
      <c r="G1214" s="18"/>
      <c r="K1214" s="13"/>
      <c r="L1214" s="17"/>
      <c r="M1214" s="13"/>
      <c r="N1214" s="14"/>
      <c r="O1214" s="14"/>
      <c r="S1214" s="13"/>
      <c r="T1214" s="17"/>
      <c r="U1214" s="13"/>
      <c r="V1214" s="14"/>
      <c r="W1214" s="14"/>
      <c r="AA1214" s="13"/>
      <c r="AB1214" s="17"/>
      <c r="AC1214" s="13"/>
      <c r="AD1214" s="14"/>
      <c r="AE1214" s="30"/>
    </row>
    <row r="1215" spans="2:31" x14ac:dyDescent="0.25">
      <c r="B1215" s="53">
        <f t="shared" si="18"/>
        <v>241</v>
      </c>
      <c r="C1215" s="59" t="str">
        <f>IFERROR(VLOOKUP(C$13&amp;$B1219,Aux!$B:$M,5,0),"")</f>
        <v/>
      </c>
      <c r="D1215" s="60" t="str">
        <f>IFERROR(VLOOKUP(C$13&amp;$B1215,Aux!$B:$M,3,0),"")</f>
        <v/>
      </c>
      <c r="E1215" s="60"/>
      <c r="F1215" s="60"/>
      <c r="G1215" s="61" t="str">
        <f>IFERROR(VLOOKUP(C$13&amp;$B1215,Aux!$B:$M,9,0),"")</f>
        <v/>
      </c>
      <c r="K1215" s="59" t="str">
        <f>IFERROR(VLOOKUP(K$13&amp;$B1219,Aux!$B:$M,5,0),"")</f>
        <v/>
      </c>
      <c r="L1215" s="60" t="str">
        <f>IFERROR(VLOOKUP(K$13&amp;$B1215,Aux!$B:$M,3,0),"")</f>
        <v/>
      </c>
      <c r="M1215" s="60"/>
      <c r="N1215" s="60"/>
      <c r="O1215" s="61" t="str">
        <f>IFERROR(VLOOKUP(K$13&amp;$B1215,Aux!$B:$M,9,0),"")</f>
        <v/>
      </c>
      <c r="S1215" s="59" t="str">
        <f>IFERROR(VLOOKUP(S$13&amp;$B1219,Aux!$B:$M,5,0),"")</f>
        <v/>
      </c>
      <c r="T1215" s="60" t="str">
        <f>IFERROR(VLOOKUP(S$13&amp;$B1215,Aux!$B:$M,3,0),"")</f>
        <v/>
      </c>
      <c r="U1215" s="60"/>
      <c r="V1215" s="60"/>
      <c r="W1215" s="61" t="str">
        <f>IFERROR(VLOOKUP(S$13&amp;$B1215,Aux!$B:$M,9,0),"")</f>
        <v/>
      </c>
      <c r="AA1215" s="59" t="str">
        <f>IFERROR(VLOOKUP(AA$13&amp;$B1219,Aux!$B:$M,5,0),"")</f>
        <v/>
      </c>
      <c r="AB1215" s="60" t="str">
        <f>IFERROR(VLOOKUP(AA$13&amp;$B1215,Aux!$B:$M,3,0),"")</f>
        <v/>
      </c>
      <c r="AC1215" s="60"/>
      <c r="AD1215" s="60"/>
      <c r="AE1215" s="61" t="str">
        <f>IFERROR(VLOOKUP(AA$13&amp;$B1215,Aux!$B:$M,9,0),"")</f>
        <v/>
      </c>
    </row>
    <row r="1216" spans="2:31" x14ac:dyDescent="0.25">
      <c r="B1216" s="53">
        <f t="shared" si="18"/>
        <v>241</v>
      </c>
      <c r="C1216" s="59"/>
      <c r="D1216" s="60"/>
      <c r="E1216" s="60"/>
      <c r="F1216" s="60"/>
      <c r="G1216" s="61"/>
      <c r="K1216" s="59"/>
      <c r="L1216" s="60"/>
      <c r="M1216" s="60"/>
      <c r="N1216" s="60"/>
      <c r="O1216" s="61"/>
      <c r="S1216" s="59"/>
      <c r="T1216" s="60"/>
      <c r="U1216" s="60"/>
      <c r="V1216" s="60"/>
      <c r="W1216" s="61"/>
      <c r="AA1216" s="59"/>
      <c r="AB1216" s="60"/>
      <c r="AC1216" s="60"/>
      <c r="AD1216" s="60"/>
      <c r="AE1216" s="61"/>
    </row>
    <row r="1217" spans="2:31" x14ac:dyDescent="0.25">
      <c r="B1217" s="53">
        <f t="shared" si="18"/>
        <v>241</v>
      </c>
      <c r="C1217" s="59"/>
      <c r="D1217" s="15" t="str">
        <f>IF(D1215="","","Исполнитель"&amp;": ")</f>
        <v/>
      </c>
      <c r="E1217" s="62" t="str">
        <f>IFERROR(VLOOKUP(C$13&amp;$B1217,Aux!$B:$M,4,0),"")</f>
        <v/>
      </c>
      <c r="F1217" s="62"/>
      <c r="G1217" s="63" t="str">
        <f>IFERROR(IF(VLOOKUP(C$13&amp;$B1215,Aux!$B:$M,8,0)="Да","✔","🕓"),"")</f>
        <v/>
      </c>
      <c r="K1217" s="59"/>
      <c r="L1217" s="15" t="str">
        <f>IF(L1215="","","Исполнитель"&amp;": ")</f>
        <v/>
      </c>
      <c r="M1217" s="62" t="str">
        <f>IFERROR(VLOOKUP(K$13&amp;$B1217,Aux!$B:$M,4,0),"")</f>
        <v/>
      </c>
      <c r="N1217" s="62"/>
      <c r="O1217" s="63" t="str">
        <f>IFERROR(IF(VLOOKUP(K$13&amp;$B1215,Aux!$B:$M,8,0)="Да","✔","🕓"),"")</f>
        <v/>
      </c>
      <c r="S1217" s="59"/>
      <c r="T1217" s="15" t="str">
        <f>IF(T1215="","","Исполнитель"&amp;": ")</f>
        <v/>
      </c>
      <c r="U1217" s="62" t="str">
        <f>IFERROR(VLOOKUP(S$13&amp;$B1217,Aux!$B:$M,4,0),"")</f>
        <v/>
      </c>
      <c r="V1217" s="62"/>
      <c r="W1217" s="63" t="str">
        <f>IFERROR(IF(VLOOKUP(S$13&amp;$B1215,Aux!$B:$M,8,0)="Да","✔","🕓"),"")</f>
        <v/>
      </c>
      <c r="AA1217" s="59"/>
      <c r="AB1217" s="15" t="str">
        <f>IF(AB1215="","","Исполнитель"&amp;": ")</f>
        <v/>
      </c>
      <c r="AC1217" s="62" t="str">
        <f>IFERROR(VLOOKUP(AA$13&amp;$B1217,Aux!$B:$M,4,0),"")</f>
        <v/>
      </c>
      <c r="AD1217" s="62"/>
      <c r="AE1217" s="63" t="str">
        <f>IFERROR(IF(VLOOKUP(AA$13&amp;$B1215,Aux!$B:$M,8,0)="Да","✔","🕓"),"")</f>
        <v/>
      </c>
    </row>
    <row r="1218" spans="2:31" x14ac:dyDescent="0.25">
      <c r="B1218" s="53">
        <f t="shared" si="18"/>
        <v>241</v>
      </c>
      <c r="C1218" s="59"/>
      <c r="D1218" s="16" t="str">
        <f>IF(D1215="","","Срок сдачи"&amp;": ")</f>
        <v/>
      </c>
      <c r="E1218" s="64" t="str">
        <f>IFERROR(VLOOKUP(C$13&amp;$B1218,Aux!$B:$M,6,0),"")</f>
        <v/>
      </c>
      <c r="F1218" s="64"/>
      <c r="G1218" s="63"/>
      <c r="K1218" s="59"/>
      <c r="L1218" s="16" t="str">
        <f>IF(L1215="","","Срок сдачи"&amp;": ")</f>
        <v/>
      </c>
      <c r="M1218" s="64" t="str">
        <f>IFERROR(VLOOKUP(K$13&amp;$B1218,Aux!$B:$M,6,0),"")</f>
        <v/>
      </c>
      <c r="N1218" s="64"/>
      <c r="O1218" s="63"/>
      <c r="S1218" s="59"/>
      <c r="T1218" s="16" t="str">
        <f>IF(T1215="","","Срок сдачи"&amp;": ")</f>
        <v/>
      </c>
      <c r="U1218" s="64" t="str">
        <f>IFERROR(VLOOKUP(S$13&amp;$B1218,Aux!$B:$M,6,0),"")</f>
        <v/>
      </c>
      <c r="V1218" s="64"/>
      <c r="W1218" s="63"/>
      <c r="AA1218" s="59"/>
      <c r="AB1218" s="16" t="str">
        <f>IF(AB1215="","","Срок сдачи"&amp;": ")</f>
        <v/>
      </c>
      <c r="AC1218" s="64" t="str">
        <f>IFERROR(VLOOKUP(AA$13&amp;$B1218,Aux!$B:$M,6,0),"")</f>
        <v/>
      </c>
      <c r="AD1218" s="64"/>
      <c r="AE1218" s="63"/>
    </row>
    <row r="1219" spans="2:31" x14ac:dyDescent="0.25">
      <c r="B1219" s="53">
        <f t="shared" si="18"/>
        <v>241</v>
      </c>
      <c r="C1219" s="7"/>
      <c r="D1219" s="17"/>
      <c r="E1219" s="7"/>
      <c r="F1219" s="18"/>
      <c r="G1219" s="18"/>
      <c r="K1219" s="13"/>
      <c r="L1219" s="17"/>
      <c r="M1219" s="13"/>
      <c r="N1219" s="14"/>
      <c r="O1219" s="14"/>
      <c r="S1219" s="13"/>
      <c r="T1219" s="17"/>
      <c r="U1219" s="13"/>
      <c r="V1219" s="14"/>
      <c r="W1219" s="14"/>
      <c r="AA1219" s="13"/>
      <c r="AB1219" s="17"/>
      <c r="AC1219" s="13"/>
      <c r="AD1219" s="14"/>
      <c r="AE1219" s="30"/>
    </row>
    <row r="1220" spans="2:31" x14ac:dyDescent="0.25">
      <c r="B1220" s="53">
        <f t="shared" si="18"/>
        <v>242</v>
      </c>
      <c r="C1220" s="59" t="str">
        <f>IFERROR(VLOOKUP(C$13&amp;$B1224,Aux!$B:$M,5,0),"")</f>
        <v/>
      </c>
      <c r="D1220" s="60" t="str">
        <f>IFERROR(VLOOKUP(C$13&amp;$B1220,Aux!$B:$M,3,0),"")</f>
        <v/>
      </c>
      <c r="E1220" s="60"/>
      <c r="F1220" s="60"/>
      <c r="G1220" s="61" t="str">
        <f>IFERROR(VLOOKUP(C$13&amp;$B1220,Aux!$B:$M,9,0),"")</f>
        <v/>
      </c>
      <c r="K1220" s="59" t="str">
        <f>IFERROR(VLOOKUP(K$13&amp;$B1224,Aux!$B:$M,5,0),"")</f>
        <v/>
      </c>
      <c r="L1220" s="60" t="str">
        <f>IFERROR(VLOOKUP(K$13&amp;$B1220,Aux!$B:$M,3,0),"")</f>
        <v/>
      </c>
      <c r="M1220" s="60"/>
      <c r="N1220" s="60"/>
      <c r="O1220" s="61" t="str">
        <f>IFERROR(VLOOKUP(K$13&amp;$B1220,Aux!$B:$M,9,0),"")</f>
        <v/>
      </c>
      <c r="S1220" s="59" t="str">
        <f>IFERROR(VLOOKUP(S$13&amp;$B1224,Aux!$B:$M,5,0),"")</f>
        <v/>
      </c>
      <c r="T1220" s="60" t="str">
        <f>IFERROR(VLOOKUP(S$13&amp;$B1220,Aux!$B:$M,3,0),"")</f>
        <v/>
      </c>
      <c r="U1220" s="60"/>
      <c r="V1220" s="60"/>
      <c r="W1220" s="61" t="str">
        <f>IFERROR(VLOOKUP(S$13&amp;$B1220,Aux!$B:$M,9,0),"")</f>
        <v/>
      </c>
      <c r="AA1220" s="59" t="str">
        <f>IFERROR(VLOOKUP(AA$13&amp;$B1224,Aux!$B:$M,5,0),"")</f>
        <v/>
      </c>
      <c r="AB1220" s="60" t="str">
        <f>IFERROR(VLOOKUP(AA$13&amp;$B1220,Aux!$B:$M,3,0),"")</f>
        <v/>
      </c>
      <c r="AC1220" s="60"/>
      <c r="AD1220" s="60"/>
      <c r="AE1220" s="61" t="str">
        <f>IFERROR(VLOOKUP(AA$13&amp;$B1220,Aux!$B:$M,9,0),"")</f>
        <v/>
      </c>
    </row>
    <row r="1221" spans="2:31" x14ac:dyDescent="0.25">
      <c r="B1221" s="53">
        <f t="shared" si="18"/>
        <v>242</v>
      </c>
      <c r="C1221" s="59"/>
      <c r="D1221" s="60"/>
      <c r="E1221" s="60"/>
      <c r="F1221" s="60"/>
      <c r="G1221" s="61"/>
      <c r="K1221" s="59"/>
      <c r="L1221" s="60"/>
      <c r="M1221" s="60"/>
      <c r="N1221" s="60"/>
      <c r="O1221" s="61"/>
      <c r="S1221" s="59"/>
      <c r="T1221" s="60"/>
      <c r="U1221" s="60"/>
      <c r="V1221" s="60"/>
      <c r="W1221" s="61"/>
      <c r="AA1221" s="59"/>
      <c r="AB1221" s="60"/>
      <c r="AC1221" s="60"/>
      <c r="AD1221" s="60"/>
      <c r="AE1221" s="61"/>
    </row>
    <row r="1222" spans="2:31" x14ac:dyDescent="0.25">
      <c r="B1222" s="53">
        <f t="shared" si="18"/>
        <v>242</v>
      </c>
      <c r="C1222" s="59"/>
      <c r="D1222" s="15" t="str">
        <f>IF(D1220="","","Исполнитель"&amp;": ")</f>
        <v/>
      </c>
      <c r="E1222" s="62" t="str">
        <f>IFERROR(VLOOKUP(C$13&amp;$B1222,Aux!$B:$M,4,0),"")</f>
        <v/>
      </c>
      <c r="F1222" s="62"/>
      <c r="G1222" s="63" t="str">
        <f>IFERROR(IF(VLOOKUP(C$13&amp;$B1220,Aux!$B:$M,8,0)="Да","✔","🕓"),"")</f>
        <v/>
      </c>
      <c r="K1222" s="59"/>
      <c r="L1222" s="15" t="str">
        <f>IF(L1220="","","Исполнитель"&amp;": ")</f>
        <v/>
      </c>
      <c r="M1222" s="62" t="str">
        <f>IFERROR(VLOOKUP(K$13&amp;$B1222,Aux!$B:$M,4,0),"")</f>
        <v/>
      </c>
      <c r="N1222" s="62"/>
      <c r="O1222" s="63" t="str">
        <f>IFERROR(IF(VLOOKUP(K$13&amp;$B1220,Aux!$B:$M,8,0)="Да","✔","🕓"),"")</f>
        <v/>
      </c>
      <c r="S1222" s="59"/>
      <c r="T1222" s="15" t="str">
        <f>IF(T1220="","","Исполнитель"&amp;": ")</f>
        <v/>
      </c>
      <c r="U1222" s="62" t="str">
        <f>IFERROR(VLOOKUP(S$13&amp;$B1222,Aux!$B:$M,4,0),"")</f>
        <v/>
      </c>
      <c r="V1222" s="62"/>
      <c r="W1222" s="63" t="str">
        <f>IFERROR(IF(VLOOKUP(S$13&amp;$B1220,Aux!$B:$M,8,0)="Да","✔","🕓"),"")</f>
        <v/>
      </c>
      <c r="AA1222" s="59"/>
      <c r="AB1222" s="15" t="str">
        <f>IF(AB1220="","","Исполнитель"&amp;": ")</f>
        <v/>
      </c>
      <c r="AC1222" s="62" t="str">
        <f>IFERROR(VLOOKUP(AA$13&amp;$B1222,Aux!$B:$M,4,0),"")</f>
        <v/>
      </c>
      <c r="AD1222" s="62"/>
      <c r="AE1222" s="63" t="str">
        <f>IFERROR(IF(VLOOKUP(AA$13&amp;$B1220,Aux!$B:$M,8,0)="Да","✔","🕓"),"")</f>
        <v/>
      </c>
    </row>
    <row r="1223" spans="2:31" x14ac:dyDescent="0.25">
      <c r="B1223" s="53">
        <f t="shared" si="18"/>
        <v>242</v>
      </c>
      <c r="C1223" s="59"/>
      <c r="D1223" s="16" t="str">
        <f>IF(D1220="","","Срок сдачи"&amp;": ")</f>
        <v/>
      </c>
      <c r="E1223" s="64" t="str">
        <f>IFERROR(VLOOKUP(C$13&amp;$B1223,Aux!$B:$M,6,0),"")</f>
        <v/>
      </c>
      <c r="F1223" s="64"/>
      <c r="G1223" s="63"/>
      <c r="K1223" s="59"/>
      <c r="L1223" s="16" t="str">
        <f>IF(L1220="","","Срок сдачи"&amp;": ")</f>
        <v/>
      </c>
      <c r="M1223" s="64" t="str">
        <f>IFERROR(VLOOKUP(K$13&amp;$B1223,Aux!$B:$M,6,0),"")</f>
        <v/>
      </c>
      <c r="N1223" s="64"/>
      <c r="O1223" s="63"/>
      <c r="S1223" s="59"/>
      <c r="T1223" s="16" t="str">
        <f>IF(T1220="","","Срок сдачи"&amp;": ")</f>
        <v/>
      </c>
      <c r="U1223" s="64" t="str">
        <f>IFERROR(VLOOKUP(S$13&amp;$B1223,Aux!$B:$M,6,0),"")</f>
        <v/>
      </c>
      <c r="V1223" s="64"/>
      <c r="W1223" s="63"/>
      <c r="AA1223" s="59"/>
      <c r="AB1223" s="16" t="str">
        <f>IF(AB1220="","","Срок сдачи"&amp;": ")</f>
        <v/>
      </c>
      <c r="AC1223" s="64" t="str">
        <f>IFERROR(VLOOKUP(AA$13&amp;$B1223,Aux!$B:$M,6,0),"")</f>
        <v/>
      </c>
      <c r="AD1223" s="64"/>
      <c r="AE1223" s="63"/>
    </row>
    <row r="1224" spans="2:31" x14ac:dyDescent="0.25">
      <c r="B1224" s="53">
        <f t="shared" si="18"/>
        <v>242</v>
      </c>
      <c r="C1224" s="7"/>
      <c r="D1224" s="17"/>
      <c r="E1224" s="7"/>
      <c r="F1224" s="18"/>
      <c r="G1224" s="18"/>
      <c r="K1224" s="13"/>
      <c r="L1224" s="17"/>
      <c r="M1224" s="13"/>
      <c r="N1224" s="14"/>
      <c r="O1224" s="14"/>
      <c r="S1224" s="13"/>
      <c r="T1224" s="17"/>
      <c r="U1224" s="13"/>
      <c r="V1224" s="14"/>
      <c r="W1224" s="14"/>
      <c r="AA1224" s="13"/>
      <c r="AB1224" s="17"/>
      <c r="AC1224" s="13"/>
      <c r="AD1224" s="14"/>
      <c r="AE1224" s="30"/>
    </row>
    <row r="1225" spans="2:31" x14ac:dyDescent="0.25">
      <c r="B1225" s="53">
        <f t="shared" si="18"/>
        <v>243</v>
      </c>
      <c r="C1225" s="59" t="str">
        <f>IFERROR(VLOOKUP(C$13&amp;$B1229,Aux!$B:$M,5,0),"")</f>
        <v/>
      </c>
      <c r="D1225" s="60" t="str">
        <f>IFERROR(VLOOKUP(C$13&amp;$B1225,Aux!$B:$M,3,0),"")</f>
        <v/>
      </c>
      <c r="E1225" s="60"/>
      <c r="F1225" s="60"/>
      <c r="G1225" s="61" t="str">
        <f>IFERROR(VLOOKUP(C$13&amp;$B1225,Aux!$B:$M,9,0),"")</f>
        <v/>
      </c>
      <c r="K1225" s="59" t="str">
        <f>IFERROR(VLOOKUP(K$13&amp;$B1229,Aux!$B:$M,5,0),"")</f>
        <v/>
      </c>
      <c r="L1225" s="60" t="str">
        <f>IFERROR(VLOOKUP(K$13&amp;$B1225,Aux!$B:$M,3,0),"")</f>
        <v/>
      </c>
      <c r="M1225" s="60"/>
      <c r="N1225" s="60"/>
      <c r="O1225" s="61" t="str">
        <f>IFERROR(VLOOKUP(K$13&amp;$B1225,Aux!$B:$M,9,0),"")</f>
        <v/>
      </c>
      <c r="S1225" s="59" t="str">
        <f>IFERROR(VLOOKUP(S$13&amp;$B1229,Aux!$B:$M,5,0),"")</f>
        <v/>
      </c>
      <c r="T1225" s="60" t="str">
        <f>IFERROR(VLOOKUP(S$13&amp;$B1225,Aux!$B:$M,3,0),"")</f>
        <v/>
      </c>
      <c r="U1225" s="60"/>
      <c r="V1225" s="60"/>
      <c r="W1225" s="61" t="str">
        <f>IFERROR(VLOOKUP(S$13&amp;$B1225,Aux!$B:$M,9,0),"")</f>
        <v/>
      </c>
      <c r="AA1225" s="59" t="str">
        <f>IFERROR(VLOOKUP(AA$13&amp;$B1229,Aux!$B:$M,5,0),"")</f>
        <v/>
      </c>
      <c r="AB1225" s="60" t="str">
        <f>IFERROR(VLOOKUP(AA$13&amp;$B1225,Aux!$B:$M,3,0),"")</f>
        <v/>
      </c>
      <c r="AC1225" s="60"/>
      <c r="AD1225" s="60"/>
      <c r="AE1225" s="61" t="str">
        <f>IFERROR(VLOOKUP(AA$13&amp;$B1225,Aux!$B:$M,9,0),"")</f>
        <v/>
      </c>
    </row>
    <row r="1226" spans="2:31" x14ac:dyDescent="0.25">
      <c r="B1226" s="53">
        <f t="shared" si="18"/>
        <v>243</v>
      </c>
      <c r="C1226" s="59"/>
      <c r="D1226" s="60"/>
      <c r="E1226" s="60"/>
      <c r="F1226" s="60"/>
      <c r="G1226" s="61"/>
      <c r="K1226" s="59"/>
      <c r="L1226" s="60"/>
      <c r="M1226" s="60"/>
      <c r="N1226" s="60"/>
      <c r="O1226" s="61"/>
      <c r="S1226" s="59"/>
      <c r="T1226" s="60"/>
      <c r="U1226" s="60"/>
      <c r="V1226" s="60"/>
      <c r="W1226" s="61"/>
      <c r="AA1226" s="59"/>
      <c r="AB1226" s="60"/>
      <c r="AC1226" s="60"/>
      <c r="AD1226" s="60"/>
      <c r="AE1226" s="61"/>
    </row>
    <row r="1227" spans="2:31" x14ac:dyDescent="0.25">
      <c r="B1227" s="53">
        <f t="shared" si="18"/>
        <v>243</v>
      </c>
      <c r="C1227" s="59"/>
      <c r="D1227" s="15" t="str">
        <f>IF(D1225="","","Исполнитель"&amp;": ")</f>
        <v/>
      </c>
      <c r="E1227" s="62" t="str">
        <f>IFERROR(VLOOKUP(C$13&amp;$B1227,Aux!$B:$M,4,0),"")</f>
        <v/>
      </c>
      <c r="F1227" s="62"/>
      <c r="G1227" s="63" t="str">
        <f>IFERROR(IF(VLOOKUP(C$13&amp;$B1225,Aux!$B:$M,8,0)="Да","✔","🕓"),"")</f>
        <v/>
      </c>
      <c r="K1227" s="59"/>
      <c r="L1227" s="15" t="str">
        <f>IF(L1225="","","Исполнитель"&amp;": ")</f>
        <v/>
      </c>
      <c r="M1227" s="62" t="str">
        <f>IFERROR(VLOOKUP(K$13&amp;$B1227,Aux!$B:$M,4,0),"")</f>
        <v/>
      </c>
      <c r="N1227" s="62"/>
      <c r="O1227" s="63" t="str">
        <f>IFERROR(IF(VLOOKUP(K$13&amp;$B1225,Aux!$B:$M,8,0)="Да","✔","🕓"),"")</f>
        <v/>
      </c>
      <c r="S1227" s="59"/>
      <c r="T1227" s="15" t="str">
        <f>IF(T1225="","","Исполнитель"&amp;": ")</f>
        <v/>
      </c>
      <c r="U1227" s="62" t="str">
        <f>IFERROR(VLOOKUP(S$13&amp;$B1227,Aux!$B:$M,4,0),"")</f>
        <v/>
      </c>
      <c r="V1227" s="62"/>
      <c r="W1227" s="63" t="str">
        <f>IFERROR(IF(VLOOKUP(S$13&amp;$B1225,Aux!$B:$M,8,0)="Да","✔","🕓"),"")</f>
        <v/>
      </c>
      <c r="AA1227" s="59"/>
      <c r="AB1227" s="15" t="str">
        <f>IF(AB1225="","","Исполнитель"&amp;": ")</f>
        <v/>
      </c>
      <c r="AC1227" s="62" t="str">
        <f>IFERROR(VLOOKUP(AA$13&amp;$B1227,Aux!$B:$M,4,0),"")</f>
        <v/>
      </c>
      <c r="AD1227" s="62"/>
      <c r="AE1227" s="63" t="str">
        <f>IFERROR(IF(VLOOKUP(AA$13&amp;$B1225,Aux!$B:$M,8,0)="Да","✔","🕓"),"")</f>
        <v/>
      </c>
    </row>
    <row r="1228" spans="2:31" x14ac:dyDescent="0.25">
      <c r="B1228" s="53">
        <f t="shared" si="18"/>
        <v>243</v>
      </c>
      <c r="C1228" s="59"/>
      <c r="D1228" s="16" t="str">
        <f>IF(D1225="","","Срок сдачи"&amp;": ")</f>
        <v/>
      </c>
      <c r="E1228" s="64" t="str">
        <f>IFERROR(VLOOKUP(C$13&amp;$B1228,Aux!$B:$M,6,0),"")</f>
        <v/>
      </c>
      <c r="F1228" s="64"/>
      <c r="G1228" s="63"/>
      <c r="K1228" s="59"/>
      <c r="L1228" s="16" t="str">
        <f>IF(L1225="","","Срок сдачи"&amp;": ")</f>
        <v/>
      </c>
      <c r="M1228" s="64" t="str">
        <f>IFERROR(VLOOKUP(K$13&amp;$B1228,Aux!$B:$M,6,0),"")</f>
        <v/>
      </c>
      <c r="N1228" s="64"/>
      <c r="O1228" s="63"/>
      <c r="S1228" s="59"/>
      <c r="T1228" s="16" t="str">
        <f>IF(T1225="","","Срок сдачи"&amp;": ")</f>
        <v/>
      </c>
      <c r="U1228" s="64" t="str">
        <f>IFERROR(VLOOKUP(S$13&amp;$B1228,Aux!$B:$M,6,0),"")</f>
        <v/>
      </c>
      <c r="V1228" s="64"/>
      <c r="W1228" s="63"/>
      <c r="AA1228" s="59"/>
      <c r="AB1228" s="16" t="str">
        <f>IF(AB1225="","","Срок сдачи"&amp;": ")</f>
        <v/>
      </c>
      <c r="AC1228" s="64" t="str">
        <f>IFERROR(VLOOKUP(AA$13&amp;$B1228,Aux!$B:$M,6,0),"")</f>
        <v/>
      </c>
      <c r="AD1228" s="64"/>
      <c r="AE1228" s="63"/>
    </row>
    <row r="1229" spans="2:31" x14ac:dyDescent="0.25">
      <c r="B1229" s="53">
        <f t="shared" si="18"/>
        <v>243</v>
      </c>
      <c r="C1229" s="7"/>
      <c r="D1229" s="17"/>
      <c r="E1229" s="7"/>
      <c r="F1229" s="18"/>
      <c r="G1229" s="18"/>
      <c r="K1229" s="13"/>
      <c r="L1229" s="17"/>
      <c r="M1229" s="13"/>
      <c r="N1229" s="14"/>
      <c r="O1229" s="14"/>
      <c r="S1229" s="13"/>
      <c r="T1229" s="17"/>
      <c r="U1229" s="13"/>
      <c r="V1229" s="14"/>
      <c r="W1229" s="14"/>
      <c r="AA1229" s="13"/>
      <c r="AB1229" s="17"/>
      <c r="AC1229" s="13"/>
      <c r="AD1229" s="14"/>
      <c r="AE1229" s="30"/>
    </row>
    <row r="1230" spans="2:31" x14ac:dyDescent="0.25">
      <c r="B1230" s="53">
        <f t="shared" si="18"/>
        <v>244</v>
      </c>
      <c r="C1230" s="59" t="str">
        <f>IFERROR(VLOOKUP(C$13&amp;$B1234,Aux!$B:$M,5,0),"")</f>
        <v/>
      </c>
      <c r="D1230" s="60" t="str">
        <f>IFERROR(VLOOKUP(C$13&amp;$B1230,Aux!$B:$M,3,0),"")</f>
        <v/>
      </c>
      <c r="E1230" s="60"/>
      <c r="F1230" s="60"/>
      <c r="G1230" s="61" t="str">
        <f>IFERROR(VLOOKUP(C$13&amp;$B1230,Aux!$B:$M,9,0),"")</f>
        <v/>
      </c>
      <c r="K1230" s="59" t="str">
        <f>IFERROR(VLOOKUP(K$13&amp;$B1234,Aux!$B:$M,5,0),"")</f>
        <v/>
      </c>
      <c r="L1230" s="60" t="str">
        <f>IFERROR(VLOOKUP(K$13&amp;$B1230,Aux!$B:$M,3,0),"")</f>
        <v/>
      </c>
      <c r="M1230" s="60"/>
      <c r="N1230" s="60"/>
      <c r="O1230" s="61" t="str">
        <f>IFERROR(VLOOKUP(K$13&amp;$B1230,Aux!$B:$M,9,0),"")</f>
        <v/>
      </c>
      <c r="S1230" s="59" t="str">
        <f>IFERROR(VLOOKUP(S$13&amp;$B1234,Aux!$B:$M,5,0),"")</f>
        <v/>
      </c>
      <c r="T1230" s="60" t="str">
        <f>IFERROR(VLOOKUP(S$13&amp;$B1230,Aux!$B:$M,3,0),"")</f>
        <v/>
      </c>
      <c r="U1230" s="60"/>
      <c r="V1230" s="60"/>
      <c r="W1230" s="61" t="str">
        <f>IFERROR(VLOOKUP(S$13&amp;$B1230,Aux!$B:$M,9,0),"")</f>
        <v/>
      </c>
      <c r="AA1230" s="59" t="str">
        <f>IFERROR(VLOOKUP(AA$13&amp;$B1234,Aux!$B:$M,5,0),"")</f>
        <v/>
      </c>
      <c r="AB1230" s="60" t="str">
        <f>IFERROR(VLOOKUP(AA$13&amp;$B1230,Aux!$B:$M,3,0),"")</f>
        <v/>
      </c>
      <c r="AC1230" s="60"/>
      <c r="AD1230" s="60"/>
      <c r="AE1230" s="61" t="str">
        <f>IFERROR(VLOOKUP(AA$13&amp;$B1230,Aux!$B:$M,9,0),"")</f>
        <v/>
      </c>
    </row>
    <row r="1231" spans="2:31" x14ac:dyDescent="0.25">
      <c r="B1231" s="53">
        <f t="shared" si="18"/>
        <v>244</v>
      </c>
      <c r="C1231" s="59"/>
      <c r="D1231" s="60"/>
      <c r="E1231" s="60"/>
      <c r="F1231" s="60"/>
      <c r="G1231" s="61"/>
      <c r="K1231" s="59"/>
      <c r="L1231" s="60"/>
      <c r="M1231" s="60"/>
      <c r="N1231" s="60"/>
      <c r="O1231" s="61"/>
      <c r="S1231" s="59"/>
      <c r="T1231" s="60"/>
      <c r="U1231" s="60"/>
      <c r="V1231" s="60"/>
      <c r="W1231" s="61"/>
      <c r="AA1231" s="59"/>
      <c r="AB1231" s="60"/>
      <c r="AC1231" s="60"/>
      <c r="AD1231" s="60"/>
      <c r="AE1231" s="61"/>
    </row>
    <row r="1232" spans="2:31" x14ac:dyDescent="0.25">
      <c r="B1232" s="53">
        <f t="shared" si="18"/>
        <v>244</v>
      </c>
      <c r="C1232" s="59"/>
      <c r="D1232" s="15" t="str">
        <f>IF(D1230="","","Исполнитель"&amp;": ")</f>
        <v/>
      </c>
      <c r="E1232" s="62" t="str">
        <f>IFERROR(VLOOKUP(C$13&amp;$B1232,Aux!$B:$M,4,0),"")</f>
        <v/>
      </c>
      <c r="F1232" s="62"/>
      <c r="G1232" s="63" t="str">
        <f>IFERROR(IF(VLOOKUP(C$13&amp;$B1230,Aux!$B:$M,8,0)="Да","✔","🕓"),"")</f>
        <v/>
      </c>
      <c r="K1232" s="59"/>
      <c r="L1232" s="15" t="str">
        <f>IF(L1230="","","Исполнитель"&amp;": ")</f>
        <v/>
      </c>
      <c r="M1232" s="62" t="str">
        <f>IFERROR(VLOOKUP(K$13&amp;$B1232,Aux!$B:$M,4,0),"")</f>
        <v/>
      </c>
      <c r="N1232" s="62"/>
      <c r="O1232" s="63" t="str">
        <f>IFERROR(IF(VLOOKUP(K$13&amp;$B1230,Aux!$B:$M,8,0)="Да","✔","🕓"),"")</f>
        <v/>
      </c>
      <c r="S1232" s="59"/>
      <c r="T1232" s="15" t="str">
        <f>IF(T1230="","","Исполнитель"&amp;": ")</f>
        <v/>
      </c>
      <c r="U1232" s="62" t="str">
        <f>IFERROR(VLOOKUP(S$13&amp;$B1232,Aux!$B:$M,4,0),"")</f>
        <v/>
      </c>
      <c r="V1232" s="62"/>
      <c r="W1232" s="63" t="str">
        <f>IFERROR(IF(VLOOKUP(S$13&amp;$B1230,Aux!$B:$M,8,0)="Да","✔","🕓"),"")</f>
        <v/>
      </c>
      <c r="AA1232" s="59"/>
      <c r="AB1232" s="15" t="str">
        <f>IF(AB1230="","","Исполнитель"&amp;": ")</f>
        <v/>
      </c>
      <c r="AC1232" s="62" t="str">
        <f>IFERROR(VLOOKUP(AA$13&amp;$B1232,Aux!$B:$M,4,0),"")</f>
        <v/>
      </c>
      <c r="AD1232" s="62"/>
      <c r="AE1232" s="63" t="str">
        <f>IFERROR(IF(VLOOKUP(AA$13&amp;$B1230,Aux!$B:$M,8,0)="Да","✔","🕓"),"")</f>
        <v/>
      </c>
    </row>
    <row r="1233" spans="2:31" x14ac:dyDescent="0.25">
      <c r="B1233" s="53">
        <f t="shared" si="18"/>
        <v>244</v>
      </c>
      <c r="C1233" s="59"/>
      <c r="D1233" s="16" t="str">
        <f>IF(D1230="","","Срок сдачи"&amp;": ")</f>
        <v/>
      </c>
      <c r="E1233" s="64" t="str">
        <f>IFERROR(VLOOKUP(C$13&amp;$B1233,Aux!$B:$M,6,0),"")</f>
        <v/>
      </c>
      <c r="F1233" s="64"/>
      <c r="G1233" s="63"/>
      <c r="K1233" s="59"/>
      <c r="L1233" s="16" t="str">
        <f>IF(L1230="","","Срок сдачи"&amp;": ")</f>
        <v/>
      </c>
      <c r="M1233" s="64" t="str">
        <f>IFERROR(VLOOKUP(K$13&amp;$B1233,Aux!$B:$M,6,0),"")</f>
        <v/>
      </c>
      <c r="N1233" s="64"/>
      <c r="O1233" s="63"/>
      <c r="S1233" s="59"/>
      <c r="T1233" s="16" t="str">
        <f>IF(T1230="","","Срок сдачи"&amp;": ")</f>
        <v/>
      </c>
      <c r="U1233" s="64" t="str">
        <f>IFERROR(VLOOKUP(S$13&amp;$B1233,Aux!$B:$M,6,0),"")</f>
        <v/>
      </c>
      <c r="V1233" s="64"/>
      <c r="W1233" s="63"/>
      <c r="AA1233" s="59"/>
      <c r="AB1233" s="16" t="str">
        <f>IF(AB1230="","","Срок сдачи"&amp;": ")</f>
        <v/>
      </c>
      <c r="AC1233" s="64" t="str">
        <f>IFERROR(VLOOKUP(AA$13&amp;$B1233,Aux!$B:$M,6,0),"")</f>
        <v/>
      </c>
      <c r="AD1233" s="64"/>
      <c r="AE1233" s="63"/>
    </row>
    <row r="1234" spans="2:31" x14ac:dyDescent="0.25">
      <c r="B1234" s="53">
        <f t="shared" si="18"/>
        <v>244</v>
      </c>
      <c r="C1234" s="7"/>
      <c r="D1234" s="17"/>
      <c r="E1234" s="7"/>
      <c r="F1234" s="18"/>
      <c r="G1234" s="18"/>
      <c r="K1234" s="13"/>
      <c r="L1234" s="17"/>
      <c r="M1234" s="13"/>
      <c r="N1234" s="14"/>
      <c r="O1234" s="14"/>
      <c r="S1234" s="13"/>
      <c r="T1234" s="17"/>
      <c r="U1234" s="13"/>
      <c r="V1234" s="14"/>
      <c r="W1234" s="14"/>
      <c r="AA1234" s="13"/>
      <c r="AB1234" s="17"/>
      <c r="AC1234" s="13"/>
      <c r="AD1234" s="14"/>
      <c r="AE1234" s="30"/>
    </row>
    <row r="1235" spans="2:31" x14ac:dyDescent="0.25">
      <c r="B1235" s="53">
        <f t="shared" si="18"/>
        <v>245</v>
      </c>
      <c r="C1235" s="59" t="str">
        <f>IFERROR(VLOOKUP(C$13&amp;$B1239,Aux!$B:$M,5,0),"")</f>
        <v/>
      </c>
      <c r="D1235" s="60" t="str">
        <f>IFERROR(VLOOKUP(C$13&amp;$B1235,Aux!$B:$M,3,0),"")</f>
        <v/>
      </c>
      <c r="E1235" s="60"/>
      <c r="F1235" s="60"/>
      <c r="G1235" s="61" t="str">
        <f>IFERROR(VLOOKUP(C$13&amp;$B1235,Aux!$B:$M,9,0),"")</f>
        <v/>
      </c>
      <c r="K1235" s="59" t="str">
        <f>IFERROR(VLOOKUP(K$13&amp;$B1239,Aux!$B:$M,5,0),"")</f>
        <v/>
      </c>
      <c r="L1235" s="60" t="str">
        <f>IFERROR(VLOOKUP(K$13&amp;$B1235,Aux!$B:$M,3,0),"")</f>
        <v/>
      </c>
      <c r="M1235" s="60"/>
      <c r="N1235" s="60"/>
      <c r="O1235" s="61" t="str">
        <f>IFERROR(VLOOKUP(K$13&amp;$B1235,Aux!$B:$M,9,0),"")</f>
        <v/>
      </c>
      <c r="S1235" s="59" t="str">
        <f>IFERROR(VLOOKUP(S$13&amp;$B1239,Aux!$B:$M,5,0),"")</f>
        <v/>
      </c>
      <c r="T1235" s="60" t="str">
        <f>IFERROR(VLOOKUP(S$13&amp;$B1235,Aux!$B:$M,3,0),"")</f>
        <v/>
      </c>
      <c r="U1235" s="60"/>
      <c r="V1235" s="60"/>
      <c r="W1235" s="61" t="str">
        <f>IFERROR(VLOOKUP(S$13&amp;$B1235,Aux!$B:$M,9,0),"")</f>
        <v/>
      </c>
      <c r="AA1235" s="59" t="str">
        <f>IFERROR(VLOOKUP(AA$13&amp;$B1239,Aux!$B:$M,5,0),"")</f>
        <v/>
      </c>
      <c r="AB1235" s="60" t="str">
        <f>IFERROR(VLOOKUP(AA$13&amp;$B1235,Aux!$B:$M,3,0),"")</f>
        <v/>
      </c>
      <c r="AC1235" s="60"/>
      <c r="AD1235" s="60"/>
      <c r="AE1235" s="61" t="str">
        <f>IFERROR(VLOOKUP(AA$13&amp;$B1235,Aux!$B:$M,9,0),"")</f>
        <v/>
      </c>
    </row>
    <row r="1236" spans="2:31" x14ac:dyDescent="0.25">
      <c r="B1236" s="53">
        <f t="shared" si="18"/>
        <v>245</v>
      </c>
      <c r="C1236" s="59"/>
      <c r="D1236" s="60"/>
      <c r="E1236" s="60"/>
      <c r="F1236" s="60"/>
      <c r="G1236" s="61"/>
      <c r="K1236" s="59"/>
      <c r="L1236" s="60"/>
      <c r="M1236" s="60"/>
      <c r="N1236" s="60"/>
      <c r="O1236" s="61"/>
      <c r="S1236" s="59"/>
      <c r="T1236" s="60"/>
      <c r="U1236" s="60"/>
      <c r="V1236" s="60"/>
      <c r="W1236" s="61"/>
      <c r="AA1236" s="59"/>
      <c r="AB1236" s="60"/>
      <c r="AC1236" s="60"/>
      <c r="AD1236" s="60"/>
      <c r="AE1236" s="61"/>
    </row>
    <row r="1237" spans="2:31" x14ac:dyDescent="0.25">
      <c r="B1237" s="53">
        <f t="shared" ref="B1237:B1300" si="19">B1232+1</f>
        <v>245</v>
      </c>
      <c r="C1237" s="59"/>
      <c r="D1237" s="15" t="str">
        <f>IF(D1235="","","Исполнитель"&amp;": ")</f>
        <v/>
      </c>
      <c r="E1237" s="62" t="str">
        <f>IFERROR(VLOOKUP(C$13&amp;$B1237,Aux!$B:$M,4,0),"")</f>
        <v/>
      </c>
      <c r="F1237" s="62"/>
      <c r="G1237" s="63" t="str">
        <f>IFERROR(IF(VLOOKUP(C$13&amp;$B1235,Aux!$B:$M,8,0)="Да","✔","🕓"),"")</f>
        <v/>
      </c>
      <c r="K1237" s="59"/>
      <c r="L1237" s="15" t="str">
        <f>IF(L1235="","","Исполнитель"&amp;": ")</f>
        <v/>
      </c>
      <c r="M1237" s="62" t="str">
        <f>IFERROR(VLOOKUP(K$13&amp;$B1237,Aux!$B:$M,4,0),"")</f>
        <v/>
      </c>
      <c r="N1237" s="62"/>
      <c r="O1237" s="63" t="str">
        <f>IFERROR(IF(VLOOKUP(K$13&amp;$B1235,Aux!$B:$M,8,0)="Да","✔","🕓"),"")</f>
        <v/>
      </c>
      <c r="S1237" s="59"/>
      <c r="T1237" s="15" t="str">
        <f>IF(T1235="","","Исполнитель"&amp;": ")</f>
        <v/>
      </c>
      <c r="U1237" s="62" t="str">
        <f>IFERROR(VLOOKUP(S$13&amp;$B1237,Aux!$B:$M,4,0),"")</f>
        <v/>
      </c>
      <c r="V1237" s="62"/>
      <c r="W1237" s="63" t="str">
        <f>IFERROR(IF(VLOOKUP(S$13&amp;$B1235,Aux!$B:$M,8,0)="Да","✔","🕓"),"")</f>
        <v/>
      </c>
      <c r="AA1237" s="59"/>
      <c r="AB1237" s="15" t="str">
        <f>IF(AB1235="","","Исполнитель"&amp;": ")</f>
        <v/>
      </c>
      <c r="AC1237" s="62" t="str">
        <f>IFERROR(VLOOKUP(AA$13&amp;$B1237,Aux!$B:$M,4,0),"")</f>
        <v/>
      </c>
      <c r="AD1237" s="62"/>
      <c r="AE1237" s="63" t="str">
        <f>IFERROR(IF(VLOOKUP(AA$13&amp;$B1235,Aux!$B:$M,8,0)="Да","✔","🕓"),"")</f>
        <v/>
      </c>
    </row>
    <row r="1238" spans="2:31" x14ac:dyDescent="0.25">
      <c r="B1238" s="53">
        <f t="shared" si="19"/>
        <v>245</v>
      </c>
      <c r="C1238" s="59"/>
      <c r="D1238" s="16" t="str">
        <f>IF(D1235="","","Срок сдачи"&amp;": ")</f>
        <v/>
      </c>
      <c r="E1238" s="64" t="str">
        <f>IFERROR(VLOOKUP(C$13&amp;$B1238,Aux!$B:$M,6,0),"")</f>
        <v/>
      </c>
      <c r="F1238" s="64"/>
      <c r="G1238" s="63"/>
      <c r="K1238" s="59"/>
      <c r="L1238" s="16" t="str">
        <f>IF(L1235="","","Срок сдачи"&amp;": ")</f>
        <v/>
      </c>
      <c r="M1238" s="64" t="str">
        <f>IFERROR(VLOOKUP(K$13&amp;$B1238,Aux!$B:$M,6,0),"")</f>
        <v/>
      </c>
      <c r="N1238" s="64"/>
      <c r="O1238" s="63"/>
      <c r="S1238" s="59"/>
      <c r="T1238" s="16" t="str">
        <f>IF(T1235="","","Срок сдачи"&amp;": ")</f>
        <v/>
      </c>
      <c r="U1238" s="64" t="str">
        <f>IFERROR(VLOOKUP(S$13&amp;$B1238,Aux!$B:$M,6,0),"")</f>
        <v/>
      </c>
      <c r="V1238" s="64"/>
      <c r="W1238" s="63"/>
      <c r="AA1238" s="59"/>
      <c r="AB1238" s="16" t="str">
        <f>IF(AB1235="","","Срок сдачи"&amp;": ")</f>
        <v/>
      </c>
      <c r="AC1238" s="64" t="str">
        <f>IFERROR(VLOOKUP(AA$13&amp;$B1238,Aux!$B:$M,6,0),"")</f>
        <v/>
      </c>
      <c r="AD1238" s="64"/>
      <c r="AE1238" s="63"/>
    </row>
    <row r="1239" spans="2:31" x14ac:dyDescent="0.25">
      <c r="B1239" s="53">
        <f t="shared" si="19"/>
        <v>245</v>
      </c>
      <c r="C1239" s="7"/>
      <c r="D1239" s="17"/>
      <c r="E1239" s="7"/>
      <c r="F1239" s="18"/>
      <c r="G1239" s="18"/>
      <c r="K1239" s="13"/>
      <c r="L1239" s="17"/>
      <c r="M1239" s="13"/>
      <c r="N1239" s="14"/>
      <c r="O1239" s="14"/>
      <c r="S1239" s="13"/>
      <c r="T1239" s="17"/>
      <c r="U1239" s="13"/>
      <c r="V1239" s="14"/>
      <c r="W1239" s="14"/>
      <c r="AA1239" s="13"/>
      <c r="AB1239" s="17"/>
      <c r="AC1239" s="13"/>
      <c r="AD1239" s="14"/>
      <c r="AE1239" s="30"/>
    </row>
    <row r="1240" spans="2:31" x14ac:dyDescent="0.25">
      <c r="B1240" s="53">
        <f t="shared" si="19"/>
        <v>246</v>
      </c>
      <c r="C1240" s="59" t="str">
        <f>IFERROR(VLOOKUP(C$13&amp;$B1244,Aux!$B:$M,5,0),"")</f>
        <v/>
      </c>
      <c r="D1240" s="60" t="str">
        <f>IFERROR(VLOOKUP(C$13&amp;$B1240,Aux!$B:$M,3,0),"")</f>
        <v/>
      </c>
      <c r="E1240" s="60"/>
      <c r="F1240" s="60"/>
      <c r="G1240" s="61" t="str">
        <f>IFERROR(VLOOKUP(C$13&amp;$B1240,Aux!$B:$M,9,0),"")</f>
        <v/>
      </c>
      <c r="K1240" s="59" t="str">
        <f>IFERROR(VLOOKUP(K$13&amp;$B1244,Aux!$B:$M,5,0),"")</f>
        <v/>
      </c>
      <c r="L1240" s="60" t="str">
        <f>IFERROR(VLOOKUP(K$13&amp;$B1240,Aux!$B:$M,3,0),"")</f>
        <v/>
      </c>
      <c r="M1240" s="60"/>
      <c r="N1240" s="60"/>
      <c r="O1240" s="61" t="str">
        <f>IFERROR(VLOOKUP(K$13&amp;$B1240,Aux!$B:$M,9,0),"")</f>
        <v/>
      </c>
      <c r="S1240" s="59" t="str">
        <f>IFERROR(VLOOKUP(S$13&amp;$B1244,Aux!$B:$M,5,0),"")</f>
        <v/>
      </c>
      <c r="T1240" s="60" t="str">
        <f>IFERROR(VLOOKUP(S$13&amp;$B1240,Aux!$B:$M,3,0),"")</f>
        <v/>
      </c>
      <c r="U1240" s="60"/>
      <c r="V1240" s="60"/>
      <c r="W1240" s="61" t="str">
        <f>IFERROR(VLOOKUP(S$13&amp;$B1240,Aux!$B:$M,9,0),"")</f>
        <v/>
      </c>
      <c r="AA1240" s="59" t="str">
        <f>IFERROR(VLOOKUP(AA$13&amp;$B1244,Aux!$B:$M,5,0),"")</f>
        <v/>
      </c>
      <c r="AB1240" s="60" t="str">
        <f>IFERROR(VLOOKUP(AA$13&amp;$B1240,Aux!$B:$M,3,0),"")</f>
        <v/>
      </c>
      <c r="AC1240" s="60"/>
      <c r="AD1240" s="60"/>
      <c r="AE1240" s="61" t="str">
        <f>IFERROR(VLOOKUP(AA$13&amp;$B1240,Aux!$B:$M,9,0),"")</f>
        <v/>
      </c>
    </row>
    <row r="1241" spans="2:31" x14ac:dyDescent="0.25">
      <c r="B1241" s="53">
        <f t="shared" si="19"/>
        <v>246</v>
      </c>
      <c r="C1241" s="59"/>
      <c r="D1241" s="60"/>
      <c r="E1241" s="60"/>
      <c r="F1241" s="60"/>
      <c r="G1241" s="61"/>
      <c r="K1241" s="59"/>
      <c r="L1241" s="60"/>
      <c r="M1241" s="60"/>
      <c r="N1241" s="60"/>
      <c r="O1241" s="61"/>
      <c r="S1241" s="59"/>
      <c r="T1241" s="60"/>
      <c r="U1241" s="60"/>
      <c r="V1241" s="60"/>
      <c r="W1241" s="61"/>
      <c r="AA1241" s="59"/>
      <c r="AB1241" s="60"/>
      <c r="AC1241" s="60"/>
      <c r="AD1241" s="60"/>
      <c r="AE1241" s="61"/>
    </row>
    <row r="1242" spans="2:31" x14ac:dyDescent="0.25">
      <c r="B1242" s="53">
        <f t="shared" si="19"/>
        <v>246</v>
      </c>
      <c r="C1242" s="59"/>
      <c r="D1242" s="15" t="str">
        <f>IF(D1240="","","Исполнитель"&amp;": ")</f>
        <v/>
      </c>
      <c r="E1242" s="62" t="str">
        <f>IFERROR(VLOOKUP(C$13&amp;$B1242,Aux!$B:$M,4,0),"")</f>
        <v/>
      </c>
      <c r="F1242" s="62"/>
      <c r="G1242" s="63" t="str">
        <f>IFERROR(IF(VLOOKUP(C$13&amp;$B1240,Aux!$B:$M,8,0)="Да","✔","🕓"),"")</f>
        <v/>
      </c>
      <c r="K1242" s="59"/>
      <c r="L1242" s="15" t="str">
        <f>IF(L1240="","","Исполнитель"&amp;": ")</f>
        <v/>
      </c>
      <c r="M1242" s="62" t="str">
        <f>IFERROR(VLOOKUP(K$13&amp;$B1242,Aux!$B:$M,4,0),"")</f>
        <v/>
      </c>
      <c r="N1242" s="62"/>
      <c r="O1242" s="63" t="str">
        <f>IFERROR(IF(VLOOKUP(K$13&amp;$B1240,Aux!$B:$M,8,0)="Да","✔","🕓"),"")</f>
        <v/>
      </c>
      <c r="S1242" s="59"/>
      <c r="T1242" s="15" t="str">
        <f>IF(T1240="","","Исполнитель"&amp;": ")</f>
        <v/>
      </c>
      <c r="U1242" s="62" t="str">
        <f>IFERROR(VLOOKUP(S$13&amp;$B1242,Aux!$B:$M,4,0),"")</f>
        <v/>
      </c>
      <c r="V1242" s="62"/>
      <c r="W1242" s="63" t="str">
        <f>IFERROR(IF(VLOOKUP(S$13&amp;$B1240,Aux!$B:$M,8,0)="Да","✔","🕓"),"")</f>
        <v/>
      </c>
      <c r="AA1242" s="59"/>
      <c r="AB1242" s="15" t="str">
        <f>IF(AB1240="","","Исполнитель"&amp;": ")</f>
        <v/>
      </c>
      <c r="AC1242" s="62" t="str">
        <f>IFERROR(VLOOKUP(AA$13&amp;$B1242,Aux!$B:$M,4,0),"")</f>
        <v/>
      </c>
      <c r="AD1242" s="62"/>
      <c r="AE1242" s="63" t="str">
        <f>IFERROR(IF(VLOOKUP(AA$13&amp;$B1240,Aux!$B:$M,8,0)="Да","✔","🕓"),"")</f>
        <v/>
      </c>
    </row>
    <row r="1243" spans="2:31" x14ac:dyDescent="0.25">
      <c r="B1243" s="53">
        <f t="shared" si="19"/>
        <v>246</v>
      </c>
      <c r="C1243" s="59"/>
      <c r="D1243" s="16" t="str">
        <f>IF(D1240="","","Срок сдачи"&amp;": ")</f>
        <v/>
      </c>
      <c r="E1243" s="64" t="str">
        <f>IFERROR(VLOOKUP(C$13&amp;$B1243,Aux!$B:$M,6,0),"")</f>
        <v/>
      </c>
      <c r="F1243" s="64"/>
      <c r="G1243" s="63"/>
      <c r="K1243" s="59"/>
      <c r="L1243" s="16" t="str">
        <f>IF(L1240="","","Срок сдачи"&amp;": ")</f>
        <v/>
      </c>
      <c r="M1243" s="64" t="str">
        <f>IFERROR(VLOOKUP(K$13&amp;$B1243,Aux!$B:$M,6,0),"")</f>
        <v/>
      </c>
      <c r="N1243" s="64"/>
      <c r="O1243" s="63"/>
      <c r="S1243" s="59"/>
      <c r="T1243" s="16" t="str">
        <f>IF(T1240="","","Срок сдачи"&amp;": ")</f>
        <v/>
      </c>
      <c r="U1243" s="64" t="str">
        <f>IFERROR(VLOOKUP(S$13&amp;$B1243,Aux!$B:$M,6,0),"")</f>
        <v/>
      </c>
      <c r="V1243" s="64"/>
      <c r="W1243" s="63"/>
      <c r="AA1243" s="59"/>
      <c r="AB1243" s="16" t="str">
        <f>IF(AB1240="","","Срок сдачи"&amp;": ")</f>
        <v/>
      </c>
      <c r="AC1243" s="64" t="str">
        <f>IFERROR(VLOOKUP(AA$13&amp;$B1243,Aux!$B:$M,6,0),"")</f>
        <v/>
      </c>
      <c r="AD1243" s="64"/>
      <c r="AE1243" s="63"/>
    </row>
    <row r="1244" spans="2:31" x14ac:dyDescent="0.25">
      <c r="B1244" s="53">
        <f t="shared" si="19"/>
        <v>246</v>
      </c>
      <c r="C1244" s="7"/>
      <c r="D1244" s="17"/>
      <c r="E1244" s="7"/>
      <c r="F1244" s="18"/>
      <c r="G1244" s="18"/>
      <c r="K1244" s="13"/>
      <c r="L1244" s="17"/>
      <c r="M1244" s="13"/>
      <c r="N1244" s="14"/>
      <c r="O1244" s="14"/>
      <c r="S1244" s="13"/>
      <c r="T1244" s="17"/>
      <c r="U1244" s="13"/>
      <c r="V1244" s="14"/>
      <c r="W1244" s="14"/>
      <c r="AA1244" s="13"/>
      <c r="AB1244" s="17"/>
      <c r="AC1244" s="13"/>
      <c r="AD1244" s="14"/>
      <c r="AE1244" s="30"/>
    </row>
    <row r="1245" spans="2:31" x14ac:dyDescent="0.25">
      <c r="B1245" s="53">
        <f t="shared" si="19"/>
        <v>247</v>
      </c>
      <c r="C1245" s="59" t="str">
        <f>IFERROR(VLOOKUP(C$13&amp;$B1249,Aux!$B:$M,5,0),"")</f>
        <v/>
      </c>
      <c r="D1245" s="60" t="str">
        <f>IFERROR(VLOOKUP(C$13&amp;$B1245,Aux!$B:$M,3,0),"")</f>
        <v/>
      </c>
      <c r="E1245" s="60"/>
      <c r="F1245" s="60"/>
      <c r="G1245" s="61" t="str">
        <f>IFERROR(VLOOKUP(C$13&amp;$B1245,Aux!$B:$M,9,0),"")</f>
        <v/>
      </c>
      <c r="K1245" s="59" t="str">
        <f>IFERROR(VLOOKUP(K$13&amp;$B1249,Aux!$B:$M,5,0),"")</f>
        <v/>
      </c>
      <c r="L1245" s="60" t="str">
        <f>IFERROR(VLOOKUP(K$13&amp;$B1245,Aux!$B:$M,3,0),"")</f>
        <v/>
      </c>
      <c r="M1245" s="60"/>
      <c r="N1245" s="60"/>
      <c r="O1245" s="61" t="str">
        <f>IFERROR(VLOOKUP(K$13&amp;$B1245,Aux!$B:$M,9,0),"")</f>
        <v/>
      </c>
      <c r="S1245" s="59" t="str">
        <f>IFERROR(VLOOKUP(S$13&amp;$B1249,Aux!$B:$M,5,0),"")</f>
        <v/>
      </c>
      <c r="T1245" s="60" t="str">
        <f>IFERROR(VLOOKUP(S$13&amp;$B1245,Aux!$B:$M,3,0),"")</f>
        <v/>
      </c>
      <c r="U1245" s="60"/>
      <c r="V1245" s="60"/>
      <c r="W1245" s="61" t="str">
        <f>IFERROR(VLOOKUP(S$13&amp;$B1245,Aux!$B:$M,9,0),"")</f>
        <v/>
      </c>
      <c r="AA1245" s="59" t="str">
        <f>IFERROR(VLOOKUP(AA$13&amp;$B1249,Aux!$B:$M,5,0),"")</f>
        <v/>
      </c>
      <c r="AB1245" s="60" t="str">
        <f>IFERROR(VLOOKUP(AA$13&amp;$B1245,Aux!$B:$M,3,0),"")</f>
        <v/>
      </c>
      <c r="AC1245" s="60"/>
      <c r="AD1245" s="60"/>
      <c r="AE1245" s="61" t="str">
        <f>IFERROR(VLOOKUP(AA$13&amp;$B1245,Aux!$B:$M,9,0),"")</f>
        <v/>
      </c>
    </row>
    <row r="1246" spans="2:31" x14ac:dyDescent="0.25">
      <c r="B1246" s="53">
        <f t="shared" si="19"/>
        <v>247</v>
      </c>
      <c r="C1246" s="59"/>
      <c r="D1246" s="60"/>
      <c r="E1246" s="60"/>
      <c r="F1246" s="60"/>
      <c r="G1246" s="61"/>
      <c r="K1246" s="59"/>
      <c r="L1246" s="60"/>
      <c r="M1246" s="60"/>
      <c r="N1246" s="60"/>
      <c r="O1246" s="61"/>
      <c r="S1246" s="59"/>
      <c r="T1246" s="60"/>
      <c r="U1246" s="60"/>
      <c r="V1246" s="60"/>
      <c r="W1246" s="61"/>
      <c r="AA1246" s="59"/>
      <c r="AB1246" s="60"/>
      <c r="AC1246" s="60"/>
      <c r="AD1246" s="60"/>
      <c r="AE1246" s="61"/>
    </row>
    <row r="1247" spans="2:31" x14ac:dyDescent="0.25">
      <c r="B1247" s="53">
        <f t="shared" si="19"/>
        <v>247</v>
      </c>
      <c r="C1247" s="59"/>
      <c r="D1247" s="15" t="str">
        <f>IF(D1245="","","Исполнитель"&amp;": ")</f>
        <v/>
      </c>
      <c r="E1247" s="62" t="str">
        <f>IFERROR(VLOOKUP(C$13&amp;$B1247,Aux!$B:$M,4,0),"")</f>
        <v/>
      </c>
      <c r="F1247" s="62"/>
      <c r="G1247" s="63" t="str">
        <f>IFERROR(IF(VLOOKUP(C$13&amp;$B1245,Aux!$B:$M,8,0)="Да","✔","🕓"),"")</f>
        <v/>
      </c>
      <c r="K1247" s="59"/>
      <c r="L1247" s="15" t="str">
        <f>IF(L1245="","","Исполнитель"&amp;": ")</f>
        <v/>
      </c>
      <c r="M1247" s="62" t="str">
        <f>IFERROR(VLOOKUP(K$13&amp;$B1247,Aux!$B:$M,4,0),"")</f>
        <v/>
      </c>
      <c r="N1247" s="62"/>
      <c r="O1247" s="63" t="str">
        <f>IFERROR(IF(VLOOKUP(K$13&amp;$B1245,Aux!$B:$M,8,0)="Да","✔","🕓"),"")</f>
        <v/>
      </c>
      <c r="S1247" s="59"/>
      <c r="T1247" s="15" t="str">
        <f>IF(T1245="","","Исполнитель"&amp;": ")</f>
        <v/>
      </c>
      <c r="U1247" s="62" t="str">
        <f>IFERROR(VLOOKUP(S$13&amp;$B1247,Aux!$B:$M,4,0),"")</f>
        <v/>
      </c>
      <c r="V1247" s="62"/>
      <c r="W1247" s="63" t="str">
        <f>IFERROR(IF(VLOOKUP(S$13&amp;$B1245,Aux!$B:$M,8,0)="Да","✔","🕓"),"")</f>
        <v/>
      </c>
      <c r="AA1247" s="59"/>
      <c r="AB1247" s="15" t="str">
        <f>IF(AB1245="","","Исполнитель"&amp;": ")</f>
        <v/>
      </c>
      <c r="AC1247" s="62" t="str">
        <f>IFERROR(VLOOKUP(AA$13&amp;$B1247,Aux!$B:$M,4,0),"")</f>
        <v/>
      </c>
      <c r="AD1247" s="62"/>
      <c r="AE1247" s="63" t="str">
        <f>IFERROR(IF(VLOOKUP(AA$13&amp;$B1245,Aux!$B:$M,8,0)="Да","✔","🕓"),"")</f>
        <v/>
      </c>
    </row>
    <row r="1248" spans="2:31" x14ac:dyDescent="0.25">
      <c r="B1248" s="53">
        <f t="shared" si="19"/>
        <v>247</v>
      </c>
      <c r="C1248" s="59"/>
      <c r="D1248" s="16" t="str">
        <f>IF(D1245="","","Срок сдачи"&amp;": ")</f>
        <v/>
      </c>
      <c r="E1248" s="64" t="str">
        <f>IFERROR(VLOOKUP(C$13&amp;$B1248,Aux!$B:$M,6,0),"")</f>
        <v/>
      </c>
      <c r="F1248" s="64"/>
      <c r="G1248" s="63"/>
      <c r="K1248" s="59"/>
      <c r="L1248" s="16" t="str">
        <f>IF(L1245="","","Срок сдачи"&amp;": ")</f>
        <v/>
      </c>
      <c r="M1248" s="64" t="str">
        <f>IFERROR(VLOOKUP(K$13&amp;$B1248,Aux!$B:$M,6,0),"")</f>
        <v/>
      </c>
      <c r="N1248" s="64"/>
      <c r="O1248" s="63"/>
      <c r="S1248" s="59"/>
      <c r="T1248" s="16" t="str">
        <f>IF(T1245="","","Срок сдачи"&amp;": ")</f>
        <v/>
      </c>
      <c r="U1248" s="64" t="str">
        <f>IFERROR(VLOOKUP(S$13&amp;$B1248,Aux!$B:$M,6,0),"")</f>
        <v/>
      </c>
      <c r="V1248" s="64"/>
      <c r="W1248" s="63"/>
      <c r="AA1248" s="59"/>
      <c r="AB1248" s="16" t="str">
        <f>IF(AB1245="","","Срок сдачи"&amp;": ")</f>
        <v/>
      </c>
      <c r="AC1248" s="64" t="str">
        <f>IFERROR(VLOOKUP(AA$13&amp;$B1248,Aux!$B:$M,6,0),"")</f>
        <v/>
      </c>
      <c r="AD1248" s="64"/>
      <c r="AE1248" s="63"/>
    </row>
    <row r="1249" spans="2:31" x14ac:dyDescent="0.25">
      <c r="B1249" s="53">
        <f t="shared" si="19"/>
        <v>247</v>
      </c>
      <c r="C1249" s="7"/>
      <c r="D1249" s="17"/>
      <c r="E1249" s="7"/>
      <c r="F1249" s="18"/>
      <c r="G1249" s="18"/>
      <c r="K1249" s="13"/>
      <c r="L1249" s="17"/>
      <c r="M1249" s="13"/>
      <c r="N1249" s="14"/>
      <c r="O1249" s="14"/>
      <c r="S1249" s="13"/>
      <c r="T1249" s="17"/>
      <c r="U1249" s="13"/>
      <c r="V1249" s="14"/>
      <c r="W1249" s="14"/>
      <c r="AA1249" s="13"/>
      <c r="AB1249" s="17"/>
      <c r="AC1249" s="13"/>
      <c r="AD1249" s="14"/>
      <c r="AE1249" s="30"/>
    </row>
    <row r="1250" spans="2:31" x14ac:dyDescent="0.25">
      <c r="B1250" s="53">
        <f t="shared" si="19"/>
        <v>248</v>
      </c>
      <c r="C1250" s="59" t="str">
        <f>IFERROR(VLOOKUP(C$13&amp;$B1254,Aux!$B:$M,5,0),"")</f>
        <v/>
      </c>
      <c r="D1250" s="60" t="str">
        <f>IFERROR(VLOOKUP(C$13&amp;$B1250,Aux!$B:$M,3,0),"")</f>
        <v/>
      </c>
      <c r="E1250" s="60"/>
      <c r="F1250" s="60"/>
      <c r="G1250" s="61" t="str">
        <f>IFERROR(VLOOKUP(C$13&amp;$B1250,Aux!$B:$M,9,0),"")</f>
        <v/>
      </c>
      <c r="K1250" s="59" t="str">
        <f>IFERROR(VLOOKUP(K$13&amp;$B1254,Aux!$B:$M,5,0),"")</f>
        <v/>
      </c>
      <c r="L1250" s="60" t="str">
        <f>IFERROR(VLOOKUP(K$13&amp;$B1250,Aux!$B:$M,3,0),"")</f>
        <v/>
      </c>
      <c r="M1250" s="60"/>
      <c r="N1250" s="60"/>
      <c r="O1250" s="61" t="str">
        <f>IFERROR(VLOOKUP(K$13&amp;$B1250,Aux!$B:$M,9,0),"")</f>
        <v/>
      </c>
      <c r="S1250" s="59" t="str">
        <f>IFERROR(VLOOKUP(S$13&amp;$B1254,Aux!$B:$M,5,0),"")</f>
        <v/>
      </c>
      <c r="T1250" s="60" t="str">
        <f>IFERROR(VLOOKUP(S$13&amp;$B1250,Aux!$B:$M,3,0),"")</f>
        <v/>
      </c>
      <c r="U1250" s="60"/>
      <c r="V1250" s="60"/>
      <c r="W1250" s="61" t="str">
        <f>IFERROR(VLOOKUP(S$13&amp;$B1250,Aux!$B:$M,9,0),"")</f>
        <v/>
      </c>
      <c r="AA1250" s="59" t="str">
        <f>IFERROR(VLOOKUP(AA$13&amp;$B1254,Aux!$B:$M,5,0),"")</f>
        <v/>
      </c>
      <c r="AB1250" s="60" t="str">
        <f>IFERROR(VLOOKUP(AA$13&amp;$B1250,Aux!$B:$M,3,0),"")</f>
        <v/>
      </c>
      <c r="AC1250" s="60"/>
      <c r="AD1250" s="60"/>
      <c r="AE1250" s="61" t="str">
        <f>IFERROR(VLOOKUP(AA$13&amp;$B1250,Aux!$B:$M,9,0),"")</f>
        <v/>
      </c>
    </row>
    <row r="1251" spans="2:31" x14ac:dyDescent="0.25">
      <c r="B1251" s="53">
        <f t="shared" si="19"/>
        <v>248</v>
      </c>
      <c r="C1251" s="59"/>
      <c r="D1251" s="60"/>
      <c r="E1251" s="60"/>
      <c r="F1251" s="60"/>
      <c r="G1251" s="61"/>
      <c r="K1251" s="59"/>
      <c r="L1251" s="60"/>
      <c r="M1251" s="60"/>
      <c r="N1251" s="60"/>
      <c r="O1251" s="61"/>
      <c r="S1251" s="59"/>
      <c r="T1251" s="60"/>
      <c r="U1251" s="60"/>
      <c r="V1251" s="60"/>
      <c r="W1251" s="61"/>
      <c r="AA1251" s="59"/>
      <c r="AB1251" s="60"/>
      <c r="AC1251" s="60"/>
      <c r="AD1251" s="60"/>
      <c r="AE1251" s="61"/>
    </row>
    <row r="1252" spans="2:31" x14ac:dyDescent="0.25">
      <c r="B1252" s="53">
        <f t="shared" si="19"/>
        <v>248</v>
      </c>
      <c r="C1252" s="59"/>
      <c r="D1252" s="15" t="str">
        <f>IF(D1250="","","Исполнитель"&amp;": ")</f>
        <v/>
      </c>
      <c r="E1252" s="62" t="str">
        <f>IFERROR(VLOOKUP(C$13&amp;$B1252,Aux!$B:$M,4,0),"")</f>
        <v/>
      </c>
      <c r="F1252" s="62"/>
      <c r="G1252" s="63" t="str">
        <f>IFERROR(IF(VLOOKUP(C$13&amp;$B1250,Aux!$B:$M,8,0)="Да","✔","🕓"),"")</f>
        <v/>
      </c>
      <c r="K1252" s="59"/>
      <c r="L1252" s="15" t="str">
        <f>IF(L1250="","","Исполнитель"&amp;": ")</f>
        <v/>
      </c>
      <c r="M1252" s="62" t="str">
        <f>IFERROR(VLOOKUP(K$13&amp;$B1252,Aux!$B:$M,4,0),"")</f>
        <v/>
      </c>
      <c r="N1252" s="62"/>
      <c r="O1252" s="63" t="str">
        <f>IFERROR(IF(VLOOKUP(K$13&amp;$B1250,Aux!$B:$M,8,0)="Да","✔","🕓"),"")</f>
        <v/>
      </c>
      <c r="S1252" s="59"/>
      <c r="T1252" s="15" t="str">
        <f>IF(T1250="","","Исполнитель"&amp;": ")</f>
        <v/>
      </c>
      <c r="U1252" s="62" t="str">
        <f>IFERROR(VLOOKUP(S$13&amp;$B1252,Aux!$B:$M,4,0),"")</f>
        <v/>
      </c>
      <c r="V1252" s="62"/>
      <c r="W1252" s="63" t="str">
        <f>IFERROR(IF(VLOOKUP(S$13&amp;$B1250,Aux!$B:$M,8,0)="Да","✔","🕓"),"")</f>
        <v/>
      </c>
      <c r="AA1252" s="59"/>
      <c r="AB1252" s="15" t="str">
        <f>IF(AB1250="","","Исполнитель"&amp;": ")</f>
        <v/>
      </c>
      <c r="AC1252" s="62" t="str">
        <f>IFERROR(VLOOKUP(AA$13&amp;$B1252,Aux!$B:$M,4,0),"")</f>
        <v/>
      </c>
      <c r="AD1252" s="62"/>
      <c r="AE1252" s="63" t="str">
        <f>IFERROR(IF(VLOOKUP(AA$13&amp;$B1250,Aux!$B:$M,8,0)="Да","✔","🕓"),"")</f>
        <v/>
      </c>
    </row>
    <row r="1253" spans="2:31" x14ac:dyDescent="0.25">
      <c r="B1253" s="53">
        <f t="shared" si="19"/>
        <v>248</v>
      </c>
      <c r="C1253" s="59"/>
      <c r="D1253" s="16" t="str">
        <f>IF(D1250="","","Срок сдачи"&amp;": ")</f>
        <v/>
      </c>
      <c r="E1253" s="64" t="str">
        <f>IFERROR(VLOOKUP(C$13&amp;$B1253,Aux!$B:$M,6,0),"")</f>
        <v/>
      </c>
      <c r="F1253" s="64"/>
      <c r="G1253" s="63"/>
      <c r="K1253" s="59"/>
      <c r="L1253" s="16" t="str">
        <f>IF(L1250="","","Срок сдачи"&amp;": ")</f>
        <v/>
      </c>
      <c r="M1253" s="64" t="str">
        <f>IFERROR(VLOOKUP(K$13&amp;$B1253,Aux!$B:$M,6,0),"")</f>
        <v/>
      </c>
      <c r="N1253" s="64"/>
      <c r="O1253" s="63"/>
      <c r="S1253" s="59"/>
      <c r="T1253" s="16" t="str">
        <f>IF(T1250="","","Срок сдачи"&amp;": ")</f>
        <v/>
      </c>
      <c r="U1253" s="64" t="str">
        <f>IFERROR(VLOOKUP(S$13&amp;$B1253,Aux!$B:$M,6,0),"")</f>
        <v/>
      </c>
      <c r="V1253" s="64"/>
      <c r="W1253" s="63"/>
      <c r="AA1253" s="59"/>
      <c r="AB1253" s="16" t="str">
        <f>IF(AB1250="","","Срок сдачи"&amp;": ")</f>
        <v/>
      </c>
      <c r="AC1253" s="64" t="str">
        <f>IFERROR(VLOOKUP(AA$13&amp;$B1253,Aux!$B:$M,6,0),"")</f>
        <v/>
      </c>
      <c r="AD1253" s="64"/>
      <c r="AE1253" s="63"/>
    </row>
    <row r="1254" spans="2:31" x14ac:dyDescent="0.25">
      <c r="B1254" s="53">
        <f t="shared" si="19"/>
        <v>248</v>
      </c>
      <c r="C1254" s="7"/>
      <c r="D1254" s="17"/>
      <c r="E1254" s="7"/>
      <c r="F1254" s="18"/>
      <c r="G1254" s="18"/>
      <c r="K1254" s="13"/>
      <c r="L1254" s="17"/>
      <c r="M1254" s="13"/>
      <c r="N1254" s="14"/>
      <c r="O1254" s="14"/>
      <c r="S1254" s="13"/>
      <c r="T1254" s="17"/>
      <c r="U1254" s="13"/>
      <c r="V1254" s="14"/>
      <c r="W1254" s="14"/>
      <c r="AA1254" s="13"/>
      <c r="AB1254" s="17"/>
      <c r="AC1254" s="13"/>
      <c r="AD1254" s="14"/>
      <c r="AE1254" s="30"/>
    </row>
    <row r="1255" spans="2:31" x14ac:dyDescent="0.25">
      <c r="B1255" s="53">
        <f t="shared" si="19"/>
        <v>249</v>
      </c>
      <c r="C1255" s="59" t="str">
        <f>IFERROR(VLOOKUP(C$13&amp;$B1259,Aux!$B:$M,5,0),"")</f>
        <v/>
      </c>
      <c r="D1255" s="60" t="str">
        <f>IFERROR(VLOOKUP(C$13&amp;$B1255,Aux!$B:$M,3,0),"")</f>
        <v/>
      </c>
      <c r="E1255" s="60"/>
      <c r="F1255" s="60"/>
      <c r="G1255" s="61" t="str">
        <f>IFERROR(VLOOKUP(C$13&amp;$B1255,Aux!$B:$M,9,0),"")</f>
        <v/>
      </c>
      <c r="K1255" s="59" t="str">
        <f>IFERROR(VLOOKUP(K$13&amp;$B1259,Aux!$B:$M,5,0),"")</f>
        <v/>
      </c>
      <c r="L1255" s="60" t="str">
        <f>IFERROR(VLOOKUP(K$13&amp;$B1255,Aux!$B:$M,3,0),"")</f>
        <v/>
      </c>
      <c r="M1255" s="60"/>
      <c r="N1255" s="60"/>
      <c r="O1255" s="61" t="str">
        <f>IFERROR(VLOOKUP(K$13&amp;$B1255,Aux!$B:$M,9,0),"")</f>
        <v/>
      </c>
      <c r="S1255" s="59" t="str">
        <f>IFERROR(VLOOKUP(S$13&amp;$B1259,Aux!$B:$M,5,0),"")</f>
        <v/>
      </c>
      <c r="T1255" s="60" t="str">
        <f>IFERROR(VLOOKUP(S$13&amp;$B1255,Aux!$B:$M,3,0),"")</f>
        <v/>
      </c>
      <c r="U1255" s="60"/>
      <c r="V1255" s="60"/>
      <c r="W1255" s="61" t="str">
        <f>IFERROR(VLOOKUP(S$13&amp;$B1255,Aux!$B:$M,9,0),"")</f>
        <v/>
      </c>
      <c r="AA1255" s="59" t="str">
        <f>IFERROR(VLOOKUP(AA$13&amp;$B1259,Aux!$B:$M,5,0),"")</f>
        <v/>
      </c>
      <c r="AB1255" s="60" t="str">
        <f>IFERROR(VLOOKUP(AA$13&amp;$B1255,Aux!$B:$M,3,0),"")</f>
        <v/>
      </c>
      <c r="AC1255" s="60"/>
      <c r="AD1255" s="60"/>
      <c r="AE1255" s="61" t="str">
        <f>IFERROR(VLOOKUP(AA$13&amp;$B1255,Aux!$B:$M,9,0),"")</f>
        <v/>
      </c>
    </row>
    <row r="1256" spans="2:31" x14ac:dyDescent="0.25">
      <c r="B1256" s="53">
        <f t="shared" si="19"/>
        <v>249</v>
      </c>
      <c r="C1256" s="59"/>
      <c r="D1256" s="60"/>
      <c r="E1256" s="60"/>
      <c r="F1256" s="60"/>
      <c r="G1256" s="61"/>
      <c r="K1256" s="59"/>
      <c r="L1256" s="60"/>
      <c r="M1256" s="60"/>
      <c r="N1256" s="60"/>
      <c r="O1256" s="61"/>
      <c r="S1256" s="59"/>
      <c r="T1256" s="60"/>
      <c r="U1256" s="60"/>
      <c r="V1256" s="60"/>
      <c r="W1256" s="61"/>
      <c r="AA1256" s="59"/>
      <c r="AB1256" s="60"/>
      <c r="AC1256" s="60"/>
      <c r="AD1256" s="60"/>
      <c r="AE1256" s="61"/>
    </row>
    <row r="1257" spans="2:31" x14ac:dyDescent="0.25">
      <c r="B1257" s="53">
        <f t="shared" si="19"/>
        <v>249</v>
      </c>
      <c r="C1257" s="59"/>
      <c r="D1257" s="15" t="str">
        <f>IF(D1255="","","Исполнитель"&amp;": ")</f>
        <v/>
      </c>
      <c r="E1257" s="62" t="str">
        <f>IFERROR(VLOOKUP(C$13&amp;$B1257,Aux!$B:$M,4,0),"")</f>
        <v/>
      </c>
      <c r="F1257" s="62"/>
      <c r="G1257" s="63" t="str">
        <f>IFERROR(IF(VLOOKUP(C$13&amp;$B1255,Aux!$B:$M,8,0)="Да","✔","🕓"),"")</f>
        <v/>
      </c>
      <c r="K1257" s="59"/>
      <c r="L1257" s="15" t="str">
        <f>IF(L1255="","","Исполнитель"&amp;": ")</f>
        <v/>
      </c>
      <c r="M1257" s="62" t="str">
        <f>IFERROR(VLOOKUP(K$13&amp;$B1257,Aux!$B:$M,4,0),"")</f>
        <v/>
      </c>
      <c r="N1257" s="62"/>
      <c r="O1257" s="63" t="str">
        <f>IFERROR(IF(VLOOKUP(K$13&amp;$B1255,Aux!$B:$M,8,0)="Да","✔","🕓"),"")</f>
        <v/>
      </c>
      <c r="S1257" s="59"/>
      <c r="T1257" s="15" t="str">
        <f>IF(T1255="","","Исполнитель"&amp;": ")</f>
        <v/>
      </c>
      <c r="U1257" s="62" t="str">
        <f>IFERROR(VLOOKUP(S$13&amp;$B1257,Aux!$B:$M,4,0),"")</f>
        <v/>
      </c>
      <c r="V1257" s="62"/>
      <c r="W1257" s="63" t="str">
        <f>IFERROR(IF(VLOOKUP(S$13&amp;$B1255,Aux!$B:$M,8,0)="Да","✔","🕓"),"")</f>
        <v/>
      </c>
      <c r="AA1257" s="59"/>
      <c r="AB1257" s="15" t="str">
        <f>IF(AB1255="","","Исполнитель"&amp;": ")</f>
        <v/>
      </c>
      <c r="AC1257" s="62" t="str">
        <f>IFERROR(VLOOKUP(AA$13&amp;$B1257,Aux!$B:$M,4,0),"")</f>
        <v/>
      </c>
      <c r="AD1257" s="62"/>
      <c r="AE1257" s="63" t="str">
        <f>IFERROR(IF(VLOOKUP(AA$13&amp;$B1255,Aux!$B:$M,8,0)="Да","✔","🕓"),"")</f>
        <v/>
      </c>
    </row>
    <row r="1258" spans="2:31" x14ac:dyDescent="0.25">
      <c r="B1258" s="53">
        <f t="shared" si="19"/>
        <v>249</v>
      </c>
      <c r="C1258" s="59"/>
      <c r="D1258" s="16" t="str">
        <f>IF(D1255="","","Срок сдачи"&amp;": ")</f>
        <v/>
      </c>
      <c r="E1258" s="64" t="str">
        <f>IFERROR(VLOOKUP(C$13&amp;$B1258,Aux!$B:$M,6,0),"")</f>
        <v/>
      </c>
      <c r="F1258" s="64"/>
      <c r="G1258" s="63"/>
      <c r="K1258" s="59"/>
      <c r="L1258" s="16" t="str">
        <f>IF(L1255="","","Срок сдачи"&amp;": ")</f>
        <v/>
      </c>
      <c r="M1258" s="64" t="str">
        <f>IFERROR(VLOOKUP(K$13&amp;$B1258,Aux!$B:$M,6,0),"")</f>
        <v/>
      </c>
      <c r="N1258" s="64"/>
      <c r="O1258" s="63"/>
      <c r="S1258" s="59"/>
      <c r="T1258" s="16" t="str">
        <f>IF(T1255="","","Срок сдачи"&amp;": ")</f>
        <v/>
      </c>
      <c r="U1258" s="64" t="str">
        <f>IFERROR(VLOOKUP(S$13&amp;$B1258,Aux!$B:$M,6,0),"")</f>
        <v/>
      </c>
      <c r="V1258" s="64"/>
      <c r="W1258" s="63"/>
      <c r="AA1258" s="59"/>
      <c r="AB1258" s="16" t="str">
        <f>IF(AB1255="","","Срок сдачи"&amp;": ")</f>
        <v/>
      </c>
      <c r="AC1258" s="64" t="str">
        <f>IFERROR(VLOOKUP(AA$13&amp;$B1258,Aux!$B:$M,6,0),"")</f>
        <v/>
      </c>
      <c r="AD1258" s="64"/>
      <c r="AE1258" s="63"/>
    </row>
    <row r="1259" spans="2:31" x14ac:dyDescent="0.25">
      <c r="B1259" s="53">
        <f t="shared" si="19"/>
        <v>249</v>
      </c>
      <c r="C1259" s="7"/>
      <c r="D1259" s="17"/>
      <c r="E1259" s="7"/>
      <c r="F1259" s="18"/>
      <c r="G1259" s="18"/>
      <c r="K1259" s="13"/>
      <c r="L1259" s="17"/>
      <c r="M1259" s="13"/>
      <c r="N1259" s="14"/>
      <c r="O1259" s="14"/>
      <c r="S1259" s="13"/>
      <c r="T1259" s="17"/>
      <c r="U1259" s="13"/>
      <c r="V1259" s="14"/>
      <c r="W1259" s="14"/>
      <c r="AA1259" s="13"/>
      <c r="AB1259" s="17"/>
      <c r="AC1259" s="13"/>
      <c r="AD1259" s="14"/>
      <c r="AE1259" s="30"/>
    </row>
    <row r="1260" spans="2:31" x14ac:dyDescent="0.25">
      <c r="B1260" s="53">
        <f t="shared" si="19"/>
        <v>250</v>
      </c>
      <c r="C1260" s="59" t="str">
        <f>IFERROR(VLOOKUP(C$13&amp;$B1264,Aux!$B:$M,5,0),"")</f>
        <v/>
      </c>
      <c r="D1260" s="60" t="str">
        <f>IFERROR(VLOOKUP(C$13&amp;$B1260,Aux!$B:$M,3,0),"")</f>
        <v/>
      </c>
      <c r="E1260" s="60"/>
      <c r="F1260" s="60"/>
      <c r="G1260" s="61" t="str">
        <f>IFERROR(VLOOKUP(C$13&amp;$B1260,Aux!$B:$M,9,0),"")</f>
        <v/>
      </c>
      <c r="K1260" s="59" t="str">
        <f>IFERROR(VLOOKUP(K$13&amp;$B1264,Aux!$B:$M,5,0),"")</f>
        <v/>
      </c>
      <c r="L1260" s="60" t="str">
        <f>IFERROR(VLOOKUP(K$13&amp;$B1260,Aux!$B:$M,3,0),"")</f>
        <v/>
      </c>
      <c r="M1260" s="60"/>
      <c r="N1260" s="60"/>
      <c r="O1260" s="61" t="str">
        <f>IFERROR(VLOOKUP(K$13&amp;$B1260,Aux!$B:$M,9,0),"")</f>
        <v/>
      </c>
      <c r="S1260" s="59" t="str">
        <f>IFERROR(VLOOKUP(S$13&amp;$B1264,Aux!$B:$M,5,0),"")</f>
        <v/>
      </c>
      <c r="T1260" s="60" t="str">
        <f>IFERROR(VLOOKUP(S$13&amp;$B1260,Aux!$B:$M,3,0),"")</f>
        <v/>
      </c>
      <c r="U1260" s="60"/>
      <c r="V1260" s="60"/>
      <c r="W1260" s="61" t="str">
        <f>IFERROR(VLOOKUP(S$13&amp;$B1260,Aux!$B:$M,9,0),"")</f>
        <v/>
      </c>
      <c r="AA1260" s="59" t="str">
        <f>IFERROR(VLOOKUP(AA$13&amp;$B1264,Aux!$B:$M,5,0),"")</f>
        <v/>
      </c>
      <c r="AB1260" s="60" t="str">
        <f>IFERROR(VLOOKUP(AA$13&amp;$B1260,Aux!$B:$M,3,0),"")</f>
        <v/>
      </c>
      <c r="AC1260" s="60"/>
      <c r="AD1260" s="60"/>
      <c r="AE1260" s="61" t="str">
        <f>IFERROR(VLOOKUP(AA$13&amp;$B1260,Aux!$B:$M,9,0),"")</f>
        <v/>
      </c>
    </row>
    <row r="1261" spans="2:31" x14ac:dyDescent="0.25">
      <c r="B1261" s="53">
        <f t="shared" si="19"/>
        <v>250</v>
      </c>
      <c r="C1261" s="59"/>
      <c r="D1261" s="60"/>
      <c r="E1261" s="60"/>
      <c r="F1261" s="60"/>
      <c r="G1261" s="61"/>
      <c r="K1261" s="59"/>
      <c r="L1261" s="60"/>
      <c r="M1261" s="60"/>
      <c r="N1261" s="60"/>
      <c r="O1261" s="61"/>
      <c r="S1261" s="59"/>
      <c r="T1261" s="60"/>
      <c r="U1261" s="60"/>
      <c r="V1261" s="60"/>
      <c r="W1261" s="61"/>
      <c r="AA1261" s="59"/>
      <c r="AB1261" s="60"/>
      <c r="AC1261" s="60"/>
      <c r="AD1261" s="60"/>
      <c r="AE1261" s="61"/>
    </row>
    <row r="1262" spans="2:31" x14ac:dyDescent="0.25">
      <c r="B1262" s="53">
        <f t="shared" si="19"/>
        <v>250</v>
      </c>
      <c r="C1262" s="59"/>
      <c r="D1262" s="15" t="str">
        <f>IF(D1260="","","Исполнитель"&amp;": ")</f>
        <v/>
      </c>
      <c r="E1262" s="62" t="str">
        <f>IFERROR(VLOOKUP(C$13&amp;$B1262,Aux!$B:$M,4,0),"")</f>
        <v/>
      </c>
      <c r="F1262" s="62"/>
      <c r="G1262" s="63" t="str">
        <f>IFERROR(IF(VLOOKUP(C$13&amp;$B1260,Aux!$B:$M,8,0)="Да","✔","🕓"),"")</f>
        <v/>
      </c>
      <c r="K1262" s="59"/>
      <c r="L1262" s="15" t="str">
        <f>IF(L1260="","","Исполнитель"&amp;": ")</f>
        <v/>
      </c>
      <c r="M1262" s="62" t="str">
        <f>IFERROR(VLOOKUP(K$13&amp;$B1262,Aux!$B:$M,4,0),"")</f>
        <v/>
      </c>
      <c r="N1262" s="62"/>
      <c r="O1262" s="63" t="str">
        <f>IFERROR(IF(VLOOKUP(K$13&amp;$B1260,Aux!$B:$M,8,0)="Да","✔","🕓"),"")</f>
        <v/>
      </c>
      <c r="S1262" s="59"/>
      <c r="T1262" s="15" t="str">
        <f>IF(T1260="","","Исполнитель"&amp;": ")</f>
        <v/>
      </c>
      <c r="U1262" s="62" t="str">
        <f>IFERROR(VLOOKUP(S$13&amp;$B1262,Aux!$B:$M,4,0),"")</f>
        <v/>
      </c>
      <c r="V1262" s="62"/>
      <c r="W1262" s="63" t="str">
        <f>IFERROR(IF(VLOOKUP(S$13&amp;$B1260,Aux!$B:$M,8,0)="Да","✔","🕓"),"")</f>
        <v/>
      </c>
      <c r="AA1262" s="59"/>
      <c r="AB1262" s="15" t="str">
        <f>IF(AB1260="","","Исполнитель"&amp;": ")</f>
        <v/>
      </c>
      <c r="AC1262" s="62" t="str">
        <f>IFERROR(VLOOKUP(AA$13&amp;$B1262,Aux!$B:$M,4,0),"")</f>
        <v/>
      </c>
      <c r="AD1262" s="62"/>
      <c r="AE1262" s="63" t="str">
        <f>IFERROR(IF(VLOOKUP(AA$13&amp;$B1260,Aux!$B:$M,8,0)="Да","✔","🕓"),"")</f>
        <v/>
      </c>
    </row>
    <row r="1263" spans="2:31" x14ac:dyDescent="0.25">
      <c r="B1263" s="53">
        <f t="shared" si="19"/>
        <v>250</v>
      </c>
      <c r="C1263" s="59"/>
      <c r="D1263" s="16" t="str">
        <f>IF(D1260="","","Срок сдачи"&amp;": ")</f>
        <v/>
      </c>
      <c r="E1263" s="64" t="str">
        <f>IFERROR(VLOOKUP(C$13&amp;$B1263,Aux!$B:$M,6,0),"")</f>
        <v/>
      </c>
      <c r="F1263" s="64"/>
      <c r="G1263" s="63"/>
      <c r="K1263" s="59"/>
      <c r="L1263" s="16" t="str">
        <f>IF(L1260="","","Срок сдачи"&amp;": ")</f>
        <v/>
      </c>
      <c r="M1263" s="64" t="str">
        <f>IFERROR(VLOOKUP(K$13&amp;$B1263,Aux!$B:$M,6,0),"")</f>
        <v/>
      </c>
      <c r="N1263" s="64"/>
      <c r="O1263" s="63"/>
      <c r="S1263" s="59"/>
      <c r="T1263" s="16" t="str">
        <f>IF(T1260="","","Срок сдачи"&amp;": ")</f>
        <v/>
      </c>
      <c r="U1263" s="64" t="str">
        <f>IFERROR(VLOOKUP(S$13&amp;$B1263,Aux!$B:$M,6,0),"")</f>
        <v/>
      </c>
      <c r="V1263" s="64"/>
      <c r="W1263" s="63"/>
      <c r="AA1263" s="59"/>
      <c r="AB1263" s="16" t="str">
        <f>IF(AB1260="","","Срок сдачи"&amp;": ")</f>
        <v/>
      </c>
      <c r="AC1263" s="64" t="str">
        <f>IFERROR(VLOOKUP(AA$13&amp;$B1263,Aux!$B:$M,6,0),"")</f>
        <v/>
      </c>
      <c r="AD1263" s="64"/>
      <c r="AE1263" s="63"/>
    </row>
    <row r="1264" spans="2:31" x14ac:dyDescent="0.25">
      <c r="B1264" s="53">
        <f t="shared" si="19"/>
        <v>250</v>
      </c>
      <c r="C1264" s="7"/>
      <c r="D1264" s="17"/>
      <c r="E1264" s="7"/>
      <c r="F1264" s="18"/>
      <c r="G1264" s="18"/>
      <c r="K1264" s="13"/>
      <c r="L1264" s="17"/>
      <c r="M1264" s="13"/>
      <c r="N1264" s="14"/>
      <c r="O1264" s="14"/>
      <c r="S1264" s="13"/>
      <c r="T1264" s="17"/>
      <c r="U1264" s="13"/>
      <c r="V1264" s="14"/>
      <c r="W1264" s="14"/>
      <c r="AA1264" s="13"/>
      <c r="AB1264" s="17"/>
      <c r="AC1264" s="13"/>
      <c r="AD1264" s="14"/>
      <c r="AE1264" s="30"/>
    </row>
    <row r="1265" spans="2:31" x14ac:dyDescent="0.25">
      <c r="B1265" s="53">
        <f t="shared" si="19"/>
        <v>251</v>
      </c>
      <c r="C1265" s="59" t="str">
        <f>IFERROR(VLOOKUP(C$13&amp;$B1269,Aux!$B:$M,5,0),"")</f>
        <v/>
      </c>
      <c r="D1265" s="60" t="str">
        <f>IFERROR(VLOOKUP(C$13&amp;$B1265,Aux!$B:$M,3,0),"")</f>
        <v/>
      </c>
      <c r="E1265" s="60"/>
      <c r="F1265" s="60"/>
      <c r="G1265" s="61" t="str">
        <f>IFERROR(VLOOKUP(C$13&amp;$B1265,Aux!$B:$M,9,0),"")</f>
        <v/>
      </c>
      <c r="K1265" s="59" t="str">
        <f>IFERROR(VLOOKUP(K$13&amp;$B1269,Aux!$B:$M,5,0),"")</f>
        <v/>
      </c>
      <c r="L1265" s="60" t="str">
        <f>IFERROR(VLOOKUP(K$13&amp;$B1265,Aux!$B:$M,3,0),"")</f>
        <v/>
      </c>
      <c r="M1265" s="60"/>
      <c r="N1265" s="60"/>
      <c r="O1265" s="61" t="str">
        <f>IFERROR(VLOOKUP(K$13&amp;$B1265,Aux!$B:$M,9,0),"")</f>
        <v/>
      </c>
      <c r="S1265" s="59" t="str">
        <f>IFERROR(VLOOKUP(S$13&amp;$B1269,Aux!$B:$M,5,0),"")</f>
        <v/>
      </c>
      <c r="T1265" s="60" t="str">
        <f>IFERROR(VLOOKUP(S$13&amp;$B1265,Aux!$B:$M,3,0),"")</f>
        <v/>
      </c>
      <c r="U1265" s="60"/>
      <c r="V1265" s="60"/>
      <c r="W1265" s="61" t="str">
        <f>IFERROR(VLOOKUP(S$13&amp;$B1265,Aux!$B:$M,9,0),"")</f>
        <v/>
      </c>
      <c r="AA1265" s="59" t="str">
        <f>IFERROR(VLOOKUP(AA$13&amp;$B1269,Aux!$B:$M,5,0),"")</f>
        <v/>
      </c>
      <c r="AB1265" s="60" t="str">
        <f>IFERROR(VLOOKUP(AA$13&amp;$B1265,Aux!$B:$M,3,0),"")</f>
        <v/>
      </c>
      <c r="AC1265" s="60"/>
      <c r="AD1265" s="60"/>
      <c r="AE1265" s="61" t="str">
        <f>IFERROR(VLOOKUP(AA$13&amp;$B1265,Aux!$B:$M,9,0),"")</f>
        <v/>
      </c>
    </row>
    <row r="1266" spans="2:31" x14ac:dyDescent="0.25">
      <c r="B1266" s="53">
        <f t="shared" si="19"/>
        <v>251</v>
      </c>
      <c r="C1266" s="59"/>
      <c r="D1266" s="60"/>
      <c r="E1266" s="60"/>
      <c r="F1266" s="60"/>
      <c r="G1266" s="61"/>
      <c r="K1266" s="59"/>
      <c r="L1266" s="60"/>
      <c r="M1266" s="60"/>
      <c r="N1266" s="60"/>
      <c r="O1266" s="61"/>
      <c r="S1266" s="59"/>
      <c r="T1266" s="60"/>
      <c r="U1266" s="60"/>
      <c r="V1266" s="60"/>
      <c r="W1266" s="61"/>
      <c r="AA1266" s="59"/>
      <c r="AB1266" s="60"/>
      <c r="AC1266" s="60"/>
      <c r="AD1266" s="60"/>
      <c r="AE1266" s="61"/>
    </row>
    <row r="1267" spans="2:31" x14ac:dyDescent="0.25">
      <c r="B1267" s="53">
        <f t="shared" si="19"/>
        <v>251</v>
      </c>
      <c r="C1267" s="59"/>
      <c r="D1267" s="15" t="str">
        <f>IF(D1265="","","Исполнитель"&amp;": ")</f>
        <v/>
      </c>
      <c r="E1267" s="62" t="str">
        <f>IFERROR(VLOOKUP(C$13&amp;$B1267,Aux!$B:$M,4,0),"")</f>
        <v/>
      </c>
      <c r="F1267" s="62"/>
      <c r="G1267" s="63" t="str">
        <f>IFERROR(IF(VLOOKUP(C$13&amp;$B1265,Aux!$B:$M,8,0)="Да","✔","🕓"),"")</f>
        <v/>
      </c>
      <c r="K1267" s="59"/>
      <c r="L1267" s="15" t="str">
        <f>IF(L1265="","","Исполнитель"&amp;": ")</f>
        <v/>
      </c>
      <c r="M1267" s="62" t="str">
        <f>IFERROR(VLOOKUP(K$13&amp;$B1267,Aux!$B:$M,4,0),"")</f>
        <v/>
      </c>
      <c r="N1267" s="62"/>
      <c r="O1267" s="63" t="str">
        <f>IFERROR(IF(VLOOKUP(K$13&amp;$B1265,Aux!$B:$M,8,0)="Да","✔","🕓"),"")</f>
        <v/>
      </c>
      <c r="S1267" s="59"/>
      <c r="T1267" s="15" t="str">
        <f>IF(T1265="","","Исполнитель"&amp;": ")</f>
        <v/>
      </c>
      <c r="U1267" s="62" t="str">
        <f>IFERROR(VLOOKUP(S$13&amp;$B1267,Aux!$B:$M,4,0),"")</f>
        <v/>
      </c>
      <c r="V1267" s="62"/>
      <c r="W1267" s="63" t="str">
        <f>IFERROR(IF(VLOOKUP(S$13&amp;$B1265,Aux!$B:$M,8,0)="Да","✔","🕓"),"")</f>
        <v/>
      </c>
      <c r="AA1267" s="59"/>
      <c r="AB1267" s="15" t="str">
        <f>IF(AB1265="","","Исполнитель"&amp;": ")</f>
        <v/>
      </c>
      <c r="AC1267" s="62" t="str">
        <f>IFERROR(VLOOKUP(AA$13&amp;$B1267,Aux!$B:$M,4,0),"")</f>
        <v/>
      </c>
      <c r="AD1267" s="62"/>
      <c r="AE1267" s="63" t="str">
        <f>IFERROR(IF(VLOOKUP(AA$13&amp;$B1265,Aux!$B:$M,8,0)="Да","✔","🕓"),"")</f>
        <v/>
      </c>
    </row>
    <row r="1268" spans="2:31" x14ac:dyDescent="0.25">
      <c r="B1268" s="53">
        <f t="shared" si="19"/>
        <v>251</v>
      </c>
      <c r="C1268" s="59"/>
      <c r="D1268" s="16" t="str">
        <f>IF(D1265="","","Срок сдачи"&amp;": ")</f>
        <v/>
      </c>
      <c r="E1268" s="64" t="str">
        <f>IFERROR(VLOOKUP(C$13&amp;$B1268,Aux!$B:$M,6,0),"")</f>
        <v/>
      </c>
      <c r="F1268" s="64"/>
      <c r="G1268" s="63"/>
      <c r="K1268" s="59"/>
      <c r="L1268" s="16" t="str">
        <f>IF(L1265="","","Срок сдачи"&amp;": ")</f>
        <v/>
      </c>
      <c r="M1268" s="64" t="str">
        <f>IFERROR(VLOOKUP(K$13&amp;$B1268,Aux!$B:$M,6,0),"")</f>
        <v/>
      </c>
      <c r="N1268" s="64"/>
      <c r="O1268" s="63"/>
      <c r="S1268" s="59"/>
      <c r="T1268" s="16" t="str">
        <f>IF(T1265="","","Срок сдачи"&amp;": ")</f>
        <v/>
      </c>
      <c r="U1268" s="64" t="str">
        <f>IFERROR(VLOOKUP(S$13&amp;$B1268,Aux!$B:$M,6,0),"")</f>
        <v/>
      </c>
      <c r="V1268" s="64"/>
      <c r="W1268" s="63"/>
      <c r="AA1268" s="59"/>
      <c r="AB1268" s="16" t="str">
        <f>IF(AB1265="","","Срок сдачи"&amp;": ")</f>
        <v/>
      </c>
      <c r="AC1268" s="64" t="str">
        <f>IFERROR(VLOOKUP(AA$13&amp;$B1268,Aux!$B:$M,6,0),"")</f>
        <v/>
      </c>
      <c r="AD1268" s="64"/>
      <c r="AE1268" s="63"/>
    </row>
    <row r="1269" spans="2:31" x14ac:dyDescent="0.25">
      <c r="B1269" s="53">
        <f t="shared" si="19"/>
        <v>251</v>
      </c>
      <c r="C1269" s="7"/>
      <c r="D1269" s="17"/>
      <c r="E1269" s="7"/>
      <c r="F1269" s="18"/>
      <c r="G1269" s="18"/>
      <c r="K1269" s="13"/>
      <c r="L1269" s="17"/>
      <c r="M1269" s="13"/>
      <c r="N1269" s="14"/>
      <c r="O1269" s="14"/>
      <c r="S1269" s="13"/>
      <c r="T1269" s="17"/>
      <c r="U1269" s="13"/>
      <c r="V1269" s="14"/>
      <c r="W1269" s="14"/>
      <c r="AA1269" s="13"/>
      <c r="AB1269" s="17"/>
      <c r="AC1269" s="13"/>
      <c r="AD1269" s="14"/>
      <c r="AE1269" s="30"/>
    </row>
    <row r="1270" spans="2:31" x14ac:dyDescent="0.25">
      <c r="B1270" s="53">
        <f t="shared" si="19"/>
        <v>252</v>
      </c>
      <c r="C1270" s="59" t="str">
        <f>IFERROR(VLOOKUP(C$13&amp;$B1274,Aux!$B:$M,5,0),"")</f>
        <v/>
      </c>
      <c r="D1270" s="60" t="str">
        <f>IFERROR(VLOOKUP(C$13&amp;$B1270,Aux!$B:$M,3,0),"")</f>
        <v/>
      </c>
      <c r="E1270" s="60"/>
      <c r="F1270" s="60"/>
      <c r="G1270" s="61" t="str">
        <f>IFERROR(VLOOKUP(C$13&amp;$B1270,Aux!$B:$M,9,0),"")</f>
        <v/>
      </c>
      <c r="K1270" s="59" t="str">
        <f>IFERROR(VLOOKUP(K$13&amp;$B1274,Aux!$B:$M,5,0),"")</f>
        <v/>
      </c>
      <c r="L1270" s="60" t="str">
        <f>IFERROR(VLOOKUP(K$13&amp;$B1270,Aux!$B:$M,3,0),"")</f>
        <v/>
      </c>
      <c r="M1270" s="60"/>
      <c r="N1270" s="60"/>
      <c r="O1270" s="61" t="str">
        <f>IFERROR(VLOOKUP(K$13&amp;$B1270,Aux!$B:$M,9,0),"")</f>
        <v/>
      </c>
      <c r="S1270" s="59" t="str">
        <f>IFERROR(VLOOKUP(S$13&amp;$B1274,Aux!$B:$M,5,0),"")</f>
        <v/>
      </c>
      <c r="T1270" s="60" t="str">
        <f>IFERROR(VLOOKUP(S$13&amp;$B1270,Aux!$B:$M,3,0),"")</f>
        <v/>
      </c>
      <c r="U1270" s="60"/>
      <c r="V1270" s="60"/>
      <c r="W1270" s="61" t="str">
        <f>IFERROR(VLOOKUP(S$13&amp;$B1270,Aux!$B:$M,9,0),"")</f>
        <v/>
      </c>
      <c r="AA1270" s="59" t="str">
        <f>IFERROR(VLOOKUP(AA$13&amp;$B1274,Aux!$B:$M,5,0),"")</f>
        <v/>
      </c>
      <c r="AB1270" s="60" t="str">
        <f>IFERROR(VLOOKUP(AA$13&amp;$B1270,Aux!$B:$M,3,0),"")</f>
        <v/>
      </c>
      <c r="AC1270" s="60"/>
      <c r="AD1270" s="60"/>
      <c r="AE1270" s="61" t="str">
        <f>IFERROR(VLOOKUP(AA$13&amp;$B1270,Aux!$B:$M,9,0),"")</f>
        <v/>
      </c>
    </row>
    <row r="1271" spans="2:31" x14ac:dyDescent="0.25">
      <c r="B1271" s="53">
        <f t="shared" si="19"/>
        <v>252</v>
      </c>
      <c r="C1271" s="59"/>
      <c r="D1271" s="60"/>
      <c r="E1271" s="60"/>
      <c r="F1271" s="60"/>
      <c r="G1271" s="61"/>
      <c r="K1271" s="59"/>
      <c r="L1271" s="60"/>
      <c r="M1271" s="60"/>
      <c r="N1271" s="60"/>
      <c r="O1271" s="61"/>
      <c r="S1271" s="59"/>
      <c r="T1271" s="60"/>
      <c r="U1271" s="60"/>
      <c r="V1271" s="60"/>
      <c r="W1271" s="61"/>
      <c r="AA1271" s="59"/>
      <c r="AB1271" s="60"/>
      <c r="AC1271" s="60"/>
      <c r="AD1271" s="60"/>
      <c r="AE1271" s="61"/>
    </row>
    <row r="1272" spans="2:31" x14ac:dyDescent="0.25">
      <c r="B1272" s="53">
        <f t="shared" si="19"/>
        <v>252</v>
      </c>
      <c r="C1272" s="59"/>
      <c r="D1272" s="15" t="str">
        <f>IF(D1270="","","Исполнитель"&amp;": ")</f>
        <v/>
      </c>
      <c r="E1272" s="62" t="str">
        <f>IFERROR(VLOOKUP(C$13&amp;$B1272,Aux!$B:$M,4,0),"")</f>
        <v/>
      </c>
      <c r="F1272" s="62"/>
      <c r="G1272" s="63" t="str">
        <f>IFERROR(IF(VLOOKUP(C$13&amp;$B1270,Aux!$B:$M,8,0)="Да","✔","🕓"),"")</f>
        <v/>
      </c>
      <c r="K1272" s="59"/>
      <c r="L1272" s="15" t="str">
        <f>IF(L1270="","","Исполнитель"&amp;": ")</f>
        <v/>
      </c>
      <c r="M1272" s="62" t="str">
        <f>IFERROR(VLOOKUP(K$13&amp;$B1272,Aux!$B:$M,4,0),"")</f>
        <v/>
      </c>
      <c r="N1272" s="62"/>
      <c r="O1272" s="63" t="str">
        <f>IFERROR(IF(VLOOKUP(K$13&amp;$B1270,Aux!$B:$M,8,0)="Да","✔","🕓"),"")</f>
        <v/>
      </c>
      <c r="S1272" s="59"/>
      <c r="T1272" s="15" t="str">
        <f>IF(T1270="","","Исполнитель"&amp;": ")</f>
        <v/>
      </c>
      <c r="U1272" s="62" t="str">
        <f>IFERROR(VLOOKUP(S$13&amp;$B1272,Aux!$B:$M,4,0),"")</f>
        <v/>
      </c>
      <c r="V1272" s="62"/>
      <c r="W1272" s="63" t="str">
        <f>IFERROR(IF(VLOOKUP(S$13&amp;$B1270,Aux!$B:$M,8,0)="Да","✔","🕓"),"")</f>
        <v/>
      </c>
      <c r="AA1272" s="59"/>
      <c r="AB1272" s="15" t="str">
        <f>IF(AB1270="","","Исполнитель"&amp;": ")</f>
        <v/>
      </c>
      <c r="AC1272" s="62" t="str">
        <f>IFERROR(VLOOKUP(AA$13&amp;$B1272,Aux!$B:$M,4,0),"")</f>
        <v/>
      </c>
      <c r="AD1272" s="62"/>
      <c r="AE1272" s="63" t="str">
        <f>IFERROR(IF(VLOOKUP(AA$13&amp;$B1270,Aux!$B:$M,8,0)="Да","✔","🕓"),"")</f>
        <v/>
      </c>
    </row>
    <row r="1273" spans="2:31" x14ac:dyDescent="0.25">
      <c r="B1273" s="53">
        <f t="shared" si="19"/>
        <v>252</v>
      </c>
      <c r="C1273" s="59"/>
      <c r="D1273" s="16" t="str">
        <f>IF(D1270="","","Срок сдачи"&amp;": ")</f>
        <v/>
      </c>
      <c r="E1273" s="64" t="str">
        <f>IFERROR(VLOOKUP(C$13&amp;$B1273,Aux!$B:$M,6,0),"")</f>
        <v/>
      </c>
      <c r="F1273" s="64"/>
      <c r="G1273" s="63"/>
      <c r="K1273" s="59"/>
      <c r="L1273" s="16" t="str">
        <f>IF(L1270="","","Срок сдачи"&amp;": ")</f>
        <v/>
      </c>
      <c r="M1273" s="64" t="str">
        <f>IFERROR(VLOOKUP(K$13&amp;$B1273,Aux!$B:$M,6,0),"")</f>
        <v/>
      </c>
      <c r="N1273" s="64"/>
      <c r="O1273" s="63"/>
      <c r="S1273" s="59"/>
      <c r="T1273" s="16" t="str">
        <f>IF(T1270="","","Срок сдачи"&amp;": ")</f>
        <v/>
      </c>
      <c r="U1273" s="64" t="str">
        <f>IFERROR(VLOOKUP(S$13&amp;$B1273,Aux!$B:$M,6,0),"")</f>
        <v/>
      </c>
      <c r="V1273" s="64"/>
      <c r="W1273" s="63"/>
      <c r="AA1273" s="59"/>
      <c r="AB1273" s="16" t="str">
        <f>IF(AB1270="","","Срок сдачи"&amp;": ")</f>
        <v/>
      </c>
      <c r="AC1273" s="64" t="str">
        <f>IFERROR(VLOOKUP(AA$13&amp;$B1273,Aux!$B:$M,6,0),"")</f>
        <v/>
      </c>
      <c r="AD1273" s="64"/>
      <c r="AE1273" s="63"/>
    </row>
    <row r="1274" spans="2:31" x14ac:dyDescent="0.25">
      <c r="B1274" s="53">
        <f t="shared" si="19"/>
        <v>252</v>
      </c>
      <c r="C1274" s="7"/>
      <c r="D1274" s="17"/>
      <c r="E1274" s="7"/>
      <c r="F1274" s="18"/>
      <c r="G1274" s="18"/>
      <c r="K1274" s="13"/>
      <c r="L1274" s="17"/>
      <c r="M1274" s="13"/>
      <c r="N1274" s="14"/>
      <c r="O1274" s="14"/>
      <c r="S1274" s="13"/>
      <c r="T1274" s="17"/>
      <c r="U1274" s="13"/>
      <c r="V1274" s="14"/>
      <c r="W1274" s="14"/>
      <c r="AA1274" s="13"/>
      <c r="AB1274" s="17"/>
      <c r="AC1274" s="13"/>
      <c r="AD1274" s="14"/>
      <c r="AE1274" s="30"/>
    </row>
    <row r="1275" spans="2:31" x14ac:dyDescent="0.25">
      <c r="B1275" s="53">
        <f t="shared" si="19"/>
        <v>253</v>
      </c>
      <c r="C1275" s="59" t="str">
        <f>IFERROR(VLOOKUP(C$13&amp;$B1279,Aux!$B:$M,5,0),"")</f>
        <v/>
      </c>
      <c r="D1275" s="60" t="str">
        <f>IFERROR(VLOOKUP(C$13&amp;$B1275,Aux!$B:$M,3,0),"")</f>
        <v/>
      </c>
      <c r="E1275" s="60"/>
      <c r="F1275" s="60"/>
      <c r="G1275" s="61" t="str">
        <f>IFERROR(VLOOKUP(C$13&amp;$B1275,Aux!$B:$M,9,0),"")</f>
        <v/>
      </c>
      <c r="K1275" s="59" t="str">
        <f>IFERROR(VLOOKUP(K$13&amp;$B1279,Aux!$B:$M,5,0),"")</f>
        <v/>
      </c>
      <c r="L1275" s="60" t="str">
        <f>IFERROR(VLOOKUP(K$13&amp;$B1275,Aux!$B:$M,3,0),"")</f>
        <v/>
      </c>
      <c r="M1275" s="60"/>
      <c r="N1275" s="60"/>
      <c r="O1275" s="61" t="str">
        <f>IFERROR(VLOOKUP(K$13&amp;$B1275,Aux!$B:$M,9,0),"")</f>
        <v/>
      </c>
      <c r="S1275" s="59" t="str">
        <f>IFERROR(VLOOKUP(S$13&amp;$B1279,Aux!$B:$M,5,0),"")</f>
        <v/>
      </c>
      <c r="T1275" s="60" t="str">
        <f>IFERROR(VLOOKUP(S$13&amp;$B1275,Aux!$B:$M,3,0),"")</f>
        <v/>
      </c>
      <c r="U1275" s="60"/>
      <c r="V1275" s="60"/>
      <c r="W1275" s="61" t="str">
        <f>IFERROR(VLOOKUP(S$13&amp;$B1275,Aux!$B:$M,9,0),"")</f>
        <v/>
      </c>
      <c r="AA1275" s="59" t="str">
        <f>IFERROR(VLOOKUP(AA$13&amp;$B1279,Aux!$B:$M,5,0),"")</f>
        <v/>
      </c>
      <c r="AB1275" s="60" t="str">
        <f>IFERROR(VLOOKUP(AA$13&amp;$B1275,Aux!$B:$M,3,0),"")</f>
        <v/>
      </c>
      <c r="AC1275" s="60"/>
      <c r="AD1275" s="60"/>
      <c r="AE1275" s="61" t="str">
        <f>IFERROR(VLOOKUP(AA$13&amp;$B1275,Aux!$B:$M,9,0),"")</f>
        <v/>
      </c>
    </row>
    <row r="1276" spans="2:31" x14ac:dyDescent="0.25">
      <c r="B1276" s="53">
        <f t="shared" si="19"/>
        <v>253</v>
      </c>
      <c r="C1276" s="59"/>
      <c r="D1276" s="60"/>
      <c r="E1276" s="60"/>
      <c r="F1276" s="60"/>
      <c r="G1276" s="61"/>
      <c r="K1276" s="59"/>
      <c r="L1276" s="60"/>
      <c r="M1276" s="60"/>
      <c r="N1276" s="60"/>
      <c r="O1276" s="61"/>
      <c r="S1276" s="59"/>
      <c r="T1276" s="60"/>
      <c r="U1276" s="60"/>
      <c r="V1276" s="60"/>
      <c r="W1276" s="61"/>
      <c r="AA1276" s="59"/>
      <c r="AB1276" s="60"/>
      <c r="AC1276" s="60"/>
      <c r="AD1276" s="60"/>
      <c r="AE1276" s="61"/>
    </row>
    <row r="1277" spans="2:31" x14ac:dyDescent="0.25">
      <c r="B1277" s="53">
        <f t="shared" si="19"/>
        <v>253</v>
      </c>
      <c r="C1277" s="59"/>
      <c r="D1277" s="15" t="str">
        <f>IF(D1275="","","Исполнитель"&amp;": ")</f>
        <v/>
      </c>
      <c r="E1277" s="62" t="str">
        <f>IFERROR(VLOOKUP(C$13&amp;$B1277,Aux!$B:$M,4,0),"")</f>
        <v/>
      </c>
      <c r="F1277" s="62"/>
      <c r="G1277" s="63" t="str">
        <f>IFERROR(IF(VLOOKUP(C$13&amp;$B1275,Aux!$B:$M,8,0)="Да","✔","🕓"),"")</f>
        <v/>
      </c>
      <c r="K1277" s="59"/>
      <c r="L1277" s="15" t="str">
        <f>IF(L1275="","","Исполнитель"&amp;": ")</f>
        <v/>
      </c>
      <c r="M1277" s="62" t="str">
        <f>IFERROR(VLOOKUP(K$13&amp;$B1277,Aux!$B:$M,4,0),"")</f>
        <v/>
      </c>
      <c r="N1277" s="62"/>
      <c r="O1277" s="63" t="str">
        <f>IFERROR(IF(VLOOKUP(K$13&amp;$B1275,Aux!$B:$M,8,0)="Да","✔","🕓"),"")</f>
        <v/>
      </c>
      <c r="S1277" s="59"/>
      <c r="T1277" s="15" t="str">
        <f>IF(T1275="","","Исполнитель"&amp;": ")</f>
        <v/>
      </c>
      <c r="U1277" s="62" t="str">
        <f>IFERROR(VLOOKUP(S$13&amp;$B1277,Aux!$B:$M,4,0),"")</f>
        <v/>
      </c>
      <c r="V1277" s="62"/>
      <c r="W1277" s="63" t="str">
        <f>IFERROR(IF(VLOOKUP(S$13&amp;$B1275,Aux!$B:$M,8,0)="Да","✔","🕓"),"")</f>
        <v/>
      </c>
      <c r="AA1277" s="59"/>
      <c r="AB1277" s="15" t="str">
        <f>IF(AB1275="","","Исполнитель"&amp;": ")</f>
        <v/>
      </c>
      <c r="AC1277" s="62" t="str">
        <f>IFERROR(VLOOKUP(AA$13&amp;$B1277,Aux!$B:$M,4,0),"")</f>
        <v/>
      </c>
      <c r="AD1277" s="62"/>
      <c r="AE1277" s="63" t="str">
        <f>IFERROR(IF(VLOOKUP(AA$13&amp;$B1275,Aux!$B:$M,8,0)="Да","✔","🕓"),"")</f>
        <v/>
      </c>
    </row>
    <row r="1278" spans="2:31" x14ac:dyDescent="0.25">
      <c r="B1278" s="53">
        <f t="shared" si="19"/>
        <v>253</v>
      </c>
      <c r="C1278" s="59"/>
      <c r="D1278" s="16" t="str">
        <f>IF(D1275="","","Срок сдачи"&amp;": ")</f>
        <v/>
      </c>
      <c r="E1278" s="64" t="str">
        <f>IFERROR(VLOOKUP(C$13&amp;$B1278,Aux!$B:$M,6,0),"")</f>
        <v/>
      </c>
      <c r="F1278" s="64"/>
      <c r="G1278" s="63"/>
      <c r="K1278" s="59"/>
      <c r="L1278" s="16" t="str">
        <f>IF(L1275="","","Срок сдачи"&amp;": ")</f>
        <v/>
      </c>
      <c r="M1278" s="64" t="str">
        <f>IFERROR(VLOOKUP(K$13&amp;$B1278,Aux!$B:$M,6,0),"")</f>
        <v/>
      </c>
      <c r="N1278" s="64"/>
      <c r="O1278" s="63"/>
      <c r="S1278" s="59"/>
      <c r="T1278" s="16" t="str">
        <f>IF(T1275="","","Срок сдачи"&amp;": ")</f>
        <v/>
      </c>
      <c r="U1278" s="64" t="str">
        <f>IFERROR(VLOOKUP(S$13&amp;$B1278,Aux!$B:$M,6,0),"")</f>
        <v/>
      </c>
      <c r="V1278" s="64"/>
      <c r="W1278" s="63"/>
      <c r="AA1278" s="59"/>
      <c r="AB1278" s="16" t="str">
        <f>IF(AB1275="","","Срок сдачи"&amp;": ")</f>
        <v/>
      </c>
      <c r="AC1278" s="64" t="str">
        <f>IFERROR(VLOOKUP(AA$13&amp;$B1278,Aux!$B:$M,6,0),"")</f>
        <v/>
      </c>
      <c r="AD1278" s="64"/>
      <c r="AE1278" s="63"/>
    </row>
    <row r="1279" spans="2:31" x14ac:dyDescent="0.25">
      <c r="B1279" s="53">
        <f t="shared" si="19"/>
        <v>253</v>
      </c>
      <c r="C1279" s="7"/>
      <c r="D1279" s="17"/>
      <c r="E1279" s="7"/>
      <c r="F1279" s="18"/>
      <c r="G1279" s="18"/>
      <c r="K1279" s="13"/>
      <c r="L1279" s="17"/>
      <c r="M1279" s="13"/>
      <c r="N1279" s="14"/>
      <c r="O1279" s="14"/>
      <c r="S1279" s="13"/>
      <c r="T1279" s="17"/>
      <c r="U1279" s="13"/>
      <c r="V1279" s="14"/>
      <c r="W1279" s="14"/>
      <c r="AA1279" s="13"/>
      <c r="AB1279" s="17"/>
      <c r="AC1279" s="13"/>
      <c r="AD1279" s="14"/>
      <c r="AE1279" s="30"/>
    </row>
    <row r="1280" spans="2:31" x14ac:dyDescent="0.25">
      <c r="B1280" s="53">
        <f t="shared" si="19"/>
        <v>254</v>
      </c>
      <c r="C1280" s="59" t="str">
        <f>IFERROR(VLOOKUP(C$13&amp;$B1284,Aux!$B:$M,5,0),"")</f>
        <v/>
      </c>
      <c r="D1280" s="60" t="str">
        <f>IFERROR(VLOOKUP(C$13&amp;$B1280,Aux!$B:$M,3,0),"")</f>
        <v/>
      </c>
      <c r="E1280" s="60"/>
      <c r="F1280" s="60"/>
      <c r="G1280" s="61" t="str">
        <f>IFERROR(VLOOKUP(C$13&amp;$B1280,Aux!$B:$M,9,0),"")</f>
        <v/>
      </c>
      <c r="K1280" s="59" t="str">
        <f>IFERROR(VLOOKUP(K$13&amp;$B1284,Aux!$B:$M,5,0),"")</f>
        <v/>
      </c>
      <c r="L1280" s="60" t="str">
        <f>IFERROR(VLOOKUP(K$13&amp;$B1280,Aux!$B:$M,3,0),"")</f>
        <v/>
      </c>
      <c r="M1280" s="60"/>
      <c r="N1280" s="60"/>
      <c r="O1280" s="61" t="str">
        <f>IFERROR(VLOOKUP(K$13&amp;$B1280,Aux!$B:$M,9,0),"")</f>
        <v/>
      </c>
      <c r="S1280" s="59" t="str">
        <f>IFERROR(VLOOKUP(S$13&amp;$B1284,Aux!$B:$M,5,0),"")</f>
        <v/>
      </c>
      <c r="T1280" s="60" t="str">
        <f>IFERROR(VLOOKUP(S$13&amp;$B1280,Aux!$B:$M,3,0),"")</f>
        <v/>
      </c>
      <c r="U1280" s="60"/>
      <c r="V1280" s="60"/>
      <c r="W1280" s="61" t="str">
        <f>IFERROR(VLOOKUP(S$13&amp;$B1280,Aux!$B:$M,9,0),"")</f>
        <v/>
      </c>
      <c r="AA1280" s="59" t="str">
        <f>IFERROR(VLOOKUP(AA$13&amp;$B1284,Aux!$B:$M,5,0),"")</f>
        <v/>
      </c>
      <c r="AB1280" s="60" t="str">
        <f>IFERROR(VLOOKUP(AA$13&amp;$B1280,Aux!$B:$M,3,0),"")</f>
        <v/>
      </c>
      <c r="AC1280" s="60"/>
      <c r="AD1280" s="60"/>
      <c r="AE1280" s="61" t="str">
        <f>IFERROR(VLOOKUP(AA$13&amp;$B1280,Aux!$B:$M,9,0),"")</f>
        <v/>
      </c>
    </row>
    <row r="1281" spans="2:31" x14ac:dyDescent="0.25">
      <c r="B1281" s="53">
        <f t="shared" si="19"/>
        <v>254</v>
      </c>
      <c r="C1281" s="59"/>
      <c r="D1281" s="60"/>
      <c r="E1281" s="60"/>
      <c r="F1281" s="60"/>
      <c r="G1281" s="61"/>
      <c r="K1281" s="59"/>
      <c r="L1281" s="60"/>
      <c r="M1281" s="60"/>
      <c r="N1281" s="60"/>
      <c r="O1281" s="61"/>
      <c r="S1281" s="59"/>
      <c r="T1281" s="60"/>
      <c r="U1281" s="60"/>
      <c r="V1281" s="60"/>
      <c r="W1281" s="61"/>
      <c r="AA1281" s="59"/>
      <c r="AB1281" s="60"/>
      <c r="AC1281" s="60"/>
      <c r="AD1281" s="60"/>
      <c r="AE1281" s="61"/>
    </row>
    <row r="1282" spans="2:31" x14ac:dyDescent="0.25">
      <c r="B1282" s="53">
        <f t="shared" si="19"/>
        <v>254</v>
      </c>
      <c r="C1282" s="59"/>
      <c r="D1282" s="15" t="str">
        <f>IF(D1280="","","Исполнитель"&amp;": ")</f>
        <v/>
      </c>
      <c r="E1282" s="62" t="str">
        <f>IFERROR(VLOOKUP(C$13&amp;$B1282,Aux!$B:$M,4,0),"")</f>
        <v/>
      </c>
      <c r="F1282" s="62"/>
      <c r="G1282" s="63" t="str">
        <f>IFERROR(IF(VLOOKUP(C$13&amp;$B1280,Aux!$B:$M,8,0)="Да","✔","🕓"),"")</f>
        <v/>
      </c>
      <c r="K1282" s="59"/>
      <c r="L1282" s="15" t="str">
        <f>IF(L1280="","","Исполнитель"&amp;": ")</f>
        <v/>
      </c>
      <c r="M1282" s="62" t="str">
        <f>IFERROR(VLOOKUP(K$13&amp;$B1282,Aux!$B:$M,4,0),"")</f>
        <v/>
      </c>
      <c r="N1282" s="62"/>
      <c r="O1282" s="63" t="str">
        <f>IFERROR(IF(VLOOKUP(K$13&amp;$B1280,Aux!$B:$M,8,0)="Да","✔","🕓"),"")</f>
        <v/>
      </c>
      <c r="S1282" s="59"/>
      <c r="T1282" s="15" t="str">
        <f>IF(T1280="","","Исполнитель"&amp;": ")</f>
        <v/>
      </c>
      <c r="U1282" s="62" t="str">
        <f>IFERROR(VLOOKUP(S$13&amp;$B1282,Aux!$B:$M,4,0),"")</f>
        <v/>
      </c>
      <c r="V1282" s="62"/>
      <c r="W1282" s="63" t="str">
        <f>IFERROR(IF(VLOOKUP(S$13&amp;$B1280,Aux!$B:$M,8,0)="Да","✔","🕓"),"")</f>
        <v/>
      </c>
      <c r="AA1282" s="59"/>
      <c r="AB1282" s="15" t="str">
        <f>IF(AB1280="","","Исполнитель"&amp;": ")</f>
        <v/>
      </c>
      <c r="AC1282" s="62" t="str">
        <f>IFERROR(VLOOKUP(AA$13&amp;$B1282,Aux!$B:$M,4,0),"")</f>
        <v/>
      </c>
      <c r="AD1282" s="62"/>
      <c r="AE1282" s="63" t="str">
        <f>IFERROR(IF(VLOOKUP(AA$13&amp;$B1280,Aux!$B:$M,8,0)="Да","✔","🕓"),"")</f>
        <v/>
      </c>
    </row>
    <row r="1283" spans="2:31" x14ac:dyDescent="0.25">
      <c r="B1283" s="53">
        <f t="shared" si="19"/>
        <v>254</v>
      </c>
      <c r="C1283" s="59"/>
      <c r="D1283" s="16" t="str">
        <f>IF(D1280="","","Срок сдачи"&amp;": ")</f>
        <v/>
      </c>
      <c r="E1283" s="64" t="str">
        <f>IFERROR(VLOOKUP(C$13&amp;$B1283,Aux!$B:$M,6,0),"")</f>
        <v/>
      </c>
      <c r="F1283" s="64"/>
      <c r="G1283" s="63"/>
      <c r="K1283" s="59"/>
      <c r="L1283" s="16" t="str">
        <f>IF(L1280="","","Срок сдачи"&amp;": ")</f>
        <v/>
      </c>
      <c r="M1283" s="64" t="str">
        <f>IFERROR(VLOOKUP(K$13&amp;$B1283,Aux!$B:$M,6,0),"")</f>
        <v/>
      </c>
      <c r="N1283" s="64"/>
      <c r="O1283" s="63"/>
      <c r="S1283" s="59"/>
      <c r="T1283" s="16" t="str">
        <f>IF(T1280="","","Срок сдачи"&amp;": ")</f>
        <v/>
      </c>
      <c r="U1283" s="64" t="str">
        <f>IFERROR(VLOOKUP(S$13&amp;$B1283,Aux!$B:$M,6,0),"")</f>
        <v/>
      </c>
      <c r="V1283" s="64"/>
      <c r="W1283" s="63"/>
      <c r="AA1283" s="59"/>
      <c r="AB1283" s="16" t="str">
        <f>IF(AB1280="","","Срок сдачи"&amp;": ")</f>
        <v/>
      </c>
      <c r="AC1283" s="64" t="str">
        <f>IFERROR(VLOOKUP(AA$13&amp;$B1283,Aux!$B:$M,6,0),"")</f>
        <v/>
      </c>
      <c r="AD1283" s="64"/>
      <c r="AE1283" s="63"/>
    </row>
    <row r="1284" spans="2:31" x14ac:dyDescent="0.25">
      <c r="B1284" s="53">
        <f t="shared" si="19"/>
        <v>254</v>
      </c>
      <c r="C1284" s="7"/>
      <c r="D1284" s="17"/>
      <c r="E1284" s="7"/>
      <c r="F1284" s="18"/>
      <c r="G1284" s="18"/>
      <c r="K1284" s="13"/>
      <c r="L1284" s="17"/>
      <c r="M1284" s="13"/>
      <c r="N1284" s="14"/>
      <c r="O1284" s="14"/>
      <c r="S1284" s="13"/>
      <c r="T1284" s="17"/>
      <c r="U1284" s="13"/>
      <c r="V1284" s="14"/>
      <c r="W1284" s="14"/>
      <c r="AA1284" s="13"/>
      <c r="AB1284" s="17"/>
      <c r="AC1284" s="13"/>
      <c r="AD1284" s="14"/>
      <c r="AE1284" s="30"/>
    </row>
    <row r="1285" spans="2:31" x14ac:dyDescent="0.25">
      <c r="B1285" s="53">
        <f t="shared" si="19"/>
        <v>255</v>
      </c>
      <c r="C1285" s="59" t="str">
        <f>IFERROR(VLOOKUP(C$13&amp;$B1289,Aux!$B:$M,5,0),"")</f>
        <v/>
      </c>
      <c r="D1285" s="60" t="str">
        <f>IFERROR(VLOOKUP(C$13&amp;$B1285,Aux!$B:$M,3,0),"")</f>
        <v/>
      </c>
      <c r="E1285" s="60"/>
      <c r="F1285" s="60"/>
      <c r="G1285" s="61" t="str">
        <f>IFERROR(VLOOKUP(C$13&amp;$B1285,Aux!$B:$M,9,0),"")</f>
        <v/>
      </c>
      <c r="K1285" s="59" t="str">
        <f>IFERROR(VLOOKUP(K$13&amp;$B1289,Aux!$B:$M,5,0),"")</f>
        <v/>
      </c>
      <c r="L1285" s="60" t="str">
        <f>IFERROR(VLOOKUP(K$13&amp;$B1285,Aux!$B:$M,3,0),"")</f>
        <v/>
      </c>
      <c r="M1285" s="60"/>
      <c r="N1285" s="60"/>
      <c r="O1285" s="61" t="str">
        <f>IFERROR(VLOOKUP(K$13&amp;$B1285,Aux!$B:$M,9,0),"")</f>
        <v/>
      </c>
      <c r="S1285" s="59" t="str">
        <f>IFERROR(VLOOKUP(S$13&amp;$B1289,Aux!$B:$M,5,0),"")</f>
        <v/>
      </c>
      <c r="T1285" s="60" t="str">
        <f>IFERROR(VLOOKUP(S$13&amp;$B1285,Aux!$B:$M,3,0),"")</f>
        <v/>
      </c>
      <c r="U1285" s="60"/>
      <c r="V1285" s="60"/>
      <c r="W1285" s="61" t="str">
        <f>IFERROR(VLOOKUP(S$13&amp;$B1285,Aux!$B:$M,9,0),"")</f>
        <v/>
      </c>
      <c r="AA1285" s="59" t="str">
        <f>IFERROR(VLOOKUP(AA$13&amp;$B1289,Aux!$B:$M,5,0),"")</f>
        <v/>
      </c>
      <c r="AB1285" s="60" t="str">
        <f>IFERROR(VLOOKUP(AA$13&amp;$B1285,Aux!$B:$M,3,0),"")</f>
        <v/>
      </c>
      <c r="AC1285" s="60"/>
      <c r="AD1285" s="60"/>
      <c r="AE1285" s="61" t="str">
        <f>IFERROR(VLOOKUP(AA$13&amp;$B1285,Aux!$B:$M,9,0),"")</f>
        <v/>
      </c>
    </row>
    <row r="1286" spans="2:31" x14ac:dyDescent="0.25">
      <c r="B1286" s="53">
        <f t="shared" si="19"/>
        <v>255</v>
      </c>
      <c r="C1286" s="59"/>
      <c r="D1286" s="60"/>
      <c r="E1286" s="60"/>
      <c r="F1286" s="60"/>
      <c r="G1286" s="61"/>
      <c r="K1286" s="59"/>
      <c r="L1286" s="60"/>
      <c r="M1286" s="60"/>
      <c r="N1286" s="60"/>
      <c r="O1286" s="61"/>
      <c r="S1286" s="59"/>
      <c r="T1286" s="60"/>
      <c r="U1286" s="60"/>
      <c r="V1286" s="60"/>
      <c r="W1286" s="61"/>
      <c r="AA1286" s="59"/>
      <c r="AB1286" s="60"/>
      <c r="AC1286" s="60"/>
      <c r="AD1286" s="60"/>
      <c r="AE1286" s="61"/>
    </row>
    <row r="1287" spans="2:31" x14ac:dyDescent="0.25">
      <c r="B1287" s="53">
        <f t="shared" si="19"/>
        <v>255</v>
      </c>
      <c r="C1287" s="59"/>
      <c r="D1287" s="15" t="str">
        <f>IF(D1285="","","Исполнитель"&amp;": ")</f>
        <v/>
      </c>
      <c r="E1287" s="62" t="str">
        <f>IFERROR(VLOOKUP(C$13&amp;$B1287,Aux!$B:$M,4,0),"")</f>
        <v/>
      </c>
      <c r="F1287" s="62"/>
      <c r="G1287" s="63" t="str">
        <f>IFERROR(IF(VLOOKUP(C$13&amp;$B1285,Aux!$B:$M,8,0)="Да","✔","🕓"),"")</f>
        <v/>
      </c>
      <c r="K1287" s="59"/>
      <c r="L1287" s="15" t="str">
        <f>IF(L1285="","","Исполнитель"&amp;": ")</f>
        <v/>
      </c>
      <c r="M1287" s="62" t="str">
        <f>IFERROR(VLOOKUP(K$13&amp;$B1287,Aux!$B:$M,4,0),"")</f>
        <v/>
      </c>
      <c r="N1287" s="62"/>
      <c r="O1287" s="63" t="str">
        <f>IFERROR(IF(VLOOKUP(K$13&amp;$B1285,Aux!$B:$M,8,0)="Да","✔","🕓"),"")</f>
        <v/>
      </c>
      <c r="S1287" s="59"/>
      <c r="T1287" s="15" t="str">
        <f>IF(T1285="","","Исполнитель"&amp;": ")</f>
        <v/>
      </c>
      <c r="U1287" s="62" t="str">
        <f>IFERROR(VLOOKUP(S$13&amp;$B1287,Aux!$B:$M,4,0),"")</f>
        <v/>
      </c>
      <c r="V1287" s="62"/>
      <c r="W1287" s="63" t="str">
        <f>IFERROR(IF(VLOOKUP(S$13&amp;$B1285,Aux!$B:$M,8,0)="Да","✔","🕓"),"")</f>
        <v/>
      </c>
      <c r="AA1287" s="59"/>
      <c r="AB1287" s="15" t="str">
        <f>IF(AB1285="","","Исполнитель"&amp;": ")</f>
        <v/>
      </c>
      <c r="AC1287" s="62" t="str">
        <f>IFERROR(VLOOKUP(AA$13&amp;$B1287,Aux!$B:$M,4,0),"")</f>
        <v/>
      </c>
      <c r="AD1287" s="62"/>
      <c r="AE1287" s="63" t="str">
        <f>IFERROR(IF(VLOOKUP(AA$13&amp;$B1285,Aux!$B:$M,8,0)="Да","✔","🕓"),"")</f>
        <v/>
      </c>
    </row>
    <row r="1288" spans="2:31" x14ac:dyDescent="0.25">
      <c r="B1288" s="53">
        <f t="shared" si="19"/>
        <v>255</v>
      </c>
      <c r="C1288" s="59"/>
      <c r="D1288" s="16" t="str">
        <f>IF(D1285="","","Срок сдачи"&amp;": ")</f>
        <v/>
      </c>
      <c r="E1288" s="64" t="str">
        <f>IFERROR(VLOOKUP(C$13&amp;$B1288,Aux!$B:$M,6,0),"")</f>
        <v/>
      </c>
      <c r="F1288" s="64"/>
      <c r="G1288" s="63"/>
      <c r="K1288" s="59"/>
      <c r="L1288" s="16" t="str">
        <f>IF(L1285="","","Срок сдачи"&amp;": ")</f>
        <v/>
      </c>
      <c r="M1288" s="64" t="str">
        <f>IFERROR(VLOOKUP(K$13&amp;$B1288,Aux!$B:$M,6,0),"")</f>
        <v/>
      </c>
      <c r="N1288" s="64"/>
      <c r="O1288" s="63"/>
      <c r="S1288" s="59"/>
      <c r="T1288" s="16" t="str">
        <f>IF(T1285="","","Срок сдачи"&amp;": ")</f>
        <v/>
      </c>
      <c r="U1288" s="64" t="str">
        <f>IFERROR(VLOOKUP(S$13&amp;$B1288,Aux!$B:$M,6,0),"")</f>
        <v/>
      </c>
      <c r="V1288" s="64"/>
      <c r="W1288" s="63"/>
      <c r="AA1288" s="59"/>
      <c r="AB1288" s="16" t="str">
        <f>IF(AB1285="","","Срок сдачи"&amp;": ")</f>
        <v/>
      </c>
      <c r="AC1288" s="64" t="str">
        <f>IFERROR(VLOOKUP(AA$13&amp;$B1288,Aux!$B:$M,6,0),"")</f>
        <v/>
      </c>
      <c r="AD1288" s="64"/>
      <c r="AE1288" s="63"/>
    </row>
    <row r="1289" spans="2:31" x14ac:dyDescent="0.25">
      <c r="B1289" s="53">
        <f t="shared" si="19"/>
        <v>255</v>
      </c>
      <c r="C1289" s="7"/>
      <c r="D1289" s="17"/>
      <c r="E1289" s="7"/>
      <c r="F1289" s="18"/>
      <c r="G1289" s="18"/>
      <c r="K1289" s="13"/>
      <c r="L1289" s="17"/>
      <c r="M1289" s="13"/>
      <c r="N1289" s="14"/>
      <c r="O1289" s="14"/>
      <c r="S1289" s="13"/>
      <c r="T1289" s="17"/>
      <c r="U1289" s="13"/>
      <c r="V1289" s="14"/>
      <c r="W1289" s="14"/>
      <c r="AA1289" s="13"/>
      <c r="AB1289" s="17"/>
      <c r="AC1289" s="13"/>
      <c r="AD1289" s="14"/>
      <c r="AE1289" s="30"/>
    </row>
    <row r="1290" spans="2:31" x14ac:dyDescent="0.25">
      <c r="B1290" s="53">
        <f t="shared" si="19"/>
        <v>256</v>
      </c>
      <c r="C1290" s="59" t="str">
        <f>IFERROR(VLOOKUP(C$13&amp;$B1294,Aux!$B:$M,5,0),"")</f>
        <v/>
      </c>
      <c r="D1290" s="60" t="str">
        <f>IFERROR(VLOOKUP(C$13&amp;$B1290,Aux!$B:$M,3,0),"")</f>
        <v/>
      </c>
      <c r="E1290" s="60"/>
      <c r="F1290" s="60"/>
      <c r="G1290" s="61" t="str">
        <f>IFERROR(VLOOKUP(C$13&amp;$B1290,Aux!$B:$M,9,0),"")</f>
        <v/>
      </c>
      <c r="K1290" s="59" t="str">
        <f>IFERROR(VLOOKUP(K$13&amp;$B1294,Aux!$B:$M,5,0),"")</f>
        <v/>
      </c>
      <c r="L1290" s="60" t="str">
        <f>IFERROR(VLOOKUP(K$13&amp;$B1290,Aux!$B:$M,3,0),"")</f>
        <v/>
      </c>
      <c r="M1290" s="60"/>
      <c r="N1290" s="60"/>
      <c r="O1290" s="61" t="str">
        <f>IFERROR(VLOOKUP(K$13&amp;$B1290,Aux!$B:$M,9,0),"")</f>
        <v/>
      </c>
      <c r="S1290" s="59" t="str">
        <f>IFERROR(VLOOKUP(S$13&amp;$B1294,Aux!$B:$M,5,0),"")</f>
        <v/>
      </c>
      <c r="T1290" s="60" t="str">
        <f>IFERROR(VLOOKUP(S$13&amp;$B1290,Aux!$B:$M,3,0),"")</f>
        <v/>
      </c>
      <c r="U1290" s="60"/>
      <c r="V1290" s="60"/>
      <c r="W1290" s="61" t="str">
        <f>IFERROR(VLOOKUP(S$13&amp;$B1290,Aux!$B:$M,9,0),"")</f>
        <v/>
      </c>
      <c r="AA1290" s="59" t="str">
        <f>IFERROR(VLOOKUP(AA$13&amp;$B1294,Aux!$B:$M,5,0),"")</f>
        <v/>
      </c>
      <c r="AB1290" s="60" t="str">
        <f>IFERROR(VLOOKUP(AA$13&amp;$B1290,Aux!$B:$M,3,0),"")</f>
        <v/>
      </c>
      <c r="AC1290" s="60"/>
      <c r="AD1290" s="60"/>
      <c r="AE1290" s="61" t="str">
        <f>IFERROR(VLOOKUP(AA$13&amp;$B1290,Aux!$B:$M,9,0),"")</f>
        <v/>
      </c>
    </row>
    <row r="1291" spans="2:31" x14ac:dyDescent="0.25">
      <c r="B1291" s="53">
        <f t="shared" si="19"/>
        <v>256</v>
      </c>
      <c r="C1291" s="59"/>
      <c r="D1291" s="60"/>
      <c r="E1291" s="60"/>
      <c r="F1291" s="60"/>
      <c r="G1291" s="61"/>
      <c r="K1291" s="59"/>
      <c r="L1291" s="60"/>
      <c r="M1291" s="60"/>
      <c r="N1291" s="60"/>
      <c r="O1291" s="61"/>
      <c r="S1291" s="59"/>
      <c r="T1291" s="60"/>
      <c r="U1291" s="60"/>
      <c r="V1291" s="60"/>
      <c r="W1291" s="61"/>
      <c r="AA1291" s="59"/>
      <c r="AB1291" s="60"/>
      <c r="AC1291" s="60"/>
      <c r="AD1291" s="60"/>
      <c r="AE1291" s="61"/>
    </row>
    <row r="1292" spans="2:31" x14ac:dyDescent="0.25">
      <c r="B1292" s="53">
        <f t="shared" si="19"/>
        <v>256</v>
      </c>
      <c r="C1292" s="59"/>
      <c r="D1292" s="15" t="str">
        <f>IF(D1290="","","Исполнитель"&amp;": ")</f>
        <v/>
      </c>
      <c r="E1292" s="62" t="str">
        <f>IFERROR(VLOOKUP(C$13&amp;$B1292,Aux!$B:$M,4,0),"")</f>
        <v/>
      </c>
      <c r="F1292" s="62"/>
      <c r="G1292" s="63" t="str">
        <f>IFERROR(IF(VLOOKUP(C$13&amp;$B1290,Aux!$B:$M,8,0)="Да","✔","🕓"),"")</f>
        <v/>
      </c>
      <c r="K1292" s="59"/>
      <c r="L1292" s="15" t="str">
        <f>IF(L1290="","","Исполнитель"&amp;": ")</f>
        <v/>
      </c>
      <c r="M1292" s="62" t="str">
        <f>IFERROR(VLOOKUP(K$13&amp;$B1292,Aux!$B:$M,4,0),"")</f>
        <v/>
      </c>
      <c r="N1292" s="62"/>
      <c r="O1292" s="63" t="str">
        <f>IFERROR(IF(VLOOKUP(K$13&amp;$B1290,Aux!$B:$M,8,0)="Да","✔","🕓"),"")</f>
        <v/>
      </c>
      <c r="S1292" s="59"/>
      <c r="T1292" s="15" t="str">
        <f>IF(T1290="","","Исполнитель"&amp;": ")</f>
        <v/>
      </c>
      <c r="U1292" s="62" t="str">
        <f>IFERROR(VLOOKUP(S$13&amp;$B1292,Aux!$B:$M,4,0),"")</f>
        <v/>
      </c>
      <c r="V1292" s="62"/>
      <c r="W1292" s="63" t="str">
        <f>IFERROR(IF(VLOOKUP(S$13&amp;$B1290,Aux!$B:$M,8,0)="Да","✔","🕓"),"")</f>
        <v/>
      </c>
      <c r="AA1292" s="59"/>
      <c r="AB1292" s="15" t="str">
        <f>IF(AB1290="","","Исполнитель"&amp;": ")</f>
        <v/>
      </c>
      <c r="AC1292" s="62" t="str">
        <f>IFERROR(VLOOKUP(AA$13&amp;$B1292,Aux!$B:$M,4,0),"")</f>
        <v/>
      </c>
      <c r="AD1292" s="62"/>
      <c r="AE1292" s="63" t="str">
        <f>IFERROR(IF(VLOOKUP(AA$13&amp;$B1290,Aux!$B:$M,8,0)="Да","✔","🕓"),"")</f>
        <v/>
      </c>
    </row>
    <row r="1293" spans="2:31" x14ac:dyDescent="0.25">
      <c r="B1293" s="53">
        <f t="shared" si="19"/>
        <v>256</v>
      </c>
      <c r="C1293" s="59"/>
      <c r="D1293" s="16" t="str">
        <f>IF(D1290="","","Срок сдачи"&amp;": ")</f>
        <v/>
      </c>
      <c r="E1293" s="64" t="str">
        <f>IFERROR(VLOOKUP(C$13&amp;$B1293,Aux!$B:$M,6,0),"")</f>
        <v/>
      </c>
      <c r="F1293" s="64"/>
      <c r="G1293" s="63"/>
      <c r="K1293" s="59"/>
      <c r="L1293" s="16" t="str">
        <f>IF(L1290="","","Срок сдачи"&amp;": ")</f>
        <v/>
      </c>
      <c r="M1293" s="64" t="str">
        <f>IFERROR(VLOOKUP(K$13&amp;$B1293,Aux!$B:$M,6,0),"")</f>
        <v/>
      </c>
      <c r="N1293" s="64"/>
      <c r="O1293" s="63"/>
      <c r="S1293" s="59"/>
      <c r="T1293" s="16" t="str">
        <f>IF(T1290="","","Срок сдачи"&amp;": ")</f>
        <v/>
      </c>
      <c r="U1293" s="64" t="str">
        <f>IFERROR(VLOOKUP(S$13&amp;$B1293,Aux!$B:$M,6,0),"")</f>
        <v/>
      </c>
      <c r="V1293" s="64"/>
      <c r="W1293" s="63"/>
      <c r="AA1293" s="59"/>
      <c r="AB1293" s="16" t="str">
        <f>IF(AB1290="","","Срок сдачи"&amp;": ")</f>
        <v/>
      </c>
      <c r="AC1293" s="64" t="str">
        <f>IFERROR(VLOOKUP(AA$13&amp;$B1293,Aux!$B:$M,6,0),"")</f>
        <v/>
      </c>
      <c r="AD1293" s="64"/>
      <c r="AE1293" s="63"/>
    </row>
    <row r="1294" spans="2:31" x14ac:dyDescent="0.25">
      <c r="B1294" s="53">
        <f t="shared" si="19"/>
        <v>256</v>
      </c>
      <c r="C1294" s="7"/>
      <c r="D1294" s="17"/>
      <c r="E1294" s="7"/>
      <c r="F1294" s="18"/>
      <c r="G1294" s="18"/>
      <c r="K1294" s="13"/>
      <c r="L1294" s="17"/>
      <c r="M1294" s="13"/>
      <c r="N1294" s="14"/>
      <c r="O1294" s="14"/>
      <c r="S1294" s="13"/>
      <c r="T1294" s="17"/>
      <c r="U1294" s="13"/>
      <c r="V1294" s="14"/>
      <c r="W1294" s="14"/>
      <c r="AA1294" s="13"/>
      <c r="AB1294" s="17"/>
      <c r="AC1294" s="13"/>
      <c r="AD1294" s="14"/>
      <c r="AE1294" s="30"/>
    </row>
    <row r="1295" spans="2:31" x14ac:dyDescent="0.25">
      <c r="B1295" s="53">
        <f t="shared" si="19"/>
        <v>257</v>
      </c>
      <c r="C1295" s="59" t="str">
        <f>IFERROR(VLOOKUP(C$13&amp;$B1299,Aux!$B:$M,5,0),"")</f>
        <v/>
      </c>
      <c r="D1295" s="60" t="str">
        <f>IFERROR(VLOOKUP(C$13&amp;$B1295,Aux!$B:$M,3,0),"")</f>
        <v/>
      </c>
      <c r="E1295" s="60"/>
      <c r="F1295" s="60"/>
      <c r="G1295" s="61" t="str">
        <f>IFERROR(VLOOKUP(C$13&amp;$B1295,Aux!$B:$M,9,0),"")</f>
        <v/>
      </c>
      <c r="K1295" s="59" t="str">
        <f>IFERROR(VLOOKUP(K$13&amp;$B1299,Aux!$B:$M,5,0),"")</f>
        <v/>
      </c>
      <c r="L1295" s="60" t="str">
        <f>IFERROR(VLOOKUP(K$13&amp;$B1295,Aux!$B:$M,3,0),"")</f>
        <v/>
      </c>
      <c r="M1295" s="60"/>
      <c r="N1295" s="60"/>
      <c r="O1295" s="61" t="str">
        <f>IFERROR(VLOOKUP(K$13&amp;$B1295,Aux!$B:$M,9,0),"")</f>
        <v/>
      </c>
      <c r="S1295" s="59" t="str">
        <f>IFERROR(VLOOKUP(S$13&amp;$B1299,Aux!$B:$M,5,0),"")</f>
        <v/>
      </c>
      <c r="T1295" s="60" t="str">
        <f>IFERROR(VLOOKUP(S$13&amp;$B1295,Aux!$B:$M,3,0),"")</f>
        <v/>
      </c>
      <c r="U1295" s="60"/>
      <c r="V1295" s="60"/>
      <c r="W1295" s="61" t="str">
        <f>IFERROR(VLOOKUP(S$13&amp;$B1295,Aux!$B:$M,9,0),"")</f>
        <v/>
      </c>
      <c r="AA1295" s="59" t="str">
        <f>IFERROR(VLOOKUP(AA$13&amp;$B1299,Aux!$B:$M,5,0),"")</f>
        <v/>
      </c>
      <c r="AB1295" s="60" t="str">
        <f>IFERROR(VLOOKUP(AA$13&amp;$B1295,Aux!$B:$M,3,0),"")</f>
        <v/>
      </c>
      <c r="AC1295" s="60"/>
      <c r="AD1295" s="60"/>
      <c r="AE1295" s="61" t="str">
        <f>IFERROR(VLOOKUP(AA$13&amp;$B1295,Aux!$B:$M,9,0),"")</f>
        <v/>
      </c>
    </row>
    <row r="1296" spans="2:31" x14ac:dyDescent="0.25">
      <c r="B1296" s="53">
        <f t="shared" si="19"/>
        <v>257</v>
      </c>
      <c r="C1296" s="59"/>
      <c r="D1296" s="60"/>
      <c r="E1296" s="60"/>
      <c r="F1296" s="60"/>
      <c r="G1296" s="61"/>
      <c r="K1296" s="59"/>
      <c r="L1296" s="60"/>
      <c r="M1296" s="60"/>
      <c r="N1296" s="60"/>
      <c r="O1296" s="61"/>
      <c r="S1296" s="59"/>
      <c r="T1296" s="60"/>
      <c r="U1296" s="60"/>
      <c r="V1296" s="60"/>
      <c r="W1296" s="61"/>
      <c r="AA1296" s="59"/>
      <c r="AB1296" s="60"/>
      <c r="AC1296" s="60"/>
      <c r="AD1296" s="60"/>
      <c r="AE1296" s="61"/>
    </row>
    <row r="1297" spans="2:31" x14ac:dyDescent="0.25">
      <c r="B1297" s="53">
        <f t="shared" si="19"/>
        <v>257</v>
      </c>
      <c r="C1297" s="59"/>
      <c r="D1297" s="15" t="str">
        <f>IF(D1295="","","Исполнитель"&amp;": ")</f>
        <v/>
      </c>
      <c r="E1297" s="62" t="str">
        <f>IFERROR(VLOOKUP(C$13&amp;$B1297,Aux!$B:$M,4,0),"")</f>
        <v/>
      </c>
      <c r="F1297" s="62"/>
      <c r="G1297" s="63" t="str">
        <f>IFERROR(IF(VLOOKUP(C$13&amp;$B1295,Aux!$B:$M,8,0)="Да","✔","🕓"),"")</f>
        <v/>
      </c>
      <c r="K1297" s="59"/>
      <c r="L1297" s="15" t="str">
        <f>IF(L1295="","","Исполнитель"&amp;": ")</f>
        <v/>
      </c>
      <c r="M1297" s="62" t="str">
        <f>IFERROR(VLOOKUP(K$13&amp;$B1297,Aux!$B:$M,4,0),"")</f>
        <v/>
      </c>
      <c r="N1297" s="62"/>
      <c r="O1297" s="63" t="str">
        <f>IFERROR(IF(VLOOKUP(K$13&amp;$B1295,Aux!$B:$M,8,0)="Да","✔","🕓"),"")</f>
        <v/>
      </c>
      <c r="S1297" s="59"/>
      <c r="T1297" s="15" t="str">
        <f>IF(T1295="","","Исполнитель"&amp;": ")</f>
        <v/>
      </c>
      <c r="U1297" s="62" t="str">
        <f>IFERROR(VLOOKUP(S$13&amp;$B1297,Aux!$B:$M,4,0),"")</f>
        <v/>
      </c>
      <c r="V1297" s="62"/>
      <c r="W1297" s="63" t="str">
        <f>IFERROR(IF(VLOOKUP(S$13&amp;$B1295,Aux!$B:$M,8,0)="Да","✔","🕓"),"")</f>
        <v/>
      </c>
      <c r="AA1297" s="59"/>
      <c r="AB1297" s="15" t="str">
        <f>IF(AB1295="","","Исполнитель"&amp;": ")</f>
        <v/>
      </c>
      <c r="AC1297" s="62" t="str">
        <f>IFERROR(VLOOKUP(AA$13&amp;$B1297,Aux!$B:$M,4,0),"")</f>
        <v/>
      </c>
      <c r="AD1297" s="62"/>
      <c r="AE1297" s="63" t="str">
        <f>IFERROR(IF(VLOOKUP(AA$13&amp;$B1295,Aux!$B:$M,8,0)="Да","✔","🕓"),"")</f>
        <v/>
      </c>
    </row>
    <row r="1298" spans="2:31" x14ac:dyDescent="0.25">
      <c r="B1298" s="53">
        <f t="shared" si="19"/>
        <v>257</v>
      </c>
      <c r="C1298" s="59"/>
      <c r="D1298" s="16" t="str">
        <f>IF(D1295="","","Срок сдачи"&amp;": ")</f>
        <v/>
      </c>
      <c r="E1298" s="64" t="str">
        <f>IFERROR(VLOOKUP(C$13&amp;$B1298,Aux!$B:$M,6,0),"")</f>
        <v/>
      </c>
      <c r="F1298" s="64"/>
      <c r="G1298" s="63"/>
      <c r="K1298" s="59"/>
      <c r="L1298" s="16" t="str">
        <f>IF(L1295="","","Срок сдачи"&amp;": ")</f>
        <v/>
      </c>
      <c r="M1298" s="64" t="str">
        <f>IFERROR(VLOOKUP(K$13&amp;$B1298,Aux!$B:$M,6,0),"")</f>
        <v/>
      </c>
      <c r="N1298" s="64"/>
      <c r="O1298" s="63"/>
      <c r="S1298" s="59"/>
      <c r="T1298" s="16" t="str">
        <f>IF(T1295="","","Срок сдачи"&amp;": ")</f>
        <v/>
      </c>
      <c r="U1298" s="64" t="str">
        <f>IFERROR(VLOOKUP(S$13&amp;$B1298,Aux!$B:$M,6,0),"")</f>
        <v/>
      </c>
      <c r="V1298" s="64"/>
      <c r="W1298" s="63"/>
      <c r="AA1298" s="59"/>
      <c r="AB1298" s="16" t="str">
        <f>IF(AB1295="","","Срок сдачи"&amp;": ")</f>
        <v/>
      </c>
      <c r="AC1298" s="64" t="str">
        <f>IFERROR(VLOOKUP(AA$13&amp;$B1298,Aux!$B:$M,6,0),"")</f>
        <v/>
      </c>
      <c r="AD1298" s="64"/>
      <c r="AE1298" s="63"/>
    </row>
    <row r="1299" spans="2:31" x14ac:dyDescent="0.25">
      <c r="B1299" s="53">
        <f t="shared" si="19"/>
        <v>257</v>
      </c>
      <c r="C1299" s="7"/>
      <c r="D1299" s="17"/>
      <c r="E1299" s="7"/>
      <c r="F1299" s="18"/>
      <c r="G1299" s="18"/>
      <c r="K1299" s="13"/>
      <c r="L1299" s="17"/>
      <c r="M1299" s="13"/>
      <c r="N1299" s="14"/>
      <c r="O1299" s="14"/>
      <c r="S1299" s="13"/>
      <c r="T1299" s="17"/>
      <c r="U1299" s="13"/>
      <c r="V1299" s="14"/>
      <c r="W1299" s="14"/>
      <c r="AA1299" s="13"/>
      <c r="AB1299" s="17"/>
      <c r="AC1299" s="13"/>
      <c r="AD1299" s="14"/>
      <c r="AE1299" s="30"/>
    </row>
    <row r="1300" spans="2:31" x14ac:dyDescent="0.25">
      <c r="B1300" s="53">
        <f t="shared" si="19"/>
        <v>258</v>
      </c>
      <c r="C1300" s="59" t="str">
        <f>IFERROR(VLOOKUP(C$13&amp;$B1304,Aux!$B:$M,5,0),"")</f>
        <v/>
      </c>
      <c r="D1300" s="60" t="str">
        <f>IFERROR(VLOOKUP(C$13&amp;$B1300,Aux!$B:$M,3,0),"")</f>
        <v/>
      </c>
      <c r="E1300" s="60"/>
      <c r="F1300" s="60"/>
      <c r="G1300" s="61" t="str">
        <f>IFERROR(VLOOKUP(C$13&amp;$B1300,Aux!$B:$M,9,0),"")</f>
        <v/>
      </c>
      <c r="K1300" s="59" t="str">
        <f>IFERROR(VLOOKUP(K$13&amp;$B1304,Aux!$B:$M,5,0),"")</f>
        <v/>
      </c>
      <c r="L1300" s="60" t="str">
        <f>IFERROR(VLOOKUP(K$13&amp;$B1300,Aux!$B:$M,3,0),"")</f>
        <v/>
      </c>
      <c r="M1300" s="60"/>
      <c r="N1300" s="60"/>
      <c r="O1300" s="61" t="str">
        <f>IFERROR(VLOOKUP(K$13&amp;$B1300,Aux!$B:$M,9,0),"")</f>
        <v/>
      </c>
      <c r="S1300" s="59" t="str">
        <f>IFERROR(VLOOKUP(S$13&amp;$B1304,Aux!$B:$M,5,0),"")</f>
        <v/>
      </c>
      <c r="T1300" s="60" t="str">
        <f>IFERROR(VLOOKUP(S$13&amp;$B1300,Aux!$B:$M,3,0),"")</f>
        <v/>
      </c>
      <c r="U1300" s="60"/>
      <c r="V1300" s="60"/>
      <c r="W1300" s="61" t="str">
        <f>IFERROR(VLOOKUP(S$13&amp;$B1300,Aux!$B:$M,9,0),"")</f>
        <v/>
      </c>
      <c r="AA1300" s="59" t="str">
        <f>IFERROR(VLOOKUP(AA$13&amp;$B1304,Aux!$B:$M,5,0),"")</f>
        <v/>
      </c>
      <c r="AB1300" s="60" t="str">
        <f>IFERROR(VLOOKUP(AA$13&amp;$B1300,Aux!$B:$M,3,0),"")</f>
        <v/>
      </c>
      <c r="AC1300" s="60"/>
      <c r="AD1300" s="60"/>
      <c r="AE1300" s="61" t="str">
        <f>IFERROR(VLOOKUP(AA$13&amp;$B1300,Aux!$B:$M,9,0),"")</f>
        <v/>
      </c>
    </row>
    <row r="1301" spans="2:31" x14ac:dyDescent="0.25">
      <c r="B1301" s="53">
        <f t="shared" ref="B1301:B1364" si="20">B1296+1</f>
        <v>258</v>
      </c>
      <c r="C1301" s="59"/>
      <c r="D1301" s="60"/>
      <c r="E1301" s="60"/>
      <c r="F1301" s="60"/>
      <c r="G1301" s="61"/>
      <c r="K1301" s="59"/>
      <c r="L1301" s="60"/>
      <c r="M1301" s="60"/>
      <c r="N1301" s="60"/>
      <c r="O1301" s="61"/>
      <c r="S1301" s="59"/>
      <c r="T1301" s="60"/>
      <c r="U1301" s="60"/>
      <c r="V1301" s="60"/>
      <c r="W1301" s="61"/>
      <c r="AA1301" s="59"/>
      <c r="AB1301" s="60"/>
      <c r="AC1301" s="60"/>
      <c r="AD1301" s="60"/>
      <c r="AE1301" s="61"/>
    </row>
    <row r="1302" spans="2:31" x14ac:dyDescent="0.25">
      <c r="B1302" s="53">
        <f t="shared" si="20"/>
        <v>258</v>
      </c>
      <c r="C1302" s="59"/>
      <c r="D1302" s="15" t="str">
        <f>IF(D1300="","","Исполнитель"&amp;": ")</f>
        <v/>
      </c>
      <c r="E1302" s="62" t="str">
        <f>IFERROR(VLOOKUP(C$13&amp;$B1302,Aux!$B:$M,4,0),"")</f>
        <v/>
      </c>
      <c r="F1302" s="62"/>
      <c r="G1302" s="63" t="str">
        <f>IFERROR(IF(VLOOKUP(C$13&amp;$B1300,Aux!$B:$M,8,0)="Да","✔","🕓"),"")</f>
        <v/>
      </c>
      <c r="K1302" s="59"/>
      <c r="L1302" s="15" t="str">
        <f>IF(L1300="","","Исполнитель"&amp;": ")</f>
        <v/>
      </c>
      <c r="M1302" s="62" t="str">
        <f>IFERROR(VLOOKUP(K$13&amp;$B1302,Aux!$B:$M,4,0),"")</f>
        <v/>
      </c>
      <c r="N1302" s="62"/>
      <c r="O1302" s="63" t="str">
        <f>IFERROR(IF(VLOOKUP(K$13&amp;$B1300,Aux!$B:$M,8,0)="Да","✔","🕓"),"")</f>
        <v/>
      </c>
      <c r="S1302" s="59"/>
      <c r="T1302" s="15" t="str">
        <f>IF(T1300="","","Исполнитель"&amp;": ")</f>
        <v/>
      </c>
      <c r="U1302" s="62" t="str">
        <f>IFERROR(VLOOKUP(S$13&amp;$B1302,Aux!$B:$M,4,0),"")</f>
        <v/>
      </c>
      <c r="V1302" s="62"/>
      <c r="W1302" s="63" t="str">
        <f>IFERROR(IF(VLOOKUP(S$13&amp;$B1300,Aux!$B:$M,8,0)="Да","✔","🕓"),"")</f>
        <v/>
      </c>
      <c r="AA1302" s="59"/>
      <c r="AB1302" s="15" t="str">
        <f>IF(AB1300="","","Исполнитель"&amp;": ")</f>
        <v/>
      </c>
      <c r="AC1302" s="62" t="str">
        <f>IFERROR(VLOOKUP(AA$13&amp;$B1302,Aux!$B:$M,4,0),"")</f>
        <v/>
      </c>
      <c r="AD1302" s="62"/>
      <c r="AE1302" s="63" t="str">
        <f>IFERROR(IF(VLOOKUP(AA$13&amp;$B1300,Aux!$B:$M,8,0)="Да","✔","🕓"),"")</f>
        <v/>
      </c>
    </row>
    <row r="1303" spans="2:31" x14ac:dyDescent="0.25">
      <c r="B1303" s="53">
        <f t="shared" si="20"/>
        <v>258</v>
      </c>
      <c r="C1303" s="59"/>
      <c r="D1303" s="16" t="str">
        <f>IF(D1300="","","Срок сдачи"&amp;": ")</f>
        <v/>
      </c>
      <c r="E1303" s="64" t="str">
        <f>IFERROR(VLOOKUP(C$13&amp;$B1303,Aux!$B:$M,6,0),"")</f>
        <v/>
      </c>
      <c r="F1303" s="64"/>
      <c r="G1303" s="63"/>
      <c r="K1303" s="59"/>
      <c r="L1303" s="16" t="str">
        <f>IF(L1300="","","Срок сдачи"&amp;": ")</f>
        <v/>
      </c>
      <c r="M1303" s="64" t="str">
        <f>IFERROR(VLOOKUP(K$13&amp;$B1303,Aux!$B:$M,6,0),"")</f>
        <v/>
      </c>
      <c r="N1303" s="64"/>
      <c r="O1303" s="63"/>
      <c r="S1303" s="59"/>
      <c r="T1303" s="16" t="str">
        <f>IF(T1300="","","Срок сдачи"&amp;": ")</f>
        <v/>
      </c>
      <c r="U1303" s="64" t="str">
        <f>IFERROR(VLOOKUP(S$13&amp;$B1303,Aux!$B:$M,6,0),"")</f>
        <v/>
      </c>
      <c r="V1303" s="64"/>
      <c r="W1303" s="63"/>
      <c r="AA1303" s="59"/>
      <c r="AB1303" s="16" t="str">
        <f>IF(AB1300="","","Срок сдачи"&amp;": ")</f>
        <v/>
      </c>
      <c r="AC1303" s="64" t="str">
        <f>IFERROR(VLOOKUP(AA$13&amp;$B1303,Aux!$B:$M,6,0),"")</f>
        <v/>
      </c>
      <c r="AD1303" s="64"/>
      <c r="AE1303" s="63"/>
    </row>
    <row r="1304" spans="2:31" x14ac:dyDescent="0.25">
      <c r="B1304" s="53">
        <f t="shared" si="20"/>
        <v>258</v>
      </c>
      <c r="C1304" s="7"/>
      <c r="D1304" s="17"/>
      <c r="E1304" s="7"/>
      <c r="F1304" s="18"/>
      <c r="G1304" s="18"/>
      <c r="K1304" s="13"/>
      <c r="L1304" s="17"/>
      <c r="M1304" s="13"/>
      <c r="N1304" s="14"/>
      <c r="O1304" s="14"/>
      <c r="S1304" s="13"/>
      <c r="T1304" s="17"/>
      <c r="U1304" s="13"/>
      <c r="V1304" s="14"/>
      <c r="W1304" s="14"/>
      <c r="AA1304" s="13"/>
      <c r="AB1304" s="17"/>
      <c r="AC1304" s="13"/>
      <c r="AD1304" s="14"/>
      <c r="AE1304" s="30"/>
    </row>
    <row r="1305" spans="2:31" x14ac:dyDescent="0.25">
      <c r="B1305" s="53">
        <f t="shared" si="20"/>
        <v>259</v>
      </c>
      <c r="C1305" s="59" t="str">
        <f>IFERROR(VLOOKUP(C$13&amp;$B1309,Aux!$B:$M,5,0),"")</f>
        <v/>
      </c>
      <c r="D1305" s="60" t="str">
        <f>IFERROR(VLOOKUP(C$13&amp;$B1305,Aux!$B:$M,3,0),"")</f>
        <v/>
      </c>
      <c r="E1305" s="60"/>
      <c r="F1305" s="60"/>
      <c r="G1305" s="61" t="str">
        <f>IFERROR(VLOOKUP(C$13&amp;$B1305,Aux!$B:$M,9,0),"")</f>
        <v/>
      </c>
      <c r="K1305" s="59" t="str">
        <f>IFERROR(VLOOKUP(K$13&amp;$B1309,Aux!$B:$M,5,0),"")</f>
        <v/>
      </c>
      <c r="L1305" s="60" t="str">
        <f>IFERROR(VLOOKUP(K$13&amp;$B1305,Aux!$B:$M,3,0),"")</f>
        <v/>
      </c>
      <c r="M1305" s="60"/>
      <c r="N1305" s="60"/>
      <c r="O1305" s="61" t="str">
        <f>IFERROR(VLOOKUP(K$13&amp;$B1305,Aux!$B:$M,9,0),"")</f>
        <v/>
      </c>
      <c r="S1305" s="59" t="str">
        <f>IFERROR(VLOOKUP(S$13&amp;$B1309,Aux!$B:$M,5,0),"")</f>
        <v/>
      </c>
      <c r="T1305" s="60" t="str">
        <f>IFERROR(VLOOKUP(S$13&amp;$B1305,Aux!$B:$M,3,0),"")</f>
        <v/>
      </c>
      <c r="U1305" s="60"/>
      <c r="V1305" s="60"/>
      <c r="W1305" s="61" t="str">
        <f>IFERROR(VLOOKUP(S$13&amp;$B1305,Aux!$B:$M,9,0),"")</f>
        <v/>
      </c>
      <c r="AA1305" s="59" t="str">
        <f>IFERROR(VLOOKUP(AA$13&amp;$B1309,Aux!$B:$M,5,0),"")</f>
        <v/>
      </c>
      <c r="AB1305" s="60" t="str">
        <f>IFERROR(VLOOKUP(AA$13&amp;$B1305,Aux!$B:$M,3,0),"")</f>
        <v/>
      </c>
      <c r="AC1305" s="60"/>
      <c r="AD1305" s="60"/>
      <c r="AE1305" s="61" t="str">
        <f>IFERROR(VLOOKUP(AA$13&amp;$B1305,Aux!$B:$M,9,0),"")</f>
        <v/>
      </c>
    </row>
    <row r="1306" spans="2:31" x14ac:dyDescent="0.25">
      <c r="B1306" s="53">
        <f t="shared" si="20"/>
        <v>259</v>
      </c>
      <c r="C1306" s="59"/>
      <c r="D1306" s="60"/>
      <c r="E1306" s="60"/>
      <c r="F1306" s="60"/>
      <c r="G1306" s="61"/>
      <c r="K1306" s="59"/>
      <c r="L1306" s="60"/>
      <c r="M1306" s="60"/>
      <c r="N1306" s="60"/>
      <c r="O1306" s="61"/>
      <c r="S1306" s="59"/>
      <c r="T1306" s="60"/>
      <c r="U1306" s="60"/>
      <c r="V1306" s="60"/>
      <c r="W1306" s="61"/>
      <c r="AA1306" s="59"/>
      <c r="AB1306" s="60"/>
      <c r="AC1306" s="60"/>
      <c r="AD1306" s="60"/>
      <c r="AE1306" s="61"/>
    </row>
    <row r="1307" spans="2:31" x14ac:dyDescent="0.25">
      <c r="B1307" s="53">
        <f t="shared" si="20"/>
        <v>259</v>
      </c>
      <c r="C1307" s="59"/>
      <c r="D1307" s="15" t="str">
        <f>IF(D1305="","","Исполнитель"&amp;": ")</f>
        <v/>
      </c>
      <c r="E1307" s="62" t="str">
        <f>IFERROR(VLOOKUP(C$13&amp;$B1307,Aux!$B:$M,4,0),"")</f>
        <v/>
      </c>
      <c r="F1307" s="62"/>
      <c r="G1307" s="63" t="str">
        <f>IFERROR(IF(VLOOKUP(C$13&amp;$B1305,Aux!$B:$M,8,0)="Да","✔","🕓"),"")</f>
        <v/>
      </c>
      <c r="K1307" s="59"/>
      <c r="L1307" s="15" t="str">
        <f>IF(L1305="","","Исполнитель"&amp;": ")</f>
        <v/>
      </c>
      <c r="M1307" s="62" t="str">
        <f>IFERROR(VLOOKUP(K$13&amp;$B1307,Aux!$B:$M,4,0),"")</f>
        <v/>
      </c>
      <c r="N1307" s="62"/>
      <c r="O1307" s="63" t="str">
        <f>IFERROR(IF(VLOOKUP(K$13&amp;$B1305,Aux!$B:$M,8,0)="Да","✔","🕓"),"")</f>
        <v/>
      </c>
      <c r="S1307" s="59"/>
      <c r="T1307" s="15" t="str">
        <f>IF(T1305="","","Исполнитель"&amp;": ")</f>
        <v/>
      </c>
      <c r="U1307" s="62" t="str">
        <f>IFERROR(VLOOKUP(S$13&amp;$B1307,Aux!$B:$M,4,0),"")</f>
        <v/>
      </c>
      <c r="V1307" s="62"/>
      <c r="W1307" s="63" t="str">
        <f>IFERROR(IF(VLOOKUP(S$13&amp;$B1305,Aux!$B:$M,8,0)="Да","✔","🕓"),"")</f>
        <v/>
      </c>
      <c r="AA1307" s="59"/>
      <c r="AB1307" s="15" t="str">
        <f>IF(AB1305="","","Исполнитель"&amp;": ")</f>
        <v/>
      </c>
      <c r="AC1307" s="62" t="str">
        <f>IFERROR(VLOOKUP(AA$13&amp;$B1307,Aux!$B:$M,4,0),"")</f>
        <v/>
      </c>
      <c r="AD1307" s="62"/>
      <c r="AE1307" s="63" t="str">
        <f>IFERROR(IF(VLOOKUP(AA$13&amp;$B1305,Aux!$B:$M,8,0)="Да","✔","🕓"),"")</f>
        <v/>
      </c>
    </row>
    <row r="1308" spans="2:31" x14ac:dyDescent="0.25">
      <c r="B1308" s="53">
        <f t="shared" si="20"/>
        <v>259</v>
      </c>
      <c r="C1308" s="59"/>
      <c r="D1308" s="16" t="str">
        <f>IF(D1305="","","Срок сдачи"&amp;": ")</f>
        <v/>
      </c>
      <c r="E1308" s="64" t="str">
        <f>IFERROR(VLOOKUP(C$13&amp;$B1308,Aux!$B:$M,6,0),"")</f>
        <v/>
      </c>
      <c r="F1308" s="64"/>
      <c r="G1308" s="63"/>
      <c r="K1308" s="59"/>
      <c r="L1308" s="16" t="str">
        <f>IF(L1305="","","Срок сдачи"&amp;": ")</f>
        <v/>
      </c>
      <c r="M1308" s="64" t="str">
        <f>IFERROR(VLOOKUP(K$13&amp;$B1308,Aux!$B:$M,6,0),"")</f>
        <v/>
      </c>
      <c r="N1308" s="64"/>
      <c r="O1308" s="63"/>
      <c r="S1308" s="59"/>
      <c r="T1308" s="16" t="str">
        <f>IF(T1305="","","Срок сдачи"&amp;": ")</f>
        <v/>
      </c>
      <c r="U1308" s="64" t="str">
        <f>IFERROR(VLOOKUP(S$13&amp;$B1308,Aux!$B:$M,6,0),"")</f>
        <v/>
      </c>
      <c r="V1308" s="64"/>
      <c r="W1308" s="63"/>
      <c r="AA1308" s="59"/>
      <c r="AB1308" s="16" t="str">
        <f>IF(AB1305="","","Срок сдачи"&amp;": ")</f>
        <v/>
      </c>
      <c r="AC1308" s="64" t="str">
        <f>IFERROR(VLOOKUP(AA$13&amp;$B1308,Aux!$B:$M,6,0),"")</f>
        <v/>
      </c>
      <c r="AD1308" s="64"/>
      <c r="AE1308" s="63"/>
    </row>
    <row r="1309" spans="2:31" x14ac:dyDescent="0.25">
      <c r="B1309" s="53">
        <f t="shared" si="20"/>
        <v>259</v>
      </c>
      <c r="C1309" s="7"/>
      <c r="D1309" s="17"/>
      <c r="E1309" s="7"/>
      <c r="F1309" s="18"/>
      <c r="G1309" s="18"/>
      <c r="K1309" s="13"/>
      <c r="L1309" s="17"/>
      <c r="M1309" s="13"/>
      <c r="N1309" s="14"/>
      <c r="O1309" s="14"/>
      <c r="S1309" s="13"/>
      <c r="T1309" s="17"/>
      <c r="U1309" s="13"/>
      <c r="V1309" s="14"/>
      <c r="W1309" s="14"/>
      <c r="AA1309" s="13"/>
      <c r="AB1309" s="17"/>
      <c r="AC1309" s="13"/>
      <c r="AD1309" s="14"/>
      <c r="AE1309" s="30"/>
    </row>
    <row r="1310" spans="2:31" x14ac:dyDescent="0.25">
      <c r="B1310" s="53">
        <f t="shared" si="20"/>
        <v>260</v>
      </c>
      <c r="C1310" s="59" t="str">
        <f>IFERROR(VLOOKUP(C$13&amp;$B1314,Aux!$B:$M,5,0),"")</f>
        <v/>
      </c>
      <c r="D1310" s="60" t="str">
        <f>IFERROR(VLOOKUP(C$13&amp;$B1310,Aux!$B:$M,3,0),"")</f>
        <v/>
      </c>
      <c r="E1310" s="60"/>
      <c r="F1310" s="60"/>
      <c r="G1310" s="61" t="str">
        <f>IFERROR(VLOOKUP(C$13&amp;$B1310,Aux!$B:$M,9,0),"")</f>
        <v/>
      </c>
      <c r="K1310" s="59" t="str">
        <f>IFERROR(VLOOKUP(K$13&amp;$B1314,Aux!$B:$M,5,0),"")</f>
        <v/>
      </c>
      <c r="L1310" s="60" t="str">
        <f>IFERROR(VLOOKUP(K$13&amp;$B1310,Aux!$B:$M,3,0),"")</f>
        <v/>
      </c>
      <c r="M1310" s="60"/>
      <c r="N1310" s="60"/>
      <c r="O1310" s="61" t="str">
        <f>IFERROR(VLOOKUP(K$13&amp;$B1310,Aux!$B:$M,9,0),"")</f>
        <v/>
      </c>
      <c r="S1310" s="59" t="str">
        <f>IFERROR(VLOOKUP(S$13&amp;$B1314,Aux!$B:$M,5,0),"")</f>
        <v/>
      </c>
      <c r="T1310" s="60" t="str">
        <f>IFERROR(VLOOKUP(S$13&amp;$B1310,Aux!$B:$M,3,0),"")</f>
        <v/>
      </c>
      <c r="U1310" s="60"/>
      <c r="V1310" s="60"/>
      <c r="W1310" s="61" t="str">
        <f>IFERROR(VLOOKUP(S$13&amp;$B1310,Aux!$B:$M,9,0),"")</f>
        <v/>
      </c>
      <c r="AA1310" s="59" t="str">
        <f>IFERROR(VLOOKUP(AA$13&amp;$B1314,Aux!$B:$M,5,0),"")</f>
        <v/>
      </c>
      <c r="AB1310" s="60" t="str">
        <f>IFERROR(VLOOKUP(AA$13&amp;$B1310,Aux!$B:$M,3,0),"")</f>
        <v/>
      </c>
      <c r="AC1310" s="60"/>
      <c r="AD1310" s="60"/>
      <c r="AE1310" s="61" t="str">
        <f>IFERROR(VLOOKUP(AA$13&amp;$B1310,Aux!$B:$M,9,0),"")</f>
        <v/>
      </c>
    </row>
    <row r="1311" spans="2:31" x14ac:dyDescent="0.25">
      <c r="B1311" s="53">
        <f t="shared" si="20"/>
        <v>260</v>
      </c>
      <c r="C1311" s="59"/>
      <c r="D1311" s="60"/>
      <c r="E1311" s="60"/>
      <c r="F1311" s="60"/>
      <c r="G1311" s="61"/>
      <c r="K1311" s="59"/>
      <c r="L1311" s="60"/>
      <c r="M1311" s="60"/>
      <c r="N1311" s="60"/>
      <c r="O1311" s="61"/>
      <c r="S1311" s="59"/>
      <c r="T1311" s="60"/>
      <c r="U1311" s="60"/>
      <c r="V1311" s="60"/>
      <c r="W1311" s="61"/>
      <c r="AA1311" s="59"/>
      <c r="AB1311" s="60"/>
      <c r="AC1311" s="60"/>
      <c r="AD1311" s="60"/>
      <c r="AE1311" s="61"/>
    </row>
    <row r="1312" spans="2:31" x14ac:dyDescent="0.25">
      <c r="B1312" s="53">
        <f t="shared" si="20"/>
        <v>260</v>
      </c>
      <c r="C1312" s="59"/>
      <c r="D1312" s="15" t="str">
        <f>IF(D1310="","","Исполнитель"&amp;": ")</f>
        <v/>
      </c>
      <c r="E1312" s="62" t="str">
        <f>IFERROR(VLOOKUP(C$13&amp;$B1312,Aux!$B:$M,4,0),"")</f>
        <v/>
      </c>
      <c r="F1312" s="62"/>
      <c r="G1312" s="63" t="str">
        <f>IFERROR(IF(VLOOKUP(C$13&amp;$B1310,Aux!$B:$M,8,0)="Да","✔","🕓"),"")</f>
        <v/>
      </c>
      <c r="K1312" s="59"/>
      <c r="L1312" s="15" t="str">
        <f>IF(L1310="","","Исполнитель"&amp;": ")</f>
        <v/>
      </c>
      <c r="M1312" s="62" t="str">
        <f>IFERROR(VLOOKUP(K$13&amp;$B1312,Aux!$B:$M,4,0),"")</f>
        <v/>
      </c>
      <c r="N1312" s="62"/>
      <c r="O1312" s="63" t="str">
        <f>IFERROR(IF(VLOOKUP(K$13&amp;$B1310,Aux!$B:$M,8,0)="Да","✔","🕓"),"")</f>
        <v/>
      </c>
      <c r="S1312" s="59"/>
      <c r="T1312" s="15" t="str">
        <f>IF(T1310="","","Исполнитель"&amp;": ")</f>
        <v/>
      </c>
      <c r="U1312" s="62" t="str">
        <f>IFERROR(VLOOKUP(S$13&amp;$B1312,Aux!$B:$M,4,0),"")</f>
        <v/>
      </c>
      <c r="V1312" s="62"/>
      <c r="W1312" s="63" t="str">
        <f>IFERROR(IF(VLOOKUP(S$13&amp;$B1310,Aux!$B:$M,8,0)="Да","✔","🕓"),"")</f>
        <v/>
      </c>
      <c r="AA1312" s="59"/>
      <c r="AB1312" s="15" t="str">
        <f>IF(AB1310="","","Исполнитель"&amp;": ")</f>
        <v/>
      </c>
      <c r="AC1312" s="62" t="str">
        <f>IFERROR(VLOOKUP(AA$13&amp;$B1312,Aux!$B:$M,4,0),"")</f>
        <v/>
      </c>
      <c r="AD1312" s="62"/>
      <c r="AE1312" s="63" t="str">
        <f>IFERROR(IF(VLOOKUP(AA$13&amp;$B1310,Aux!$B:$M,8,0)="Да","✔","🕓"),"")</f>
        <v/>
      </c>
    </row>
    <row r="1313" spans="2:31" x14ac:dyDescent="0.25">
      <c r="B1313" s="53">
        <f t="shared" si="20"/>
        <v>260</v>
      </c>
      <c r="C1313" s="59"/>
      <c r="D1313" s="16" t="str">
        <f>IF(D1310="","","Срок сдачи"&amp;": ")</f>
        <v/>
      </c>
      <c r="E1313" s="64" t="str">
        <f>IFERROR(VLOOKUP(C$13&amp;$B1313,Aux!$B:$M,6,0),"")</f>
        <v/>
      </c>
      <c r="F1313" s="64"/>
      <c r="G1313" s="63"/>
      <c r="K1313" s="59"/>
      <c r="L1313" s="16" t="str">
        <f>IF(L1310="","","Срок сдачи"&amp;": ")</f>
        <v/>
      </c>
      <c r="M1313" s="64" t="str">
        <f>IFERROR(VLOOKUP(K$13&amp;$B1313,Aux!$B:$M,6,0),"")</f>
        <v/>
      </c>
      <c r="N1313" s="64"/>
      <c r="O1313" s="63"/>
      <c r="S1313" s="59"/>
      <c r="T1313" s="16" t="str">
        <f>IF(T1310="","","Срок сдачи"&amp;": ")</f>
        <v/>
      </c>
      <c r="U1313" s="64" t="str">
        <f>IFERROR(VLOOKUP(S$13&amp;$B1313,Aux!$B:$M,6,0),"")</f>
        <v/>
      </c>
      <c r="V1313" s="64"/>
      <c r="W1313" s="63"/>
      <c r="AA1313" s="59"/>
      <c r="AB1313" s="16" t="str">
        <f>IF(AB1310="","","Срок сдачи"&amp;": ")</f>
        <v/>
      </c>
      <c r="AC1313" s="64" t="str">
        <f>IFERROR(VLOOKUP(AA$13&amp;$B1313,Aux!$B:$M,6,0),"")</f>
        <v/>
      </c>
      <c r="AD1313" s="64"/>
      <c r="AE1313" s="63"/>
    </row>
    <row r="1314" spans="2:31" x14ac:dyDescent="0.25">
      <c r="B1314" s="53">
        <f t="shared" si="20"/>
        <v>260</v>
      </c>
      <c r="C1314" s="7"/>
      <c r="D1314" s="17"/>
      <c r="E1314" s="7"/>
      <c r="F1314" s="18"/>
      <c r="G1314" s="18"/>
      <c r="K1314" s="13"/>
      <c r="L1314" s="17"/>
      <c r="M1314" s="13"/>
      <c r="N1314" s="14"/>
      <c r="O1314" s="14"/>
      <c r="S1314" s="13"/>
      <c r="T1314" s="17"/>
      <c r="U1314" s="13"/>
      <c r="V1314" s="14"/>
      <c r="W1314" s="14"/>
      <c r="AA1314" s="13"/>
      <c r="AB1314" s="17"/>
      <c r="AC1314" s="13"/>
      <c r="AD1314" s="14"/>
      <c r="AE1314" s="30"/>
    </row>
    <row r="1315" spans="2:31" x14ac:dyDescent="0.25">
      <c r="B1315" s="53">
        <f t="shared" si="20"/>
        <v>261</v>
      </c>
      <c r="C1315" s="59" t="str">
        <f>IFERROR(VLOOKUP(C$13&amp;$B1319,Aux!$B:$M,5,0),"")</f>
        <v/>
      </c>
      <c r="D1315" s="60" t="str">
        <f>IFERROR(VLOOKUP(C$13&amp;$B1315,Aux!$B:$M,3,0),"")</f>
        <v/>
      </c>
      <c r="E1315" s="60"/>
      <c r="F1315" s="60"/>
      <c r="G1315" s="61" t="str">
        <f>IFERROR(VLOOKUP(C$13&amp;$B1315,Aux!$B:$M,9,0),"")</f>
        <v/>
      </c>
      <c r="K1315" s="59" t="str">
        <f>IFERROR(VLOOKUP(K$13&amp;$B1319,Aux!$B:$M,5,0),"")</f>
        <v/>
      </c>
      <c r="L1315" s="60" t="str">
        <f>IFERROR(VLOOKUP(K$13&amp;$B1315,Aux!$B:$M,3,0),"")</f>
        <v/>
      </c>
      <c r="M1315" s="60"/>
      <c r="N1315" s="60"/>
      <c r="O1315" s="61" t="str">
        <f>IFERROR(VLOOKUP(K$13&amp;$B1315,Aux!$B:$M,9,0),"")</f>
        <v/>
      </c>
      <c r="S1315" s="59" t="str">
        <f>IFERROR(VLOOKUP(S$13&amp;$B1319,Aux!$B:$M,5,0),"")</f>
        <v/>
      </c>
      <c r="T1315" s="60" t="str">
        <f>IFERROR(VLOOKUP(S$13&amp;$B1315,Aux!$B:$M,3,0),"")</f>
        <v/>
      </c>
      <c r="U1315" s="60"/>
      <c r="V1315" s="60"/>
      <c r="W1315" s="61" t="str">
        <f>IFERROR(VLOOKUP(S$13&amp;$B1315,Aux!$B:$M,9,0),"")</f>
        <v/>
      </c>
      <c r="AA1315" s="59" t="str">
        <f>IFERROR(VLOOKUP(AA$13&amp;$B1319,Aux!$B:$M,5,0),"")</f>
        <v/>
      </c>
      <c r="AB1315" s="60" t="str">
        <f>IFERROR(VLOOKUP(AA$13&amp;$B1315,Aux!$B:$M,3,0),"")</f>
        <v/>
      </c>
      <c r="AC1315" s="60"/>
      <c r="AD1315" s="60"/>
      <c r="AE1315" s="61" t="str">
        <f>IFERROR(VLOOKUP(AA$13&amp;$B1315,Aux!$B:$M,9,0),"")</f>
        <v/>
      </c>
    </row>
    <row r="1316" spans="2:31" x14ac:dyDescent="0.25">
      <c r="B1316" s="53">
        <f t="shared" si="20"/>
        <v>261</v>
      </c>
      <c r="C1316" s="59"/>
      <c r="D1316" s="60"/>
      <c r="E1316" s="60"/>
      <c r="F1316" s="60"/>
      <c r="G1316" s="61"/>
      <c r="K1316" s="59"/>
      <c r="L1316" s="60"/>
      <c r="M1316" s="60"/>
      <c r="N1316" s="60"/>
      <c r="O1316" s="61"/>
      <c r="S1316" s="59"/>
      <c r="T1316" s="60"/>
      <c r="U1316" s="60"/>
      <c r="V1316" s="60"/>
      <c r="W1316" s="61"/>
      <c r="AA1316" s="59"/>
      <c r="AB1316" s="60"/>
      <c r="AC1316" s="60"/>
      <c r="AD1316" s="60"/>
      <c r="AE1316" s="61"/>
    </row>
    <row r="1317" spans="2:31" x14ac:dyDescent="0.25">
      <c r="B1317" s="53">
        <f t="shared" si="20"/>
        <v>261</v>
      </c>
      <c r="C1317" s="59"/>
      <c r="D1317" s="15" t="str">
        <f>IF(D1315="","","Исполнитель"&amp;": ")</f>
        <v/>
      </c>
      <c r="E1317" s="62" t="str">
        <f>IFERROR(VLOOKUP(C$13&amp;$B1317,Aux!$B:$M,4,0),"")</f>
        <v/>
      </c>
      <c r="F1317" s="62"/>
      <c r="G1317" s="63" t="str">
        <f>IFERROR(IF(VLOOKUP(C$13&amp;$B1315,Aux!$B:$M,8,0)="Да","✔","🕓"),"")</f>
        <v/>
      </c>
      <c r="K1317" s="59"/>
      <c r="L1317" s="15" t="str">
        <f>IF(L1315="","","Исполнитель"&amp;": ")</f>
        <v/>
      </c>
      <c r="M1317" s="62" t="str">
        <f>IFERROR(VLOOKUP(K$13&amp;$B1317,Aux!$B:$M,4,0),"")</f>
        <v/>
      </c>
      <c r="N1317" s="62"/>
      <c r="O1317" s="63" t="str">
        <f>IFERROR(IF(VLOOKUP(K$13&amp;$B1315,Aux!$B:$M,8,0)="Да","✔","🕓"),"")</f>
        <v/>
      </c>
      <c r="S1317" s="59"/>
      <c r="T1317" s="15" t="str">
        <f>IF(T1315="","","Исполнитель"&amp;": ")</f>
        <v/>
      </c>
      <c r="U1317" s="62" t="str">
        <f>IFERROR(VLOOKUP(S$13&amp;$B1317,Aux!$B:$M,4,0),"")</f>
        <v/>
      </c>
      <c r="V1317" s="62"/>
      <c r="W1317" s="63" t="str">
        <f>IFERROR(IF(VLOOKUP(S$13&amp;$B1315,Aux!$B:$M,8,0)="Да","✔","🕓"),"")</f>
        <v/>
      </c>
      <c r="AA1317" s="59"/>
      <c r="AB1317" s="15" t="str">
        <f>IF(AB1315="","","Исполнитель"&amp;": ")</f>
        <v/>
      </c>
      <c r="AC1317" s="62" t="str">
        <f>IFERROR(VLOOKUP(AA$13&amp;$B1317,Aux!$B:$M,4,0),"")</f>
        <v/>
      </c>
      <c r="AD1317" s="62"/>
      <c r="AE1317" s="63" t="str">
        <f>IFERROR(IF(VLOOKUP(AA$13&amp;$B1315,Aux!$B:$M,8,0)="Да","✔","🕓"),"")</f>
        <v/>
      </c>
    </row>
    <row r="1318" spans="2:31" x14ac:dyDescent="0.25">
      <c r="B1318" s="53">
        <f t="shared" si="20"/>
        <v>261</v>
      </c>
      <c r="C1318" s="59"/>
      <c r="D1318" s="16" t="str">
        <f>IF(D1315="","","Срок сдачи"&amp;": ")</f>
        <v/>
      </c>
      <c r="E1318" s="64" t="str">
        <f>IFERROR(VLOOKUP(C$13&amp;$B1318,Aux!$B:$M,6,0),"")</f>
        <v/>
      </c>
      <c r="F1318" s="64"/>
      <c r="G1318" s="63"/>
      <c r="K1318" s="59"/>
      <c r="L1318" s="16" t="str">
        <f>IF(L1315="","","Срок сдачи"&amp;": ")</f>
        <v/>
      </c>
      <c r="M1318" s="64" t="str">
        <f>IFERROR(VLOOKUP(K$13&amp;$B1318,Aux!$B:$M,6,0),"")</f>
        <v/>
      </c>
      <c r="N1318" s="64"/>
      <c r="O1318" s="63"/>
      <c r="S1318" s="59"/>
      <c r="T1318" s="16" t="str">
        <f>IF(T1315="","","Срок сдачи"&amp;": ")</f>
        <v/>
      </c>
      <c r="U1318" s="64" t="str">
        <f>IFERROR(VLOOKUP(S$13&amp;$B1318,Aux!$B:$M,6,0),"")</f>
        <v/>
      </c>
      <c r="V1318" s="64"/>
      <c r="W1318" s="63"/>
      <c r="AA1318" s="59"/>
      <c r="AB1318" s="16" t="str">
        <f>IF(AB1315="","","Срок сдачи"&amp;": ")</f>
        <v/>
      </c>
      <c r="AC1318" s="64" t="str">
        <f>IFERROR(VLOOKUP(AA$13&amp;$B1318,Aux!$B:$M,6,0),"")</f>
        <v/>
      </c>
      <c r="AD1318" s="64"/>
      <c r="AE1318" s="63"/>
    </row>
    <row r="1319" spans="2:31" x14ac:dyDescent="0.25">
      <c r="B1319" s="53">
        <f t="shared" si="20"/>
        <v>261</v>
      </c>
      <c r="C1319" s="7"/>
      <c r="D1319" s="17"/>
      <c r="E1319" s="7"/>
      <c r="F1319" s="18"/>
      <c r="G1319" s="18"/>
      <c r="K1319" s="13"/>
      <c r="L1319" s="17"/>
      <c r="M1319" s="13"/>
      <c r="N1319" s="14"/>
      <c r="O1319" s="14"/>
      <c r="S1319" s="13"/>
      <c r="T1319" s="17"/>
      <c r="U1319" s="13"/>
      <c r="V1319" s="14"/>
      <c r="W1319" s="14"/>
      <c r="AA1319" s="13"/>
      <c r="AB1319" s="17"/>
      <c r="AC1319" s="13"/>
      <c r="AD1319" s="14"/>
      <c r="AE1319" s="30"/>
    </row>
    <row r="1320" spans="2:31" x14ac:dyDescent="0.25">
      <c r="B1320" s="53">
        <f t="shared" si="20"/>
        <v>262</v>
      </c>
      <c r="C1320" s="59" t="str">
        <f>IFERROR(VLOOKUP(C$13&amp;$B1324,Aux!$B:$M,5,0),"")</f>
        <v/>
      </c>
      <c r="D1320" s="60" t="str">
        <f>IFERROR(VLOOKUP(C$13&amp;$B1320,Aux!$B:$M,3,0),"")</f>
        <v/>
      </c>
      <c r="E1320" s="60"/>
      <c r="F1320" s="60"/>
      <c r="G1320" s="61" t="str">
        <f>IFERROR(VLOOKUP(C$13&amp;$B1320,Aux!$B:$M,9,0),"")</f>
        <v/>
      </c>
      <c r="K1320" s="59" t="str">
        <f>IFERROR(VLOOKUP(K$13&amp;$B1324,Aux!$B:$M,5,0),"")</f>
        <v/>
      </c>
      <c r="L1320" s="60" t="str">
        <f>IFERROR(VLOOKUP(K$13&amp;$B1320,Aux!$B:$M,3,0),"")</f>
        <v/>
      </c>
      <c r="M1320" s="60"/>
      <c r="N1320" s="60"/>
      <c r="O1320" s="61" t="str">
        <f>IFERROR(VLOOKUP(K$13&amp;$B1320,Aux!$B:$M,9,0),"")</f>
        <v/>
      </c>
      <c r="S1320" s="59" t="str">
        <f>IFERROR(VLOOKUP(S$13&amp;$B1324,Aux!$B:$M,5,0),"")</f>
        <v/>
      </c>
      <c r="T1320" s="60" t="str">
        <f>IFERROR(VLOOKUP(S$13&amp;$B1320,Aux!$B:$M,3,0),"")</f>
        <v/>
      </c>
      <c r="U1320" s="60"/>
      <c r="V1320" s="60"/>
      <c r="W1320" s="61" t="str">
        <f>IFERROR(VLOOKUP(S$13&amp;$B1320,Aux!$B:$M,9,0),"")</f>
        <v/>
      </c>
      <c r="AA1320" s="59" t="str">
        <f>IFERROR(VLOOKUP(AA$13&amp;$B1324,Aux!$B:$M,5,0),"")</f>
        <v/>
      </c>
      <c r="AB1320" s="60" t="str">
        <f>IFERROR(VLOOKUP(AA$13&amp;$B1320,Aux!$B:$M,3,0),"")</f>
        <v/>
      </c>
      <c r="AC1320" s="60"/>
      <c r="AD1320" s="60"/>
      <c r="AE1320" s="61" t="str">
        <f>IFERROR(VLOOKUP(AA$13&amp;$B1320,Aux!$B:$M,9,0),"")</f>
        <v/>
      </c>
    </row>
    <row r="1321" spans="2:31" x14ac:dyDescent="0.25">
      <c r="B1321" s="53">
        <f t="shared" si="20"/>
        <v>262</v>
      </c>
      <c r="C1321" s="59"/>
      <c r="D1321" s="60"/>
      <c r="E1321" s="60"/>
      <c r="F1321" s="60"/>
      <c r="G1321" s="61"/>
      <c r="K1321" s="59"/>
      <c r="L1321" s="60"/>
      <c r="M1321" s="60"/>
      <c r="N1321" s="60"/>
      <c r="O1321" s="61"/>
      <c r="S1321" s="59"/>
      <c r="T1321" s="60"/>
      <c r="U1321" s="60"/>
      <c r="V1321" s="60"/>
      <c r="W1321" s="61"/>
      <c r="AA1321" s="59"/>
      <c r="AB1321" s="60"/>
      <c r="AC1321" s="60"/>
      <c r="AD1321" s="60"/>
      <c r="AE1321" s="61"/>
    </row>
    <row r="1322" spans="2:31" x14ac:dyDescent="0.25">
      <c r="B1322" s="53">
        <f t="shared" si="20"/>
        <v>262</v>
      </c>
      <c r="C1322" s="59"/>
      <c r="D1322" s="15" t="str">
        <f>IF(D1320="","","Исполнитель"&amp;": ")</f>
        <v/>
      </c>
      <c r="E1322" s="62" t="str">
        <f>IFERROR(VLOOKUP(C$13&amp;$B1322,Aux!$B:$M,4,0),"")</f>
        <v/>
      </c>
      <c r="F1322" s="62"/>
      <c r="G1322" s="63" t="str">
        <f>IFERROR(IF(VLOOKUP(C$13&amp;$B1320,Aux!$B:$M,8,0)="Да","✔","🕓"),"")</f>
        <v/>
      </c>
      <c r="K1322" s="59"/>
      <c r="L1322" s="15" t="str">
        <f>IF(L1320="","","Исполнитель"&amp;": ")</f>
        <v/>
      </c>
      <c r="M1322" s="62" t="str">
        <f>IFERROR(VLOOKUP(K$13&amp;$B1322,Aux!$B:$M,4,0),"")</f>
        <v/>
      </c>
      <c r="N1322" s="62"/>
      <c r="O1322" s="63" t="str">
        <f>IFERROR(IF(VLOOKUP(K$13&amp;$B1320,Aux!$B:$M,8,0)="Да","✔","🕓"),"")</f>
        <v/>
      </c>
      <c r="S1322" s="59"/>
      <c r="T1322" s="15" t="str">
        <f>IF(T1320="","","Исполнитель"&amp;": ")</f>
        <v/>
      </c>
      <c r="U1322" s="62" t="str">
        <f>IFERROR(VLOOKUP(S$13&amp;$B1322,Aux!$B:$M,4,0),"")</f>
        <v/>
      </c>
      <c r="V1322" s="62"/>
      <c r="W1322" s="63" t="str">
        <f>IFERROR(IF(VLOOKUP(S$13&amp;$B1320,Aux!$B:$M,8,0)="Да","✔","🕓"),"")</f>
        <v/>
      </c>
      <c r="AA1322" s="59"/>
      <c r="AB1322" s="15" t="str">
        <f>IF(AB1320="","","Исполнитель"&amp;": ")</f>
        <v/>
      </c>
      <c r="AC1322" s="62" t="str">
        <f>IFERROR(VLOOKUP(AA$13&amp;$B1322,Aux!$B:$M,4,0),"")</f>
        <v/>
      </c>
      <c r="AD1322" s="62"/>
      <c r="AE1322" s="63" t="str">
        <f>IFERROR(IF(VLOOKUP(AA$13&amp;$B1320,Aux!$B:$M,8,0)="Да","✔","🕓"),"")</f>
        <v/>
      </c>
    </row>
    <row r="1323" spans="2:31" x14ac:dyDescent="0.25">
      <c r="B1323" s="53">
        <f t="shared" si="20"/>
        <v>262</v>
      </c>
      <c r="C1323" s="59"/>
      <c r="D1323" s="16" t="str">
        <f>IF(D1320="","","Срок сдачи"&amp;": ")</f>
        <v/>
      </c>
      <c r="E1323" s="64" t="str">
        <f>IFERROR(VLOOKUP(C$13&amp;$B1323,Aux!$B:$M,6,0),"")</f>
        <v/>
      </c>
      <c r="F1323" s="64"/>
      <c r="G1323" s="63"/>
      <c r="K1323" s="59"/>
      <c r="L1323" s="16" t="str">
        <f>IF(L1320="","","Срок сдачи"&amp;": ")</f>
        <v/>
      </c>
      <c r="M1323" s="64" t="str">
        <f>IFERROR(VLOOKUP(K$13&amp;$B1323,Aux!$B:$M,6,0),"")</f>
        <v/>
      </c>
      <c r="N1323" s="64"/>
      <c r="O1323" s="63"/>
      <c r="S1323" s="59"/>
      <c r="T1323" s="16" t="str">
        <f>IF(T1320="","","Срок сдачи"&amp;": ")</f>
        <v/>
      </c>
      <c r="U1323" s="64" t="str">
        <f>IFERROR(VLOOKUP(S$13&amp;$B1323,Aux!$B:$M,6,0),"")</f>
        <v/>
      </c>
      <c r="V1323" s="64"/>
      <c r="W1323" s="63"/>
      <c r="AA1323" s="59"/>
      <c r="AB1323" s="16" t="str">
        <f>IF(AB1320="","","Срок сдачи"&amp;": ")</f>
        <v/>
      </c>
      <c r="AC1323" s="64" t="str">
        <f>IFERROR(VLOOKUP(AA$13&amp;$B1323,Aux!$B:$M,6,0),"")</f>
        <v/>
      </c>
      <c r="AD1323" s="64"/>
      <c r="AE1323" s="63"/>
    </row>
    <row r="1324" spans="2:31" x14ac:dyDescent="0.25">
      <c r="B1324" s="53">
        <f t="shared" si="20"/>
        <v>262</v>
      </c>
      <c r="C1324" s="7"/>
      <c r="D1324" s="17"/>
      <c r="E1324" s="7"/>
      <c r="F1324" s="18"/>
      <c r="G1324" s="18"/>
      <c r="K1324" s="13"/>
      <c r="L1324" s="17"/>
      <c r="M1324" s="13"/>
      <c r="N1324" s="14"/>
      <c r="O1324" s="14"/>
      <c r="S1324" s="13"/>
      <c r="T1324" s="17"/>
      <c r="U1324" s="13"/>
      <c r="V1324" s="14"/>
      <c r="W1324" s="14"/>
      <c r="AA1324" s="13"/>
      <c r="AB1324" s="17"/>
      <c r="AC1324" s="13"/>
      <c r="AD1324" s="14"/>
      <c r="AE1324" s="30"/>
    </row>
    <row r="1325" spans="2:31" x14ac:dyDescent="0.25">
      <c r="B1325" s="53">
        <f t="shared" si="20"/>
        <v>263</v>
      </c>
      <c r="C1325" s="59" t="str">
        <f>IFERROR(VLOOKUP(C$13&amp;$B1329,Aux!$B:$M,5,0),"")</f>
        <v/>
      </c>
      <c r="D1325" s="60" t="str">
        <f>IFERROR(VLOOKUP(C$13&amp;$B1325,Aux!$B:$M,3,0),"")</f>
        <v/>
      </c>
      <c r="E1325" s="60"/>
      <c r="F1325" s="60"/>
      <c r="G1325" s="61" t="str">
        <f>IFERROR(VLOOKUP(C$13&amp;$B1325,Aux!$B:$M,9,0),"")</f>
        <v/>
      </c>
      <c r="K1325" s="59" t="str">
        <f>IFERROR(VLOOKUP(K$13&amp;$B1329,Aux!$B:$M,5,0),"")</f>
        <v/>
      </c>
      <c r="L1325" s="60" t="str">
        <f>IFERROR(VLOOKUP(K$13&amp;$B1325,Aux!$B:$M,3,0),"")</f>
        <v/>
      </c>
      <c r="M1325" s="60"/>
      <c r="N1325" s="60"/>
      <c r="O1325" s="61" t="str">
        <f>IFERROR(VLOOKUP(K$13&amp;$B1325,Aux!$B:$M,9,0),"")</f>
        <v/>
      </c>
      <c r="S1325" s="59" t="str">
        <f>IFERROR(VLOOKUP(S$13&amp;$B1329,Aux!$B:$M,5,0),"")</f>
        <v/>
      </c>
      <c r="T1325" s="60" t="str">
        <f>IFERROR(VLOOKUP(S$13&amp;$B1325,Aux!$B:$M,3,0),"")</f>
        <v/>
      </c>
      <c r="U1325" s="60"/>
      <c r="V1325" s="60"/>
      <c r="W1325" s="61" t="str">
        <f>IFERROR(VLOOKUP(S$13&amp;$B1325,Aux!$B:$M,9,0),"")</f>
        <v/>
      </c>
      <c r="AA1325" s="59" t="str">
        <f>IFERROR(VLOOKUP(AA$13&amp;$B1329,Aux!$B:$M,5,0),"")</f>
        <v/>
      </c>
      <c r="AB1325" s="60" t="str">
        <f>IFERROR(VLOOKUP(AA$13&amp;$B1325,Aux!$B:$M,3,0),"")</f>
        <v/>
      </c>
      <c r="AC1325" s="60"/>
      <c r="AD1325" s="60"/>
      <c r="AE1325" s="61" t="str">
        <f>IFERROR(VLOOKUP(AA$13&amp;$B1325,Aux!$B:$M,9,0),"")</f>
        <v/>
      </c>
    </row>
    <row r="1326" spans="2:31" x14ac:dyDescent="0.25">
      <c r="B1326" s="53">
        <f t="shared" si="20"/>
        <v>263</v>
      </c>
      <c r="C1326" s="59"/>
      <c r="D1326" s="60"/>
      <c r="E1326" s="60"/>
      <c r="F1326" s="60"/>
      <c r="G1326" s="61"/>
      <c r="K1326" s="59"/>
      <c r="L1326" s="60"/>
      <c r="M1326" s="60"/>
      <c r="N1326" s="60"/>
      <c r="O1326" s="61"/>
      <c r="S1326" s="59"/>
      <c r="T1326" s="60"/>
      <c r="U1326" s="60"/>
      <c r="V1326" s="60"/>
      <c r="W1326" s="61"/>
      <c r="AA1326" s="59"/>
      <c r="AB1326" s="60"/>
      <c r="AC1326" s="60"/>
      <c r="AD1326" s="60"/>
      <c r="AE1326" s="61"/>
    </row>
    <row r="1327" spans="2:31" x14ac:dyDescent="0.25">
      <c r="B1327" s="53">
        <f t="shared" si="20"/>
        <v>263</v>
      </c>
      <c r="C1327" s="59"/>
      <c r="D1327" s="15" t="str">
        <f>IF(D1325="","","Исполнитель"&amp;": ")</f>
        <v/>
      </c>
      <c r="E1327" s="62" t="str">
        <f>IFERROR(VLOOKUP(C$13&amp;$B1327,Aux!$B:$M,4,0),"")</f>
        <v/>
      </c>
      <c r="F1327" s="62"/>
      <c r="G1327" s="63" t="str">
        <f>IFERROR(IF(VLOOKUP(C$13&amp;$B1325,Aux!$B:$M,8,0)="Да","✔","🕓"),"")</f>
        <v/>
      </c>
      <c r="K1327" s="59"/>
      <c r="L1327" s="15" t="str">
        <f>IF(L1325="","","Исполнитель"&amp;": ")</f>
        <v/>
      </c>
      <c r="M1327" s="62" t="str">
        <f>IFERROR(VLOOKUP(K$13&amp;$B1327,Aux!$B:$M,4,0),"")</f>
        <v/>
      </c>
      <c r="N1327" s="62"/>
      <c r="O1327" s="63" t="str">
        <f>IFERROR(IF(VLOOKUP(K$13&amp;$B1325,Aux!$B:$M,8,0)="Да","✔","🕓"),"")</f>
        <v/>
      </c>
      <c r="S1327" s="59"/>
      <c r="T1327" s="15" t="str">
        <f>IF(T1325="","","Исполнитель"&amp;": ")</f>
        <v/>
      </c>
      <c r="U1327" s="62" t="str">
        <f>IFERROR(VLOOKUP(S$13&amp;$B1327,Aux!$B:$M,4,0),"")</f>
        <v/>
      </c>
      <c r="V1327" s="62"/>
      <c r="W1327" s="63" t="str">
        <f>IFERROR(IF(VLOOKUP(S$13&amp;$B1325,Aux!$B:$M,8,0)="Да","✔","🕓"),"")</f>
        <v/>
      </c>
      <c r="AA1327" s="59"/>
      <c r="AB1327" s="15" t="str">
        <f>IF(AB1325="","","Исполнитель"&amp;": ")</f>
        <v/>
      </c>
      <c r="AC1327" s="62" t="str">
        <f>IFERROR(VLOOKUP(AA$13&amp;$B1327,Aux!$B:$M,4,0),"")</f>
        <v/>
      </c>
      <c r="AD1327" s="62"/>
      <c r="AE1327" s="63" t="str">
        <f>IFERROR(IF(VLOOKUP(AA$13&amp;$B1325,Aux!$B:$M,8,0)="Да","✔","🕓"),"")</f>
        <v/>
      </c>
    </row>
    <row r="1328" spans="2:31" x14ac:dyDescent="0.25">
      <c r="B1328" s="53">
        <f t="shared" si="20"/>
        <v>263</v>
      </c>
      <c r="C1328" s="59"/>
      <c r="D1328" s="16" t="str">
        <f>IF(D1325="","","Срок сдачи"&amp;": ")</f>
        <v/>
      </c>
      <c r="E1328" s="64" t="str">
        <f>IFERROR(VLOOKUP(C$13&amp;$B1328,Aux!$B:$M,6,0),"")</f>
        <v/>
      </c>
      <c r="F1328" s="64"/>
      <c r="G1328" s="63"/>
      <c r="K1328" s="59"/>
      <c r="L1328" s="16" t="str">
        <f>IF(L1325="","","Срок сдачи"&amp;": ")</f>
        <v/>
      </c>
      <c r="M1328" s="64" t="str">
        <f>IFERROR(VLOOKUP(K$13&amp;$B1328,Aux!$B:$M,6,0),"")</f>
        <v/>
      </c>
      <c r="N1328" s="64"/>
      <c r="O1328" s="63"/>
      <c r="S1328" s="59"/>
      <c r="T1328" s="16" t="str">
        <f>IF(T1325="","","Срок сдачи"&amp;": ")</f>
        <v/>
      </c>
      <c r="U1328" s="64" t="str">
        <f>IFERROR(VLOOKUP(S$13&amp;$B1328,Aux!$B:$M,6,0),"")</f>
        <v/>
      </c>
      <c r="V1328" s="64"/>
      <c r="W1328" s="63"/>
      <c r="AA1328" s="59"/>
      <c r="AB1328" s="16" t="str">
        <f>IF(AB1325="","","Срок сдачи"&amp;": ")</f>
        <v/>
      </c>
      <c r="AC1328" s="64" t="str">
        <f>IFERROR(VLOOKUP(AA$13&amp;$B1328,Aux!$B:$M,6,0),"")</f>
        <v/>
      </c>
      <c r="AD1328" s="64"/>
      <c r="AE1328" s="63"/>
    </row>
    <row r="1329" spans="2:31" x14ac:dyDescent="0.25">
      <c r="B1329" s="53">
        <f t="shared" si="20"/>
        <v>263</v>
      </c>
      <c r="C1329" s="7"/>
      <c r="D1329" s="17"/>
      <c r="E1329" s="7"/>
      <c r="F1329" s="18"/>
      <c r="G1329" s="18"/>
      <c r="K1329" s="13"/>
      <c r="L1329" s="17"/>
      <c r="M1329" s="13"/>
      <c r="N1329" s="14"/>
      <c r="O1329" s="14"/>
      <c r="S1329" s="13"/>
      <c r="T1329" s="17"/>
      <c r="U1329" s="13"/>
      <c r="V1329" s="14"/>
      <c r="W1329" s="14"/>
      <c r="AA1329" s="13"/>
      <c r="AB1329" s="17"/>
      <c r="AC1329" s="13"/>
      <c r="AD1329" s="14"/>
      <c r="AE1329" s="30"/>
    </row>
    <row r="1330" spans="2:31" x14ac:dyDescent="0.25">
      <c r="B1330" s="53">
        <f t="shared" si="20"/>
        <v>264</v>
      </c>
      <c r="C1330" s="59" t="str">
        <f>IFERROR(VLOOKUP(C$13&amp;$B1334,Aux!$B:$M,5,0),"")</f>
        <v/>
      </c>
      <c r="D1330" s="60" t="str">
        <f>IFERROR(VLOOKUP(C$13&amp;$B1330,Aux!$B:$M,3,0),"")</f>
        <v/>
      </c>
      <c r="E1330" s="60"/>
      <c r="F1330" s="60"/>
      <c r="G1330" s="61" t="str">
        <f>IFERROR(VLOOKUP(C$13&amp;$B1330,Aux!$B:$M,9,0),"")</f>
        <v/>
      </c>
      <c r="K1330" s="59" t="str">
        <f>IFERROR(VLOOKUP(K$13&amp;$B1334,Aux!$B:$M,5,0),"")</f>
        <v/>
      </c>
      <c r="L1330" s="60" t="str">
        <f>IFERROR(VLOOKUP(K$13&amp;$B1330,Aux!$B:$M,3,0),"")</f>
        <v/>
      </c>
      <c r="M1330" s="60"/>
      <c r="N1330" s="60"/>
      <c r="O1330" s="61" t="str">
        <f>IFERROR(VLOOKUP(K$13&amp;$B1330,Aux!$B:$M,9,0),"")</f>
        <v/>
      </c>
      <c r="S1330" s="59" t="str">
        <f>IFERROR(VLOOKUP(S$13&amp;$B1334,Aux!$B:$M,5,0),"")</f>
        <v/>
      </c>
      <c r="T1330" s="60" t="str">
        <f>IFERROR(VLOOKUP(S$13&amp;$B1330,Aux!$B:$M,3,0),"")</f>
        <v/>
      </c>
      <c r="U1330" s="60"/>
      <c r="V1330" s="60"/>
      <c r="W1330" s="61" t="str">
        <f>IFERROR(VLOOKUP(S$13&amp;$B1330,Aux!$B:$M,9,0),"")</f>
        <v/>
      </c>
      <c r="AA1330" s="59" t="str">
        <f>IFERROR(VLOOKUP(AA$13&amp;$B1334,Aux!$B:$M,5,0),"")</f>
        <v/>
      </c>
      <c r="AB1330" s="60" t="str">
        <f>IFERROR(VLOOKUP(AA$13&amp;$B1330,Aux!$B:$M,3,0),"")</f>
        <v/>
      </c>
      <c r="AC1330" s="60"/>
      <c r="AD1330" s="60"/>
      <c r="AE1330" s="61" t="str">
        <f>IFERROR(VLOOKUP(AA$13&amp;$B1330,Aux!$B:$M,9,0),"")</f>
        <v/>
      </c>
    </row>
    <row r="1331" spans="2:31" x14ac:dyDescent="0.25">
      <c r="B1331" s="53">
        <f t="shared" si="20"/>
        <v>264</v>
      </c>
      <c r="C1331" s="59"/>
      <c r="D1331" s="60"/>
      <c r="E1331" s="60"/>
      <c r="F1331" s="60"/>
      <c r="G1331" s="61"/>
      <c r="K1331" s="59"/>
      <c r="L1331" s="60"/>
      <c r="M1331" s="60"/>
      <c r="N1331" s="60"/>
      <c r="O1331" s="61"/>
      <c r="S1331" s="59"/>
      <c r="T1331" s="60"/>
      <c r="U1331" s="60"/>
      <c r="V1331" s="60"/>
      <c r="W1331" s="61"/>
      <c r="AA1331" s="59"/>
      <c r="AB1331" s="60"/>
      <c r="AC1331" s="60"/>
      <c r="AD1331" s="60"/>
      <c r="AE1331" s="61"/>
    </row>
    <row r="1332" spans="2:31" x14ac:dyDescent="0.25">
      <c r="B1332" s="53">
        <f t="shared" si="20"/>
        <v>264</v>
      </c>
      <c r="C1332" s="59"/>
      <c r="D1332" s="15" t="str">
        <f>IF(D1330="","","Исполнитель"&amp;": ")</f>
        <v/>
      </c>
      <c r="E1332" s="62" t="str">
        <f>IFERROR(VLOOKUP(C$13&amp;$B1332,Aux!$B:$M,4,0),"")</f>
        <v/>
      </c>
      <c r="F1332" s="62"/>
      <c r="G1332" s="63" t="str">
        <f>IFERROR(IF(VLOOKUP(C$13&amp;$B1330,Aux!$B:$M,8,0)="Да","✔","🕓"),"")</f>
        <v/>
      </c>
      <c r="K1332" s="59"/>
      <c r="L1332" s="15" t="str">
        <f>IF(L1330="","","Исполнитель"&amp;": ")</f>
        <v/>
      </c>
      <c r="M1332" s="62" t="str">
        <f>IFERROR(VLOOKUP(K$13&amp;$B1332,Aux!$B:$M,4,0),"")</f>
        <v/>
      </c>
      <c r="N1332" s="62"/>
      <c r="O1332" s="63" t="str">
        <f>IFERROR(IF(VLOOKUP(K$13&amp;$B1330,Aux!$B:$M,8,0)="Да","✔","🕓"),"")</f>
        <v/>
      </c>
      <c r="S1332" s="59"/>
      <c r="T1332" s="15" t="str">
        <f>IF(T1330="","","Исполнитель"&amp;": ")</f>
        <v/>
      </c>
      <c r="U1332" s="62" t="str">
        <f>IFERROR(VLOOKUP(S$13&amp;$B1332,Aux!$B:$M,4,0),"")</f>
        <v/>
      </c>
      <c r="V1332" s="62"/>
      <c r="W1332" s="63" t="str">
        <f>IFERROR(IF(VLOOKUP(S$13&amp;$B1330,Aux!$B:$M,8,0)="Да","✔","🕓"),"")</f>
        <v/>
      </c>
      <c r="AA1332" s="59"/>
      <c r="AB1332" s="15" t="str">
        <f>IF(AB1330="","","Исполнитель"&amp;": ")</f>
        <v/>
      </c>
      <c r="AC1332" s="62" t="str">
        <f>IFERROR(VLOOKUP(AA$13&amp;$B1332,Aux!$B:$M,4,0),"")</f>
        <v/>
      </c>
      <c r="AD1332" s="62"/>
      <c r="AE1332" s="63" t="str">
        <f>IFERROR(IF(VLOOKUP(AA$13&amp;$B1330,Aux!$B:$M,8,0)="Да","✔","🕓"),"")</f>
        <v/>
      </c>
    </row>
    <row r="1333" spans="2:31" x14ac:dyDescent="0.25">
      <c r="B1333" s="53">
        <f t="shared" si="20"/>
        <v>264</v>
      </c>
      <c r="C1333" s="59"/>
      <c r="D1333" s="16" t="str">
        <f>IF(D1330="","","Срок сдачи"&amp;": ")</f>
        <v/>
      </c>
      <c r="E1333" s="64" t="str">
        <f>IFERROR(VLOOKUP(C$13&amp;$B1333,Aux!$B:$M,6,0),"")</f>
        <v/>
      </c>
      <c r="F1333" s="64"/>
      <c r="G1333" s="63"/>
      <c r="K1333" s="59"/>
      <c r="L1333" s="16" t="str">
        <f>IF(L1330="","","Срок сдачи"&amp;": ")</f>
        <v/>
      </c>
      <c r="M1333" s="64" t="str">
        <f>IFERROR(VLOOKUP(K$13&amp;$B1333,Aux!$B:$M,6,0),"")</f>
        <v/>
      </c>
      <c r="N1333" s="64"/>
      <c r="O1333" s="63"/>
      <c r="S1333" s="59"/>
      <c r="T1333" s="16" t="str">
        <f>IF(T1330="","","Срок сдачи"&amp;": ")</f>
        <v/>
      </c>
      <c r="U1333" s="64" t="str">
        <f>IFERROR(VLOOKUP(S$13&amp;$B1333,Aux!$B:$M,6,0),"")</f>
        <v/>
      </c>
      <c r="V1333" s="64"/>
      <c r="W1333" s="63"/>
      <c r="AA1333" s="59"/>
      <c r="AB1333" s="16" t="str">
        <f>IF(AB1330="","","Срок сдачи"&amp;": ")</f>
        <v/>
      </c>
      <c r="AC1333" s="64" t="str">
        <f>IFERROR(VLOOKUP(AA$13&amp;$B1333,Aux!$B:$M,6,0),"")</f>
        <v/>
      </c>
      <c r="AD1333" s="64"/>
      <c r="AE1333" s="63"/>
    </row>
    <row r="1334" spans="2:31" x14ac:dyDescent="0.25">
      <c r="B1334" s="53">
        <f t="shared" si="20"/>
        <v>264</v>
      </c>
      <c r="C1334" s="7"/>
      <c r="D1334" s="17"/>
      <c r="E1334" s="7"/>
      <c r="F1334" s="18"/>
      <c r="G1334" s="18"/>
      <c r="K1334" s="13"/>
      <c r="L1334" s="17"/>
      <c r="M1334" s="13"/>
      <c r="N1334" s="14"/>
      <c r="O1334" s="14"/>
      <c r="S1334" s="13"/>
      <c r="T1334" s="17"/>
      <c r="U1334" s="13"/>
      <c r="V1334" s="14"/>
      <c r="W1334" s="14"/>
      <c r="AA1334" s="13"/>
      <c r="AB1334" s="17"/>
      <c r="AC1334" s="13"/>
      <c r="AD1334" s="14"/>
      <c r="AE1334" s="30"/>
    </row>
    <row r="1335" spans="2:31" x14ac:dyDescent="0.25">
      <c r="B1335" s="53">
        <f t="shared" si="20"/>
        <v>265</v>
      </c>
      <c r="C1335" s="59" t="str">
        <f>IFERROR(VLOOKUP(C$13&amp;$B1339,Aux!$B:$M,5,0),"")</f>
        <v/>
      </c>
      <c r="D1335" s="60" t="str">
        <f>IFERROR(VLOOKUP(C$13&amp;$B1335,Aux!$B:$M,3,0),"")</f>
        <v/>
      </c>
      <c r="E1335" s="60"/>
      <c r="F1335" s="60"/>
      <c r="G1335" s="61" t="str">
        <f>IFERROR(VLOOKUP(C$13&amp;$B1335,Aux!$B:$M,9,0),"")</f>
        <v/>
      </c>
      <c r="K1335" s="59" t="str">
        <f>IFERROR(VLOOKUP(K$13&amp;$B1339,Aux!$B:$M,5,0),"")</f>
        <v/>
      </c>
      <c r="L1335" s="60" t="str">
        <f>IFERROR(VLOOKUP(K$13&amp;$B1335,Aux!$B:$M,3,0),"")</f>
        <v/>
      </c>
      <c r="M1335" s="60"/>
      <c r="N1335" s="60"/>
      <c r="O1335" s="61" t="str">
        <f>IFERROR(VLOOKUP(K$13&amp;$B1335,Aux!$B:$M,9,0),"")</f>
        <v/>
      </c>
      <c r="S1335" s="59" t="str">
        <f>IFERROR(VLOOKUP(S$13&amp;$B1339,Aux!$B:$M,5,0),"")</f>
        <v/>
      </c>
      <c r="T1335" s="60" t="str">
        <f>IFERROR(VLOOKUP(S$13&amp;$B1335,Aux!$B:$M,3,0),"")</f>
        <v/>
      </c>
      <c r="U1335" s="60"/>
      <c r="V1335" s="60"/>
      <c r="W1335" s="61" t="str">
        <f>IFERROR(VLOOKUP(S$13&amp;$B1335,Aux!$B:$M,9,0),"")</f>
        <v/>
      </c>
      <c r="AA1335" s="59" t="str">
        <f>IFERROR(VLOOKUP(AA$13&amp;$B1339,Aux!$B:$M,5,0),"")</f>
        <v/>
      </c>
      <c r="AB1335" s="60" t="str">
        <f>IFERROR(VLOOKUP(AA$13&amp;$B1335,Aux!$B:$M,3,0),"")</f>
        <v/>
      </c>
      <c r="AC1335" s="60"/>
      <c r="AD1335" s="60"/>
      <c r="AE1335" s="61" t="str">
        <f>IFERROR(VLOOKUP(AA$13&amp;$B1335,Aux!$B:$M,9,0),"")</f>
        <v/>
      </c>
    </row>
    <row r="1336" spans="2:31" x14ac:dyDescent="0.25">
      <c r="B1336" s="53">
        <f t="shared" si="20"/>
        <v>265</v>
      </c>
      <c r="C1336" s="59"/>
      <c r="D1336" s="60"/>
      <c r="E1336" s="60"/>
      <c r="F1336" s="60"/>
      <c r="G1336" s="61"/>
      <c r="K1336" s="59"/>
      <c r="L1336" s="60"/>
      <c r="M1336" s="60"/>
      <c r="N1336" s="60"/>
      <c r="O1336" s="61"/>
      <c r="S1336" s="59"/>
      <c r="T1336" s="60"/>
      <c r="U1336" s="60"/>
      <c r="V1336" s="60"/>
      <c r="W1336" s="61"/>
      <c r="AA1336" s="59"/>
      <c r="AB1336" s="60"/>
      <c r="AC1336" s="60"/>
      <c r="AD1336" s="60"/>
      <c r="AE1336" s="61"/>
    </row>
    <row r="1337" spans="2:31" x14ac:dyDescent="0.25">
      <c r="B1337" s="53">
        <f t="shared" si="20"/>
        <v>265</v>
      </c>
      <c r="C1337" s="59"/>
      <c r="D1337" s="15" t="str">
        <f>IF(D1335="","","Исполнитель"&amp;": ")</f>
        <v/>
      </c>
      <c r="E1337" s="62" t="str">
        <f>IFERROR(VLOOKUP(C$13&amp;$B1337,Aux!$B:$M,4,0),"")</f>
        <v/>
      </c>
      <c r="F1337" s="62"/>
      <c r="G1337" s="63" t="str">
        <f>IFERROR(IF(VLOOKUP(C$13&amp;$B1335,Aux!$B:$M,8,0)="Да","✔","🕓"),"")</f>
        <v/>
      </c>
      <c r="K1337" s="59"/>
      <c r="L1337" s="15" t="str">
        <f>IF(L1335="","","Исполнитель"&amp;": ")</f>
        <v/>
      </c>
      <c r="M1337" s="62" t="str">
        <f>IFERROR(VLOOKUP(K$13&amp;$B1337,Aux!$B:$M,4,0),"")</f>
        <v/>
      </c>
      <c r="N1337" s="62"/>
      <c r="O1337" s="63" t="str">
        <f>IFERROR(IF(VLOOKUP(K$13&amp;$B1335,Aux!$B:$M,8,0)="Да","✔","🕓"),"")</f>
        <v/>
      </c>
      <c r="S1337" s="59"/>
      <c r="T1337" s="15" t="str">
        <f>IF(T1335="","","Исполнитель"&amp;": ")</f>
        <v/>
      </c>
      <c r="U1337" s="62" t="str">
        <f>IFERROR(VLOOKUP(S$13&amp;$B1337,Aux!$B:$M,4,0),"")</f>
        <v/>
      </c>
      <c r="V1337" s="62"/>
      <c r="W1337" s="63" t="str">
        <f>IFERROR(IF(VLOOKUP(S$13&amp;$B1335,Aux!$B:$M,8,0)="Да","✔","🕓"),"")</f>
        <v/>
      </c>
      <c r="AA1337" s="59"/>
      <c r="AB1337" s="15" t="str">
        <f>IF(AB1335="","","Исполнитель"&amp;": ")</f>
        <v/>
      </c>
      <c r="AC1337" s="62" t="str">
        <f>IFERROR(VLOOKUP(AA$13&amp;$B1337,Aux!$B:$M,4,0),"")</f>
        <v/>
      </c>
      <c r="AD1337" s="62"/>
      <c r="AE1337" s="63" t="str">
        <f>IFERROR(IF(VLOOKUP(AA$13&amp;$B1335,Aux!$B:$M,8,0)="Да","✔","🕓"),"")</f>
        <v/>
      </c>
    </row>
    <row r="1338" spans="2:31" x14ac:dyDescent="0.25">
      <c r="B1338" s="53">
        <f t="shared" si="20"/>
        <v>265</v>
      </c>
      <c r="C1338" s="59"/>
      <c r="D1338" s="16" t="str">
        <f>IF(D1335="","","Срок сдачи"&amp;": ")</f>
        <v/>
      </c>
      <c r="E1338" s="64" t="str">
        <f>IFERROR(VLOOKUP(C$13&amp;$B1338,Aux!$B:$M,6,0),"")</f>
        <v/>
      </c>
      <c r="F1338" s="64"/>
      <c r="G1338" s="63"/>
      <c r="K1338" s="59"/>
      <c r="L1338" s="16" t="str">
        <f>IF(L1335="","","Срок сдачи"&amp;": ")</f>
        <v/>
      </c>
      <c r="M1338" s="64" t="str">
        <f>IFERROR(VLOOKUP(K$13&amp;$B1338,Aux!$B:$M,6,0),"")</f>
        <v/>
      </c>
      <c r="N1338" s="64"/>
      <c r="O1338" s="63"/>
      <c r="S1338" s="59"/>
      <c r="T1338" s="16" t="str">
        <f>IF(T1335="","","Срок сдачи"&amp;": ")</f>
        <v/>
      </c>
      <c r="U1338" s="64" t="str">
        <f>IFERROR(VLOOKUP(S$13&amp;$B1338,Aux!$B:$M,6,0),"")</f>
        <v/>
      </c>
      <c r="V1338" s="64"/>
      <c r="W1338" s="63"/>
      <c r="AA1338" s="59"/>
      <c r="AB1338" s="16" t="str">
        <f>IF(AB1335="","","Срок сдачи"&amp;": ")</f>
        <v/>
      </c>
      <c r="AC1338" s="64" t="str">
        <f>IFERROR(VLOOKUP(AA$13&amp;$B1338,Aux!$B:$M,6,0),"")</f>
        <v/>
      </c>
      <c r="AD1338" s="64"/>
      <c r="AE1338" s="63"/>
    </row>
    <row r="1339" spans="2:31" x14ac:dyDescent="0.25">
      <c r="B1339" s="53">
        <f t="shared" si="20"/>
        <v>265</v>
      </c>
      <c r="C1339" s="7"/>
      <c r="D1339" s="17"/>
      <c r="E1339" s="7"/>
      <c r="F1339" s="18"/>
      <c r="G1339" s="18"/>
      <c r="K1339" s="13"/>
      <c r="L1339" s="17"/>
      <c r="M1339" s="13"/>
      <c r="N1339" s="14"/>
      <c r="O1339" s="14"/>
      <c r="S1339" s="13"/>
      <c r="T1339" s="17"/>
      <c r="U1339" s="13"/>
      <c r="V1339" s="14"/>
      <c r="W1339" s="14"/>
      <c r="AA1339" s="13"/>
      <c r="AB1339" s="17"/>
      <c r="AC1339" s="13"/>
      <c r="AD1339" s="14"/>
      <c r="AE1339" s="30"/>
    </row>
    <row r="1340" spans="2:31" x14ac:dyDescent="0.25">
      <c r="B1340" s="53">
        <f t="shared" si="20"/>
        <v>266</v>
      </c>
      <c r="C1340" s="59" t="str">
        <f>IFERROR(VLOOKUP(C$13&amp;$B1344,Aux!$B:$M,5,0),"")</f>
        <v/>
      </c>
      <c r="D1340" s="60" t="str">
        <f>IFERROR(VLOOKUP(C$13&amp;$B1340,Aux!$B:$M,3,0),"")</f>
        <v/>
      </c>
      <c r="E1340" s="60"/>
      <c r="F1340" s="60"/>
      <c r="G1340" s="61" t="str">
        <f>IFERROR(VLOOKUP(C$13&amp;$B1340,Aux!$B:$M,9,0),"")</f>
        <v/>
      </c>
      <c r="K1340" s="59" t="str">
        <f>IFERROR(VLOOKUP(K$13&amp;$B1344,Aux!$B:$M,5,0),"")</f>
        <v/>
      </c>
      <c r="L1340" s="60" t="str">
        <f>IFERROR(VLOOKUP(K$13&amp;$B1340,Aux!$B:$M,3,0),"")</f>
        <v/>
      </c>
      <c r="M1340" s="60"/>
      <c r="N1340" s="60"/>
      <c r="O1340" s="61" t="str">
        <f>IFERROR(VLOOKUP(K$13&amp;$B1340,Aux!$B:$M,9,0),"")</f>
        <v/>
      </c>
      <c r="S1340" s="59" t="str">
        <f>IFERROR(VLOOKUP(S$13&amp;$B1344,Aux!$B:$M,5,0),"")</f>
        <v/>
      </c>
      <c r="T1340" s="60" t="str">
        <f>IFERROR(VLOOKUP(S$13&amp;$B1340,Aux!$B:$M,3,0),"")</f>
        <v/>
      </c>
      <c r="U1340" s="60"/>
      <c r="V1340" s="60"/>
      <c r="W1340" s="61" t="str">
        <f>IFERROR(VLOOKUP(S$13&amp;$B1340,Aux!$B:$M,9,0),"")</f>
        <v/>
      </c>
      <c r="AA1340" s="59" t="str">
        <f>IFERROR(VLOOKUP(AA$13&amp;$B1344,Aux!$B:$M,5,0),"")</f>
        <v/>
      </c>
      <c r="AB1340" s="60" t="str">
        <f>IFERROR(VLOOKUP(AA$13&amp;$B1340,Aux!$B:$M,3,0),"")</f>
        <v/>
      </c>
      <c r="AC1340" s="60"/>
      <c r="AD1340" s="60"/>
      <c r="AE1340" s="61" t="str">
        <f>IFERROR(VLOOKUP(AA$13&amp;$B1340,Aux!$B:$M,9,0),"")</f>
        <v/>
      </c>
    </row>
    <row r="1341" spans="2:31" x14ac:dyDescent="0.25">
      <c r="B1341" s="53">
        <f t="shared" si="20"/>
        <v>266</v>
      </c>
      <c r="C1341" s="59"/>
      <c r="D1341" s="60"/>
      <c r="E1341" s="60"/>
      <c r="F1341" s="60"/>
      <c r="G1341" s="61"/>
      <c r="K1341" s="59"/>
      <c r="L1341" s="60"/>
      <c r="M1341" s="60"/>
      <c r="N1341" s="60"/>
      <c r="O1341" s="61"/>
      <c r="S1341" s="59"/>
      <c r="T1341" s="60"/>
      <c r="U1341" s="60"/>
      <c r="V1341" s="60"/>
      <c r="W1341" s="61"/>
      <c r="AA1341" s="59"/>
      <c r="AB1341" s="60"/>
      <c r="AC1341" s="60"/>
      <c r="AD1341" s="60"/>
      <c r="AE1341" s="61"/>
    </row>
    <row r="1342" spans="2:31" x14ac:dyDescent="0.25">
      <c r="B1342" s="53">
        <f t="shared" si="20"/>
        <v>266</v>
      </c>
      <c r="C1342" s="59"/>
      <c r="D1342" s="15" t="str">
        <f>IF(D1340="","","Исполнитель"&amp;": ")</f>
        <v/>
      </c>
      <c r="E1342" s="62" t="str">
        <f>IFERROR(VLOOKUP(C$13&amp;$B1342,Aux!$B:$M,4,0),"")</f>
        <v/>
      </c>
      <c r="F1342" s="62"/>
      <c r="G1342" s="63" t="str">
        <f>IFERROR(IF(VLOOKUP(C$13&amp;$B1340,Aux!$B:$M,8,0)="Да","✔","🕓"),"")</f>
        <v/>
      </c>
      <c r="K1342" s="59"/>
      <c r="L1342" s="15" t="str">
        <f>IF(L1340="","","Исполнитель"&amp;": ")</f>
        <v/>
      </c>
      <c r="M1342" s="62" t="str">
        <f>IFERROR(VLOOKUP(K$13&amp;$B1342,Aux!$B:$M,4,0),"")</f>
        <v/>
      </c>
      <c r="N1342" s="62"/>
      <c r="O1342" s="63" t="str">
        <f>IFERROR(IF(VLOOKUP(K$13&amp;$B1340,Aux!$B:$M,8,0)="Да","✔","🕓"),"")</f>
        <v/>
      </c>
      <c r="S1342" s="59"/>
      <c r="T1342" s="15" t="str">
        <f>IF(T1340="","","Исполнитель"&amp;": ")</f>
        <v/>
      </c>
      <c r="U1342" s="62" t="str">
        <f>IFERROR(VLOOKUP(S$13&amp;$B1342,Aux!$B:$M,4,0),"")</f>
        <v/>
      </c>
      <c r="V1342" s="62"/>
      <c r="W1342" s="63" t="str">
        <f>IFERROR(IF(VLOOKUP(S$13&amp;$B1340,Aux!$B:$M,8,0)="Да","✔","🕓"),"")</f>
        <v/>
      </c>
      <c r="AA1342" s="59"/>
      <c r="AB1342" s="15" t="str">
        <f>IF(AB1340="","","Исполнитель"&amp;": ")</f>
        <v/>
      </c>
      <c r="AC1342" s="62" t="str">
        <f>IFERROR(VLOOKUP(AA$13&amp;$B1342,Aux!$B:$M,4,0),"")</f>
        <v/>
      </c>
      <c r="AD1342" s="62"/>
      <c r="AE1342" s="63" t="str">
        <f>IFERROR(IF(VLOOKUP(AA$13&amp;$B1340,Aux!$B:$M,8,0)="Да","✔","🕓"),"")</f>
        <v/>
      </c>
    </row>
    <row r="1343" spans="2:31" x14ac:dyDescent="0.25">
      <c r="B1343" s="53">
        <f t="shared" si="20"/>
        <v>266</v>
      </c>
      <c r="C1343" s="59"/>
      <c r="D1343" s="16" t="str">
        <f>IF(D1340="","","Срок сдачи"&amp;": ")</f>
        <v/>
      </c>
      <c r="E1343" s="64" t="str">
        <f>IFERROR(VLOOKUP(C$13&amp;$B1343,Aux!$B:$M,6,0),"")</f>
        <v/>
      </c>
      <c r="F1343" s="64"/>
      <c r="G1343" s="63"/>
      <c r="K1343" s="59"/>
      <c r="L1343" s="16" t="str">
        <f>IF(L1340="","","Срок сдачи"&amp;": ")</f>
        <v/>
      </c>
      <c r="M1343" s="64" t="str">
        <f>IFERROR(VLOOKUP(K$13&amp;$B1343,Aux!$B:$M,6,0),"")</f>
        <v/>
      </c>
      <c r="N1343" s="64"/>
      <c r="O1343" s="63"/>
      <c r="S1343" s="59"/>
      <c r="T1343" s="16" t="str">
        <f>IF(T1340="","","Срок сдачи"&amp;": ")</f>
        <v/>
      </c>
      <c r="U1343" s="64" t="str">
        <f>IFERROR(VLOOKUP(S$13&amp;$B1343,Aux!$B:$M,6,0),"")</f>
        <v/>
      </c>
      <c r="V1343" s="64"/>
      <c r="W1343" s="63"/>
      <c r="AA1343" s="59"/>
      <c r="AB1343" s="16" t="str">
        <f>IF(AB1340="","","Срок сдачи"&amp;": ")</f>
        <v/>
      </c>
      <c r="AC1343" s="64" t="str">
        <f>IFERROR(VLOOKUP(AA$13&amp;$B1343,Aux!$B:$M,6,0),"")</f>
        <v/>
      </c>
      <c r="AD1343" s="64"/>
      <c r="AE1343" s="63"/>
    </row>
    <row r="1344" spans="2:31" x14ac:dyDescent="0.25">
      <c r="B1344" s="53">
        <f t="shared" si="20"/>
        <v>266</v>
      </c>
      <c r="C1344" s="7"/>
      <c r="D1344" s="17"/>
      <c r="E1344" s="7"/>
      <c r="F1344" s="18"/>
      <c r="G1344" s="18"/>
      <c r="K1344" s="13"/>
      <c r="L1344" s="17"/>
      <c r="M1344" s="13"/>
      <c r="N1344" s="14"/>
      <c r="O1344" s="14"/>
      <c r="S1344" s="13"/>
      <c r="T1344" s="17"/>
      <c r="U1344" s="13"/>
      <c r="V1344" s="14"/>
      <c r="W1344" s="14"/>
      <c r="AA1344" s="13"/>
      <c r="AB1344" s="17"/>
      <c r="AC1344" s="13"/>
      <c r="AD1344" s="14"/>
      <c r="AE1344" s="30"/>
    </row>
    <row r="1345" spans="2:31" x14ac:dyDescent="0.25">
      <c r="B1345" s="53">
        <f t="shared" si="20"/>
        <v>267</v>
      </c>
      <c r="C1345" s="59" t="str">
        <f>IFERROR(VLOOKUP(C$13&amp;$B1349,Aux!$B:$M,5,0),"")</f>
        <v/>
      </c>
      <c r="D1345" s="60" t="str">
        <f>IFERROR(VLOOKUP(C$13&amp;$B1345,Aux!$B:$M,3,0),"")</f>
        <v/>
      </c>
      <c r="E1345" s="60"/>
      <c r="F1345" s="60"/>
      <c r="G1345" s="61" t="str">
        <f>IFERROR(VLOOKUP(C$13&amp;$B1345,Aux!$B:$M,9,0),"")</f>
        <v/>
      </c>
      <c r="K1345" s="59" t="str">
        <f>IFERROR(VLOOKUP(K$13&amp;$B1349,Aux!$B:$M,5,0),"")</f>
        <v/>
      </c>
      <c r="L1345" s="60" t="str">
        <f>IFERROR(VLOOKUP(K$13&amp;$B1345,Aux!$B:$M,3,0),"")</f>
        <v/>
      </c>
      <c r="M1345" s="60"/>
      <c r="N1345" s="60"/>
      <c r="O1345" s="61" t="str">
        <f>IFERROR(VLOOKUP(K$13&amp;$B1345,Aux!$B:$M,9,0),"")</f>
        <v/>
      </c>
      <c r="S1345" s="59" t="str">
        <f>IFERROR(VLOOKUP(S$13&amp;$B1349,Aux!$B:$M,5,0),"")</f>
        <v/>
      </c>
      <c r="T1345" s="60" t="str">
        <f>IFERROR(VLOOKUP(S$13&amp;$B1345,Aux!$B:$M,3,0),"")</f>
        <v/>
      </c>
      <c r="U1345" s="60"/>
      <c r="V1345" s="60"/>
      <c r="W1345" s="61" t="str">
        <f>IFERROR(VLOOKUP(S$13&amp;$B1345,Aux!$B:$M,9,0),"")</f>
        <v/>
      </c>
      <c r="AA1345" s="59" t="str">
        <f>IFERROR(VLOOKUP(AA$13&amp;$B1349,Aux!$B:$M,5,0),"")</f>
        <v/>
      </c>
      <c r="AB1345" s="60" t="str">
        <f>IFERROR(VLOOKUP(AA$13&amp;$B1345,Aux!$B:$M,3,0),"")</f>
        <v/>
      </c>
      <c r="AC1345" s="60"/>
      <c r="AD1345" s="60"/>
      <c r="AE1345" s="61" t="str">
        <f>IFERROR(VLOOKUP(AA$13&amp;$B1345,Aux!$B:$M,9,0),"")</f>
        <v/>
      </c>
    </row>
    <row r="1346" spans="2:31" x14ac:dyDescent="0.25">
      <c r="B1346" s="53">
        <f t="shared" si="20"/>
        <v>267</v>
      </c>
      <c r="C1346" s="59"/>
      <c r="D1346" s="60"/>
      <c r="E1346" s="60"/>
      <c r="F1346" s="60"/>
      <c r="G1346" s="61"/>
      <c r="K1346" s="59"/>
      <c r="L1346" s="60"/>
      <c r="M1346" s="60"/>
      <c r="N1346" s="60"/>
      <c r="O1346" s="61"/>
      <c r="S1346" s="59"/>
      <c r="T1346" s="60"/>
      <c r="U1346" s="60"/>
      <c r="V1346" s="60"/>
      <c r="W1346" s="61"/>
      <c r="AA1346" s="59"/>
      <c r="AB1346" s="60"/>
      <c r="AC1346" s="60"/>
      <c r="AD1346" s="60"/>
      <c r="AE1346" s="61"/>
    </row>
    <row r="1347" spans="2:31" x14ac:dyDescent="0.25">
      <c r="B1347" s="53">
        <f t="shared" si="20"/>
        <v>267</v>
      </c>
      <c r="C1347" s="59"/>
      <c r="D1347" s="15" t="str">
        <f>IF(D1345="","","Исполнитель"&amp;": ")</f>
        <v/>
      </c>
      <c r="E1347" s="62" t="str">
        <f>IFERROR(VLOOKUP(C$13&amp;$B1347,Aux!$B:$M,4,0),"")</f>
        <v/>
      </c>
      <c r="F1347" s="62"/>
      <c r="G1347" s="63" t="str">
        <f>IFERROR(IF(VLOOKUP(C$13&amp;$B1345,Aux!$B:$M,8,0)="Да","✔","🕓"),"")</f>
        <v/>
      </c>
      <c r="K1347" s="59"/>
      <c r="L1347" s="15" t="str">
        <f>IF(L1345="","","Исполнитель"&amp;": ")</f>
        <v/>
      </c>
      <c r="M1347" s="62" t="str">
        <f>IFERROR(VLOOKUP(K$13&amp;$B1347,Aux!$B:$M,4,0),"")</f>
        <v/>
      </c>
      <c r="N1347" s="62"/>
      <c r="O1347" s="63" t="str">
        <f>IFERROR(IF(VLOOKUP(K$13&amp;$B1345,Aux!$B:$M,8,0)="Да","✔","🕓"),"")</f>
        <v/>
      </c>
      <c r="S1347" s="59"/>
      <c r="T1347" s="15" t="str">
        <f>IF(T1345="","","Исполнитель"&amp;": ")</f>
        <v/>
      </c>
      <c r="U1347" s="62" t="str">
        <f>IFERROR(VLOOKUP(S$13&amp;$B1347,Aux!$B:$M,4,0),"")</f>
        <v/>
      </c>
      <c r="V1347" s="62"/>
      <c r="W1347" s="63" t="str">
        <f>IFERROR(IF(VLOOKUP(S$13&amp;$B1345,Aux!$B:$M,8,0)="Да","✔","🕓"),"")</f>
        <v/>
      </c>
      <c r="AA1347" s="59"/>
      <c r="AB1347" s="15" t="str">
        <f>IF(AB1345="","","Исполнитель"&amp;": ")</f>
        <v/>
      </c>
      <c r="AC1347" s="62" t="str">
        <f>IFERROR(VLOOKUP(AA$13&amp;$B1347,Aux!$B:$M,4,0),"")</f>
        <v/>
      </c>
      <c r="AD1347" s="62"/>
      <c r="AE1347" s="63" t="str">
        <f>IFERROR(IF(VLOOKUP(AA$13&amp;$B1345,Aux!$B:$M,8,0)="Да","✔","🕓"),"")</f>
        <v/>
      </c>
    </row>
    <row r="1348" spans="2:31" x14ac:dyDescent="0.25">
      <c r="B1348" s="53">
        <f t="shared" si="20"/>
        <v>267</v>
      </c>
      <c r="C1348" s="59"/>
      <c r="D1348" s="16" t="str">
        <f>IF(D1345="","","Срок сдачи"&amp;": ")</f>
        <v/>
      </c>
      <c r="E1348" s="64" t="str">
        <f>IFERROR(VLOOKUP(C$13&amp;$B1348,Aux!$B:$M,6,0),"")</f>
        <v/>
      </c>
      <c r="F1348" s="64"/>
      <c r="G1348" s="63"/>
      <c r="K1348" s="59"/>
      <c r="L1348" s="16" t="str">
        <f>IF(L1345="","","Срок сдачи"&amp;": ")</f>
        <v/>
      </c>
      <c r="M1348" s="64" t="str">
        <f>IFERROR(VLOOKUP(K$13&amp;$B1348,Aux!$B:$M,6,0),"")</f>
        <v/>
      </c>
      <c r="N1348" s="64"/>
      <c r="O1348" s="63"/>
      <c r="S1348" s="59"/>
      <c r="T1348" s="16" t="str">
        <f>IF(T1345="","","Срок сдачи"&amp;": ")</f>
        <v/>
      </c>
      <c r="U1348" s="64" t="str">
        <f>IFERROR(VLOOKUP(S$13&amp;$B1348,Aux!$B:$M,6,0),"")</f>
        <v/>
      </c>
      <c r="V1348" s="64"/>
      <c r="W1348" s="63"/>
      <c r="AA1348" s="59"/>
      <c r="AB1348" s="16" t="str">
        <f>IF(AB1345="","","Срок сдачи"&amp;": ")</f>
        <v/>
      </c>
      <c r="AC1348" s="64" t="str">
        <f>IFERROR(VLOOKUP(AA$13&amp;$B1348,Aux!$B:$M,6,0),"")</f>
        <v/>
      </c>
      <c r="AD1348" s="64"/>
      <c r="AE1348" s="63"/>
    </row>
    <row r="1349" spans="2:31" x14ac:dyDescent="0.25">
      <c r="B1349" s="53">
        <f t="shared" si="20"/>
        <v>267</v>
      </c>
      <c r="C1349" s="7"/>
      <c r="D1349" s="17"/>
      <c r="E1349" s="7"/>
      <c r="F1349" s="18"/>
      <c r="G1349" s="18"/>
      <c r="K1349" s="13"/>
      <c r="L1349" s="17"/>
      <c r="M1349" s="13"/>
      <c r="N1349" s="14"/>
      <c r="O1349" s="14"/>
      <c r="S1349" s="13"/>
      <c r="T1349" s="17"/>
      <c r="U1349" s="13"/>
      <c r="V1349" s="14"/>
      <c r="W1349" s="14"/>
      <c r="AA1349" s="13"/>
      <c r="AB1349" s="17"/>
      <c r="AC1349" s="13"/>
      <c r="AD1349" s="14"/>
      <c r="AE1349" s="30"/>
    </row>
    <row r="1350" spans="2:31" x14ac:dyDescent="0.25">
      <c r="B1350" s="53">
        <f t="shared" si="20"/>
        <v>268</v>
      </c>
      <c r="C1350" s="59" t="str">
        <f>IFERROR(VLOOKUP(C$13&amp;$B1354,Aux!$B:$M,5,0),"")</f>
        <v/>
      </c>
      <c r="D1350" s="60" t="str">
        <f>IFERROR(VLOOKUP(C$13&amp;$B1350,Aux!$B:$M,3,0),"")</f>
        <v/>
      </c>
      <c r="E1350" s="60"/>
      <c r="F1350" s="60"/>
      <c r="G1350" s="61" t="str">
        <f>IFERROR(VLOOKUP(C$13&amp;$B1350,Aux!$B:$M,9,0),"")</f>
        <v/>
      </c>
      <c r="K1350" s="59" t="str">
        <f>IFERROR(VLOOKUP(K$13&amp;$B1354,Aux!$B:$M,5,0),"")</f>
        <v/>
      </c>
      <c r="L1350" s="60" t="str">
        <f>IFERROR(VLOOKUP(K$13&amp;$B1350,Aux!$B:$M,3,0),"")</f>
        <v/>
      </c>
      <c r="M1350" s="60"/>
      <c r="N1350" s="60"/>
      <c r="O1350" s="61" t="str">
        <f>IFERROR(VLOOKUP(K$13&amp;$B1350,Aux!$B:$M,9,0),"")</f>
        <v/>
      </c>
      <c r="S1350" s="59" t="str">
        <f>IFERROR(VLOOKUP(S$13&amp;$B1354,Aux!$B:$M,5,0),"")</f>
        <v/>
      </c>
      <c r="T1350" s="60" t="str">
        <f>IFERROR(VLOOKUP(S$13&amp;$B1350,Aux!$B:$M,3,0),"")</f>
        <v/>
      </c>
      <c r="U1350" s="60"/>
      <c r="V1350" s="60"/>
      <c r="W1350" s="61" t="str">
        <f>IFERROR(VLOOKUP(S$13&amp;$B1350,Aux!$B:$M,9,0),"")</f>
        <v/>
      </c>
      <c r="AA1350" s="59" t="str">
        <f>IFERROR(VLOOKUP(AA$13&amp;$B1354,Aux!$B:$M,5,0),"")</f>
        <v/>
      </c>
      <c r="AB1350" s="60" t="str">
        <f>IFERROR(VLOOKUP(AA$13&amp;$B1350,Aux!$B:$M,3,0),"")</f>
        <v/>
      </c>
      <c r="AC1350" s="60"/>
      <c r="AD1350" s="60"/>
      <c r="AE1350" s="61" t="str">
        <f>IFERROR(VLOOKUP(AA$13&amp;$B1350,Aux!$B:$M,9,0),"")</f>
        <v/>
      </c>
    </row>
    <row r="1351" spans="2:31" x14ac:dyDescent="0.25">
      <c r="B1351" s="53">
        <f t="shared" si="20"/>
        <v>268</v>
      </c>
      <c r="C1351" s="59"/>
      <c r="D1351" s="60"/>
      <c r="E1351" s="60"/>
      <c r="F1351" s="60"/>
      <c r="G1351" s="61"/>
      <c r="K1351" s="59"/>
      <c r="L1351" s="60"/>
      <c r="M1351" s="60"/>
      <c r="N1351" s="60"/>
      <c r="O1351" s="61"/>
      <c r="S1351" s="59"/>
      <c r="T1351" s="60"/>
      <c r="U1351" s="60"/>
      <c r="V1351" s="60"/>
      <c r="W1351" s="61"/>
      <c r="AA1351" s="59"/>
      <c r="AB1351" s="60"/>
      <c r="AC1351" s="60"/>
      <c r="AD1351" s="60"/>
      <c r="AE1351" s="61"/>
    </row>
    <row r="1352" spans="2:31" x14ac:dyDescent="0.25">
      <c r="B1352" s="53">
        <f t="shared" si="20"/>
        <v>268</v>
      </c>
      <c r="C1352" s="59"/>
      <c r="D1352" s="15" t="str">
        <f>IF(D1350="","","Исполнитель"&amp;": ")</f>
        <v/>
      </c>
      <c r="E1352" s="62" t="str">
        <f>IFERROR(VLOOKUP(C$13&amp;$B1352,Aux!$B:$M,4,0),"")</f>
        <v/>
      </c>
      <c r="F1352" s="62"/>
      <c r="G1352" s="63" t="str">
        <f>IFERROR(IF(VLOOKUP(C$13&amp;$B1350,Aux!$B:$M,8,0)="Да","✔","🕓"),"")</f>
        <v/>
      </c>
      <c r="K1352" s="59"/>
      <c r="L1352" s="15" t="str">
        <f>IF(L1350="","","Исполнитель"&amp;": ")</f>
        <v/>
      </c>
      <c r="M1352" s="62" t="str">
        <f>IFERROR(VLOOKUP(K$13&amp;$B1352,Aux!$B:$M,4,0),"")</f>
        <v/>
      </c>
      <c r="N1352" s="62"/>
      <c r="O1352" s="63" t="str">
        <f>IFERROR(IF(VLOOKUP(K$13&amp;$B1350,Aux!$B:$M,8,0)="Да","✔","🕓"),"")</f>
        <v/>
      </c>
      <c r="S1352" s="59"/>
      <c r="T1352" s="15" t="str">
        <f>IF(T1350="","","Исполнитель"&amp;": ")</f>
        <v/>
      </c>
      <c r="U1352" s="62" t="str">
        <f>IFERROR(VLOOKUP(S$13&amp;$B1352,Aux!$B:$M,4,0),"")</f>
        <v/>
      </c>
      <c r="V1352" s="62"/>
      <c r="W1352" s="63" t="str">
        <f>IFERROR(IF(VLOOKUP(S$13&amp;$B1350,Aux!$B:$M,8,0)="Да","✔","🕓"),"")</f>
        <v/>
      </c>
      <c r="AA1352" s="59"/>
      <c r="AB1352" s="15" t="str">
        <f>IF(AB1350="","","Исполнитель"&amp;": ")</f>
        <v/>
      </c>
      <c r="AC1352" s="62" t="str">
        <f>IFERROR(VLOOKUP(AA$13&amp;$B1352,Aux!$B:$M,4,0),"")</f>
        <v/>
      </c>
      <c r="AD1352" s="62"/>
      <c r="AE1352" s="63" t="str">
        <f>IFERROR(IF(VLOOKUP(AA$13&amp;$B1350,Aux!$B:$M,8,0)="Да","✔","🕓"),"")</f>
        <v/>
      </c>
    </row>
    <row r="1353" spans="2:31" x14ac:dyDescent="0.25">
      <c r="B1353" s="53">
        <f t="shared" si="20"/>
        <v>268</v>
      </c>
      <c r="C1353" s="59"/>
      <c r="D1353" s="16" t="str">
        <f>IF(D1350="","","Срок сдачи"&amp;": ")</f>
        <v/>
      </c>
      <c r="E1353" s="64" t="str">
        <f>IFERROR(VLOOKUP(C$13&amp;$B1353,Aux!$B:$M,6,0),"")</f>
        <v/>
      </c>
      <c r="F1353" s="64"/>
      <c r="G1353" s="63"/>
      <c r="K1353" s="59"/>
      <c r="L1353" s="16" t="str">
        <f>IF(L1350="","","Срок сдачи"&amp;": ")</f>
        <v/>
      </c>
      <c r="M1353" s="64" t="str">
        <f>IFERROR(VLOOKUP(K$13&amp;$B1353,Aux!$B:$M,6,0),"")</f>
        <v/>
      </c>
      <c r="N1353" s="64"/>
      <c r="O1353" s="63"/>
      <c r="S1353" s="59"/>
      <c r="T1353" s="16" t="str">
        <f>IF(T1350="","","Срок сдачи"&amp;": ")</f>
        <v/>
      </c>
      <c r="U1353" s="64" t="str">
        <f>IFERROR(VLOOKUP(S$13&amp;$B1353,Aux!$B:$M,6,0),"")</f>
        <v/>
      </c>
      <c r="V1353" s="64"/>
      <c r="W1353" s="63"/>
      <c r="AA1353" s="59"/>
      <c r="AB1353" s="16" t="str">
        <f>IF(AB1350="","","Срок сдачи"&amp;": ")</f>
        <v/>
      </c>
      <c r="AC1353" s="64" t="str">
        <f>IFERROR(VLOOKUP(AA$13&amp;$B1353,Aux!$B:$M,6,0),"")</f>
        <v/>
      </c>
      <c r="AD1353" s="64"/>
      <c r="AE1353" s="63"/>
    </row>
    <row r="1354" spans="2:31" x14ac:dyDescent="0.25">
      <c r="B1354" s="53">
        <f t="shared" si="20"/>
        <v>268</v>
      </c>
      <c r="C1354" s="7"/>
      <c r="D1354" s="17"/>
      <c r="E1354" s="7"/>
      <c r="F1354" s="18"/>
      <c r="G1354" s="18"/>
      <c r="K1354" s="13"/>
      <c r="L1354" s="17"/>
      <c r="M1354" s="13"/>
      <c r="N1354" s="14"/>
      <c r="O1354" s="14"/>
      <c r="S1354" s="13"/>
      <c r="T1354" s="17"/>
      <c r="U1354" s="13"/>
      <c r="V1354" s="14"/>
      <c r="W1354" s="14"/>
      <c r="AA1354" s="13"/>
      <c r="AB1354" s="17"/>
      <c r="AC1354" s="13"/>
      <c r="AD1354" s="14"/>
      <c r="AE1354" s="30"/>
    </row>
    <row r="1355" spans="2:31" x14ac:dyDescent="0.25">
      <c r="B1355" s="53">
        <f t="shared" si="20"/>
        <v>269</v>
      </c>
      <c r="C1355" s="59" t="str">
        <f>IFERROR(VLOOKUP(C$13&amp;$B1359,Aux!$B:$M,5,0),"")</f>
        <v/>
      </c>
      <c r="D1355" s="60" t="str">
        <f>IFERROR(VLOOKUP(C$13&amp;$B1355,Aux!$B:$M,3,0),"")</f>
        <v/>
      </c>
      <c r="E1355" s="60"/>
      <c r="F1355" s="60"/>
      <c r="G1355" s="61" t="str">
        <f>IFERROR(VLOOKUP(C$13&amp;$B1355,Aux!$B:$M,9,0),"")</f>
        <v/>
      </c>
      <c r="K1355" s="59" t="str">
        <f>IFERROR(VLOOKUP(K$13&amp;$B1359,Aux!$B:$M,5,0),"")</f>
        <v/>
      </c>
      <c r="L1355" s="60" t="str">
        <f>IFERROR(VLOOKUP(K$13&amp;$B1355,Aux!$B:$M,3,0),"")</f>
        <v/>
      </c>
      <c r="M1355" s="60"/>
      <c r="N1355" s="60"/>
      <c r="O1355" s="61" t="str">
        <f>IFERROR(VLOOKUP(K$13&amp;$B1355,Aux!$B:$M,9,0),"")</f>
        <v/>
      </c>
      <c r="S1355" s="59" t="str">
        <f>IFERROR(VLOOKUP(S$13&amp;$B1359,Aux!$B:$M,5,0),"")</f>
        <v/>
      </c>
      <c r="T1355" s="60" t="str">
        <f>IFERROR(VLOOKUP(S$13&amp;$B1355,Aux!$B:$M,3,0),"")</f>
        <v/>
      </c>
      <c r="U1355" s="60"/>
      <c r="V1355" s="60"/>
      <c r="W1355" s="61" t="str">
        <f>IFERROR(VLOOKUP(S$13&amp;$B1355,Aux!$B:$M,9,0),"")</f>
        <v/>
      </c>
      <c r="AA1355" s="59" t="str">
        <f>IFERROR(VLOOKUP(AA$13&amp;$B1359,Aux!$B:$M,5,0),"")</f>
        <v/>
      </c>
      <c r="AB1355" s="60" t="str">
        <f>IFERROR(VLOOKUP(AA$13&amp;$B1355,Aux!$B:$M,3,0),"")</f>
        <v/>
      </c>
      <c r="AC1355" s="60"/>
      <c r="AD1355" s="60"/>
      <c r="AE1355" s="61" t="str">
        <f>IFERROR(VLOOKUP(AA$13&amp;$B1355,Aux!$B:$M,9,0),"")</f>
        <v/>
      </c>
    </row>
    <row r="1356" spans="2:31" x14ac:dyDescent="0.25">
      <c r="B1356" s="53">
        <f t="shared" si="20"/>
        <v>269</v>
      </c>
      <c r="C1356" s="59"/>
      <c r="D1356" s="60"/>
      <c r="E1356" s="60"/>
      <c r="F1356" s="60"/>
      <c r="G1356" s="61"/>
      <c r="K1356" s="59"/>
      <c r="L1356" s="60"/>
      <c r="M1356" s="60"/>
      <c r="N1356" s="60"/>
      <c r="O1356" s="61"/>
      <c r="S1356" s="59"/>
      <c r="T1356" s="60"/>
      <c r="U1356" s="60"/>
      <c r="V1356" s="60"/>
      <c r="W1356" s="61"/>
      <c r="AA1356" s="59"/>
      <c r="AB1356" s="60"/>
      <c r="AC1356" s="60"/>
      <c r="AD1356" s="60"/>
      <c r="AE1356" s="61"/>
    </row>
    <row r="1357" spans="2:31" x14ac:dyDescent="0.25">
      <c r="B1357" s="53">
        <f t="shared" si="20"/>
        <v>269</v>
      </c>
      <c r="C1357" s="59"/>
      <c r="D1357" s="15" t="str">
        <f>IF(D1355="","","Исполнитель"&amp;": ")</f>
        <v/>
      </c>
      <c r="E1357" s="62" t="str">
        <f>IFERROR(VLOOKUP(C$13&amp;$B1357,Aux!$B:$M,4,0),"")</f>
        <v/>
      </c>
      <c r="F1357" s="62"/>
      <c r="G1357" s="63" t="str">
        <f>IFERROR(IF(VLOOKUP(C$13&amp;$B1355,Aux!$B:$M,8,0)="Да","✔","🕓"),"")</f>
        <v/>
      </c>
      <c r="K1357" s="59"/>
      <c r="L1357" s="15" t="str">
        <f>IF(L1355="","","Исполнитель"&amp;": ")</f>
        <v/>
      </c>
      <c r="M1357" s="62" t="str">
        <f>IFERROR(VLOOKUP(K$13&amp;$B1357,Aux!$B:$M,4,0),"")</f>
        <v/>
      </c>
      <c r="N1357" s="62"/>
      <c r="O1357" s="63" t="str">
        <f>IFERROR(IF(VLOOKUP(K$13&amp;$B1355,Aux!$B:$M,8,0)="Да","✔","🕓"),"")</f>
        <v/>
      </c>
      <c r="S1357" s="59"/>
      <c r="T1357" s="15" t="str">
        <f>IF(T1355="","","Исполнитель"&amp;": ")</f>
        <v/>
      </c>
      <c r="U1357" s="62" t="str">
        <f>IFERROR(VLOOKUP(S$13&amp;$B1357,Aux!$B:$M,4,0),"")</f>
        <v/>
      </c>
      <c r="V1357" s="62"/>
      <c r="W1357" s="63" t="str">
        <f>IFERROR(IF(VLOOKUP(S$13&amp;$B1355,Aux!$B:$M,8,0)="Да","✔","🕓"),"")</f>
        <v/>
      </c>
      <c r="AA1357" s="59"/>
      <c r="AB1357" s="15" t="str">
        <f>IF(AB1355="","","Исполнитель"&amp;": ")</f>
        <v/>
      </c>
      <c r="AC1357" s="62" t="str">
        <f>IFERROR(VLOOKUP(AA$13&amp;$B1357,Aux!$B:$M,4,0),"")</f>
        <v/>
      </c>
      <c r="AD1357" s="62"/>
      <c r="AE1357" s="63" t="str">
        <f>IFERROR(IF(VLOOKUP(AA$13&amp;$B1355,Aux!$B:$M,8,0)="Да","✔","🕓"),"")</f>
        <v/>
      </c>
    </row>
    <row r="1358" spans="2:31" x14ac:dyDescent="0.25">
      <c r="B1358" s="53">
        <f t="shared" si="20"/>
        <v>269</v>
      </c>
      <c r="C1358" s="59"/>
      <c r="D1358" s="16" t="str">
        <f>IF(D1355="","","Срок сдачи"&amp;": ")</f>
        <v/>
      </c>
      <c r="E1358" s="64" t="str">
        <f>IFERROR(VLOOKUP(C$13&amp;$B1358,Aux!$B:$M,6,0),"")</f>
        <v/>
      </c>
      <c r="F1358" s="64"/>
      <c r="G1358" s="63"/>
      <c r="K1358" s="59"/>
      <c r="L1358" s="16" t="str">
        <f>IF(L1355="","","Срок сдачи"&amp;": ")</f>
        <v/>
      </c>
      <c r="M1358" s="64" t="str">
        <f>IFERROR(VLOOKUP(K$13&amp;$B1358,Aux!$B:$M,6,0),"")</f>
        <v/>
      </c>
      <c r="N1358" s="64"/>
      <c r="O1358" s="63"/>
      <c r="S1358" s="59"/>
      <c r="T1358" s="16" t="str">
        <f>IF(T1355="","","Срок сдачи"&amp;": ")</f>
        <v/>
      </c>
      <c r="U1358" s="64" t="str">
        <f>IFERROR(VLOOKUP(S$13&amp;$B1358,Aux!$B:$M,6,0),"")</f>
        <v/>
      </c>
      <c r="V1358" s="64"/>
      <c r="W1358" s="63"/>
      <c r="AA1358" s="59"/>
      <c r="AB1358" s="16" t="str">
        <f>IF(AB1355="","","Срок сдачи"&amp;": ")</f>
        <v/>
      </c>
      <c r="AC1358" s="64" t="str">
        <f>IFERROR(VLOOKUP(AA$13&amp;$B1358,Aux!$B:$M,6,0),"")</f>
        <v/>
      </c>
      <c r="AD1358" s="64"/>
      <c r="AE1358" s="63"/>
    </row>
    <row r="1359" spans="2:31" x14ac:dyDescent="0.25">
      <c r="B1359" s="53">
        <f t="shared" si="20"/>
        <v>269</v>
      </c>
      <c r="C1359" s="7"/>
      <c r="D1359" s="17"/>
      <c r="E1359" s="7"/>
      <c r="F1359" s="18"/>
      <c r="G1359" s="18"/>
      <c r="K1359" s="13"/>
      <c r="L1359" s="17"/>
      <c r="M1359" s="13"/>
      <c r="N1359" s="14"/>
      <c r="O1359" s="14"/>
      <c r="S1359" s="13"/>
      <c r="T1359" s="17"/>
      <c r="U1359" s="13"/>
      <c r="V1359" s="14"/>
      <c r="W1359" s="14"/>
      <c r="AA1359" s="13"/>
      <c r="AB1359" s="17"/>
      <c r="AC1359" s="13"/>
      <c r="AD1359" s="14"/>
      <c r="AE1359" s="30"/>
    </row>
    <row r="1360" spans="2:31" x14ac:dyDescent="0.25">
      <c r="B1360" s="53">
        <f t="shared" si="20"/>
        <v>270</v>
      </c>
      <c r="C1360" s="59" t="str">
        <f>IFERROR(VLOOKUP(C$13&amp;$B1364,Aux!$B:$M,5,0),"")</f>
        <v/>
      </c>
      <c r="D1360" s="60" t="str">
        <f>IFERROR(VLOOKUP(C$13&amp;$B1360,Aux!$B:$M,3,0),"")</f>
        <v/>
      </c>
      <c r="E1360" s="60"/>
      <c r="F1360" s="60"/>
      <c r="G1360" s="61" t="str">
        <f>IFERROR(VLOOKUP(C$13&amp;$B1360,Aux!$B:$M,9,0),"")</f>
        <v/>
      </c>
      <c r="K1360" s="59" t="str">
        <f>IFERROR(VLOOKUP(K$13&amp;$B1364,Aux!$B:$M,5,0),"")</f>
        <v/>
      </c>
      <c r="L1360" s="60" t="str">
        <f>IFERROR(VLOOKUP(K$13&amp;$B1360,Aux!$B:$M,3,0),"")</f>
        <v/>
      </c>
      <c r="M1360" s="60"/>
      <c r="N1360" s="60"/>
      <c r="O1360" s="61" t="str">
        <f>IFERROR(VLOOKUP(K$13&amp;$B1360,Aux!$B:$M,9,0),"")</f>
        <v/>
      </c>
      <c r="S1360" s="59" t="str">
        <f>IFERROR(VLOOKUP(S$13&amp;$B1364,Aux!$B:$M,5,0),"")</f>
        <v/>
      </c>
      <c r="T1360" s="60" t="str">
        <f>IFERROR(VLOOKUP(S$13&amp;$B1360,Aux!$B:$M,3,0),"")</f>
        <v/>
      </c>
      <c r="U1360" s="60"/>
      <c r="V1360" s="60"/>
      <c r="W1360" s="61" t="str">
        <f>IFERROR(VLOOKUP(S$13&amp;$B1360,Aux!$B:$M,9,0),"")</f>
        <v/>
      </c>
      <c r="AA1360" s="59" t="str">
        <f>IFERROR(VLOOKUP(AA$13&amp;$B1364,Aux!$B:$M,5,0),"")</f>
        <v/>
      </c>
      <c r="AB1360" s="60" t="str">
        <f>IFERROR(VLOOKUP(AA$13&amp;$B1360,Aux!$B:$M,3,0),"")</f>
        <v/>
      </c>
      <c r="AC1360" s="60"/>
      <c r="AD1360" s="60"/>
      <c r="AE1360" s="61" t="str">
        <f>IFERROR(VLOOKUP(AA$13&amp;$B1360,Aux!$B:$M,9,0),"")</f>
        <v/>
      </c>
    </row>
    <row r="1361" spans="2:31" x14ac:dyDescent="0.25">
      <c r="B1361" s="53">
        <f t="shared" si="20"/>
        <v>270</v>
      </c>
      <c r="C1361" s="59"/>
      <c r="D1361" s="60"/>
      <c r="E1361" s="60"/>
      <c r="F1361" s="60"/>
      <c r="G1361" s="61"/>
      <c r="K1361" s="59"/>
      <c r="L1361" s="60"/>
      <c r="M1361" s="60"/>
      <c r="N1361" s="60"/>
      <c r="O1361" s="61"/>
      <c r="S1361" s="59"/>
      <c r="T1361" s="60"/>
      <c r="U1361" s="60"/>
      <c r="V1361" s="60"/>
      <c r="W1361" s="61"/>
      <c r="AA1361" s="59"/>
      <c r="AB1361" s="60"/>
      <c r="AC1361" s="60"/>
      <c r="AD1361" s="60"/>
      <c r="AE1361" s="61"/>
    </row>
    <row r="1362" spans="2:31" x14ac:dyDescent="0.25">
      <c r="B1362" s="53">
        <f t="shared" si="20"/>
        <v>270</v>
      </c>
      <c r="C1362" s="59"/>
      <c r="D1362" s="15" t="str">
        <f>IF(D1360="","","Исполнитель"&amp;": ")</f>
        <v/>
      </c>
      <c r="E1362" s="62" t="str">
        <f>IFERROR(VLOOKUP(C$13&amp;$B1362,Aux!$B:$M,4,0),"")</f>
        <v/>
      </c>
      <c r="F1362" s="62"/>
      <c r="G1362" s="63" t="str">
        <f>IFERROR(IF(VLOOKUP(C$13&amp;$B1360,Aux!$B:$M,8,0)="Да","✔","🕓"),"")</f>
        <v/>
      </c>
      <c r="K1362" s="59"/>
      <c r="L1362" s="15" t="str">
        <f>IF(L1360="","","Исполнитель"&amp;": ")</f>
        <v/>
      </c>
      <c r="M1362" s="62" t="str">
        <f>IFERROR(VLOOKUP(K$13&amp;$B1362,Aux!$B:$M,4,0),"")</f>
        <v/>
      </c>
      <c r="N1362" s="62"/>
      <c r="O1362" s="63" t="str">
        <f>IFERROR(IF(VLOOKUP(K$13&amp;$B1360,Aux!$B:$M,8,0)="Да","✔","🕓"),"")</f>
        <v/>
      </c>
      <c r="S1362" s="59"/>
      <c r="T1362" s="15" t="str">
        <f>IF(T1360="","","Исполнитель"&amp;": ")</f>
        <v/>
      </c>
      <c r="U1362" s="62" t="str">
        <f>IFERROR(VLOOKUP(S$13&amp;$B1362,Aux!$B:$M,4,0),"")</f>
        <v/>
      </c>
      <c r="V1362" s="62"/>
      <c r="W1362" s="63" t="str">
        <f>IFERROR(IF(VLOOKUP(S$13&amp;$B1360,Aux!$B:$M,8,0)="Да","✔","🕓"),"")</f>
        <v/>
      </c>
      <c r="AA1362" s="59"/>
      <c r="AB1362" s="15" t="str">
        <f>IF(AB1360="","","Исполнитель"&amp;": ")</f>
        <v/>
      </c>
      <c r="AC1362" s="62" t="str">
        <f>IFERROR(VLOOKUP(AA$13&amp;$B1362,Aux!$B:$M,4,0),"")</f>
        <v/>
      </c>
      <c r="AD1362" s="62"/>
      <c r="AE1362" s="63" t="str">
        <f>IFERROR(IF(VLOOKUP(AA$13&amp;$B1360,Aux!$B:$M,8,0)="Да","✔","🕓"),"")</f>
        <v/>
      </c>
    </row>
    <row r="1363" spans="2:31" x14ac:dyDescent="0.25">
      <c r="B1363" s="53">
        <f t="shared" si="20"/>
        <v>270</v>
      </c>
      <c r="C1363" s="59"/>
      <c r="D1363" s="16" t="str">
        <f>IF(D1360="","","Срок сдачи"&amp;": ")</f>
        <v/>
      </c>
      <c r="E1363" s="64" t="str">
        <f>IFERROR(VLOOKUP(C$13&amp;$B1363,Aux!$B:$M,6,0),"")</f>
        <v/>
      </c>
      <c r="F1363" s="64"/>
      <c r="G1363" s="63"/>
      <c r="K1363" s="59"/>
      <c r="L1363" s="16" t="str">
        <f>IF(L1360="","","Срок сдачи"&amp;": ")</f>
        <v/>
      </c>
      <c r="M1363" s="64" t="str">
        <f>IFERROR(VLOOKUP(K$13&amp;$B1363,Aux!$B:$M,6,0),"")</f>
        <v/>
      </c>
      <c r="N1363" s="64"/>
      <c r="O1363" s="63"/>
      <c r="S1363" s="59"/>
      <c r="T1363" s="16" t="str">
        <f>IF(T1360="","","Срок сдачи"&amp;": ")</f>
        <v/>
      </c>
      <c r="U1363" s="64" t="str">
        <f>IFERROR(VLOOKUP(S$13&amp;$B1363,Aux!$B:$M,6,0),"")</f>
        <v/>
      </c>
      <c r="V1363" s="64"/>
      <c r="W1363" s="63"/>
      <c r="AA1363" s="59"/>
      <c r="AB1363" s="16" t="str">
        <f>IF(AB1360="","","Срок сдачи"&amp;": ")</f>
        <v/>
      </c>
      <c r="AC1363" s="64" t="str">
        <f>IFERROR(VLOOKUP(AA$13&amp;$B1363,Aux!$B:$M,6,0),"")</f>
        <v/>
      </c>
      <c r="AD1363" s="64"/>
      <c r="AE1363" s="63"/>
    </row>
    <row r="1364" spans="2:31" x14ac:dyDescent="0.25">
      <c r="B1364" s="53">
        <f t="shared" si="20"/>
        <v>270</v>
      </c>
      <c r="C1364" s="7"/>
      <c r="D1364" s="17"/>
      <c r="E1364" s="7"/>
      <c r="F1364" s="18"/>
      <c r="G1364" s="18"/>
      <c r="K1364" s="13"/>
      <c r="L1364" s="17"/>
      <c r="M1364" s="13"/>
      <c r="N1364" s="14"/>
      <c r="O1364" s="14"/>
      <c r="S1364" s="13"/>
      <c r="T1364" s="17"/>
      <c r="U1364" s="13"/>
      <c r="V1364" s="14"/>
      <c r="W1364" s="14"/>
      <c r="AA1364" s="13"/>
      <c r="AB1364" s="17"/>
      <c r="AC1364" s="13"/>
      <c r="AD1364" s="14"/>
      <c r="AE1364" s="30"/>
    </row>
    <row r="1365" spans="2:31" x14ac:dyDescent="0.25">
      <c r="B1365" s="53">
        <f t="shared" ref="B1365:B1428" si="21">B1360+1</f>
        <v>271</v>
      </c>
      <c r="C1365" s="59" t="str">
        <f>IFERROR(VLOOKUP(C$13&amp;$B1369,Aux!$B:$M,5,0),"")</f>
        <v/>
      </c>
      <c r="D1365" s="60" t="str">
        <f>IFERROR(VLOOKUP(C$13&amp;$B1365,Aux!$B:$M,3,0),"")</f>
        <v/>
      </c>
      <c r="E1365" s="60"/>
      <c r="F1365" s="60"/>
      <c r="G1365" s="61" t="str">
        <f>IFERROR(VLOOKUP(C$13&amp;$B1365,Aux!$B:$M,9,0),"")</f>
        <v/>
      </c>
      <c r="K1365" s="59" t="str">
        <f>IFERROR(VLOOKUP(K$13&amp;$B1369,Aux!$B:$M,5,0),"")</f>
        <v/>
      </c>
      <c r="L1365" s="60" t="str">
        <f>IFERROR(VLOOKUP(K$13&amp;$B1365,Aux!$B:$M,3,0),"")</f>
        <v/>
      </c>
      <c r="M1365" s="60"/>
      <c r="N1365" s="60"/>
      <c r="O1365" s="61" t="str">
        <f>IFERROR(VLOOKUP(K$13&amp;$B1365,Aux!$B:$M,9,0),"")</f>
        <v/>
      </c>
      <c r="S1365" s="59" t="str">
        <f>IFERROR(VLOOKUP(S$13&amp;$B1369,Aux!$B:$M,5,0),"")</f>
        <v/>
      </c>
      <c r="T1365" s="60" t="str">
        <f>IFERROR(VLOOKUP(S$13&amp;$B1365,Aux!$B:$M,3,0),"")</f>
        <v/>
      </c>
      <c r="U1365" s="60"/>
      <c r="V1365" s="60"/>
      <c r="W1365" s="61" t="str">
        <f>IFERROR(VLOOKUP(S$13&amp;$B1365,Aux!$B:$M,9,0),"")</f>
        <v/>
      </c>
      <c r="AA1365" s="59" t="str">
        <f>IFERROR(VLOOKUP(AA$13&amp;$B1369,Aux!$B:$M,5,0),"")</f>
        <v/>
      </c>
      <c r="AB1365" s="60" t="str">
        <f>IFERROR(VLOOKUP(AA$13&amp;$B1365,Aux!$B:$M,3,0),"")</f>
        <v/>
      </c>
      <c r="AC1365" s="60"/>
      <c r="AD1365" s="60"/>
      <c r="AE1365" s="61" t="str">
        <f>IFERROR(VLOOKUP(AA$13&amp;$B1365,Aux!$B:$M,9,0),"")</f>
        <v/>
      </c>
    </row>
    <row r="1366" spans="2:31" x14ac:dyDescent="0.25">
      <c r="B1366" s="53">
        <f t="shared" si="21"/>
        <v>271</v>
      </c>
      <c r="C1366" s="59"/>
      <c r="D1366" s="60"/>
      <c r="E1366" s="60"/>
      <c r="F1366" s="60"/>
      <c r="G1366" s="61"/>
      <c r="K1366" s="59"/>
      <c r="L1366" s="60"/>
      <c r="M1366" s="60"/>
      <c r="N1366" s="60"/>
      <c r="O1366" s="61"/>
      <c r="S1366" s="59"/>
      <c r="T1366" s="60"/>
      <c r="U1366" s="60"/>
      <c r="V1366" s="60"/>
      <c r="W1366" s="61"/>
      <c r="AA1366" s="59"/>
      <c r="AB1366" s="60"/>
      <c r="AC1366" s="60"/>
      <c r="AD1366" s="60"/>
      <c r="AE1366" s="61"/>
    </row>
    <row r="1367" spans="2:31" x14ac:dyDescent="0.25">
      <c r="B1367" s="53">
        <f t="shared" si="21"/>
        <v>271</v>
      </c>
      <c r="C1367" s="59"/>
      <c r="D1367" s="15" t="str">
        <f>IF(D1365="","","Исполнитель"&amp;": ")</f>
        <v/>
      </c>
      <c r="E1367" s="62" t="str">
        <f>IFERROR(VLOOKUP(C$13&amp;$B1367,Aux!$B:$M,4,0),"")</f>
        <v/>
      </c>
      <c r="F1367" s="62"/>
      <c r="G1367" s="63" t="str">
        <f>IFERROR(IF(VLOOKUP(C$13&amp;$B1365,Aux!$B:$M,8,0)="Да","✔","🕓"),"")</f>
        <v/>
      </c>
      <c r="K1367" s="59"/>
      <c r="L1367" s="15" t="str">
        <f>IF(L1365="","","Исполнитель"&amp;": ")</f>
        <v/>
      </c>
      <c r="M1367" s="62" t="str">
        <f>IFERROR(VLOOKUP(K$13&amp;$B1367,Aux!$B:$M,4,0),"")</f>
        <v/>
      </c>
      <c r="N1367" s="62"/>
      <c r="O1367" s="63" t="str">
        <f>IFERROR(IF(VLOOKUP(K$13&amp;$B1365,Aux!$B:$M,8,0)="Да","✔","🕓"),"")</f>
        <v/>
      </c>
      <c r="S1367" s="59"/>
      <c r="T1367" s="15" t="str">
        <f>IF(T1365="","","Исполнитель"&amp;": ")</f>
        <v/>
      </c>
      <c r="U1367" s="62" t="str">
        <f>IFERROR(VLOOKUP(S$13&amp;$B1367,Aux!$B:$M,4,0),"")</f>
        <v/>
      </c>
      <c r="V1367" s="62"/>
      <c r="W1367" s="63" t="str">
        <f>IFERROR(IF(VLOOKUP(S$13&amp;$B1365,Aux!$B:$M,8,0)="Да","✔","🕓"),"")</f>
        <v/>
      </c>
      <c r="AA1367" s="59"/>
      <c r="AB1367" s="15" t="str">
        <f>IF(AB1365="","","Исполнитель"&amp;": ")</f>
        <v/>
      </c>
      <c r="AC1367" s="62" t="str">
        <f>IFERROR(VLOOKUP(AA$13&amp;$B1367,Aux!$B:$M,4,0),"")</f>
        <v/>
      </c>
      <c r="AD1367" s="62"/>
      <c r="AE1367" s="63" t="str">
        <f>IFERROR(IF(VLOOKUP(AA$13&amp;$B1365,Aux!$B:$M,8,0)="Да","✔","🕓"),"")</f>
        <v/>
      </c>
    </row>
    <row r="1368" spans="2:31" x14ac:dyDescent="0.25">
      <c r="B1368" s="53">
        <f t="shared" si="21"/>
        <v>271</v>
      </c>
      <c r="C1368" s="59"/>
      <c r="D1368" s="16" t="str">
        <f>IF(D1365="","","Срок сдачи"&amp;": ")</f>
        <v/>
      </c>
      <c r="E1368" s="64" t="str">
        <f>IFERROR(VLOOKUP(C$13&amp;$B1368,Aux!$B:$M,6,0),"")</f>
        <v/>
      </c>
      <c r="F1368" s="64"/>
      <c r="G1368" s="63"/>
      <c r="K1368" s="59"/>
      <c r="L1368" s="16" t="str">
        <f>IF(L1365="","","Срок сдачи"&amp;": ")</f>
        <v/>
      </c>
      <c r="M1368" s="64" t="str">
        <f>IFERROR(VLOOKUP(K$13&amp;$B1368,Aux!$B:$M,6,0),"")</f>
        <v/>
      </c>
      <c r="N1368" s="64"/>
      <c r="O1368" s="63"/>
      <c r="S1368" s="59"/>
      <c r="T1368" s="16" t="str">
        <f>IF(T1365="","","Срок сдачи"&amp;": ")</f>
        <v/>
      </c>
      <c r="U1368" s="64" t="str">
        <f>IFERROR(VLOOKUP(S$13&amp;$B1368,Aux!$B:$M,6,0),"")</f>
        <v/>
      </c>
      <c r="V1368" s="64"/>
      <c r="W1368" s="63"/>
      <c r="AA1368" s="59"/>
      <c r="AB1368" s="16" t="str">
        <f>IF(AB1365="","","Срок сдачи"&amp;": ")</f>
        <v/>
      </c>
      <c r="AC1368" s="64" t="str">
        <f>IFERROR(VLOOKUP(AA$13&amp;$B1368,Aux!$B:$M,6,0),"")</f>
        <v/>
      </c>
      <c r="AD1368" s="64"/>
      <c r="AE1368" s="63"/>
    </row>
    <row r="1369" spans="2:31" x14ac:dyDescent="0.25">
      <c r="B1369" s="53">
        <f t="shared" si="21"/>
        <v>271</v>
      </c>
      <c r="C1369" s="7"/>
      <c r="D1369" s="17"/>
      <c r="E1369" s="7"/>
      <c r="F1369" s="18"/>
      <c r="G1369" s="18"/>
      <c r="K1369" s="13"/>
      <c r="L1369" s="17"/>
      <c r="M1369" s="13"/>
      <c r="N1369" s="14"/>
      <c r="O1369" s="14"/>
      <c r="S1369" s="13"/>
      <c r="T1369" s="17"/>
      <c r="U1369" s="13"/>
      <c r="V1369" s="14"/>
      <c r="W1369" s="14"/>
      <c r="AA1369" s="13"/>
      <c r="AB1369" s="17"/>
      <c r="AC1369" s="13"/>
      <c r="AD1369" s="14"/>
      <c r="AE1369" s="30"/>
    </row>
    <row r="1370" spans="2:31" x14ac:dyDescent="0.25">
      <c r="B1370" s="53">
        <f t="shared" si="21"/>
        <v>272</v>
      </c>
      <c r="C1370" s="59" t="str">
        <f>IFERROR(VLOOKUP(C$13&amp;$B1374,Aux!$B:$M,5,0),"")</f>
        <v/>
      </c>
      <c r="D1370" s="60" t="str">
        <f>IFERROR(VLOOKUP(C$13&amp;$B1370,Aux!$B:$M,3,0),"")</f>
        <v/>
      </c>
      <c r="E1370" s="60"/>
      <c r="F1370" s="60"/>
      <c r="G1370" s="61" t="str">
        <f>IFERROR(VLOOKUP(C$13&amp;$B1370,Aux!$B:$M,9,0),"")</f>
        <v/>
      </c>
      <c r="K1370" s="59" t="str">
        <f>IFERROR(VLOOKUP(K$13&amp;$B1374,Aux!$B:$M,5,0),"")</f>
        <v/>
      </c>
      <c r="L1370" s="60" t="str">
        <f>IFERROR(VLOOKUP(K$13&amp;$B1370,Aux!$B:$M,3,0),"")</f>
        <v/>
      </c>
      <c r="M1370" s="60"/>
      <c r="N1370" s="60"/>
      <c r="O1370" s="61" t="str">
        <f>IFERROR(VLOOKUP(K$13&amp;$B1370,Aux!$B:$M,9,0),"")</f>
        <v/>
      </c>
      <c r="S1370" s="59" t="str">
        <f>IFERROR(VLOOKUP(S$13&amp;$B1374,Aux!$B:$M,5,0),"")</f>
        <v/>
      </c>
      <c r="T1370" s="60" t="str">
        <f>IFERROR(VLOOKUP(S$13&amp;$B1370,Aux!$B:$M,3,0),"")</f>
        <v/>
      </c>
      <c r="U1370" s="60"/>
      <c r="V1370" s="60"/>
      <c r="W1370" s="61" t="str">
        <f>IFERROR(VLOOKUP(S$13&amp;$B1370,Aux!$B:$M,9,0),"")</f>
        <v/>
      </c>
      <c r="AA1370" s="59" t="str">
        <f>IFERROR(VLOOKUP(AA$13&amp;$B1374,Aux!$B:$M,5,0),"")</f>
        <v/>
      </c>
      <c r="AB1370" s="60" t="str">
        <f>IFERROR(VLOOKUP(AA$13&amp;$B1370,Aux!$B:$M,3,0),"")</f>
        <v/>
      </c>
      <c r="AC1370" s="60"/>
      <c r="AD1370" s="60"/>
      <c r="AE1370" s="61" t="str">
        <f>IFERROR(VLOOKUP(AA$13&amp;$B1370,Aux!$B:$M,9,0),"")</f>
        <v/>
      </c>
    </row>
    <row r="1371" spans="2:31" x14ac:dyDescent="0.25">
      <c r="B1371" s="53">
        <f t="shared" si="21"/>
        <v>272</v>
      </c>
      <c r="C1371" s="59"/>
      <c r="D1371" s="60"/>
      <c r="E1371" s="60"/>
      <c r="F1371" s="60"/>
      <c r="G1371" s="61"/>
      <c r="K1371" s="59"/>
      <c r="L1371" s="60"/>
      <c r="M1371" s="60"/>
      <c r="N1371" s="60"/>
      <c r="O1371" s="61"/>
      <c r="S1371" s="59"/>
      <c r="T1371" s="60"/>
      <c r="U1371" s="60"/>
      <c r="V1371" s="60"/>
      <c r="W1371" s="61"/>
      <c r="AA1371" s="59"/>
      <c r="AB1371" s="60"/>
      <c r="AC1371" s="60"/>
      <c r="AD1371" s="60"/>
      <c r="AE1371" s="61"/>
    </row>
    <row r="1372" spans="2:31" x14ac:dyDescent="0.25">
      <c r="B1372" s="53">
        <f t="shared" si="21"/>
        <v>272</v>
      </c>
      <c r="C1372" s="59"/>
      <c r="D1372" s="15" t="str">
        <f>IF(D1370="","","Исполнитель"&amp;": ")</f>
        <v/>
      </c>
      <c r="E1372" s="62" t="str">
        <f>IFERROR(VLOOKUP(C$13&amp;$B1372,Aux!$B:$M,4,0),"")</f>
        <v/>
      </c>
      <c r="F1372" s="62"/>
      <c r="G1372" s="63" t="str">
        <f>IFERROR(IF(VLOOKUP(C$13&amp;$B1370,Aux!$B:$M,8,0)="Да","✔","🕓"),"")</f>
        <v/>
      </c>
      <c r="K1372" s="59"/>
      <c r="L1372" s="15" t="str">
        <f>IF(L1370="","","Исполнитель"&amp;": ")</f>
        <v/>
      </c>
      <c r="M1372" s="62" t="str">
        <f>IFERROR(VLOOKUP(K$13&amp;$B1372,Aux!$B:$M,4,0),"")</f>
        <v/>
      </c>
      <c r="N1372" s="62"/>
      <c r="O1372" s="63" t="str">
        <f>IFERROR(IF(VLOOKUP(K$13&amp;$B1370,Aux!$B:$M,8,0)="Да","✔","🕓"),"")</f>
        <v/>
      </c>
      <c r="S1372" s="59"/>
      <c r="T1372" s="15" t="str">
        <f>IF(T1370="","","Исполнитель"&amp;": ")</f>
        <v/>
      </c>
      <c r="U1372" s="62" t="str">
        <f>IFERROR(VLOOKUP(S$13&amp;$B1372,Aux!$B:$M,4,0),"")</f>
        <v/>
      </c>
      <c r="V1372" s="62"/>
      <c r="W1372" s="63" t="str">
        <f>IFERROR(IF(VLOOKUP(S$13&amp;$B1370,Aux!$B:$M,8,0)="Да","✔","🕓"),"")</f>
        <v/>
      </c>
      <c r="AA1372" s="59"/>
      <c r="AB1372" s="15" t="str">
        <f>IF(AB1370="","","Исполнитель"&amp;": ")</f>
        <v/>
      </c>
      <c r="AC1372" s="62" t="str">
        <f>IFERROR(VLOOKUP(AA$13&amp;$B1372,Aux!$B:$M,4,0),"")</f>
        <v/>
      </c>
      <c r="AD1372" s="62"/>
      <c r="AE1372" s="63" t="str">
        <f>IFERROR(IF(VLOOKUP(AA$13&amp;$B1370,Aux!$B:$M,8,0)="Да","✔","🕓"),"")</f>
        <v/>
      </c>
    </row>
    <row r="1373" spans="2:31" x14ac:dyDescent="0.25">
      <c r="B1373" s="53">
        <f t="shared" si="21"/>
        <v>272</v>
      </c>
      <c r="C1373" s="59"/>
      <c r="D1373" s="16" t="str">
        <f>IF(D1370="","","Срок сдачи"&amp;": ")</f>
        <v/>
      </c>
      <c r="E1373" s="64" t="str">
        <f>IFERROR(VLOOKUP(C$13&amp;$B1373,Aux!$B:$M,6,0),"")</f>
        <v/>
      </c>
      <c r="F1373" s="64"/>
      <c r="G1373" s="63"/>
      <c r="K1373" s="59"/>
      <c r="L1373" s="16" t="str">
        <f>IF(L1370="","","Срок сдачи"&amp;": ")</f>
        <v/>
      </c>
      <c r="M1373" s="64" t="str">
        <f>IFERROR(VLOOKUP(K$13&amp;$B1373,Aux!$B:$M,6,0),"")</f>
        <v/>
      </c>
      <c r="N1373" s="64"/>
      <c r="O1373" s="63"/>
      <c r="S1373" s="59"/>
      <c r="T1373" s="16" t="str">
        <f>IF(T1370="","","Срок сдачи"&amp;": ")</f>
        <v/>
      </c>
      <c r="U1373" s="64" t="str">
        <f>IFERROR(VLOOKUP(S$13&amp;$B1373,Aux!$B:$M,6,0),"")</f>
        <v/>
      </c>
      <c r="V1373" s="64"/>
      <c r="W1373" s="63"/>
      <c r="AA1373" s="59"/>
      <c r="AB1373" s="16" t="str">
        <f>IF(AB1370="","","Срок сдачи"&amp;": ")</f>
        <v/>
      </c>
      <c r="AC1373" s="64" t="str">
        <f>IFERROR(VLOOKUP(AA$13&amp;$B1373,Aux!$B:$M,6,0),"")</f>
        <v/>
      </c>
      <c r="AD1373" s="64"/>
      <c r="AE1373" s="63"/>
    </row>
    <row r="1374" spans="2:31" x14ac:dyDescent="0.25">
      <c r="B1374" s="53">
        <f t="shared" si="21"/>
        <v>272</v>
      </c>
      <c r="C1374" s="7"/>
      <c r="D1374" s="17"/>
      <c r="E1374" s="7"/>
      <c r="F1374" s="18"/>
      <c r="G1374" s="18"/>
      <c r="K1374" s="13"/>
      <c r="L1374" s="17"/>
      <c r="M1374" s="13"/>
      <c r="N1374" s="14"/>
      <c r="O1374" s="14"/>
      <c r="S1374" s="13"/>
      <c r="T1374" s="17"/>
      <c r="U1374" s="13"/>
      <c r="V1374" s="14"/>
      <c r="W1374" s="14"/>
      <c r="AA1374" s="13"/>
      <c r="AB1374" s="17"/>
      <c r="AC1374" s="13"/>
      <c r="AD1374" s="14"/>
      <c r="AE1374" s="30"/>
    </row>
    <row r="1375" spans="2:31" x14ac:dyDescent="0.25">
      <c r="B1375" s="53">
        <f t="shared" si="21"/>
        <v>273</v>
      </c>
      <c r="C1375" s="59" t="str">
        <f>IFERROR(VLOOKUP(C$13&amp;$B1379,Aux!$B:$M,5,0),"")</f>
        <v/>
      </c>
      <c r="D1375" s="60" t="str">
        <f>IFERROR(VLOOKUP(C$13&amp;$B1375,Aux!$B:$M,3,0),"")</f>
        <v/>
      </c>
      <c r="E1375" s="60"/>
      <c r="F1375" s="60"/>
      <c r="G1375" s="61" t="str">
        <f>IFERROR(VLOOKUP(C$13&amp;$B1375,Aux!$B:$M,9,0),"")</f>
        <v/>
      </c>
      <c r="K1375" s="59" t="str">
        <f>IFERROR(VLOOKUP(K$13&amp;$B1379,Aux!$B:$M,5,0),"")</f>
        <v/>
      </c>
      <c r="L1375" s="60" t="str">
        <f>IFERROR(VLOOKUP(K$13&amp;$B1375,Aux!$B:$M,3,0),"")</f>
        <v/>
      </c>
      <c r="M1375" s="60"/>
      <c r="N1375" s="60"/>
      <c r="O1375" s="61" t="str">
        <f>IFERROR(VLOOKUP(K$13&amp;$B1375,Aux!$B:$M,9,0),"")</f>
        <v/>
      </c>
      <c r="S1375" s="59" t="str">
        <f>IFERROR(VLOOKUP(S$13&amp;$B1379,Aux!$B:$M,5,0),"")</f>
        <v/>
      </c>
      <c r="T1375" s="60" t="str">
        <f>IFERROR(VLOOKUP(S$13&amp;$B1375,Aux!$B:$M,3,0),"")</f>
        <v/>
      </c>
      <c r="U1375" s="60"/>
      <c r="V1375" s="60"/>
      <c r="W1375" s="61" t="str">
        <f>IFERROR(VLOOKUP(S$13&amp;$B1375,Aux!$B:$M,9,0),"")</f>
        <v/>
      </c>
      <c r="AA1375" s="59" t="str">
        <f>IFERROR(VLOOKUP(AA$13&amp;$B1379,Aux!$B:$M,5,0),"")</f>
        <v/>
      </c>
      <c r="AB1375" s="60" t="str">
        <f>IFERROR(VLOOKUP(AA$13&amp;$B1375,Aux!$B:$M,3,0),"")</f>
        <v/>
      </c>
      <c r="AC1375" s="60"/>
      <c r="AD1375" s="60"/>
      <c r="AE1375" s="61" t="str">
        <f>IFERROR(VLOOKUP(AA$13&amp;$B1375,Aux!$B:$M,9,0),"")</f>
        <v/>
      </c>
    </row>
    <row r="1376" spans="2:31" x14ac:dyDescent="0.25">
      <c r="B1376" s="53">
        <f t="shared" si="21"/>
        <v>273</v>
      </c>
      <c r="C1376" s="59"/>
      <c r="D1376" s="60"/>
      <c r="E1376" s="60"/>
      <c r="F1376" s="60"/>
      <c r="G1376" s="61"/>
      <c r="K1376" s="59"/>
      <c r="L1376" s="60"/>
      <c r="M1376" s="60"/>
      <c r="N1376" s="60"/>
      <c r="O1376" s="61"/>
      <c r="S1376" s="59"/>
      <c r="T1376" s="60"/>
      <c r="U1376" s="60"/>
      <c r="V1376" s="60"/>
      <c r="W1376" s="61"/>
      <c r="AA1376" s="59"/>
      <c r="AB1376" s="60"/>
      <c r="AC1376" s="60"/>
      <c r="AD1376" s="60"/>
      <c r="AE1376" s="61"/>
    </row>
    <row r="1377" spans="2:31" x14ac:dyDescent="0.25">
      <c r="B1377" s="53">
        <f t="shared" si="21"/>
        <v>273</v>
      </c>
      <c r="C1377" s="59"/>
      <c r="D1377" s="15" t="str">
        <f>IF(D1375="","","Исполнитель"&amp;": ")</f>
        <v/>
      </c>
      <c r="E1377" s="62" t="str">
        <f>IFERROR(VLOOKUP(C$13&amp;$B1377,Aux!$B:$M,4,0),"")</f>
        <v/>
      </c>
      <c r="F1377" s="62"/>
      <c r="G1377" s="63" t="str">
        <f>IFERROR(IF(VLOOKUP(C$13&amp;$B1375,Aux!$B:$M,8,0)="Да","✔","🕓"),"")</f>
        <v/>
      </c>
      <c r="K1377" s="59"/>
      <c r="L1377" s="15" t="str">
        <f>IF(L1375="","","Исполнитель"&amp;": ")</f>
        <v/>
      </c>
      <c r="M1377" s="62" t="str">
        <f>IFERROR(VLOOKUP(K$13&amp;$B1377,Aux!$B:$M,4,0),"")</f>
        <v/>
      </c>
      <c r="N1377" s="62"/>
      <c r="O1377" s="63" t="str">
        <f>IFERROR(IF(VLOOKUP(K$13&amp;$B1375,Aux!$B:$M,8,0)="Да","✔","🕓"),"")</f>
        <v/>
      </c>
      <c r="S1377" s="59"/>
      <c r="T1377" s="15" t="str">
        <f>IF(T1375="","","Исполнитель"&amp;": ")</f>
        <v/>
      </c>
      <c r="U1377" s="62" t="str">
        <f>IFERROR(VLOOKUP(S$13&amp;$B1377,Aux!$B:$M,4,0),"")</f>
        <v/>
      </c>
      <c r="V1377" s="62"/>
      <c r="W1377" s="63" t="str">
        <f>IFERROR(IF(VLOOKUP(S$13&amp;$B1375,Aux!$B:$M,8,0)="Да","✔","🕓"),"")</f>
        <v/>
      </c>
      <c r="AA1377" s="59"/>
      <c r="AB1377" s="15" t="str">
        <f>IF(AB1375="","","Исполнитель"&amp;": ")</f>
        <v/>
      </c>
      <c r="AC1377" s="62" t="str">
        <f>IFERROR(VLOOKUP(AA$13&amp;$B1377,Aux!$B:$M,4,0),"")</f>
        <v/>
      </c>
      <c r="AD1377" s="62"/>
      <c r="AE1377" s="63" t="str">
        <f>IFERROR(IF(VLOOKUP(AA$13&amp;$B1375,Aux!$B:$M,8,0)="Да","✔","🕓"),"")</f>
        <v/>
      </c>
    </row>
    <row r="1378" spans="2:31" x14ac:dyDescent="0.25">
      <c r="B1378" s="53">
        <f t="shared" si="21"/>
        <v>273</v>
      </c>
      <c r="C1378" s="59"/>
      <c r="D1378" s="16" t="str">
        <f>IF(D1375="","","Срок сдачи"&amp;": ")</f>
        <v/>
      </c>
      <c r="E1378" s="64" t="str">
        <f>IFERROR(VLOOKUP(C$13&amp;$B1378,Aux!$B:$M,6,0),"")</f>
        <v/>
      </c>
      <c r="F1378" s="64"/>
      <c r="G1378" s="63"/>
      <c r="K1378" s="59"/>
      <c r="L1378" s="16" t="str">
        <f>IF(L1375="","","Срок сдачи"&amp;": ")</f>
        <v/>
      </c>
      <c r="M1378" s="64" t="str">
        <f>IFERROR(VLOOKUP(K$13&amp;$B1378,Aux!$B:$M,6,0),"")</f>
        <v/>
      </c>
      <c r="N1378" s="64"/>
      <c r="O1378" s="63"/>
      <c r="S1378" s="59"/>
      <c r="T1378" s="16" t="str">
        <f>IF(T1375="","","Срок сдачи"&amp;": ")</f>
        <v/>
      </c>
      <c r="U1378" s="64" t="str">
        <f>IFERROR(VLOOKUP(S$13&amp;$B1378,Aux!$B:$M,6,0),"")</f>
        <v/>
      </c>
      <c r="V1378" s="64"/>
      <c r="W1378" s="63"/>
      <c r="AA1378" s="59"/>
      <c r="AB1378" s="16" t="str">
        <f>IF(AB1375="","","Срок сдачи"&amp;": ")</f>
        <v/>
      </c>
      <c r="AC1378" s="64" t="str">
        <f>IFERROR(VLOOKUP(AA$13&amp;$B1378,Aux!$B:$M,6,0),"")</f>
        <v/>
      </c>
      <c r="AD1378" s="64"/>
      <c r="AE1378" s="63"/>
    </row>
    <row r="1379" spans="2:31" x14ac:dyDescent="0.25">
      <c r="B1379" s="53">
        <f t="shared" si="21"/>
        <v>273</v>
      </c>
      <c r="C1379" s="7"/>
      <c r="D1379" s="17"/>
      <c r="E1379" s="7"/>
      <c r="F1379" s="18"/>
      <c r="G1379" s="18"/>
      <c r="K1379" s="13"/>
      <c r="L1379" s="17"/>
      <c r="M1379" s="13"/>
      <c r="N1379" s="14"/>
      <c r="O1379" s="14"/>
      <c r="S1379" s="13"/>
      <c r="T1379" s="17"/>
      <c r="U1379" s="13"/>
      <c r="V1379" s="14"/>
      <c r="W1379" s="14"/>
      <c r="AA1379" s="13"/>
      <c r="AB1379" s="17"/>
      <c r="AC1379" s="13"/>
      <c r="AD1379" s="14"/>
      <c r="AE1379" s="30"/>
    </row>
    <row r="1380" spans="2:31" x14ac:dyDescent="0.25">
      <c r="B1380" s="53">
        <f t="shared" si="21"/>
        <v>274</v>
      </c>
      <c r="C1380" s="59" t="str">
        <f>IFERROR(VLOOKUP(C$13&amp;$B1384,Aux!$B:$M,5,0),"")</f>
        <v/>
      </c>
      <c r="D1380" s="60" t="str">
        <f>IFERROR(VLOOKUP(C$13&amp;$B1380,Aux!$B:$M,3,0),"")</f>
        <v/>
      </c>
      <c r="E1380" s="60"/>
      <c r="F1380" s="60"/>
      <c r="G1380" s="61" t="str">
        <f>IFERROR(VLOOKUP(C$13&amp;$B1380,Aux!$B:$M,9,0),"")</f>
        <v/>
      </c>
      <c r="K1380" s="59" t="str">
        <f>IFERROR(VLOOKUP(K$13&amp;$B1384,Aux!$B:$M,5,0),"")</f>
        <v/>
      </c>
      <c r="L1380" s="60" t="str">
        <f>IFERROR(VLOOKUP(K$13&amp;$B1380,Aux!$B:$M,3,0),"")</f>
        <v/>
      </c>
      <c r="M1380" s="60"/>
      <c r="N1380" s="60"/>
      <c r="O1380" s="61" t="str">
        <f>IFERROR(VLOOKUP(K$13&amp;$B1380,Aux!$B:$M,9,0),"")</f>
        <v/>
      </c>
      <c r="S1380" s="59" t="str">
        <f>IFERROR(VLOOKUP(S$13&amp;$B1384,Aux!$B:$M,5,0),"")</f>
        <v/>
      </c>
      <c r="T1380" s="60" t="str">
        <f>IFERROR(VLOOKUP(S$13&amp;$B1380,Aux!$B:$M,3,0),"")</f>
        <v/>
      </c>
      <c r="U1380" s="60"/>
      <c r="V1380" s="60"/>
      <c r="W1380" s="61" t="str">
        <f>IFERROR(VLOOKUP(S$13&amp;$B1380,Aux!$B:$M,9,0),"")</f>
        <v/>
      </c>
      <c r="AA1380" s="59" t="str">
        <f>IFERROR(VLOOKUP(AA$13&amp;$B1384,Aux!$B:$M,5,0),"")</f>
        <v/>
      </c>
      <c r="AB1380" s="60" t="str">
        <f>IFERROR(VLOOKUP(AA$13&amp;$B1380,Aux!$B:$M,3,0),"")</f>
        <v/>
      </c>
      <c r="AC1380" s="60"/>
      <c r="AD1380" s="60"/>
      <c r="AE1380" s="61" t="str">
        <f>IFERROR(VLOOKUP(AA$13&amp;$B1380,Aux!$B:$M,9,0),"")</f>
        <v/>
      </c>
    </row>
    <row r="1381" spans="2:31" x14ac:dyDescent="0.25">
      <c r="B1381" s="53">
        <f t="shared" si="21"/>
        <v>274</v>
      </c>
      <c r="C1381" s="59"/>
      <c r="D1381" s="60"/>
      <c r="E1381" s="60"/>
      <c r="F1381" s="60"/>
      <c r="G1381" s="61"/>
      <c r="K1381" s="59"/>
      <c r="L1381" s="60"/>
      <c r="M1381" s="60"/>
      <c r="N1381" s="60"/>
      <c r="O1381" s="61"/>
      <c r="S1381" s="59"/>
      <c r="T1381" s="60"/>
      <c r="U1381" s="60"/>
      <c r="V1381" s="60"/>
      <c r="W1381" s="61"/>
      <c r="AA1381" s="59"/>
      <c r="AB1381" s="60"/>
      <c r="AC1381" s="60"/>
      <c r="AD1381" s="60"/>
      <c r="AE1381" s="61"/>
    </row>
    <row r="1382" spans="2:31" x14ac:dyDescent="0.25">
      <c r="B1382" s="53">
        <f t="shared" si="21"/>
        <v>274</v>
      </c>
      <c r="C1382" s="59"/>
      <c r="D1382" s="15" t="str">
        <f>IF(D1380="","","Исполнитель"&amp;": ")</f>
        <v/>
      </c>
      <c r="E1382" s="62" t="str">
        <f>IFERROR(VLOOKUP(C$13&amp;$B1382,Aux!$B:$M,4,0),"")</f>
        <v/>
      </c>
      <c r="F1382" s="62"/>
      <c r="G1382" s="63" t="str">
        <f>IFERROR(IF(VLOOKUP(C$13&amp;$B1380,Aux!$B:$M,8,0)="Да","✔","🕓"),"")</f>
        <v/>
      </c>
      <c r="K1382" s="59"/>
      <c r="L1382" s="15" t="str">
        <f>IF(L1380="","","Исполнитель"&amp;": ")</f>
        <v/>
      </c>
      <c r="M1382" s="62" t="str">
        <f>IFERROR(VLOOKUP(K$13&amp;$B1382,Aux!$B:$M,4,0),"")</f>
        <v/>
      </c>
      <c r="N1382" s="62"/>
      <c r="O1382" s="63" t="str">
        <f>IFERROR(IF(VLOOKUP(K$13&amp;$B1380,Aux!$B:$M,8,0)="Да","✔","🕓"),"")</f>
        <v/>
      </c>
      <c r="S1382" s="59"/>
      <c r="T1382" s="15" t="str">
        <f>IF(T1380="","","Исполнитель"&amp;": ")</f>
        <v/>
      </c>
      <c r="U1382" s="62" t="str">
        <f>IFERROR(VLOOKUP(S$13&amp;$B1382,Aux!$B:$M,4,0),"")</f>
        <v/>
      </c>
      <c r="V1382" s="62"/>
      <c r="W1382" s="63" t="str">
        <f>IFERROR(IF(VLOOKUP(S$13&amp;$B1380,Aux!$B:$M,8,0)="Да","✔","🕓"),"")</f>
        <v/>
      </c>
      <c r="AA1382" s="59"/>
      <c r="AB1382" s="15" t="str">
        <f>IF(AB1380="","","Исполнитель"&amp;": ")</f>
        <v/>
      </c>
      <c r="AC1382" s="62" t="str">
        <f>IFERROR(VLOOKUP(AA$13&amp;$B1382,Aux!$B:$M,4,0),"")</f>
        <v/>
      </c>
      <c r="AD1382" s="62"/>
      <c r="AE1382" s="63" t="str">
        <f>IFERROR(IF(VLOOKUP(AA$13&amp;$B1380,Aux!$B:$M,8,0)="Да","✔","🕓"),"")</f>
        <v/>
      </c>
    </row>
    <row r="1383" spans="2:31" x14ac:dyDescent="0.25">
      <c r="B1383" s="53">
        <f t="shared" si="21"/>
        <v>274</v>
      </c>
      <c r="C1383" s="59"/>
      <c r="D1383" s="16" t="str">
        <f>IF(D1380="","","Срок сдачи"&amp;": ")</f>
        <v/>
      </c>
      <c r="E1383" s="64" t="str">
        <f>IFERROR(VLOOKUP(C$13&amp;$B1383,Aux!$B:$M,6,0),"")</f>
        <v/>
      </c>
      <c r="F1383" s="64"/>
      <c r="G1383" s="63"/>
      <c r="K1383" s="59"/>
      <c r="L1383" s="16" t="str">
        <f>IF(L1380="","","Срок сдачи"&amp;": ")</f>
        <v/>
      </c>
      <c r="M1383" s="64" t="str">
        <f>IFERROR(VLOOKUP(K$13&amp;$B1383,Aux!$B:$M,6,0),"")</f>
        <v/>
      </c>
      <c r="N1383" s="64"/>
      <c r="O1383" s="63"/>
      <c r="S1383" s="59"/>
      <c r="T1383" s="16" t="str">
        <f>IF(T1380="","","Срок сдачи"&amp;": ")</f>
        <v/>
      </c>
      <c r="U1383" s="64" t="str">
        <f>IFERROR(VLOOKUP(S$13&amp;$B1383,Aux!$B:$M,6,0),"")</f>
        <v/>
      </c>
      <c r="V1383" s="64"/>
      <c r="W1383" s="63"/>
      <c r="AA1383" s="59"/>
      <c r="AB1383" s="16" t="str">
        <f>IF(AB1380="","","Срок сдачи"&amp;": ")</f>
        <v/>
      </c>
      <c r="AC1383" s="64" t="str">
        <f>IFERROR(VLOOKUP(AA$13&amp;$B1383,Aux!$B:$M,6,0),"")</f>
        <v/>
      </c>
      <c r="AD1383" s="64"/>
      <c r="AE1383" s="63"/>
    </row>
    <row r="1384" spans="2:31" x14ac:dyDescent="0.25">
      <c r="B1384" s="53">
        <f t="shared" si="21"/>
        <v>274</v>
      </c>
      <c r="C1384" s="7"/>
      <c r="D1384" s="17"/>
      <c r="E1384" s="7"/>
      <c r="F1384" s="18"/>
      <c r="G1384" s="18"/>
      <c r="K1384" s="13"/>
      <c r="L1384" s="17"/>
      <c r="M1384" s="13"/>
      <c r="N1384" s="14"/>
      <c r="O1384" s="14"/>
      <c r="S1384" s="13"/>
      <c r="T1384" s="17"/>
      <c r="U1384" s="13"/>
      <c r="V1384" s="14"/>
      <c r="W1384" s="14"/>
      <c r="AA1384" s="13"/>
      <c r="AB1384" s="17"/>
      <c r="AC1384" s="13"/>
      <c r="AD1384" s="14"/>
      <c r="AE1384" s="30"/>
    </row>
    <row r="1385" spans="2:31" x14ac:dyDescent="0.25">
      <c r="B1385" s="53">
        <f t="shared" si="21"/>
        <v>275</v>
      </c>
      <c r="C1385" s="59" t="str">
        <f>IFERROR(VLOOKUP(C$13&amp;$B1389,Aux!$B:$M,5,0),"")</f>
        <v/>
      </c>
      <c r="D1385" s="60" t="str">
        <f>IFERROR(VLOOKUP(C$13&amp;$B1385,Aux!$B:$M,3,0),"")</f>
        <v/>
      </c>
      <c r="E1385" s="60"/>
      <c r="F1385" s="60"/>
      <c r="G1385" s="61" t="str">
        <f>IFERROR(VLOOKUP(C$13&amp;$B1385,Aux!$B:$M,9,0),"")</f>
        <v/>
      </c>
      <c r="K1385" s="59" t="str">
        <f>IFERROR(VLOOKUP(K$13&amp;$B1389,Aux!$B:$M,5,0),"")</f>
        <v/>
      </c>
      <c r="L1385" s="60" t="str">
        <f>IFERROR(VLOOKUP(K$13&amp;$B1385,Aux!$B:$M,3,0),"")</f>
        <v/>
      </c>
      <c r="M1385" s="60"/>
      <c r="N1385" s="60"/>
      <c r="O1385" s="61" t="str">
        <f>IFERROR(VLOOKUP(K$13&amp;$B1385,Aux!$B:$M,9,0),"")</f>
        <v/>
      </c>
      <c r="S1385" s="59" t="str">
        <f>IFERROR(VLOOKUP(S$13&amp;$B1389,Aux!$B:$M,5,0),"")</f>
        <v/>
      </c>
      <c r="T1385" s="60" t="str">
        <f>IFERROR(VLOOKUP(S$13&amp;$B1385,Aux!$B:$M,3,0),"")</f>
        <v/>
      </c>
      <c r="U1385" s="60"/>
      <c r="V1385" s="60"/>
      <c r="W1385" s="61" t="str">
        <f>IFERROR(VLOOKUP(S$13&amp;$B1385,Aux!$B:$M,9,0),"")</f>
        <v/>
      </c>
      <c r="AA1385" s="59" t="str">
        <f>IFERROR(VLOOKUP(AA$13&amp;$B1389,Aux!$B:$M,5,0),"")</f>
        <v/>
      </c>
      <c r="AB1385" s="60" t="str">
        <f>IFERROR(VLOOKUP(AA$13&amp;$B1385,Aux!$B:$M,3,0),"")</f>
        <v/>
      </c>
      <c r="AC1385" s="60"/>
      <c r="AD1385" s="60"/>
      <c r="AE1385" s="61" t="str">
        <f>IFERROR(VLOOKUP(AA$13&amp;$B1385,Aux!$B:$M,9,0),"")</f>
        <v/>
      </c>
    </row>
    <row r="1386" spans="2:31" x14ac:dyDescent="0.25">
      <c r="B1386" s="53">
        <f t="shared" si="21"/>
        <v>275</v>
      </c>
      <c r="C1386" s="59"/>
      <c r="D1386" s="60"/>
      <c r="E1386" s="60"/>
      <c r="F1386" s="60"/>
      <c r="G1386" s="61"/>
      <c r="K1386" s="59"/>
      <c r="L1386" s="60"/>
      <c r="M1386" s="60"/>
      <c r="N1386" s="60"/>
      <c r="O1386" s="61"/>
      <c r="S1386" s="59"/>
      <c r="T1386" s="60"/>
      <c r="U1386" s="60"/>
      <c r="V1386" s="60"/>
      <c r="W1386" s="61"/>
      <c r="AA1386" s="59"/>
      <c r="AB1386" s="60"/>
      <c r="AC1386" s="60"/>
      <c r="AD1386" s="60"/>
      <c r="AE1386" s="61"/>
    </row>
    <row r="1387" spans="2:31" x14ac:dyDescent="0.25">
      <c r="B1387" s="53">
        <f t="shared" si="21"/>
        <v>275</v>
      </c>
      <c r="C1387" s="59"/>
      <c r="D1387" s="15" t="str">
        <f>IF(D1385="","","Исполнитель"&amp;": ")</f>
        <v/>
      </c>
      <c r="E1387" s="62" t="str">
        <f>IFERROR(VLOOKUP(C$13&amp;$B1387,Aux!$B:$M,4,0),"")</f>
        <v/>
      </c>
      <c r="F1387" s="62"/>
      <c r="G1387" s="63" t="str">
        <f>IFERROR(IF(VLOOKUP(C$13&amp;$B1385,Aux!$B:$M,8,0)="Да","✔","🕓"),"")</f>
        <v/>
      </c>
      <c r="K1387" s="59"/>
      <c r="L1387" s="15" t="str">
        <f>IF(L1385="","","Исполнитель"&amp;": ")</f>
        <v/>
      </c>
      <c r="M1387" s="62" t="str">
        <f>IFERROR(VLOOKUP(K$13&amp;$B1387,Aux!$B:$M,4,0),"")</f>
        <v/>
      </c>
      <c r="N1387" s="62"/>
      <c r="O1387" s="63" t="str">
        <f>IFERROR(IF(VLOOKUP(K$13&amp;$B1385,Aux!$B:$M,8,0)="Да","✔","🕓"),"")</f>
        <v/>
      </c>
      <c r="S1387" s="59"/>
      <c r="T1387" s="15" t="str">
        <f>IF(T1385="","","Исполнитель"&amp;": ")</f>
        <v/>
      </c>
      <c r="U1387" s="62" t="str">
        <f>IFERROR(VLOOKUP(S$13&amp;$B1387,Aux!$B:$M,4,0),"")</f>
        <v/>
      </c>
      <c r="V1387" s="62"/>
      <c r="W1387" s="63" t="str">
        <f>IFERROR(IF(VLOOKUP(S$13&amp;$B1385,Aux!$B:$M,8,0)="Да","✔","🕓"),"")</f>
        <v/>
      </c>
      <c r="AA1387" s="59"/>
      <c r="AB1387" s="15" t="str">
        <f>IF(AB1385="","","Исполнитель"&amp;": ")</f>
        <v/>
      </c>
      <c r="AC1387" s="62" t="str">
        <f>IFERROR(VLOOKUP(AA$13&amp;$B1387,Aux!$B:$M,4,0),"")</f>
        <v/>
      </c>
      <c r="AD1387" s="62"/>
      <c r="AE1387" s="63" t="str">
        <f>IFERROR(IF(VLOOKUP(AA$13&amp;$B1385,Aux!$B:$M,8,0)="Да","✔","🕓"),"")</f>
        <v/>
      </c>
    </row>
    <row r="1388" spans="2:31" x14ac:dyDescent="0.25">
      <c r="B1388" s="53">
        <f t="shared" si="21"/>
        <v>275</v>
      </c>
      <c r="C1388" s="59"/>
      <c r="D1388" s="16" t="str">
        <f>IF(D1385="","","Срок сдачи"&amp;": ")</f>
        <v/>
      </c>
      <c r="E1388" s="64" t="str">
        <f>IFERROR(VLOOKUP(C$13&amp;$B1388,Aux!$B:$M,6,0),"")</f>
        <v/>
      </c>
      <c r="F1388" s="64"/>
      <c r="G1388" s="63"/>
      <c r="K1388" s="59"/>
      <c r="L1388" s="16" t="str">
        <f>IF(L1385="","","Срок сдачи"&amp;": ")</f>
        <v/>
      </c>
      <c r="M1388" s="64" t="str">
        <f>IFERROR(VLOOKUP(K$13&amp;$B1388,Aux!$B:$M,6,0),"")</f>
        <v/>
      </c>
      <c r="N1388" s="64"/>
      <c r="O1388" s="63"/>
      <c r="S1388" s="59"/>
      <c r="T1388" s="16" t="str">
        <f>IF(T1385="","","Срок сдачи"&amp;": ")</f>
        <v/>
      </c>
      <c r="U1388" s="64" t="str">
        <f>IFERROR(VLOOKUP(S$13&amp;$B1388,Aux!$B:$M,6,0),"")</f>
        <v/>
      </c>
      <c r="V1388" s="64"/>
      <c r="W1388" s="63"/>
      <c r="AA1388" s="59"/>
      <c r="AB1388" s="16" t="str">
        <f>IF(AB1385="","","Срок сдачи"&amp;": ")</f>
        <v/>
      </c>
      <c r="AC1388" s="64" t="str">
        <f>IFERROR(VLOOKUP(AA$13&amp;$B1388,Aux!$B:$M,6,0),"")</f>
        <v/>
      </c>
      <c r="AD1388" s="64"/>
      <c r="AE1388" s="63"/>
    </row>
    <row r="1389" spans="2:31" x14ac:dyDescent="0.25">
      <c r="B1389" s="53">
        <f t="shared" si="21"/>
        <v>275</v>
      </c>
      <c r="C1389" s="7"/>
      <c r="D1389" s="17"/>
      <c r="E1389" s="7"/>
      <c r="F1389" s="18"/>
      <c r="G1389" s="18"/>
      <c r="K1389" s="13"/>
      <c r="L1389" s="17"/>
      <c r="M1389" s="13"/>
      <c r="N1389" s="14"/>
      <c r="O1389" s="14"/>
      <c r="S1389" s="13"/>
      <c r="T1389" s="17"/>
      <c r="U1389" s="13"/>
      <c r="V1389" s="14"/>
      <c r="W1389" s="14"/>
      <c r="AA1389" s="13"/>
      <c r="AB1389" s="17"/>
      <c r="AC1389" s="13"/>
      <c r="AD1389" s="14"/>
      <c r="AE1389" s="30"/>
    </row>
    <row r="1390" spans="2:31" x14ac:dyDescent="0.25">
      <c r="B1390" s="53">
        <f t="shared" si="21"/>
        <v>276</v>
      </c>
      <c r="C1390" s="59" t="str">
        <f>IFERROR(VLOOKUP(C$13&amp;$B1394,Aux!$B:$M,5,0),"")</f>
        <v/>
      </c>
      <c r="D1390" s="60" t="str">
        <f>IFERROR(VLOOKUP(C$13&amp;$B1390,Aux!$B:$M,3,0),"")</f>
        <v/>
      </c>
      <c r="E1390" s="60"/>
      <c r="F1390" s="60"/>
      <c r="G1390" s="61" t="str">
        <f>IFERROR(VLOOKUP(C$13&amp;$B1390,Aux!$B:$M,9,0),"")</f>
        <v/>
      </c>
      <c r="K1390" s="59" t="str">
        <f>IFERROR(VLOOKUP(K$13&amp;$B1394,Aux!$B:$M,5,0),"")</f>
        <v/>
      </c>
      <c r="L1390" s="60" t="str">
        <f>IFERROR(VLOOKUP(K$13&amp;$B1390,Aux!$B:$M,3,0),"")</f>
        <v/>
      </c>
      <c r="M1390" s="60"/>
      <c r="N1390" s="60"/>
      <c r="O1390" s="61" t="str">
        <f>IFERROR(VLOOKUP(K$13&amp;$B1390,Aux!$B:$M,9,0),"")</f>
        <v/>
      </c>
      <c r="S1390" s="59" t="str">
        <f>IFERROR(VLOOKUP(S$13&amp;$B1394,Aux!$B:$M,5,0),"")</f>
        <v/>
      </c>
      <c r="T1390" s="60" t="str">
        <f>IFERROR(VLOOKUP(S$13&amp;$B1390,Aux!$B:$M,3,0),"")</f>
        <v/>
      </c>
      <c r="U1390" s="60"/>
      <c r="V1390" s="60"/>
      <c r="W1390" s="61" t="str">
        <f>IFERROR(VLOOKUP(S$13&amp;$B1390,Aux!$B:$M,9,0),"")</f>
        <v/>
      </c>
      <c r="AA1390" s="59" t="str">
        <f>IFERROR(VLOOKUP(AA$13&amp;$B1394,Aux!$B:$M,5,0),"")</f>
        <v/>
      </c>
      <c r="AB1390" s="60" t="str">
        <f>IFERROR(VLOOKUP(AA$13&amp;$B1390,Aux!$B:$M,3,0),"")</f>
        <v/>
      </c>
      <c r="AC1390" s="60"/>
      <c r="AD1390" s="60"/>
      <c r="AE1390" s="61" t="str">
        <f>IFERROR(VLOOKUP(AA$13&amp;$B1390,Aux!$B:$M,9,0),"")</f>
        <v/>
      </c>
    </row>
    <row r="1391" spans="2:31" x14ac:dyDescent="0.25">
      <c r="B1391" s="53">
        <f t="shared" si="21"/>
        <v>276</v>
      </c>
      <c r="C1391" s="59"/>
      <c r="D1391" s="60"/>
      <c r="E1391" s="60"/>
      <c r="F1391" s="60"/>
      <c r="G1391" s="61"/>
      <c r="K1391" s="59"/>
      <c r="L1391" s="60"/>
      <c r="M1391" s="60"/>
      <c r="N1391" s="60"/>
      <c r="O1391" s="61"/>
      <c r="S1391" s="59"/>
      <c r="T1391" s="60"/>
      <c r="U1391" s="60"/>
      <c r="V1391" s="60"/>
      <c r="W1391" s="61"/>
      <c r="AA1391" s="59"/>
      <c r="AB1391" s="60"/>
      <c r="AC1391" s="60"/>
      <c r="AD1391" s="60"/>
      <c r="AE1391" s="61"/>
    </row>
    <row r="1392" spans="2:31" x14ac:dyDescent="0.25">
      <c r="B1392" s="53">
        <f t="shared" si="21"/>
        <v>276</v>
      </c>
      <c r="C1392" s="59"/>
      <c r="D1392" s="15" t="str">
        <f>IF(D1390="","","Исполнитель"&amp;": ")</f>
        <v/>
      </c>
      <c r="E1392" s="62" t="str">
        <f>IFERROR(VLOOKUP(C$13&amp;$B1392,Aux!$B:$M,4,0),"")</f>
        <v/>
      </c>
      <c r="F1392" s="62"/>
      <c r="G1392" s="63" t="str">
        <f>IFERROR(IF(VLOOKUP(C$13&amp;$B1390,Aux!$B:$M,8,0)="Да","✔","🕓"),"")</f>
        <v/>
      </c>
      <c r="K1392" s="59"/>
      <c r="L1392" s="15" t="str">
        <f>IF(L1390="","","Исполнитель"&amp;": ")</f>
        <v/>
      </c>
      <c r="M1392" s="62" t="str">
        <f>IFERROR(VLOOKUP(K$13&amp;$B1392,Aux!$B:$M,4,0),"")</f>
        <v/>
      </c>
      <c r="N1392" s="62"/>
      <c r="O1392" s="63" t="str">
        <f>IFERROR(IF(VLOOKUP(K$13&amp;$B1390,Aux!$B:$M,8,0)="Да","✔","🕓"),"")</f>
        <v/>
      </c>
      <c r="S1392" s="59"/>
      <c r="T1392" s="15" t="str">
        <f>IF(T1390="","","Исполнитель"&amp;": ")</f>
        <v/>
      </c>
      <c r="U1392" s="62" t="str">
        <f>IFERROR(VLOOKUP(S$13&amp;$B1392,Aux!$B:$M,4,0),"")</f>
        <v/>
      </c>
      <c r="V1392" s="62"/>
      <c r="W1392" s="63" t="str">
        <f>IFERROR(IF(VLOOKUP(S$13&amp;$B1390,Aux!$B:$M,8,0)="Да","✔","🕓"),"")</f>
        <v/>
      </c>
      <c r="AA1392" s="59"/>
      <c r="AB1392" s="15" t="str">
        <f>IF(AB1390="","","Исполнитель"&amp;": ")</f>
        <v/>
      </c>
      <c r="AC1392" s="62" t="str">
        <f>IFERROR(VLOOKUP(AA$13&amp;$B1392,Aux!$B:$M,4,0),"")</f>
        <v/>
      </c>
      <c r="AD1392" s="62"/>
      <c r="AE1392" s="63" t="str">
        <f>IFERROR(IF(VLOOKUP(AA$13&amp;$B1390,Aux!$B:$M,8,0)="Да","✔","🕓"),"")</f>
        <v/>
      </c>
    </row>
    <row r="1393" spans="2:31" x14ac:dyDescent="0.25">
      <c r="B1393" s="53">
        <f t="shared" si="21"/>
        <v>276</v>
      </c>
      <c r="C1393" s="59"/>
      <c r="D1393" s="16" t="str">
        <f>IF(D1390="","","Срок сдачи"&amp;": ")</f>
        <v/>
      </c>
      <c r="E1393" s="64" t="str">
        <f>IFERROR(VLOOKUP(C$13&amp;$B1393,Aux!$B:$M,6,0),"")</f>
        <v/>
      </c>
      <c r="F1393" s="64"/>
      <c r="G1393" s="63"/>
      <c r="K1393" s="59"/>
      <c r="L1393" s="16" t="str">
        <f>IF(L1390="","","Срок сдачи"&amp;": ")</f>
        <v/>
      </c>
      <c r="M1393" s="64" t="str">
        <f>IFERROR(VLOOKUP(K$13&amp;$B1393,Aux!$B:$M,6,0),"")</f>
        <v/>
      </c>
      <c r="N1393" s="64"/>
      <c r="O1393" s="63"/>
      <c r="S1393" s="59"/>
      <c r="T1393" s="16" t="str">
        <f>IF(T1390="","","Срок сдачи"&amp;": ")</f>
        <v/>
      </c>
      <c r="U1393" s="64" t="str">
        <f>IFERROR(VLOOKUP(S$13&amp;$B1393,Aux!$B:$M,6,0),"")</f>
        <v/>
      </c>
      <c r="V1393" s="64"/>
      <c r="W1393" s="63"/>
      <c r="AA1393" s="59"/>
      <c r="AB1393" s="16" t="str">
        <f>IF(AB1390="","","Срок сдачи"&amp;": ")</f>
        <v/>
      </c>
      <c r="AC1393" s="64" t="str">
        <f>IFERROR(VLOOKUP(AA$13&amp;$B1393,Aux!$B:$M,6,0),"")</f>
        <v/>
      </c>
      <c r="AD1393" s="64"/>
      <c r="AE1393" s="63"/>
    </row>
    <row r="1394" spans="2:31" x14ac:dyDescent="0.25">
      <c r="B1394" s="53">
        <f t="shared" si="21"/>
        <v>276</v>
      </c>
      <c r="C1394" s="7"/>
      <c r="D1394" s="17"/>
      <c r="E1394" s="7"/>
      <c r="F1394" s="18"/>
      <c r="G1394" s="18"/>
      <c r="K1394" s="13"/>
      <c r="L1394" s="17"/>
      <c r="M1394" s="13"/>
      <c r="N1394" s="14"/>
      <c r="O1394" s="14"/>
      <c r="S1394" s="13"/>
      <c r="T1394" s="17"/>
      <c r="U1394" s="13"/>
      <c r="V1394" s="14"/>
      <c r="W1394" s="14"/>
      <c r="AA1394" s="13"/>
      <c r="AB1394" s="17"/>
      <c r="AC1394" s="13"/>
      <c r="AD1394" s="14"/>
      <c r="AE1394" s="30"/>
    </row>
    <row r="1395" spans="2:31" x14ac:dyDescent="0.25">
      <c r="B1395" s="53">
        <f t="shared" si="21"/>
        <v>277</v>
      </c>
      <c r="C1395" s="59" t="str">
        <f>IFERROR(VLOOKUP(C$13&amp;$B1399,Aux!$B:$M,5,0),"")</f>
        <v/>
      </c>
      <c r="D1395" s="60" t="str">
        <f>IFERROR(VLOOKUP(C$13&amp;$B1395,Aux!$B:$M,3,0),"")</f>
        <v/>
      </c>
      <c r="E1395" s="60"/>
      <c r="F1395" s="60"/>
      <c r="G1395" s="61" t="str">
        <f>IFERROR(VLOOKUP(C$13&amp;$B1395,Aux!$B:$M,9,0),"")</f>
        <v/>
      </c>
      <c r="K1395" s="59" t="str">
        <f>IFERROR(VLOOKUP(K$13&amp;$B1399,Aux!$B:$M,5,0),"")</f>
        <v/>
      </c>
      <c r="L1395" s="60" t="str">
        <f>IFERROR(VLOOKUP(K$13&amp;$B1395,Aux!$B:$M,3,0),"")</f>
        <v/>
      </c>
      <c r="M1395" s="60"/>
      <c r="N1395" s="60"/>
      <c r="O1395" s="61" t="str">
        <f>IFERROR(VLOOKUP(K$13&amp;$B1395,Aux!$B:$M,9,0),"")</f>
        <v/>
      </c>
      <c r="S1395" s="59" t="str">
        <f>IFERROR(VLOOKUP(S$13&amp;$B1399,Aux!$B:$M,5,0),"")</f>
        <v/>
      </c>
      <c r="T1395" s="60" t="str">
        <f>IFERROR(VLOOKUP(S$13&amp;$B1395,Aux!$B:$M,3,0),"")</f>
        <v/>
      </c>
      <c r="U1395" s="60"/>
      <c r="V1395" s="60"/>
      <c r="W1395" s="61" t="str">
        <f>IFERROR(VLOOKUP(S$13&amp;$B1395,Aux!$B:$M,9,0),"")</f>
        <v/>
      </c>
      <c r="AA1395" s="59" t="str">
        <f>IFERROR(VLOOKUP(AA$13&amp;$B1399,Aux!$B:$M,5,0),"")</f>
        <v/>
      </c>
      <c r="AB1395" s="60" t="str">
        <f>IFERROR(VLOOKUP(AA$13&amp;$B1395,Aux!$B:$M,3,0),"")</f>
        <v/>
      </c>
      <c r="AC1395" s="60"/>
      <c r="AD1395" s="60"/>
      <c r="AE1395" s="61" t="str">
        <f>IFERROR(VLOOKUP(AA$13&amp;$B1395,Aux!$B:$M,9,0),"")</f>
        <v/>
      </c>
    </row>
    <row r="1396" spans="2:31" x14ac:dyDescent="0.25">
      <c r="B1396" s="53">
        <f t="shared" si="21"/>
        <v>277</v>
      </c>
      <c r="C1396" s="59"/>
      <c r="D1396" s="60"/>
      <c r="E1396" s="60"/>
      <c r="F1396" s="60"/>
      <c r="G1396" s="61"/>
      <c r="K1396" s="59"/>
      <c r="L1396" s="60"/>
      <c r="M1396" s="60"/>
      <c r="N1396" s="60"/>
      <c r="O1396" s="61"/>
      <c r="S1396" s="59"/>
      <c r="T1396" s="60"/>
      <c r="U1396" s="60"/>
      <c r="V1396" s="60"/>
      <c r="W1396" s="61"/>
      <c r="AA1396" s="59"/>
      <c r="AB1396" s="60"/>
      <c r="AC1396" s="60"/>
      <c r="AD1396" s="60"/>
      <c r="AE1396" s="61"/>
    </row>
    <row r="1397" spans="2:31" x14ac:dyDescent="0.25">
      <c r="B1397" s="53">
        <f t="shared" si="21"/>
        <v>277</v>
      </c>
      <c r="C1397" s="59"/>
      <c r="D1397" s="15" t="str">
        <f>IF(D1395="","","Исполнитель"&amp;": ")</f>
        <v/>
      </c>
      <c r="E1397" s="62" t="str">
        <f>IFERROR(VLOOKUP(C$13&amp;$B1397,Aux!$B:$M,4,0),"")</f>
        <v/>
      </c>
      <c r="F1397" s="62"/>
      <c r="G1397" s="63" t="str">
        <f>IFERROR(IF(VLOOKUP(C$13&amp;$B1395,Aux!$B:$M,8,0)="Да","✔","🕓"),"")</f>
        <v/>
      </c>
      <c r="K1397" s="59"/>
      <c r="L1397" s="15" t="str">
        <f>IF(L1395="","","Исполнитель"&amp;": ")</f>
        <v/>
      </c>
      <c r="M1397" s="62" t="str">
        <f>IFERROR(VLOOKUP(K$13&amp;$B1397,Aux!$B:$M,4,0),"")</f>
        <v/>
      </c>
      <c r="N1397" s="62"/>
      <c r="O1397" s="63" t="str">
        <f>IFERROR(IF(VLOOKUP(K$13&amp;$B1395,Aux!$B:$M,8,0)="Да","✔","🕓"),"")</f>
        <v/>
      </c>
      <c r="S1397" s="59"/>
      <c r="T1397" s="15" t="str">
        <f>IF(T1395="","","Исполнитель"&amp;": ")</f>
        <v/>
      </c>
      <c r="U1397" s="62" t="str">
        <f>IFERROR(VLOOKUP(S$13&amp;$B1397,Aux!$B:$M,4,0),"")</f>
        <v/>
      </c>
      <c r="V1397" s="62"/>
      <c r="W1397" s="63" t="str">
        <f>IFERROR(IF(VLOOKUP(S$13&amp;$B1395,Aux!$B:$M,8,0)="Да","✔","🕓"),"")</f>
        <v/>
      </c>
      <c r="AA1397" s="59"/>
      <c r="AB1397" s="15" t="str">
        <f>IF(AB1395="","","Исполнитель"&amp;": ")</f>
        <v/>
      </c>
      <c r="AC1397" s="62" t="str">
        <f>IFERROR(VLOOKUP(AA$13&amp;$B1397,Aux!$B:$M,4,0),"")</f>
        <v/>
      </c>
      <c r="AD1397" s="62"/>
      <c r="AE1397" s="63" t="str">
        <f>IFERROR(IF(VLOOKUP(AA$13&amp;$B1395,Aux!$B:$M,8,0)="Да","✔","🕓"),"")</f>
        <v/>
      </c>
    </row>
    <row r="1398" spans="2:31" x14ac:dyDescent="0.25">
      <c r="B1398" s="53">
        <f t="shared" si="21"/>
        <v>277</v>
      </c>
      <c r="C1398" s="59"/>
      <c r="D1398" s="16" t="str">
        <f>IF(D1395="","","Срок сдачи"&amp;": ")</f>
        <v/>
      </c>
      <c r="E1398" s="64" t="str">
        <f>IFERROR(VLOOKUP(C$13&amp;$B1398,Aux!$B:$M,6,0),"")</f>
        <v/>
      </c>
      <c r="F1398" s="64"/>
      <c r="G1398" s="63"/>
      <c r="K1398" s="59"/>
      <c r="L1398" s="16" t="str">
        <f>IF(L1395="","","Срок сдачи"&amp;": ")</f>
        <v/>
      </c>
      <c r="M1398" s="64" t="str">
        <f>IFERROR(VLOOKUP(K$13&amp;$B1398,Aux!$B:$M,6,0),"")</f>
        <v/>
      </c>
      <c r="N1398" s="64"/>
      <c r="O1398" s="63"/>
      <c r="S1398" s="59"/>
      <c r="T1398" s="16" t="str">
        <f>IF(T1395="","","Срок сдачи"&amp;": ")</f>
        <v/>
      </c>
      <c r="U1398" s="64" t="str">
        <f>IFERROR(VLOOKUP(S$13&amp;$B1398,Aux!$B:$M,6,0),"")</f>
        <v/>
      </c>
      <c r="V1398" s="64"/>
      <c r="W1398" s="63"/>
      <c r="AA1398" s="59"/>
      <c r="AB1398" s="16" t="str">
        <f>IF(AB1395="","","Срок сдачи"&amp;": ")</f>
        <v/>
      </c>
      <c r="AC1398" s="64" t="str">
        <f>IFERROR(VLOOKUP(AA$13&amp;$B1398,Aux!$B:$M,6,0),"")</f>
        <v/>
      </c>
      <c r="AD1398" s="64"/>
      <c r="AE1398" s="63"/>
    </row>
    <row r="1399" spans="2:31" x14ac:dyDescent="0.25">
      <c r="B1399" s="53">
        <f t="shared" si="21"/>
        <v>277</v>
      </c>
      <c r="C1399" s="7"/>
      <c r="D1399" s="17"/>
      <c r="E1399" s="7"/>
      <c r="F1399" s="18"/>
      <c r="G1399" s="18"/>
      <c r="K1399" s="13"/>
      <c r="L1399" s="17"/>
      <c r="M1399" s="13"/>
      <c r="N1399" s="14"/>
      <c r="O1399" s="14"/>
      <c r="S1399" s="13"/>
      <c r="T1399" s="17"/>
      <c r="U1399" s="13"/>
      <c r="V1399" s="14"/>
      <c r="W1399" s="14"/>
      <c r="AA1399" s="13"/>
      <c r="AB1399" s="17"/>
      <c r="AC1399" s="13"/>
      <c r="AD1399" s="14"/>
      <c r="AE1399" s="30"/>
    </row>
    <row r="1400" spans="2:31" x14ac:dyDescent="0.25">
      <c r="B1400" s="53">
        <f t="shared" si="21"/>
        <v>278</v>
      </c>
      <c r="C1400" s="59" t="str">
        <f>IFERROR(VLOOKUP(C$13&amp;$B1404,Aux!$B:$M,5,0),"")</f>
        <v/>
      </c>
      <c r="D1400" s="60" t="str">
        <f>IFERROR(VLOOKUP(C$13&amp;$B1400,Aux!$B:$M,3,0),"")</f>
        <v/>
      </c>
      <c r="E1400" s="60"/>
      <c r="F1400" s="60"/>
      <c r="G1400" s="61" t="str">
        <f>IFERROR(VLOOKUP(C$13&amp;$B1400,Aux!$B:$M,9,0),"")</f>
        <v/>
      </c>
      <c r="K1400" s="59" t="str">
        <f>IFERROR(VLOOKUP(K$13&amp;$B1404,Aux!$B:$M,5,0),"")</f>
        <v/>
      </c>
      <c r="L1400" s="60" t="str">
        <f>IFERROR(VLOOKUP(K$13&amp;$B1400,Aux!$B:$M,3,0),"")</f>
        <v/>
      </c>
      <c r="M1400" s="60"/>
      <c r="N1400" s="60"/>
      <c r="O1400" s="61" t="str">
        <f>IFERROR(VLOOKUP(K$13&amp;$B1400,Aux!$B:$M,9,0),"")</f>
        <v/>
      </c>
      <c r="S1400" s="59" t="str">
        <f>IFERROR(VLOOKUP(S$13&amp;$B1404,Aux!$B:$M,5,0),"")</f>
        <v/>
      </c>
      <c r="T1400" s="60" t="str">
        <f>IFERROR(VLOOKUP(S$13&amp;$B1400,Aux!$B:$M,3,0),"")</f>
        <v/>
      </c>
      <c r="U1400" s="60"/>
      <c r="V1400" s="60"/>
      <c r="W1400" s="61" t="str">
        <f>IFERROR(VLOOKUP(S$13&amp;$B1400,Aux!$B:$M,9,0),"")</f>
        <v/>
      </c>
      <c r="AA1400" s="59" t="str">
        <f>IFERROR(VLOOKUP(AA$13&amp;$B1404,Aux!$B:$M,5,0),"")</f>
        <v/>
      </c>
      <c r="AB1400" s="60" t="str">
        <f>IFERROR(VLOOKUP(AA$13&amp;$B1400,Aux!$B:$M,3,0),"")</f>
        <v/>
      </c>
      <c r="AC1400" s="60"/>
      <c r="AD1400" s="60"/>
      <c r="AE1400" s="61" t="str">
        <f>IFERROR(VLOOKUP(AA$13&amp;$B1400,Aux!$B:$M,9,0),"")</f>
        <v/>
      </c>
    </row>
    <row r="1401" spans="2:31" x14ac:dyDescent="0.25">
      <c r="B1401" s="53">
        <f t="shared" si="21"/>
        <v>278</v>
      </c>
      <c r="C1401" s="59"/>
      <c r="D1401" s="60"/>
      <c r="E1401" s="60"/>
      <c r="F1401" s="60"/>
      <c r="G1401" s="61"/>
      <c r="K1401" s="59"/>
      <c r="L1401" s="60"/>
      <c r="M1401" s="60"/>
      <c r="N1401" s="60"/>
      <c r="O1401" s="61"/>
      <c r="S1401" s="59"/>
      <c r="T1401" s="60"/>
      <c r="U1401" s="60"/>
      <c r="V1401" s="60"/>
      <c r="W1401" s="61"/>
      <c r="AA1401" s="59"/>
      <c r="AB1401" s="60"/>
      <c r="AC1401" s="60"/>
      <c r="AD1401" s="60"/>
      <c r="AE1401" s="61"/>
    </row>
    <row r="1402" spans="2:31" x14ac:dyDescent="0.25">
      <c r="B1402" s="53">
        <f t="shared" si="21"/>
        <v>278</v>
      </c>
      <c r="C1402" s="59"/>
      <c r="D1402" s="15" t="str">
        <f>IF(D1400="","","Исполнитель"&amp;": ")</f>
        <v/>
      </c>
      <c r="E1402" s="62" t="str">
        <f>IFERROR(VLOOKUP(C$13&amp;$B1402,Aux!$B:$M,4,0),"")</f>
        <v/>
      </c>
      <c r="F1402" s="62"/>
      <c r="G1402" s="63" t="str">
        <f>IFERROR(IF(VLOOKUP(C$13&amp;$B1400,Aux!$B:$M,8,0)="Да","✔","🕓"),"")</f>
        <v/>
      </c>
      <c r="K1402" s="59"/>
      <c r="L1402" s="15" t="str">
        <f>IF(L1400="","","Исполнитель"&amp;": ")</f>
        <v/>
      </c>
      <c r="M1402" s="62" t="str">
        <f>IFERROR(VLOOKUP(K$13&amp;$B1402,Aux!$B:$M,4,0),"")</f>
        <v/>
      </c>
      <c r="N1402" s="62"/>
      <c r="O1402" s="63" t="str">
        <f>IFERROR(IF(VLOOKUP(K$13&amp;$B1400,Aux!$B:$M,8,0)="Да","✔","🕓"),"")</f>
        <v/>
      </c>
      <c r="S1402" s="59"/>
      <c r="T1402" s="15" t="str">
        <f>IF(T1400="","","Исполнитель"&amp;": ")</f>
        <v/>
      </c>
      <c r="U1402" s="62" t="str">
        <f>IFERROR(VLOOKUP(S$13&amp;$B1402,Aux!$B:$M,4,0),"")</f>
        <v/>
      </c>
      <c r="V1402" s="62"/>
      <c r="W1402" s="63" t="str">
        <f>IFERROR(IF(VLOOKUP(S$13&amp;$B1400,Aux!$B:$M,8,0)="Да","✔","🕓"),"")</f>
        <v/>
      </c>
      <c r="AA1402" s="59"/>
      <c r="AB1402" s="15" t="str">
        <f>IF(AB1400="","","Исполнитель"&amp;": ")</f>
        <v/>
      </c>
      <c r="AC1402" s="62" t="str">
        <f>IFERROR(VLOOKUP(AA$13&amp;$B1402,Aux!$B:$M,4,0),"")</f>
        <v/>
      </c>
      <c r="AD1402" s="62"/>
      <c r="AE1402" s="63" t="str">
        <f>IFERROR(IF(VLOOKUP(AA$13&amp;$B1400,Aux!$B:$M,8,0)="Да","✔","🕓"),"")</f>
        <v/>
      </c>
    </row>
    <row r="1403" spans="2:31" x14ac:dyDescent="0.25">
      <c r="B1403" s="53">
        <f t="shared" si="21"/>
        <v>278</v>
      </c>
      <c r="C1403" s="59"/>
      <c r="D1403" s="16" t="str">
        <f>IF(D1400="","","Срок сдачи"&amp;": ")</f>
        <v/>
      </c>
      <c r="E1403" s="64" t="str">
        <f>IFERROR(VLOOKUP(C$13&amp;$B1403,Aux!$B:$M,6,0),"")</f>
        <v/>
      </c>
      <c r="F1403" s="64"/>
      <c r="G1403" s="63"/>
      <c r="K1403" s="59"/>
      <c r="L1403" s="16" t="str">
        <f>IF(L1400="","","Срок сдачи"&amp;": ")</f>
        <v/>
      </c>
      <c r="M1403" s="64" t="str">
        <f>IFERROR(VLOOKUP(K$13&amp;$B1403,Aux!$B:$M,6,0),"")</f>
        <v/>
      </c>
      <c r="N1403" s="64"/>
      <c r="O1403" s="63"/>
      <c r="S1403" s="59"/>
      <c r="T1403" s="16" t="str">
        <f>IF(T1400="","","Срок сдачи"&amp;": ")</f>
        <v/>
      </c>
      <c r="U1403" s="64" t="str">
        <f>IFERROR(VLOOKUP(S$13&amp;$B1403,Aux!$B:$M,6,0),"")</f>
        <v/>
      </c>
      <c r="V1403" s="64"/>
      <c r="W1403" s="63"/>
      <c r="AA1403" s="59"/>
      <c r="AB1403" s="16" t="str">
        <f>IF(AB1400="","","Срок сдачи"&amp;": ")</f>
        <v/>
      </c>
      <c r="AC1403" s="64" t="str">
        <f>IFERROR(VLOOKUP(AA$13&amp;$B1403,Aux!$B:$M,6,0),"")</f>
        <v/>
      </c>
      <c r="AD1403" s="64"/>
      <c r="AE1403" s="63"/>
    </row>
    <row r="1404" spans="2:31" x14ac:dyDescent="0.25">
      <c r="B1404" s="53">
        <f t="shared" si="21"/>
        <v>278</v>
      </c>
      <c r="C1404" s="7"/>
      <c r="D1404" s="17"/>
      <c r="E1404" s="7"/>
      <c r="F1404" s="18"/>
      <c r="G1404" s="18"/>
      <c r="K1404" s="13"/>
      <c r="L1404" s="17"/>
      <c r="M1404" s="13"/>
      <c r="N1404" s="14"/>
      <c r="O1404" s="14"/>
      <c r="S1404" s="13"/>
      <c r="T1404" s="17"/>
      <c r="U1404" s="13"/>
      <c r="V1404" s="14"/>
      <c r="W1404" s="14"/>
      <c r="AA1404" s="13"/>
      <c r="AB1404" s="17"/>
      <c r="AC1404" s="13"/>
      <c r="AD1404" s="14"/>
      <c r="AE1404" s="30"/>
    </row>
    <row r="1405" spans="2:31" x14ac:dyDescent="0.25">
      <c r="B1405" s="53">
        <f t="shared" si="21"/>
        <v>279</v>
      </c>
      <c r="C1405" s="59" t="str">
        <f>IFERROR(VLOOKUP(C$13&amp;$B1409,Aux!$B:$M,5,0),"")</f>
        <v/>
      </c>
      <c r="D1405" s="60" t="str">
        <f>IFERROR(VLOOKUP(C$13&amp;$B1405,Aux!$B:$M,3,0),"")</f>
        <v/>
      </c>
      <c r="E1405" s="60"/>
      <c r="F1405" s="60"/>
      <c r="G1405" s="61" t="str">
        <f>IFERROR(VLOOKUP(C$13&amp;$B1405,Aux!$B:$M,9,0),"")</f>
        <v/>
      </c>
      <c r="K1405" s="59" t="str">
        <f>IFERROR(VLOOKUP(K$13&amp;$B1409,Aux!$B:$M,5,0),"")</f>
        <v/>
      </c>
      <c r="L1405" s="60" t="str">
        <f>IFERROR(VLOOKUP(K$13&amp;$B1405,Aux!$B:$M,3,0),"")</f>
        <v/>
      </c>
      <c r="M1405" s="60"/>
      <c r="N1405" s="60"/>
      <c r="O1405" s="61" t="str">
        <f>IFERROR(VLOOKUP(K$13&amp;$B1405,Aux!$B:$M,9,0),"")</f>
        <v/>
      </c>
      <c r="S1405" s="59" t="str">
        <f>IFERROR(VLOOKUP(S$13&amp;$B1409,Aux!$B:$M,5,0),"")</f>
        <v/>
      </c>
      <c r="T1405" s="60" t="str">
        <f>IFERROR(VLOOKUP(S$13&amp;$B1405,Aux!$B:$M,3,0),"")</f>
        <v/>
      </c>
      <c r="U1405" s="60"/>
      <c r="V1405" s="60"/>
      <c r="W1405" s="61" t="str">
        <f>IFERROR(VLOOKUP(S$13&amp;$B1405,Aux!$B:$M,9,0),"")</f>
        <v/>
      </c>
      <c r="AA1405" s="59" t="str">
        <f>IFERROR(VLOOKUP(AA$13&amp;$B1409,Aux!$B:$M,5,0),"")</f>
        <v/>
      </c>
      <c r="AB1405" s="60" t="str">
        <f>IFERROR(VLOOKUP(AA$13&amp;$B1405,Aux!$B:$M,3,0),"")</f>
        <v/>
      </c>
      <c r="AC1405" s="60"/>
      <c r="AD1405" s="60"/>
      <c r="AE1405" s="61" t="str">
        <f>IFERROR(VLOOKUP(AA$13&amp;$B1405,Aux!$B:$M,9,0),"")</f>
        <v/>
      </c>
    </row>
    <row r="1406" spans="2:31" x14ac:dyDescent="0.25">
      <c r="B1406" s="53">
        <f t="shared" si="21"/>
        <v>279</v>
      </c>
      <c r="C1406" s="59"/>
      <c r="D1406" s="60"/>
      <c r="E1406" s="60"/>
      <c r="F1406" s="60"/>
      <c r="G1406" s="61"/>
      <c r="K1406" s="59"/>
      <c r="L1406" s="60"/>
      <c r="M1406" s="60"/>
      <c r="N1406" s="60"/>
      <c r="O1406" s="61"/>
      <c r="S1406" s="59"/>
      <c r="T1406" s="60"/>
      <c r="U1406" s="60"/>
      <c r="V1406" s="60"/>
      <c r="W1406" s="61"/>
      <c r="AA1406" s="59"/>
      <c r="AB1406" s="60"/>
      <c r="AC1406" s="60"/>
      <c r="AD1406" s="60"/>
      <c r="AE1406" s="61"/>
    </row>
    <row r="1407" spans="2:31" x14ac:dyDescent="0.25">
      <c r="B1407" s="53">
        <f t="shared" si="21"/>
        <v>279</v>
      </c>
      <c r="C1407" s="59"/>
      <c r="D1407" s="15" t="str">
        <f>IF(D1405="","","Исполнитель"&amp;": ")</f>
        <v/>
      </c>
      <c r="E1407" s="62" t="str">
        <f>IFERROR(VLOOKUP(C$13&amp;$B1407,Aux!$B:$M,4,0),"")</f>
        <v/>
      </c>
      <c r="F1407" s="62"/>
      <c r="G1407" s="63" t="str">
        <f>IFERROR(IF(VLOOKUP(C$13&amp;$B1405,Aux!$B:$M,8,0)="Да","✔","🕓"),"")</f>
        <v/>
      </c>
      <c r="K1407" s="59"/>
      <c r="L1407" s="15" t="str">
        <f>IF(L1405="","","Исполнитель"&amp;": ")</f>
        <v/>
      </c>
      <c r="M1407" s="62" t="str">
        <f>IFERROR(VLOOKUP(K$13&amp;$B1407,Aux!$B:$M,4,0),"")</f>
        <v/>
      </c>
      <c r="N1407" s="62"/>
      <c r="O1407" s="63" t="str">
        <f>IFERROR(IF(VLOOKUP(K$13&amp;$B1405,Aux!$B:$M,8,0)="Да","✔","🕓"),"")</f>
        <v/>
      </c>
      <c r="S1407" s="59"/>
      <c r="T1407" s="15" t="str">
        <f>IF(T1405="","","Исполнитель"&amp;": ")</f>
        <v/>
      </c>
      <c r="U1407" s="62" t="str">
        <f>IFERROR(VLOOKUP(S$13&amp;$B1407,Aux!$B:$M,4,0),"")</f>
        <v/>
      </c>
      <c r="V1407" s="62"/>
      <c r="W1407" s="63" t="str">
        <f>IFERROR(IF(VLOOKUP(S$13&amp;$B1405,Aux!$B:$M,8,0)="Да","✔","🕓"),"")</f>
        <v/>
      </c>
      <c r="AA1407" s="59"/>
      <c r="AB1407" s="15" t="str">
        <f>IF(AB1405="","","Исполнитель"&amp;": ")</f>
        <v/>
      </c>
      <c r="AC1407" s="62" t="str">
        <f>IFERROR(VLOOKUP(AA$13&amp;$B1407,Aux!$B:$M,4,0),"")</f>
        <v/>
      </c>
      <c r="AD1407" s="62"/>
      <c r="AE1407" s="63" t="str">
        <f>IFERROR(IF(VLOOKUP(AA$13&amp;$B1405,Aux!$B:$M,8,0)="Да","✔","🕓"),"")</f>
        <v/>
      </c>
    </row>
    <row r="1408" spans="2:31" x14ac:dyDescent="0.25">
      <c r="B1408" s="53">
        <f t="shared" si="21"/>
        <v>279</v>
      </c>
      <c r="C1408" s="59"/>
      <c r="D1408" s="16" t="str">
        <f>IF(D1405="","","Срок сдачи"&amp;": ")</f>
        <v/>
      </c>
      <c r="E1408" s="64" t="str">
        <f>IFERROR(VLOOKUP(C$13&amp;$B1408,Aux!$B:$M,6,0),"")</f>
        <v/>
      </c>
      <c r="F1408" s="64"/>
      <c r="G1408" s="63"/>
      <c r="K1408" s="59"/>
      <c r="L1408" s="16" t="str">
        <f>IF(L1405="","","Срок сдачи"&amp;": ")</f>
        <v/>
      </c>
      <c r="M1408" s="64" t="str">
        <f>IFERROR(VLOOKUP(K$13&amp;$B1408,Aux!$B:$M,6,0),"")</f>
        <v/>
      </c>
      <c r="N1408" s="64"/>
      <c r="O1408" s="63"/>
      <c r="S1408" s="59"/>
      <c r="T1408" s="16" t="str">
        <f>IF(T1405="","","Срок сдачи"&amp;": ")</f>
        <v/>
      </c>
      <c r="U1408" s="64" t="str">
        <f>IFERROR(VLOOKUP(S$13&amp;$B1408,Aux!$B:$M,6,0),"")</f>
        <v/>
      </c>
      <c r="V1408" s="64"/>
      <c r="W1408" s="63"/>
      <c r="AA1408" s="59"/>
      <c r="AB1408" s="16" t="str">
        <f>IF(AB1405="","","Срок сдачи"&amp;": ")</f>
        <v/>
      </c>
      <c r="AC1408" s="64" t="str">
        <f>IFERROR(VLOOKUP(AA$13&amp;$B1408,Aux!$B:$M,6,0),"")</f>
        <v/>
      </c>
      <c r="AD1408" s="64"/>
      <c r="AE1408" s="63"/>
    </row>
    <row r="1409" spans="2:31" x14ac:dyDescent="0.25">
      <c r="B1409" s="53">
        <f t="shared" si="21"/>
        <v>279</v>
      </c>
      <c r="C1409" s="7"/>
      <c r="D1409" s="17"/>
      <c r="E1409" s="7"/>
      <c r="F1409" s="18"/>
      <c r="G1409" s="18"/>
      <c r="K1409" s="13"/>
      <c r="L1409" s="17"/>
      <c r="M1409" s="13"/>
      <c r="N1409" s="14"/>
      <c r="O1409" s="14"/>
      <c r="S1409" s="13"/>
      <c r="T1409" s="17"/>
      <c r="U1409" s="13"/>
      <c r="V1409" s="14"/>
      <c r="W1409" s="14"/>
      <c r="AA1409" s="13"/>
      <c r="AB1409" s="17"/>
      <c r="AC1409" s="13"/>
      <c r="AD1409" s="14"/>
      <c r="AE1409" s="30"/>
    </row>
    <row r="1410" spans="2:31" x14ac:dyDescent="0.25">
      <c r="B1410" s="53">
        <f t="shared" si="21"/>
        <v>280</v>
      </c>
      <c r="C1410" s="59" t="str">
        <f>IFERROR(VLOOKUP(C$13&amp;$B1414,Aux!$B:$M,5,0),"")</f>
        <v/>
      </c>
      <c r="D1410" s="60" t="str">
        <f>IFERROR(VLOOKUP(C$13&amp;$B1410,Aux!$B:$M,3,0),"")</f>
        <v/>
      </c>
      <c r="E1410" s="60"/>
      <c r="F1410" s="60"/>
      <c r="G1410" s="61" t="str">
        <f>IFERROR(VLOOKUP(C$13&amp;$B1410,Aux!$B:$M,9,0),"")</f>
        <v/>
      </c>
      <c r="K1410" s="59" t="str">
        <f>IFERROR(VLOOKUP(K$13&amp;$B1414,Aux!$B:$M,5,0),"")</f>
        <v/>
      </c>
      <c r="L1410" s="60" t="str">
        <f>IFERROR(VLOOKUP(K$13&amp;$B1410,Aux!$B:$M,3,0),"")</f>
        <v/>
      </c>
      <c r="M1410" s="60"/>
      <c r="N1410" s="60"/>
      <c r="O1410" s="61" t="str">
        <f>IFERROR(VLOOKUP(K$13&amp;$B1410,Aux!$B:$M,9,0),"")</f>
        <v/>
      </c>
      <c r="S1410" s="59" t="str">
        <f>IFERROR(VLOOKUP(S$13&amp;$B1414,Aux!$B:$M,5,0),"")</f>
        <v/>
      </c>
      <c r="T1410" s="60" t="str">
        <f>IFERROR(VLOOKUP(S$13&amp;$B1410,Aux!$B:$M,3,0),"")</f>
        <v/>
      </c>
      <c r="U1410" s="60"/>
      <c r="V1410" s="60"/>
      <c r="W1410" s="61" t="str">
        <f>IFERROR(VLOOKUP(S$13&amp;$B1410,Aux!$B:$M,9,0),"")</f>
        <v/>
      </c>
      <c r="AA1410" s="59" t="str">
        <f>IFERROR(VLOOKUP(AA$13&amp;$B1414,Aux!$B:$M,5,0),"")</f>
        <v/>
      </c>
      <c r="AB1410" s="60" t="str">
        <f>IFERROR(VLOOKUP(AA$13&amp;$B1410,Aux!$B:$M,3,0),"")</f>
        <v/>
      </c>
      <c r="AC1410" s="60"/>
      <c r="AD1410" s="60"/>
      <c r="AE1410" s="61" t="str">
        <f>IFERROR(VLOOKUP(AA$13&amp;$B1410,Aux!$B:$M,9,0),"")</f>
        <v/>
      </c>
    </row>
    <row r="1411" spans="2:31" x14ac:dyDescent="0.25">
      <c r="B1411" s="53">
        <f t="shared" si="21"/>
        <v>280</v>
      </c>
      <c r="C1411" s="59"/>
      <c r="D1411" s="60"/>
      <c r="E1411" s="60"/>
      <c r="F1411" s="60"/>
      <c r="G1411" s="61"/>
      <c r="K1411" s="59"/>
      <c r="L1411" s="60"/>
      <c r="M1411" s="60"/>
      <c r="N1411" s="60"/>
      <c r="O1411" s="61"/>
      <c r="S1411" s="59"/>
      <c r="T1411" s="60"/>
      <c r="U1411" s="60"/>
      <c r="V1411" s="60"/>
      <c r="W1411" s="61"/>
      <c r="AA1411" s="59"/>
      <c r="AB1411" s="60"/>
      <c r="AC1411" s="60"/>
      <c r="AD1411" s="60"/>
      <c r="AE1411" s="61"/>
    </row>
    <row r="1412" spans="2:31" x14ac:dyDescent="0.25">
      <c r="B1412" s="53">
        <f t="shared" si="21"/>
        <v>280</v>
      </c>
      <c r="C1412" s="59"/>
      <c r="D1412" s="15" t="str">
        <f>IF(D1410="","","Исполнитель"&amp;": ")</f>
        <v/>
      </c>
      <c r="E1412" s="62" t="str">
        <f>IFERROR(VLOOKUP(C$13&amp;$B1412,Aux!$B:$M,4,0),"")</f>
        <v/>
      </c>
      <c r="F1412" s="62"/>
      <c r="G1412" s="63" t="str">
        <f>IFERROR(IF(VLOOKUP(C$13&amp;$B1410,Aux!$B:$M,8,0)="Да","✔","🕓"),"")</f>
        <v/>
      </c>
      <c r="K1412" s="59"/>
      <c r="L1412" s="15" t="str">
        <f>IF(L1410="","","Исполнитель"&amp;": ")</f>
        <v/>
      </c>
      <c r="M1412" s="62" t="str">
        <f>IFERROR(VLOOKUP(K$13&amp;$B1412,Aux!$B:$M,4,0),"")</f>
        <v/>
      </c>
      <c r="N1412" s="62"/>
      <c r="O1412" s="63" t="str">
        <f>IFERROR(IF(VLOOKUP(K$13&amp;$B1410,Aux!$B:$M,8,0)="Да","✔","🕓"),"")</f>
        <v/>
      </c>
      <c r="S1412" s="59"/>
      <c r="T1412" s="15" t="str">
        <f>IF(T1410="","","Исполнитель"&amp;": ")</f>
        <v/>
      </c>
      <c r="U1412" s="62" t="str">
        <f>IFERROR(VLOOKUP(S$13&amp;$B1412,Aux!$B:$M,4,0),"")</f>
        <v/>
      </c>
      <c r="V1412" s="62"/>
      <c r="W1412" s="63" t="str">
        <f>IFERROR(IF(VLOOKUP(S$13&amp;$B1410,Aux!$B:$M,8,0)="Да","✔","🕓"),"")</f>
        <v/>
      </c>
      <c r="AA1412" s="59"/>
      <c r="AB1412" s="15" t="str">
        <f>IF(AB1410="","","Исполнитель"&amp;": ")</f>
        <v/>
      </c>
      <c r="AC1412" s="62" t="str">
        <f>IFERROR(VLOOKUP(AA$13&amp;$B1412,Aux!$B:$M,4,0),"")</f>
        <v/>
      </c>
      <c r="AD1412" s="62"/>
      <c r="AE1412" s="63" t="str">
        <f>IFERROR(IF(VLOOKUP(AA$13&amp;$B1410,Aux!$B:$M,8,0)="Да","✔","🕓"),"")</f>
        <v/>
      </c>
    </row>
    <row r="1413" spans="2:31" x14ac:dyDescent="0.25">
      <c r="B1413" s="53">
        <f t="shared" si="21"/>
        <v>280</v>
      </c>
      <c r="C1413" s="59"/>
      <c r="D1413" s="16" t="str">
        <f>IF(D1410="","","Срок сдачи"&amp;": ")</f>
        <v/>
      </c>
      <c r="E1413" s="64" t="str">
        <f>IFERROR(VLOOKUP(C$13&amp;$B1413,Aux!$B:$M,6,0),"")</f>
        <v/>
      </c>
      <c r="F1413" s="64"/>
      <c r="G1413" s="63"/>
      <c r="K1413" s="59"/>
      <c r="L1413" s="16" t="str">
        <f>IF(L1410="","","Срок сдачи"&amp;": ")</f>
        <v/>
      </c>
      <c r="M1413" s="64" t="str">
        <f>IFERROR(VLOOKUP(K$13&amp;$B1413,Aux!$B:$M,6,0),"")</f>
        <v/>
      </c>
      <c r="N1413" s="64"/>
      <c r="O1413" s="63"/>
      <c r="S1413" s="59"/>
      <c r="T1413" s="16" t="str">
        <f>IF(T1410="","","Срок сдачи"&amp;": ")</f>
        <v/>
      </c>
      <c r="U1413" s="64" t="str">
        <f>IFERROR(VLOOKUP(S$13&amp;$B1413,Aux!$B:$M,6,0),"")</f>
        <v/>
      </c>
      <c r="V1413" s="64"/>
      <c r="W1413" s="63"/>
      <c r="AA1413" s="59"/>
      <c r="AB1413" s="16" t="str">
        <f>IF(AB1410="","","Срок сдачи"&amp;": ")</f>
        <v/>
      </c>
      <c r="AC1413" s="64" t="str">
        <f>IFERROR(VLOOKUP(AA$13&amp;$B1413,Aux!$B:$M,6,0),"")</f>
        <v/>
      </c>
      <c r="AD1413" s="64"/>
      <c r="AE1413" s="63"/>
    </row>
    <row r="1414" spans="2:31" x14ac:dyDescent="0.25">
      <c r="B1414" s="53">
        <f t="shared" si="21"/>
        <v>280</v>
      </c>
      <c r="C1414" s="7"/>
      <c r="D1414" s="17"/>
      <c r="E1414" s="7"/>
      <c r="F1414" s="18"/>
      <c r="G1414" s="18"/>
      <c r="K1414" s="13"/>
      <c r="L1414" s="17"/>
      <c r="M1414" s="13"/>
      <c r="N1414" s="14"/>
      <c r="O1414" s="14"/>
      <c r="S1414" s="13"/>
      <c r="T1414" s="17"/>
      <c r="U1414" s="13"/>
      <c r="V1414" s="14"/>
      <c r="W1414" s="14"/>
      <c r="AA1414" s="13"/>
      <c r="AB1414" s="17"/>
      <c r="AC1414" s="13"/>
      <c r="AD1414" s="14"/>
      <c r="AE1414" s="30"/>
    </row>
    <row r="1415" spans="2:31" x14ac:dyDescent="0.25">
      <c r="B1415" s="53">
        <f t="shared" si="21"/>
        <v>281</v>
      </c>
      <c r="C1415" s="59" t="str">
        <f>IFERROR(VLOOKUP(C$13&amp;$B1419,Aux!$B:$M,5,0),"")</f>
        <v/>
      </c>
      <c r="D1415" s="60" t="str">
        <f>IFERROR(VLOOKUP(C$13&amp;$B1415,Aux!$B:$M,3,0),"")</f>
        <v/>
      </c>
      <c r="E1415" s="60"/>
      <c r="F1415" s="60"/>
      <c r="G1415" s="61" t="str">
        <f>IFERROR(VLOOKUP(C$13&amp;$B1415,Aux!$B:$M,9,0),"")</f>
        <v/>
      </c>
      <c r="K1415" s="59" t="str">
        <f>IFERROR(VLOOKUP(K$13&amp;$B1419,Aux!$B:$M,5,0),"")</f>
        <v/>
      </c>
      <c r="L1415" s="60" t="str">
        <f>IFERROR(VLOOKUP(K$13&amp;$B1415,Aux!$B:$M,3,0),"")</f>
        <v/>
      </c>
      <c r="M1415" s="60"/>
      <c r="N1415" s="60"/>
      <c r="O1415" s="61" t="str">
        <f>IFERROR(VLOOKUP(K$13&amp;$B1415,Aux!$B:$M,9,0),"")</f>
        <v/>
      </c>
      <c r="S1415" s="59" t="str">
        <f>IFERROR(VLOOKUP(S$13&amp;$B1419,Aux!$B:$M,5,0),"")</f>
        <v/>
      </c>
      <c r="T1415" s="60" t="str">
        <f>IFERROR(VLOOKUP(S$13&amp;$B1415,Aux!$B:$M,3,0),"")</f>
        <v/>
      </c>
      <c r="U1415" s="60"/>
      <c r="V1415" s="60"/>
      <c r="W1415" s="61" t="str">
        <f>IFERROR(VLOOKUP(S$13&amp;$B1415,Aux!$B:$M,9,0),"")</f>
        <v/>
      </c>
      <c r="AA1415" s="59" t="str">
        <f>IFERROR(VLOOKUP(AA$13&amp;$B1419,Aux!$B:$M,5,0),"")</f>
        <v/>
      </c>
      <c r="AB1415" s="60" t="str">
        <f>IFERROR(VLOOKUP(AA$13&amp;$B1415,Aux!$B:$M,3,0),"")</f>
        <v/>
      </c>
      <c r="AC1415" s="60"/>
      <c r="AD1415" s="60"/>
      <c r="AE1415" s="61" t="str">
        <f>IFERROR(VLOOKUP(AA$13&amp;$B1415,Aux!$B:$M,9,0),"")</f>
        <v/>
      </c>
    </row>
    <row r="1416" spans="2:31" x14ac:dyDescent="0.25">
      <c r="B1416" s="53">
        <f t="shared" si="21"/>
        <v>281</v>
      </c>
      <c r="C1416" s="59"/>
      <c r="D1416" s="60"/>
      <c r="E1416" s="60"/>
      <c r="F1416" s="60"/>
      <c r="G1416" s="61"/>
      <c r="K1416" s="59"/>
      <c r="L1416" s="60"/>
      <c r="M1416" s="60"/>
      <c r="N1416" s="60"/>
      <c r="O1416" s="61"/>
      <c r="S1416" s="59"/>
      <c r="T1416" s="60"/>
      <c r="U1416" s="60"/>
      <c r="V1416" s="60"/>
      <c r="W1416" s="61"/>
      <c r="AA1416" s="59"/>
      <c r="AB1416" s="60"/>
      <c r="AC1416" s="60"/>
      <c r="AD1416" s="60"/>
      <c r="AE1416" s="61"/>
    </row>
    <row r="1417" spans="2:31" x14ac:dyDescent="0.25">
      <c r="B1417" s="53">
        <f t="shared" si="21"/>
        <v>281</v>
      </c>
      <c r="C1417" s="59"/>
      <c r="D1417" s="15" t="str">
        <f>IF(D1415="","","Исполнитель"&amp;": ")</f>
        <v/>
      </c>
      <c r="E1417" s="62" t="str">
        <f>IFERROR(VLOOKUP(C$13&amp;$B1417,Aux!$B:$M,4,0),"")</f>
        <v/>
      </c>
      <c r="F1417" s="62"/>
      <c r="G1417" s="63" t="str">
        <f>IFERROR(IF(VLOOKUP(C$13&amp;$B1415,Aux!$B:$M,8,0)="Да","✔","🕓"),"")</f>
        <v/>
      </c>
      <c r="K1417" s="59"/>
      <c r="L1417" s="15" t="str">
        <f>IF(L1415="","","Исполнитель"&amp;": ")</f>
        <v/>
      </c>
      <c r="M1417" s="62" t="str">
        <f>IFERROR(VLOOKUP(K$13&amp;$B1417,Aux!$B:$M,4,0),"")</f>
        <v/>
      </c>
      <c r="N1417" s="62"/>
      <c r="O1417" s="63" t="str">
        <f>IFERROR(IF(VLOOKUP(K$13&amp;$B1415,Aux!$B:$M,8,0)="Да","✔","🕓"),"")</f>
        <v/>
      </c>
      <c r="S1417" s="59"/>
      <c r="T1417" s="15" t="str">
        <f>IF(T1415="","","Исполнитель"&amp;": ")</f>
        <v/>
      </c>
      <c r="U1417" s="62" t="str">
        <f>IFERROR(VLOOKUP(S$13&amp;$B1417,Aux!$B:$M,4,0),"")</f>
        <v/>
      </c>
      <c r="V1417" s="62"/>
      <c r="W1417" s="63" t="str">
        <f>IFERROR(IF(VLOOKUP(S$13&amp;$B1415,Aux!$B:$M,8,0)="Да","✔","🕓"),"")</f>
        <v/>
      </c>
      <c r="AA1417" s="59"/>
      <c r="AB1417" s="15" t="str">
        <f>IF(AB1415="","","Исполнитель"&amp;": ")</f>
        <v/>
      </c>
      <c r="AC1417" s="62" t="str">
        <f>IFERROR(VLOOKUP(AA$13&amp;$B1417,Aux!$B:$M,4,0),"")</f>
        <v/>
      </c>
      <c r="AD1417" s="62"/>
      <c r="AE1417" s="63" t="str">
        <f>IFERROR(IF(VLOOKUP(AA$13&amp;$B1415,Aux!$B:$M,8,0)="Да","✔","🕓"),"")</f>
        <v/>
      </c>
    </row>
    <row r="1418" spans="2:31" x14ac:dyDescent="0.25">
      <c r="B1418" s="53">
        <f t="shared" si="21"/>
        <v>281</v>
      </c>
      <c r="C1418" s="59"/>
      <c r="D1418" s="16" t="str">
        <f>IF(D1415="","","Срок сдачи"&amp;": ")</f>
        <v/>
      </c>
      <c r="E1418" s="64" t="str">
        <f>IFERROR(VLOOKUP(C$13&amp;$B1418,Aux!$B:$M,6,0),"")</f>
        <v/>
      </c>
      <c r="F1418" s="64"/>
      <c r="G1418" s="63"/>
      <c r="K1418" s="59"/>
      <c r="L1418" s="16" t="str">
        <f>IF(L1415="","","Срок сдачи"&amp;": ")</f>
        <v/>
      </c>
      <c r="M1418" s="64" t="str">
        <f>IFERROR(VLOOKUP(K$13&amp;$B1418,Aux!$B:$M,6,0),"")</f>
        <v/>
      </c>
      <c r="N1418" s="64"/>
      <c r="O1418" s="63"/>
      <c r="S1418" s="59"/>
      <c r="T1418" s="16" t="str">
        <f>IF(T1415="","","Срок сдачи"&amp;": ")</f>
        <v/>
      </c>
      <c r="U1418" s="64" t="str">
        <f>IFERROR(VLOOKUP(S$13&amp;$B1418,Aux!$B:$M,6,0),"")</f>
        <v/>
      </c>
      <c r="V1418" s="64"/>
      <c r="W1418" s="63"/>
      <c r="AA1418" s="59"/>
      <c r="AB1418" s="16" t="str">
        <f>IF(AB1415="","","Срок сдачи"&amp;": ")</f>
        <v/>
      </c>
      <c r="AC1418" s="64" t="str">
        <f>IFERROR(VLOOKUP(AA$13&amp;$B1418,Aux!$B:$M,6,0),"")</f>
        <v/>
      </c>
      <c r="AD1418" s="64"/>
      <c r="AE1418" s="63"/>
    </row>
    <row r="1419" spans="2:31" x14ac:dyDescent="0.25">
      <c r="B1419" s="53">
        <f t="shared" si="21"/>
        <v>281</v>
      </c>
      <c r="C1419" s="7"/>
      <c r="D1419" s="17"/>
      <c r="E1419" s="7"/>
      <c r="F1419" s="18"/>
      <c r="G1419" s="18"/>
      <c r="K1419" s="13"/>
      <c r="L1419" s="17"/>
      <c r="M1419" s="13"/>
      <c r="N1419" s="14"/>
      <c r="O1419" s="14"/>
      <c r="S1419" s="13"/>
      <c r="T1419" s="17"/>
      <c r="U1419" s="13"/>
      <c r="V1419" s="14"/>
      <c r="W1419" s="14"/>
      <c r="AA1419" s="13"/>
      <c r="AB1419" s="17"/>
      <c r="AC1419" s="13"/>
      <c r="AD1419" s="14"/>
      <c r="AE1419" s="30"/>
    </row>
    <row r="1420" spans="2:31" x14ac:dyDescent="0.25">
      <c r="B1420" s="53">
        <f t="shared" si="21"/>
        <v>282</v>
      </c>
      <c r="C1420" s="59" t="str">
        <f>IFERROR(VLOOKUP(C$13&amp;$B1424,Aux!$B:$M,5,0),"")</f>
        <v/>
      </c>
      <c r="D1420" s="60" t="str">
        <f>IFERROR(VLOOKUP(C$13&amp;$B1420,Aux!$B:$M,3,0),"")</f>
        <v/>
      </c>
      <c r="E1420" s="60"/>
      <c r="F1420" s="60"/>
      <c r="G1420" s="61" t="str">
        <f>IFERROR(VLOOKUP(C$13&amp;$B1420,Aux!$B:$M,9,0),"")</f>
        <v/>
      </c>
      <c r="K1420" s="59" t="str">
        <f>IFERROR(VLOOKUP(K$13&amp;$B1424,Aux!$B:$M,5,0),"")</f>
        <v/>
      </c>
      <c r="L1420" s="60" t="str">
        <f>IFERROR(VLOOKUP(K$13&amp;$B1420,Aux!$B:$M,3,0),"")</f>
        <v/>
      </c>
      <c r="M1420" s="60"/>
      <c r="N1420" s="60"/>
      <c r="O1420" s="61" t="str">
        <f>IFERROR(VLOOKUP(K$13&amp;$B1420,Aux!$B:$M,9,0),"")</f>
        <v/>
      </c>
      <c r="S1420" s="59" t="str">
        <f>IFERROR(VLOOKUP(S$13&amp;$B1424,Aux!$B:$M,5,0),"")</f>
        <v/>
      </c>
      <c r="T1420" s="60" t="str">
        <f>IFERROR(VLOOKUP(S$13&amp;$B1420,Aux!$B:$M,3,0),"")</f>
        <v/>
      </c>
      <c r="U1420" s="60"/>
      <c r="V1420" s="60"/>
      <c r="W1420" s="61" t="str">
        <f>IFERROR(VLOOKUP(S$13&amp;$B1420,Aux!$B:$M,9,0),"")</f>
        <v/>
      </c>
      <c r="AA1420" s="59" t="str">
        <f>IFERROR(VLOOKUP(AA$13&amp;$B1424,Aux!$B:$M,5,0),"")</f>
        <v/>
      </c>
      <c r="AB1420" s="60" t="str">
        <f>IFERROR(VLOOKUP(AA$13&amp;$B1420,Aux!$B:$M,3,0),"")</f>
        <v/>
      </c>
      <c r="AC1420" s="60"/>
      <c r="AD1420" s="60"/>
      <c r="AE1420" s="61" t="str">
        <f>IFERROR(VLOOKUP(AA$13&amp;$B1420,Aux!$B:$M,9,0),"")</f>
        <v/>
      </c>
    </row>
    <row r="1421" spans="2:31" x14ac:dyDescent="0.25">
      <c r="B1421" s="53">
        <f t="shared" si="21"/>
        <v>282</v>
      </c>
      <c r="C1421" s="59"/>
      <c r="D1421" s="60"/>
      <c r="E1421" s="60"/>
      <c r="F1421" s="60"/>
      <c r="G1421" s="61"/>
      <c r="K1421" s="59"/>
      <c r="L1421" s="60"/>
      <c r="M1421" s="60"/>
      <c r="N1421" s="60"/>
      <c r="O1421" s="61"/>
      <c r="S1421" s="59"/>
      <c r="T1421" s="60"/>
      <c r="U1421" s="60"/>
      <c r="V1421" s="60"/>
      <c r="W1421" s="61"/>
      <c r="AA1421" s="59"/>
      <c r="AB1421" s="60"/>
      <c r="AC1421" s="60"/>
      <c r="AD1421" s="60"/>
      <c r="AE1421" s="61"/>
    </row>
    <row r="1422" spans="2:31" x14ac:dyDescent="0.25">
      <c r="B1422" s="53">
        <f t="shared" si="21"/>
        <v>282</v>
      </c>
      <c r="C1422" s="59"/>
      <c r="D1422" s="15" t="str">
        <f>IF(D1420="","","Исполнитель"&amp;": ")</f>
        <v/>
      </c>
      <c r="E1422" s="62" t="str">
        <f>IFERROR(VLOOKUP(C$13&amp;$B1422,Aux!$B:$M,4,0),"")</f>
        <v/>
      </c>
      <c r="F1422" s="62"/>
      <c r="G1422" s="63" t="str">
        <f>IFERROR(IF(VLOOKUP(C$13&amp;$B1420,Aux!$B:$M,8,0)="Да","✔","🕓"),"")</f>
        <v/>
      </c>
      <c r="K1422" s="59"/>
      <c r="L1422" s="15" t="str">
        <f>IF(L1420="","","Исполнитель"&amp;": ")</f>
        <v/>
      </c>
      <c r="M1422" s="62" t="str">
        <f>IFERROR(VLOOKUP(K$13&amp;$B1422,Aux!$B:$M,4,0),"")</f>
        <v/>
      </c>
      <c r="N1422" s="62"/>
      <c r="O1422" s="63" t="str">
        <f>IFERROR(IF(VLOOKUP(K$13&amp;$B1420,Aux!$B:$M,8,0)="Да","✔","🕓"),"")</f>
        <v/>
      </c>
      <c r="S1422" s="59"/>
      <c r="T1422" s="15" t="str">
        <f>IF(T1420="","","Исполнитель"&amp;": ")</f>
        <v/>
      </c>
      <c r="U1422" s="62" t="str">
        <f>IFERROR(VLOOKUP(S$13&amp;$B1422,Aux!$B:$M,4,0),"")</f>
        <v/>
      </c>
      <c r="V1422" s="62"/>
      <c r="W1422" s="63" t="str">
        <f>IFERROR(IF(VLOOKUP(S$13&amp;$B1420,Aux!$B:$M,8,0)="Да","✔","🕓"),"")</f>
        <v/>
      </c>
      <c r="AA1422" s="59"/>
      <c r="AB1422" s="15" t="str">
        <f>IF(AB1420="","","Исполнитель"&amp;": ")</f>
        <v/>
      </c>
      <c r="AC1422" s="62" t="str">
        <f>IFERROR(VLOOKUP(AA$13&amp;$B1422,Aux!$B:$M,4,0),"")</f>
        <v/>
      </c>
      <c r="AD1422" s="62"/>
      <c r="AE1422" s="63" t="str">
        <f>IFERROR(IF(VLOOKUP(AA$13&amp;$B1420,Aux!$B:$M,8,0)="Да","✔","🕓"),"")</f>
        <v/>
      </c>
    </row>
    <row r="1423" spans="2:31" x14ac:dyDescent="0.25">
      <c r="B1423" s="53">
        <f t="shared" si="21"/>
        <v>282</v>
      </c>
      <c r="C1423" s="59"/>
      <c r="D1423" s="16" t="str">
        <f>IF(D1420="","","Срок сдачи"&amp;": ")</f>
        <v/>
      </c>
      <c r="E1423" s="64" t="str">
        <f>IFERROR(VLOOKUP(C$13&amp;$B1423,Aux!$B:$M,6,0),"")</f>
        <v/>
      </c>
      <c r="F1423" s="64"/>
      <c r="G1423" s="63"/>
      <c r="K1423" s="59"/>
      <c r="L1423" s="16" t="str">
        <f>IF(L1420="","","Срок сдачи"&amp;": ")</f>
        <v/>
      </c>
      <c r="M1423" s="64" t="str">
        <f>IFERROR(VLOOKUP(K$13&amp;$B1423,Aux!$B:$M,6,0),"")</f>
        <v/>
      </c>
      <c r="N1423" s="64"/>
      <c r="O1423" s="63"/>
      <c r="S1423" s="59"/>
      <c r="T1423" s="16" t="str">
        <f>IF(T1420="","","Срок сдачи"&amp;": ")</f>
        <v/>
      </c>
      <c r="U1423" s="64" t="str">
        <f>IFERROR(VLOOKUP(S$13&amp;$B1423,Aux!$B:$M,6,0),"")</f>
        <v/>
      </c>
      <c r="V1423" s="64"/>
      <c r="W1423" s="63"/>
      <c r="AA1423" s="59"/>
      <c r="AB1423" s="16" t="str">
        <f>IF(AB1420="","","Срок сдачи"&amp;": ")</f>
        <v/>
      </c>
      <c r="AC1423" s="64" t="str">
        <f>IFERROR(VLOOKUP(AA$13&amp;$B1423,Aux!$B:$M,6,0),"")</f>
        <v/>
      </c>
      <c r="AD1423" s="64"/>
      <c r="AE1423" s="63"/>
    </row>
    <row r="1424" spans="2:31" x14ac:dyDescent="0.25">
      <c r="B1424" s="53">
        <f t="shared" si="21"/>
        <v>282</v>
      </c>
      <c r="C1424" s="7"/>
      <c r="D1424" s="17"/>
      <c r="E1424" s="7"/>
      <c r="F1424" s="18"/>
      <c r="G1424" s="18"/>
      <c r="K1424" s="13"/>
      <c r="L1424" s="17"/>
      <c r="M1424" s="13"/>
      <c r="N1424" s="14"/>
      <c r="O1424" s="14"/>
      <c r="S1424" s="13"/>
      <c r="T1424" s="17"/>
      <c r="U1424" s="13"/>
      <c r="V1424" s="14"/>
      <c r="W1424" s="14"/>
      <c r="AA1424" s="13"/>
      <c r="AB1424" s="17"/>
      <c r="AC1424" s="13"/>
      <c r="AD1424" s="14"/>
      <c r="AE1424" s="30"/>
    </row>
    <row r="1425" spans="2:31" x14ac:dyDescent="0.25">
      <c r="B1425" s="53">
        <f t="shared" si="21"/>
        <v>283</v>
      </c>
      <c r="C1425" s="59" t="str">
        <f>IFERROR(VLOOKUP(C$13&amp;$B1429,Aux!$B:$M,5,0),"")</f>
        <v/>
      </c>
      <c r="D1425" s="60" t="str">
        <f>IFERROR(VLOOKUP(C$13&amp;$B1425,Aux!$B:$M,3,0),"")</f>
        <v/>
      </c>
      <c r="E1425" s="60"/>
      <c r="F1425" s="60"/>
      <c r="G1425" s="61" t="str">
        <f>IFERROR(VLOOKUP(C$13&amp;$B1425,Aux!$B:$M,9,0),"")</f>
        <v/>
      </c>
      <c r="K1425" s="59" t="str">
        <f>IFERROR(VLOOKUP(K$13&amp;$B1429,Aux!$B:$M,5,0),"")</f>
        <v/>
      </c>
      <c r="L1425" s="60" t="str">
        <f>IFERROR(VLOOKUP(K$13&amp;$B1425,Aux!$B:$M,3,0),"")</f>
        <v/>
      </c>
      <c r="M1425" s="60"/>
      <c r="N1425" s="60"/>
      <c r="O1425" s="61" t="str">
        <f>IFERROR(VLOOKUP(K$13&amp;$B1425,Aux!$B:$M,9,0),"")</f>
        <v/>
      </c>
      <c r="S1425" s="59" t="str">
        <f>IFERROR(VLOOKUP(S$13&amp;$B1429,Aux!$B:$M,5,0),"")</f>
        <v/>
      </c>
      <c r="T1425" s="60" t="str">
        <f>IFERROR(VLOOKUP(S$13&amp;$B1425,Aux!$B:$M,3,0),"")</f>
        <v/>
      </c>
      <c r="U1425" s="60"/>
      <c r="V1425" s="60"/>
      <c r="W1425" s="61" t="str">
        <f>IFERROR(VLOOKUP(S$13&amp;$B1425,Aux!$B:$M,9,0),"")</f>
        <v/>
      </c>
      <c r="AA1425" s="59" t="str">
        <f>IFERROR(VLOOKUP(AA$13&amp;$B1429,Aux!$B:$M,5,0),"")</f>
        <v/>
      </c>
      <c r="AB1425" s="60" t="str">
        <f>IFERROR(VLOOKUP(AA$13&amp;$B1425,Aux!$B:$M,3,0),"")</f>
        <v/>
      </c>
      <c r="AC1425" s="60"/>
      <c r="AD1425" s="60"/>
      <c r="AE1425" s="61" t="str">
        <f>IFERROR(VLOOKUP(AA$13&amp;$B1425,Aux!$B:$M,9,0),"")</f>
        <v/>
      </c>
    </row>
    <row r="1426" spans="2:31" x14ac:dyDescent="0.25">
      <c r="B1426" s="53">
        <f t="shared" si="21"/>
        <v>283</v>
      </c>
      <c r="C1426" s="59"/>
      <c r="D1426" s="60"/>
      <c r="E1426" s="60"/>
      <c r="F1426" s="60"/>
      <c r="G1426" s="61"/>
      <c r="K1426" s="59"/>
      <c r="L1426" s="60"/>
      <c r="M1426" s="60"/>
      <c r="N1426" s="60"/>
      <c r="O1426" s="61"/>
      <c r="S1426" s="59"/>
      <c r="T1426" s="60"/>
      <c r="U1426" s="60"/>
      <c r="V1426" s="60"/>
      <c r="W1426" s="61"/>
      <c r="AA1426" s="59"/>
      <c r="AB1426" s="60"/>
      <c r="AC1426" s="60"/>
      <c r="AD1426" s="60"/>
      <c r="AE1426" s="61"/>
    </row>
    <row r="1427" spans="2:31" x14ac:dyDescent="0.25">
      <c r="B1427" s="53">
        <f t="shared" si="21"/>
        <v>283</v>
      </c>
      <c r="C1427" s="59"/>
      <c r="D1427" s="15" t="str">
        <f>IF(D1425="","","Исполнитель"&amp;": ")</f>
        <v/>
      </c>
      <c r="E1427" s="62" t="str">
        <f>IFERROR(VLOOKUP(C$13&amp;$B1427,Aux!$B:$M,4,0),"")</f>
        <v/>
      </c>
      <c r="F1427" s="62"/>
      <c r="G1427" s="63" t="str">
        <f>IFERROR(IF(VLOOKUP(C$13&amp;$B1425,Aux!$B:$M,8,0)="Да","✔","🕓"),"")</f>
        <v/>
      </c>
      <c r="K1427" s="59"/>
      <c r="L1427" s="15" t="str">
        <f>IF(L1425="","","Исполнитель"&amp;": ")</f>
        <v/>
      </c>
      <c r="M1427" s="62" t="str">
        <f>IFERROR(VLOOKUP(K$13&amp;$B1427,Aux!$B:$M,4,0),"")</f>
        <v/>
      </c>
      <c r="N1427" s="62"/>
      <c r="O1427" s="63" t="str">
        <f>IFERROR(IF(VLOOKUP(K$13&amp;$B1425,Aux!$B:$M,8,0)="Да","✔","🕓"),"")</f>
        <v/>
      </c>
      <c r="S1427" s="59"/>
      <c r="T1427" s="15" t="str">
        <f>IF(T1425="","","Исполнитель"&amp;": ")</f>
        <v/>
      </c>
      <c r="U1427" s="62" t="str">
        <f>IFERROR(VLOOKUP(S$13&amp;$B1427,Aux!$B:$M,4,0),"")</f>
        <v/>
      </c>
      <c r="V1427" s="62"/>
      <c r="W1427" s="63" t="str">
        <f>IFERROR(IF(VLOOKUP(S$13&amp;$B1425,Aux!$B:$M,8,0)="Да","✔","🕓"),"")</f>
        <v/>
      </c>
      <c r="AA1427" s="59"/>
      <c r="AB1427" s="15" t="str">
        <f>IF(AB1425="","","Исполнитель"&amp;": ")</f>
        <v/>
      </c>
      <c r="AC1427" s="62" t="str">
        <f>IFERROR(VLOOKUP(AA$13&amp;$B1427,Aux!$B:$M,4,0),"")</f>
        <v/>
      </c>
      <c r="AD1427" s="62"/>
      <c r="AE1427" s="63" t="str">
        <f>IFERROR(IF(VLOOKUP(AA$13&amp;$B1425,Aux!$B:$M,8,0)="Да","✔","🕓"),"")</f>
        <v/>
      </c>
    </row>
    <row r="1428" spans="2:31" x14ac:dyDescent="0.25">
      <c r="B1428" s="53">
        <f t="shared" si="21"/>
        <v>283</v>
      </c>
      <c r="C1428" s="59"/>
      <c r="D1428" s="16" t="str">
        <f>IF(D1425="","","Срок сдачи"&amp;": ")</f>
        <v/>
      </c>
      <c r="E1428" s="64" t="str">
        <f>IFERROR(VLOOKUP(C$13&amp;$B1428,Aux!$B:$M,6,0),"")</f>
        <v/>
      </c>
      <c r="F1428" s="64"/>
      <c r="G1428" s="63"/>
      <c r="K1428" s="59"/>
      <c r="L1428" s="16" t="str">
        <f>IF(L1425="","","Срок сдачи"&amp;": ")</f>
        <v/>
      </c>
      <c r="M1428" s="64" t="str">
        <f>IFERROR(VLOOKUP(K$13&amp;$B1428,Aux!$B:$M,6,0),"")</f>
        <v/>
      </c>
      <c r="N1428" s="64"/>
      <c r="O1428" s="63"/>
      <c r="S1428" s="59"/>
      <c r="T1428" s="16" t="str">
        <f>IF(T1425="","","Срок сдачи"&amp;": ")</f>
        <v/>
      </c>
      <c r="U1428" s="64" t="str">
        <f>IFERROR(VLOOKUP(S$13&amp;$B1428,Aux!$B:$M,6,0),"")</f>
        <v/>
      </c>
      <c r="V1428" s="64"/>
      <c r="W1428" s="63"/>
      <c r="AA1428" s="59"/>
      <c r="AB1428" s="16" t="str">
        <f>IF(AB1425="","","Срок сдачи"&amp;": ")</f>
        <v/>
      </c>
      <c r="AC1428" s="64" t="str">
        <f>IFERROR(VLOOKUP(AA$13&amp;$B1428,Aux!$B:$M,6,0),"")</f>
        <v/>
      </c>
      <c r="AD1428" s="64"/>
      <c r="AE1428" s="63"/>
    </row>
    <row r="1429" spans="2:31" x14ac:dyDescent="0.25">
      <c r="B1429" s="53">
        <f t="shared" ref="B1429:B1492" si="22">B1424+1</f>
        <v>283</v>
      </c>
      <c r="C1429" s="7"/>
      <c r="D1429" s="17"/>
      <c r="E1429" s="7"/>
      <c r="F1429" s="18"/>
      <c r="G1429" s="18"/>
      <c r="K1429" s="13"/>
      <c r="L1429" s="17"/>
      <c r="M1429" s="13"/>
      <c r="N1429" s="14"/>
      <c r="O1429" s="14"/>
      <c r="S1429" s="13"/>
      <c r="T1429" s="17"/>
      <c r="U1429" s="13"/>
      <c r="V1429" s="14"/>
      <c r="W1429" s="14"/>
      <c r="AA1429" s="13"/>
      <c r="AB1429" s="17"/>
      <c r="AC1429" s="13"/>
      <c r="AD1429" s="14"/>
      <c r="AE1429" s="30"/>
    </row>
    <row r="1430" spans="2:31" x14ac:dyDescent="0.25">
      <c r="B1430" s="53">
        <f t="shared" si="22"/>
        <v>284</v>
      </c>
      <c r="C1430" s="59" t="str">
        <f>IFERROR(VLOOKUP(C$13&amp;$B1434,Aux!$B:$M,5,0),"")</f>
        <v/>
      </c>
      <c r="D1430" s="60" t="str">
        <f>IFERROR(VLOOKUP(C$13&amp;$B1430,Aux!$B:$M,3,0),"")</f>
        <v/>
      </c>
      <c r="E1430" s="60"/>
      <c r="F1430" s="60"/>
      <c r="G1430" s="61" t="str">
        <f>IFERROR(VLOOKUP(C$13&amp;$B1430,Aux!$B:$M,9,0),"")</f>
        <v/>
      </c>
      <c r="K1430" s="59" t="str">
        <f>IFERROR(VLOOKUP(K$13&amp;$B1434,Aux!$B:$M,5,0),"")</f>
        <v/>
      </c>
      <c r="L1430" s="60" t="str">
        <f>IFERROR(VLOOKUP(K$13&amp;$B1430,Aux!$B:$M,3,0),"")</f>
        <v/>
      </c>
      <c r="M1430" s="60"/>
      <c r="N1430" s="60"/>
      <c r="O1430" s="61" t="str">
        <f>IFERROR(VLOOKUP(K$13&amp;$B1430,Aux!$B:$M,9,0),"")</f>
        <v/>
      </c>
      <c r="S1430" s="59" t="str">
        <f>IFERROR(VLOOKUP(S$13&amp;$B1434,Aux!$B:$M,5,0),"")</f>
        <v/>
      </c>
      <c r="T1430" s="60" t="str">
        <f>IFERROR(VLOOKUP(S$13&amp;$B1430,Aux!$B:$M,3,0),"")</f>
        <v/>
      </c>
      <c r="U1430" s="60"/>
      <c r="V1430" s="60"/>
      <c r="W1430" s="61" t="str">
        <f>IFERROR(VLOOKUP(S$13&amp;$B1430,Aux!$B:$M,9,0),"")</f>
        <v/>
      </c>
      <c r="AA1430" s="59" t="str">
        <f>IFERROR(VLOOKUP(AA$13&amp;$B1434,Aux!$B:$M,5,0),"")</f>
        <v/>
      </c>
      <c r="AB1430" s="60" t="str">
        <f>IFERROR(VLOOKUP(AA$13&amp;$B1430,Aux!$B:$M,3,0),"")</f>
        <v/>
      </c>
      <c r="AC1430" s="60"/>
      <c r="AD1430" s="60"/>
      <c r="AE1430" s="61" t="str">
        <f>IFERROR(VLOOKUP(AA$13&amp;$B1430,Aux!$B:$M,9,0),"")</f>
        <v/>
      </c>
    </row>
    <row r="1431" spans="2:31" x14ac:dyDescent="0.25">
      <c r="B1431" s="53">
        <f t="shared" si="22"/>
        <v>284</v>
      </c>
      <c r="C1431" s="59"/>
      <c r="D1431" s="60"/>
      <c r="E1431" s="60"/>
      <c r="F1431" s="60"/>
      <c r="G1431" s="61"/>
      <c r="K1431" s="59"/>
      <c r="L1431" s="60"/>
      <c r="M1431" s="60"/>
      <c r="N1431" s="60"/>
      <c r="O1431" s="61"/>
      <c r="S1431" s="59"/>
      <c r="T1431" s="60"/>
      <c r="U1431" s="60"/>
      <c r="V1431" s="60"/>
      <c r="W1431" s="61"/>
      <c r="AA1431" s="59"/>
      <c r="AB1431" s="60"/>
      <c r="AC1431" s="60"/>
      <c r="AD1431" s="60"/>
      <c r="AE1431" s="61"/>
    </row>
    <row r="1432" spans="2:31" x14ac:dyDescent="0.25">
      <c r="B1432" s="53">
        <f t="shared" si="22"/>
        <v>284</v>
      </c>
      <c r="C1432" s="59"/>
      <c r="D1432" s="15" t="str">
        <f>IF(D1430="","","Исполнитель"&amp;": ")</f>
        <v/>
      </c>
      <c r="E1432" s="62" t="str">
        <f>IFERROR(VLOOKUP(C$13&amp;$B1432,Aux!$B:$M,4,0),"")</f>
        <v/>
      </c>
      <c r="F1432" s="62"/>
      <c r="G1432" s="63" t="str">
        <f>IFERROR(IF(VLOOKUP(C$13&amp;$B1430,Aux!$B:$M,8,0)="Да","✔","🕓"),"")</f>
        <v/>
      </c>
      <c r="K1432" s="59"/>
      <c r="L1432" s="15" t="str">
        <f>IF(L1430="","","Исполнитель"&amp;": ")</f>
        <v/>
      </c>
      <c r="M1432" s="62" t="str">
        <f>IFERROR(VLOOKUP(K$13&amp;$B1432,Aux!$B:$M,4,0),"")</f>
        <v/>
      </c>
      <c r="N1432" s="62"/>
      <c r="O1432" s="63" t="str">
        <f>IFERROR(IF(VLOOKUP(K$13&amp;$B1430,Aux!$B:$M,8,0)="Да","✔","🕓"),"")</f>
        <v/>
      </c>
      <c r="S1432" s="59"/>
      <c r="T1432" s="15" t="str">
        <f>IF(T1430="","","Исполнитель"&amp;": ")</f>
        <v/>
      </c>
      <c r="U1432" s="62" t="str">
        <f>IFERROR(VLOOKUP(S$13&amp;$B1432,Aux!$B:$M,4,0),"")</f>
        <v/>
      </c>
      <c r="V1432" s="62"/>
      <c r="W1432" s="63" t="str">
        <f>IFERROR(IF(VLOOKUP(S$13&amp;$B1430,Aux!$B:$M,8,0)="Да","✔","🕓"),"")</f>
        <v/>
      </c>
      <c r="AA1432" s="59"/>
      <c r="AB1432" s="15" t="str">
        <f>IF(AB1430="","","Исполнитель"&amp;": ")</f>
        <v/>
      </c>
      <c r="AC1432" s="62" t="str">
        <f>IFERROR(VLOOKUP(AA$13&amp;$B1432,Aux!$B:$M,4,0),"")</f>
        <v/>
      </c>
      <c r="AD1432" s="62"/>
      <c r="AE1432" s="63" t="str">
        <f>IFERROR(IF(VLOOKUP(AA$13&amp;$B1430,Aux!$B:$M,8,0)="Да","✔","🕓"),"")</f>
        <v/>
      </c>
    </row>
    <row r="1433" spans="2:31" x14ac:dyDescent="0.25">
      <c r="B1433" s="53">
        <f t="shared" si="22"/>
        <v>284</v>
      </c>
      <c r="C1433" s="59"/>
      <c r="D1433" s="16" t="str">
        <f>IF(D1430="","","Срок сдачи"&amp;": ")</f>
        <v/>
      </c>
      <c r="E1433" s="64" t="str">
        <f>IFERROR(VLOOKUP(C$13&amp;$B1433,Aux!$B:$M,6,0),"")</f>
        <v/>
      </c>
      <c r="F1433" s="64"/>
      <c r="G1433" s="63"/>
      <c r="K1433" s="59"/>
      <c r="L1433" s="16" t="str">
        <f>IF(L1430="","","Срок сдачи"&amp;": ")</f>
        <v/>
      </c>
      <c r="M1433" s="64" t="str">
        <f>IFERROR(VLOOKUP(K$13&amp;$B1433,Aux!$B:$M,6,0),"")</f>
        <v/>
      </c>
      <c r="N1433" s="64"/>
      <c r="O1433" s="63"/>
      <c r="S1433" s="59"/>
      <c r="T1433" s="16" t="str">
        <f>IF(T1430="","","Срок сдачи"&amp;": ")</f>
        <v/>
      </c>
      <c r="U1433" s="64" t="str">
        <f>IFERROR(VLOOKUP(S$13&amp;$B1433,Aux!$B:$M,6,0),"")</f>
        <v/>
      </c>
      <c r="V1433" s="64"/>
      <c r="W1433" s="63"/>
      <c r="AA1433" s="59"/>
      <c r="AB1433" s="16" t="str">
        <f>IF(AB1430="","","Срок сдачи"&amp;": ")</f>
        <v/>
      </c>
      <c r="AC1433" s="64" t="str">
        <f>IFERROR(VLOOKUP(AA$13&amp;$B1433,Aux!$B:$M,6,0),"")</f>
        <v/>
      </c>
      <c r="AD1433" s="64"/>
      <c r="AE1433" s="63"/>
    </row>
    <row r="1434" spans="2:31" x14ac:dyDescent="0.25">
      <c r="B1434" s="53">
        <f t="shared" si="22"/>
        <v>284</v>
      </c>
      <c r="C1434" s="7"/>
      <c r="D1434" s="17"/>
      <c r="E1434" s="7"/>
      <c r="F1434" s="18"/>
      <c r="G1434" s="18"/>
      <c r="K1434" s="13"/>
      <c r="L1434" s="17"/>
      <c r="M1434" s="13"/>
      <c r="N1434" s="14"/>
      <c r="O1434" s="14"/>
      <c r="S1434" s="13"/>
      <c r="T1434" s="17"/>
      <c r="U1434" s="13"/>
      <c r="V1434" s="14"/>
      <c r="W1434" s="14"/>
      <c r="AA1434" s="13"/>
      <c r="AB1434" s="17"/>
      <c r="AC1434" s="13"/>
      <c r="AD1434" s="14"/>
      <c r="AE1434" s="30"/>
    </row>
    <row r="1435" spans="2:31" x14ac:dyDescent="0.25">
      <c r="B1435" s="53">
        <f t="shared" si="22"/>
        <v>285</v>
      </c>
      <c r="C1435" s="59" t="str">
        <f>IFERROR(VLOOKUP(C$13&amp;$B1439,Aux!$B:$M,5,0),"")</f>
        <v/>
      </c>
      <c r="D1435" s="60" t="str">
        <f>IFERROR(VLOOKUP(C$13&amp;$B1435,Aux!$B:$M,3,0),"")</f>
        <v/>
      </c>
      <c r="E1435" s="60"/>
      <c r="F1435" s="60"/>
      <c r="G1435" s="61" t="str">
        <f>IFERROR(VLOOKUP(C$13&amp;$B1435,Aux!$B:$M,9,0),"")</f>
        <v/>
      </c>
      <c r="K1435" s="59" t="str">
        <f>IFERROR(VLOOKUP(K$13&amp;$B1439,Aux!$B:$M,5,0),"")</f>
        <v/>
      </c>
      <c r="L1435" s="60" t="str">
        <f>IFERROR(VLOOKUP(K$13&amp;$B1435,Aux!$B:$M,3,0),"")</f>
        <v/>
      </c>
      <c r="M1435" s="60"/>
      <c r="N1435" s="60"/>
      <c r="O1435" s="61" t="str">
        <f>IFERROR(VLOOKUP(K$13&amp;$B1435,Aux!$B:$M,9,0),"")</f>
        <v/>
      </c>
      <c r="S1435" s="59" t="str">
        <f>IFERROR(VLOOKUP(S$13&amp;$B1439,Aux!$B:$M,5,0),"")</f>
        <v/>
      </c>
      <c r="T1435" s="60" t="str">
        <f>IFERROR(VLOOKUP(S$13&amp;$B1435,Aux!$B:$M,3,0),"")</f>
        <v/>
      </c>
      <c r="U1435" s="60"/>
      <c r="V1435" s="60"/>
      <c r="W1435" s="61" t="str">
        <f>IFERROR(VLOOKUP(S$13&amp;$B1435,Aux!$B:$M,9,0),"")</f>
        <v/>
      </c>
      <c r="AA1435" s="59" t="str">
        <f>IFERROR(VLOOKUP(AA$13&amp;$B1439,Aux!$B:$M,5,0),"")</f>
        <v/>
      </c>
      <c r="AB1435" s="60" t="str">
        <f>IFERROR(VLOOKUP(AA$13&amp;$B1435,Aux!$B:$M,3,0),"")</f>
        <v/>
      </c>
      <c r="AC1435" s="60"/>
      <c r="AD1435" s="60"/>
      <c r="AE1435" s="61" t="str">
        <f>IFERROR(VLOOKUP(AA$13&amp;$B1435,Aux!$B:$M,9,0),"")</f>
        <v/>
      </c>
    </row>
    <row r="1436" spans="2:31" x14ac:dyDescent="0.25">
      <c r="B1436" s="53">
        <f t="shared" si="22"/>
        <v>285</v>
      </c>
      <c r="C1436" s="59"/>
      <c r="D1436" s="60"/>
      <c r="E1436" s="60"/>
      <c r="F1436" s="60"/>
      <c r="G1436" s="61"/>
      <c r="K1436" s="59"/>
      <c r="L1436" s="60"/>
      <c r="M1436" s="60"/>
      <c r="N1436" s="60"/>
      <c r="O1436" s="61"/>
      <c r="S1436" s="59"/>
      <c r="T1436" s="60"/>
      <c r="U1436" s="60"/>
      <c r="V1436" s="60"/>
      <c r="W1436" s="61"/>
      <c r="AA1436" s="59"/>
      <c r="AB1436" s="60"/>
      <c r="AC1436" s="60"/>
      <c r="AD1436" s="60"/>
      <c r="AE1436" s="61"/>
    </row>
    <row r="1437" spans="2:31" x14ac:dyDescent="0.25">
      <c r="B1437" s="53">
        <f t="shared" si="22"/>
        <v>285</v>
      </c>
      <c r="C1437" s="59"/>
      <c r="D1437" s="15" t="str">
        <f>IF(D1435="","","Исполнитель"&amp;": ")</f>
        <v/>
      </c>
      <c r="E1437" s="62" t="str">
        <f>IFERROR(VLOOKUP(C$13&amp;$B1437,Aux!$B:$M,4,0),"")</f>
        <v/>
      </c>
      <c r="F1437" s="62"/>
      <c r="G1437" s="63" t="str">
        <f>IFERROR(IF(VLOOKUP(C$13&amp;$B1435,Aux!$B:$M,8,0)="Да","✔","🕓"),"")</f>
        <v/>
      </c>
      <c r="K1437" s="59"/>
      <c r="L1437" s="15" t="str">
        <f>IF(L1435="","","Исполнитель"&amp;": ")</f>
        <v/>
      </c>
      <c r="M1437" s="62" t="str">
        <f>IFERROR(VLOOKUP(K$13&amp;$B1437,Aux!$B:$M,4,0),"")</f>
        <v/>
      </c>
      <c r="N1437" s="62"/>
      <c r="O1437" s="63" t="str">
        <f>IFERROR(IF(VLOOKUP(K$13&amp;$B1435,Aux!$B:$M,8,0)="Да","✔","🕓"),"")</f>
        <v/>
      </c>
      <c r="S1437" s="59"/>
      <c r="T1437" s="15" t="str">
        <f>IF(T1435="","","Исполнитель"&amp;": ")</f>
        <v/>
      </c>
      <c r="U1437" s="62" t="str">
        <f>IFERROR(VLOOKUP(S$13&amp;$B1437,Aux!$B:$M,4,0),"")</f>
        <v/>
      </c>
      <c r="V1437" s="62"/>
      <c r="W1437" s="63" t="str">
        <f>IFERROR(IF(VLOOKUP(S$13&amp;$B1435,Aux!$B:$M,8,0)="Да","✔","🕓"),"")</f>
        <v/>
      </c>
      <c r="AA1437" s="59"/>
      <c r="AB1437" s="15" t="str">
        <f>IF(AB1435="","","Исполнитель"&amp;": ")</f>
        <v/>
      </c>
      <c r="AC1437" s="62" t="str">
        <f>IFERROR(VLOOKUP(AA$13&amp;$B1437,Aux!$B:$M,4,0),"")</f>
        <v/>
      </c>
      <c r="AD1437" s="62"/>
      <c r="AE1437" s="63" t="str">
        <f>IFERROR(IF(VLOOKUP(AA$13&amp;$B1435,Aux!$B:$M,8,0)="Да","✔","🕓"),"")</f>
        <v/>
      </c>
    </row>
    <row r="1438" spans="2:31" x14ac:dyDescent="0.25">
      <c r="B1438" s="53">
        <f t="shared" si="22"/>
        <v>285</v>
      </c>
      <c r="C1438" s="59"/>
      <c r="D1438" s="16" t="str">
        <f>IF(D1435="","","Срок сдачи"&amp;": ")</f>
        <v/>
      </c>
      <c r="E1438" s="64" t="str">
        <f>IFERROR(VLOOKUP(C$13&amp;$B1438,Aux!$B:$M,6,0),"")</f>
        <v/>
      </c>
      <c r="F1438" s="64"/>
      <c r="G1438" s="63"/>
      <c r="K1438" s="59"/>
      <c r="L1438" s="16" t="str">
        <f>IF(L1435="","","Срок сдачи"&amp;": ")</f>
        <v/>
      </c>
      <c r="M1438" s="64" t="str">
        <f>IFERROR(VLOOKUP(K$13&amp;$B1438,Aux!$B:$M,6,0),"")</f>
        <v/>
      </c>
      <c r="N1438" s="64"/>
      <c r="O1438" s="63"/>
      <c r="S1438" s="59"/>
      <c r="T1438" s="16" t="str">
        <f>IF(T1435="","","Срок сдачи"&amp;": ")</f>
        <v/>
      </c>
      <c r="U1438" s="64" t="str">
        <f>IFERROR(VLOOKUP(S$13&amp;$B1438,Aux!$B:$M,6,0),"")</f>
        <v/>
      </c>
      <c r="V1438" s="64"/>
      <c r="W1438" s="63"/>
      <c r="AA1438" s="59"/>
      <c r="AB1438" s="16" t="str">
        <f>IF(AB1435="","","Срок сдачи"&amp;": ")</f>
        <v/>
      </c>
      <c r="AC1438" s="64" t="str">
        <f>IFERROR(VLOOKUP(AA$13&amp;$B1438,Aux!$B:$M,6,0),"")</f>
        <v/>
      </c>
      <c r="AD1438" s="64"/>
      <c r="AE1438" s="63"/>
    </row>
    <row r="1439" spans="2:31" x14ac:dyDescent="0.25">
      <c r="B1439" s="53">
        <f t="shared" si="22"/>
        <v>285</v>
      </c>
      <c r="C1439" s="7"/>
      <c r="D1439" s="17"/>
      <c r="E1439" s="7"/>
      <c r="F1439" s="18"/>
      <c r="G1439" s="18"/>
      <c r="K1439" s="13"/>
      <c r="L1439" s="17"/>
      <c r="M1439" s="13"/>
      <c r="N1439" s="14"/>
      <c r="O1439" s="14"/>
      <c r="S1439" s="13"/>
      <c r="T1439" s="17"/>
      <c r="U1439" s="13"/>
      <c r="V1439" s="14"/>
      <c r="W1439" s="14"/>
      <c r="AA1439" s="13"/>
      <c r="AB1439" s="17"/>
      <c r="AC1439" s="13"/>
      <c r="AD1439" s="14"/>
      <c r="AE1439" s="30"/>
    </row>
    <row r="1440" spans="2:31" x14ac:dyDescent="0.25">
      <c r="B1440" s="53">
        <f t="shared" si="22"/>
        <v>286</v>
      </c>
      <c r="C1440" s="59" t="str">
        <f>IFERROR(VLOOKUP(C$13&amp;$B1444,Aux!$B:$M,5,0),"")</f>
        <v/>
      </c>
      <c r="D1440" s="60" t="str">
        <f>IFERROR(VLOOKUP(C$13&amp;$B1440,Aux!$B:$M,3,0),"")</f>
        <v/>
      </c>
      <c r="E1440" s="60"/>
      <c r="F1440" s="60"/>
      <c r="G1440" s="61" t="str">
        <f>IFERROR(VLOOKUP(C$13&amp;$B1440,Aux!$B:$M,9,0),"")</f>
        <v/>
      </c>
      <c r="K1440" s="59" t="str">
        <f>IFERROR(VLOOKUP(K$13&amp;$B1444,Aux!$B:$M,5,0),"")</f>
        <v/>
      </c>
      <c r="L1440" s="60" t="str">
        <f>IFERROR(VLOOKUP(K$13&amp;$B1440,Aux!$B:$M,3,0),"")</f>
        <v/>
      </c>
      <c r="M1440" s="60"/>
      <c r="N1440" s="60"/>
      <c r="O1440" s="61" t="str">
        <f>IFERROR(VLOOKUP(K$13&amp;$B1440,Aux!$B:$M,9,0),"")</f>
        <v/>
      </c>
      <c r="S1440" s="59" t="str">
        <f>IFERROR(VLOOKUP(S$13&amp;$B1444,Aux!$B:$M,5,0),"")</f>
        <v/>
      </c>
      <c r="T1440" s="60" t="str">
        <f>IFERROR(VLOOKUP(S$13&amp;$B1440,Aux!$B:$M,3,0),"")</f>
        <v/>
      </c>
      <c r="U1440" s="60"/>
      <c r="V1440" s="60"/>
      <c r="W1440" s="61" t="str">
        <f>IFERROR(VLOOKUP(S$13&amp;$B1440,Aux!$B:$M,9,0),"")</f>
        <v/>
      </c>
      <c r="AA1440" s="59" t="str">
        <f>IFERROR(VLOOKUP(AA$13&amp;$B1444,Aux!$B:$M,5,0),"")</f>
        <v/>
      </c>
      <c r="AB1440" s="60" t="str">
        <f>IFERROR(VLOOKUP(AA$13&amp;$B1440,Aux!$B:$M,3,0),"")</f>
        <v/>
      </c>
      <c r="AC1440" s="60"/>
      <c r="AD1440" s="60"/>
      <c r="AE1440" s="61" t="str">
        <f>IFERROR(VLOOKUP(AA$13&amp;$B1440,Aux!$B:$M,9,0),"")</f>
        <v/>
      </c>
    </row>
    <row r="1441" spans="2:31" x14ac:dyDescent="0.25">
      <c r="B1441" s="53">
        <f t="shared" si="22"/>
        <v>286</v>
      </c>
      <c r="C1441" s="59"/>
      <c r="D1441" s="60"/>
      <c r="E1441" s="60"/>
      <c r="F1441" s="60"/>
      <c r="G1441" s="61"/>
      <c r="K1441" s="59"/>
      <c r="L1441" s="60"/>
      <c r="M1441" s="60"/>
      <c r="N1441" s="60"/>
      <c r="O1441" s="61"/>
      <c r="S1441" s="59"/>
      <c r="T1441" s="60"/>
      <c r="U1441" s="60"/>
      <c r="V1441" s="60"/>
      <c r="W1441" s="61"/>
      <c r="AA1441" s="59"/>
      <c r="AB1441" s="60"/>
      <c r="AC1441" s="60"/>
      <c r="AD1441" s="60"/>
      <c r="AE1441" s="61"/>
    </row>
    <row r="1442" spans="2:31" x14ac:dyDescent="0.25">
      <c r="B1442" s="53">
        <f t="shared" si="22"/>
        <v>286</v>
      </c>
      <c r="C1442" s="59"/>
      <c r="D1442" s="15" t="str">
        <f>IF(D1440="","","Исполнитель"&amp;": ")</f>
        <v/>
      </c>
      <c r="E1442" s="62" t="str">
        <f>IFERROR(VLOOKUP(C$13&amp;$B1442,Aux!$B:$M,4,0),"")</f>
        <v/>
      </c>
      <c r="F1442" s="62"/>
      <c r="G1442" s="63" t="str">
        <f>IFERROR(IF(VLOOKUP(C$13&amp;$B1440,Aux!$B:$M,8,0)="Да","✔","🕓"),"")</f>
        <v/>
      </c>
      <c r="K1442" s="59"/>
      <c r="L1442" s="15" t="str">
        <f>IF(L1440="","","Исполнитель"&amp;": ")</f>
        <v/>
      </c>
      <c r="M1442" s="62" t="str">
        <f>IFERROR(VLOOKUP(K$13&amp;$B1442,Aux!$B:$M,4,0),"")</f>
        <v/>
      </c>
      <c r="N1442" s="62"/>
      <c r="O1442" s="63" t="str">
        <f>IFERROR(IF(VLOOKUP(K$13&amp;$B1440,Aux!$B:$M,8,0)="Да","✔","🕓"),"")</f>
        <v/>
      </c>
      <c r="S1442" s="59"/>
      <c r="T1442" s="15" t="str">
        <f>IF(T1440="","","Исполнитель"&amp;": ")</f>
        <v/>
      </c>
      <c r="U1442" s="62" t="str">
        <f>IFERROR(VLOOKUP(S$13&amp;$B1442,Aux!$B:$M,4,0),"")</f>
        <v/>
      </c>
      <c r="V1442" s="62"/>
      <c r="W1442" s="63" t="str">
        <f>IFERROR(IF(VLOOKUP(S$13&amp;$B1440,Aux!$B:$M,8,0)="Да","✔","🕓"),"")</f>
        <v/>
      </c>
      <c r="AA1442" s="59"/>
      <c r="AB1442" s="15" t="str">
        <f>IF(AB1440="","","Исполнитель"&amp;": ")</f>
        <v/>
      </c>
      <c r="AC1442" s="62" t="str">
        <f>IFERROR(VLOOKUP(AA$13&amp;$B1442,Aux!$B:$M,4,0),"")</f>
        <v/>
      </c>
      <c r="AD1442" s="62"/>
      <c r="AE1442" s="63" t="str">
        <f>IFERROR(IF(VLOOKUP(AA$13&amp;$B1440,Aux!$B:$M,8,0)="Да","✔","🕓"),"")</f>
        <v/>
      </c>
    </row>
    <row r="1443" spans="2:31" x14ac:dyDescent="0.25">
      <c r="B1443" s="53">
        <f t="shared" si="22"/>
        <v>286</v>
      </c>
      <c r="C1443" s="59"/>
      <c r="D1443" s="16" t="str">
        <f>IF(D1440="","","Срок сдачи"&amp;": ")</f>
        <v/>
      </c>
      <c r="E1443" s="64" t="str">
        <f>IFERROR(VLOOKUP(C$13&amp;$B1443,Aux!$B:$M,6,0),"")</f>
        <v/>
      </c>
      <c r="F1443" s="64"/>
      <c r="G1443" s="63"/>
      <c r="K1443" s="59"/>
      <c r="L1443" s="16" t="str">
        <f>IF(L1440="","","Срок сдачи"&amp;": ")</f>
        <v/>
      </c>
      <c r="M1443" s="64" t="str">
        <f>IFERROR(VLOOKUP(K$13&amp;$B1443,Aux!$B:$M,6,0),"")</f>
        <v/>
      </c>
      <c r="N1443" s="64"/>
      <c r="O1443" s="63"/>
      <c r="S1443" s="59"/>
      <c r="T1443" s="16" t="str">
        <f>IF(T1440="","","Срок сдачи"&amp;": ")</f>
        <v/>
      </c>
      <c r="U1443" s="64" t="str">
        <f>IFERROR(VLOOKUP(S$13&amp;$B1443,Aux!$B:$M,6,0),"")</f>
        <v/>
      </c>
      <c r="V1443" s="64"/>
      <c r="W1443" s="63"/>
      <c r="AA1443" s="59"/>
      <c r="AB1443" s="16" t="str">
        <f>IF(AB1440="","","Срок сдачи"&amp;": ")</f>
        <v/>
      </c>
      <c r="AC1443" s="64" t="str">
        <f>IFERROR(VLOOKUP(AA$13&amp;$B1443,Aux!$B:$M,6,0),"")</f>
        <v/>
      </c>
      <c r="AD1443" s="64"/>
      <c r="AE1443" s="63"/>
    </row>
    <row r="1444" spans="2:31" x14ac:dyDescent="0.25">
      <c r="B1444" s="53">
        <f t="shared" si="22"/>
        <v>286</v>
      </c>
      <c r="C1444" s="7"/>
      <c r="D1444" s="17"/>
      <c r="E1444" s="7"/>
      <c r="F1444" s="18"/>
      <c r="G1444" s="18"/>
      <c r="K1444" s="13"/>
      <c r="L1444" s="17"/>
      <c r="M1444" s="13"/>
      <c r="N1444" s="14"/>
      <c r="O1444" s="14"/>
      <c r="S1444" s="13"/>
      <c r="T1444" s="17"/>
      <c r="U1444" s="13"/>
      <c r="V1444" s="14"/>
      <c r="W1444" s="14"/>
      <c r="AA1444" s="13"/>
      <c r="AB1444" s="17"/>
      <c r="AC1444" s="13"/>
      <c r="AD1444" s="14"/>
      <c r="AE1444" s="30"/>
    </row>
    <row r="1445" spans="2:31" x14ac:dyDescent="0.25">
      <c r="B1445" s="53">
        <f t="shared" si="22"/>
        <v>287</v>
      </c>
      <c r="C1445" s="59" t="str">
        <f>IFERROR(VLOOKUP(C$13&amp;$B1449,Aux!$B:$M,5,0),"")</f>
        <v/>
      </c>
      <c r="D1445" s="60" t="str">
        <f>IFERROR(VLOOKUP(C$13&amp;$B1445,Aux!$B:$M,3,0),"")</f>
        <v/>
      </c>
      <c r="E1445" s="60"/>
      <c r="F1445" s="60"/>
      <c r="G1445" s="61" t="str">
        <f>IFERROR(VLOOKUP(C$13&amp;$B1445,Aux!$B:$M,9,0),"")</f>
        <v/>
      </c>
      <c r="K1445" s="59" t="str">
        <f>IFERROR(VLOOKUP(K$13&amp;$B1449,Aux!$B:$M,5,0),"")</f>
        <v/>
      </c>
      <c r="L1445" s="60" t="str">
        <f>IFERROR(VLOOKUP(K$13&amp;$B1445,Aux!$B:$M,3,0),"")</f>
        <v/>
      </c>
      <c r="M1445" s="60"/>
      <c r="N1445" s="60"/>
      <c r="O1445" s="61" t="str">
        <f>IFERROR(VLOOKUP(K$13&amp;$B1445,Aux!$B:$M,9,0),"")</f>
        <v/>
      </c>
      <c r="S1445" s="59" t="str">
        <f>IFERROR(VLOOKUP(S$13&amp;$B1449,Aux!$B:$M,5,0),"")</f>
        <v/>
      </c>
      <c r="T1445" s="60" t="str">
        <f>IFERROR(VLOOKUP(S$13&amp;$B1445,Aux!$B:$M,3,0),"")</f>
        <v/>
      </c>
      <c r="U1445" s="60"/>
      <c r="V1445" s="60"/>
      <c r="W1445" s="61" t="str">
        <f>IFERROR(VLOOKUP(S$13&amp;$B1445,Aux!$B:$M,9,0),"")</f>
        <v/>
      </c>
      <c r="AA1445" s="59" t="str">
        <f>IFERROR(VLOOKUP(AA$13&amp;$B1449,Aux!$B:$M,5,0),"")</f>
        <v/>
      </c>
      <c r="AB1445" s="60" t="str">
        <f>IFERROR(VLOOKUP(AA$13&amp;$B1445,Aux!$B:$M,3,0),"")</f>
        <v/>
      </c>
      <c r="AC1445" s="60"/>
      <c r="AD1445" s="60"/>
      <c r="AE1445" s="61" t="str">
        <f>IFERROR(VLOOKUP(AA$13&amp;$B1445,Aux!$B:$M,9,0),"")</f>
        <v/>
      </c>
    </row>
    <row r="1446" spans="2:31" x14ac:dyDescent="0.25">
      <c r="B1446" s="53">
        <f t="shared" si="22"/>
        <v>287</v>
      </c>
      <c r="C1446" s="59"/>
      <c r="D1446" s="60"/>
      <c r="E1446" s="60"/>
      <c r="F1446" s="60"/>
      <c r="G1446" s="61"/>
      <c r="K1446" s="59"/>
      <c r="L1446" s="60"/>
      <c r="M1446" s="60"/>
      <c r="N1446" s="60"/>
      <c r="O1446" s="61"/>
      <c r="S1446" s="59"/>
      <c r="T1446" s="60"/>
      <c r="U1446" s="60"/>
      <c r="V1446" s="60"/>
      <c r="W1446" s="61"/>
      <c r="AA1446" s="59"/>
      <c r="AB1446" s="60"/>
      <c r="AC1446" s="60"/>
      <c r="AD1446" s="60"/>
      <c r="AE1446" s="61"/>
    </row>
    <row r="1447" spans="2:31" x14ac:dyDescent="0.25">
      <c r="B1447" s="53">
        <f t="shared" si="22"/>
        <v>287</v>
      </c>
      <c r="C1447" s="59"/>
      <c r="D1447" s="15" t="str">
        <f>IF(D1445="","","Исполнитель"&amp;": ")</f>
        <v/>
      </c>
      <c r="E1447" s="62" t="str">
        <f>IFERROR(VLOOKUP(C$13&amp;$B1447,Aux!$B:$M,4,0),"")</f>
        <v/>
      </c>
      <c r="F1447" s="62"/>
      <c r="G1447" s="63" t="str">
        <f>IFERROR(IF(VLOOKUP(C$13&amp;$B1445,Aux!$B:$M,8,0)="Да","✔","🕓"),"")</f>
        <v/>
      </c>
      <c r="K1447" s="59"/>
      <c r="L1447" s="15" t="str">
        <f>IF(L1445="","","Исполнитель"&amp;": ")</f>
        <v/>
      </c>
      <c r="M1447" s="62" t="str">
        <f>IFERROR(VLOOKUP(K$13&amp;$B1447,Aux!$B:$M,4,0),"")</f>
        <v/>
      </c>
      <c r="N1447" s="62"/>
      <c r="O1447" s="63" t="str">
        <f>IFERROR(IF(VLOOKUP(K$13&amp;$B1445,Aux!$B:$M,8,0)="Да","✔","🕓"),"")</f>
        <v/>
      </c>
      <c r="S1447" s="59"/>
      <c r="T1447" s="15" t="str">
        <f>IF(T1445="","","Исполнитель"&amp;": ")</f>
        <v/>
      </c>
      <c r="U1447" s="62" t="str">
        <f>IFERROR(VLOOKUP(S$13&amp;$B1447,Aux!$B:$M,4,0),"")</f>
        <v/>
      </c>
      <c r="V1447" s="62"/>
      <c r="W1447" s="63" t="str">
        <f>IFERROR(IF(VLOOKUP(S$13&amp;$B1445,Aux!$B:$M,8,0)="Да","✔","🕓"),"")</f>
        <v/>
      </c>
      <c r="AA1447" s="59"/>
      <c r="AB1447" s="15" t="str">
        <f>IF(AB1445="","","Исполнитель"&amp;": ")</f>
        <v/>
      </c>
      <c r="AC1447" s="62" t="str">
        <f>IFERROR(VLOOKUP(AA$13&amp;$B1447,Aux!$B:$M,4,0),"")</f>
        <v/>
      </c>
      <c r="AD1447" s="62"/>
      <c r="AE1447" s="63" t="str">
        <f>IFERROR(IF(VLOOKUP(AA$13&amp;$B1445,Aux!$B:$M,8,0)="Да","✔","🕓"),"")</f>
        <v/>
      </c>
    </row>
    <row r="1448" spans="2:31" x14ac:dyDescent="0.25">
      <c r="B1448" s="53">
        <f t="shared" si="22"/>
        <v>287</v>
      </c>
      <c r="C1448" s="59"/>
      <c r="D1448" s="16" t="str">
        <f>IF(D1445="","","Срок сдачи"&amp;": ")</f>
        <v/>
      </c>
      <c r="E1448" s="64" t="str">
        <f>IFERROR(VLOOKUP(C$13&amp;$B1448,Aux!$B:$M,6,0),"")</f>
        <v/>
      </c>
      <c r="F1448" s="64"/>
      <c r="G1448" s="63"/>
      <c r="K1448" s="59"/>
      <c r="L1448" s="16" t="str">
        <f>IF(L1445="","","Срок сдачи"&amp;": ")</f>
        <v/>
      </c>
      <c r="M1448" s="64" t="str">
        <f>IFERROR(VLOOKUP(K$13&amp;$B1448,Aux!$B:$M,6,0),"")</f>
        <v/>
      </c>
      <c r="N1448" s="64"/>
      <c r="O1448" s="63"/>
      <c r="S1448" s="59"/>
      <c r="T1448" s="16" t="str">
        <f>IF(T1445="","","Срок сдачи"&amp;": ")</f>
        <v/>
      </c>
      <c r="U1448" s="64" t="str">
        <f>IFERROR(VLOOKUP(S$13&amp;$B1448,Aux!$B:$M,6,0),"")</f>
        <v/>
      </c>
      <c r="V1448" s="64"/>
      <c r="W1448" s="63"/>
      <c r="AA1448" s="59"/>
      <c r="AB1448" s="16" t="str">
        <f>IF(AB1445="","","Срок сдачи"&amp;": ")</f>
        <v/>
      </c>
      <c r="AC1448" s="64" t="str">
        <f>IFERROR(VLOOKUP(AA$13&amp;$B1448,Aux!$B:$M,6,0),"")</f>
        <v/>
      </c>
      <c r="AD1448" s="64"/>
      <c r="AE1448" s="63"/>
    </row>
    <row r="1449" spans="2:31" x14ac:dyDescent="0.25">
      <c r="B1449" s="53">
        <f t="shared" si="22"/>
        <v>287</v>
      </c>
      <c r="C1449" s="7"/>
      <c r="D1449" s="17"/>
      <c r="E1449" s="7"/>
      <c r="F1449" s="18"/>
      <c r="G1449" s="18"/>
      <c r="K1449" s="13"/>
      <c r="L1449" s="17"/>
      <c r="M1449" s="13"/>
      <c r="N1449" s="14"/>
      <c r="O1449" s="14"/>
      <c r="S1449" s="13"/>
      <c r="T1449" s="17"/>
      <c r="U1449" s="13"/>
      <c r="V1449" s="14"/>
      <c r="W1449" s="14"/>
      <c r="AA1449" s="13"/>
      <c r="AB1449" s="17"/>
      <c r="AC1449" s="13"/>
      <c r="AD1449" s="14"/>
      <c r="AE1449" s="30"/>
    </row>
    <row r="1450" spans="2:31" x14ac:dyDescent="0.25">
      <c r="B1450" s="53">
        <f t="shared" si="22"/>
        <v>288</v>
      </c>
      <c r="C1450" s="59" t="str">
        <f>IFERROR(VLOOKUP(C$13&amp;$B1454,Aux!$B:$M,5,0),"")</f>
        <v/>
      </c>
      <c r="D1450" s="60" t="str">
        <f>IFERROR(VLOOKUP(C$13&amp;$B1450,Aux!$B:$M,3,0),"")</f>
        <v/>
      </c>
      <c r="E1450" s="60"/>
      <c r="F1450" s="60"/>
      <c r="G1450" s="61" t="str">
        <f>IFERROR(VLOOKUP(C$13&amp;$B1450,Aux!$B:$M,9,0),"")</f>
        <v/>
      </c>
      <c r="K1450" s="59" t="str">
        <f>IFERROR(VLOOKUP(K$13&amp;$B1454,Aux!$B:$M,5,0),"")</f>
        <v/>
      </c>
      <c r="L1450" s="60" t="str">
        <f>IFERROR(VLOOKUP(K$13&amp;$B1450,Aux!$B:$M,3,0),"")</f>
        <v/>
      </c>
      <c r="M1450" s="60"/>
      <c r="N1450" s="60"/>
      <c r="O1450" s="61" t="str">
        <f>IFERROR(VLOOKUP(K$13&amp;$B1450,Aux!$B:$M,9,0),"")</f>
        <v/>
      </c>
      <c r="S1450" s="59" t="str">
        <f>IFERROR(VLOOKUP(S$13&amp;$B1454,Aux!$B:$M,5,0),"")</f>
        <v/>
      </c>
      <c r="T1450" s="60" t="str">
        <f>IFERROR(VLOOKUP(S$13&amp;$B1450,Aux!$B:$M,3,0),"")</f>
        <v/>
      </c>
      <c r="U1450" s="60"/>
      <c r="V1450" s="60"/>
      <c r="W1450" s="61" t="str">
        <f>IFERROR(VLOOKUP(S$13&amp;$B1450,Aux!$B:$M,9,0),"")</f>
        <v/>
      </c>
      <c r="AA1450" s="59" t="str">
        <f>IFERROR(VLOOKUP(AA$13&amp;$B1454,Aux!$B:$M,5,0),"")</f>
        <v/>
      </c>
      <c r="AB1450" s="60" t="str">
        <f>IFERROR(VLOOKUP(AA$13&amp;$B1450,Aux!$B:$M,3,0),"")</f>
        <v/>
      </c>
      <c r="AC1450" s="60"/>
      <c r="AD1450" s="60"/>
      <c r="AE1450" s="61" t="str">
        <f>IFERROR(VLOOKUP(AA$13&amp;$B1450,Aux!$B:$M,9,0),"")</f>
        <v/>
      </c>
    </row>
    <row r="1451" spans="2:31" x14ac:dyDescent="0.25">
      <c r="B1451" s="53">
        <f t="shared" si="22"/>
        <v>288</v>
      </c>
      <c r="C1451" s="59"/>
      <c r="D1451" s="60"/>
      <c r="E1451" s="60"/>
      <c r="F1451" s="60"/>
      <c r="G1451" s="61"/>
      <c r="K1451" s="59"/>
      <c r="L1451" s="60"/>
      <c r="M1451" s="60"/>
      <c r="N1451" s="60"/>
      <c r="O1451" s="61"/>
      <c r="S1451" s="59"/>
      <c r="T1451" s="60"/>
      <c r="U1451" s="60"/>
      <c r="V1451" s="60"/>
      <c r="W1451" s="61"/>
      <c r="AA1451" s="59"/>
      <c r="AB1451" s="60"/>
      <c r="AC1451" s="60"/>
      <c r="AD1451" s="60"/>
      <c r="AE1451" s="61"/>
    </row>
    <row r="1452" spans="2:31" x14ac:dyDescent="0.25">
      <c r="B1452" s="53">
        <f t="shared" si="22"/>
        <v>288</v>
      </c>
      <c r="C1452" s="59"/>
      <c r="D1452" s="15" t="str">
        <f>IF(D1450="","","Исполнитель"&amp;": ")</f>
        <v/>
      </c>
      <c r="E1452" s="62" t="str">
        <f>IFERROR(VLOOKUP(C$13&amp;$B1452,Aux!$B:$M,4,0),"")</f>
        <v/>
      </c>
      <c r="F1452" s="62"/>
      <c r="G1452" s="63" t="str">
        <f>IFERROR(IF(VLOOKUP(C$13&amp;$B1450,Aux!$B:$M,8,0)="Да","✔","🕓"),"")</f>
        <v/>
      </c>
      <c r="K1452" s="59"/>
      <c r="L1452" s="15" t="str">
        <f>IF(L1450="","","Исполнитель"&amp;": ")</f>
        <v/>
      </c>
      <c r="M1452" s="62" t="str">
        <f>IFERROR(VLOOKUP(K$13&amp;$B1452,Aux!$B:$M,4,0),"")</f>
        <v/>
      </c>
      <c r="N1452" s="62"/>
      <c r="O1452" s="63" t="str">
        <f>IFERROR(IF(VLOOKUP(K$13&amp;$B1450,Aux!$B:$M,8,0)="Да","✔","🕓"),"")</f>
        <v/>
      </c>
      <c r="S1452" s="59"/>
      <c r="T1452" s="15" t="str">
        <f>IF(T1450="","","Исполнитель"&amp;": ")</f>
        <v/>
      </c>
      <c r="U1452" s="62" t="str">
        <f>IFERROR(VLOOKUP(S$13&amp;$B1452,Aux!$B:$M,4,0),"")</f>
        <v/>
      </c>
      <c r="V1452" s="62"/>
      <c r="W1452" s="63" t="str">
        <f>IFERROR(IF(VLOOKUP(S$13&amp;$B1450,Aux!$B:$M,8,0)="Да","✔","🕓"),"")</f>
        <v/>
      </c>
      <c r="AA1452" s="59"/>
      <c r="AB1452" s="15" t="str">
        <f>IF(AB1450="","","Исполнитель"&amp;": ")</f>
        <v/>
      </c>
      <c r="AC1452" s="62" t="str">
        <f>IFERROR(VLOOKUP(AA$13&amp;$B1452,Aux!$B:$M,4,0),"")</f>
        <v/>
      </c>
      <c r="AD1452" s="62"/>
      <c r="AE1452" s="63" t="str">
        <f>IFERROR(IF(VLOOKUP(AA$13&amp;$B1450,Aux!$B:$M,8,0)="Да","✔","🕓"),"")</f>
        <v/>
      </c>
    </row>
    <row r="1453" spans="2:31" x14ac:dyDescent="0.25">
      <c r="B1453" s="53">
        <f t="shared" si="22"/>
        <v>288</v>
      </c>
      <c r="C1453" s="59"/>
      <c r="D1453" s="16" t="str">
        <f>IF(D1450="","","Срок сдачи"&amp;": ")</f>
        <v/>
      </c>
      <c r="E1453" s="64" t="str">
        <f>IFERROR(VLOOKUP(C$13&amp;$B1453,Aux!$B:$M,6,0),"")</f>
        <v/>
      </c>
      <c r="F1453" s="64"/>
      <c r="G1453" s="63"/>
      <c r="K1453" s="59"/>
      <c r="L1453" s="16" t="str">
        <f>IF(L1450="","","Срок сдачи"&amp;": ")</f>
        <v/>
      </c>
      <c r="M1453" s="64" t="str">
        <f>IFERROR(VLOOKUP(K$13&amp;$B1453,Aux!$B:$M,6,0),"")</f>
        <v/>
      </c>
      <c r="N1453" s="64"/>
      <c r="O1453" s="63"/>
      <c r="S1453" s="59"/>
      <c r="T1453" s="16" t="str">
        <f>IF(T1450="","","Срок сдачи"&amp;": ")</f>
        <v/>
      </c>
      <c r="U1453" s="64" t="str">
        <f>IFERROR(VLOOKUP(S$13&amp;$B1453,Aux!$B:$M,6,0),"")</f>
        <v/>
      </c>
      <c r="V1453" s="64"/>
      <c r="W1453" s="63"/>
      <c r="AA1453" s="59"/>
      <c r="AB1453" s="16" t="str">
        <f>IF(AB1450="","","Срок сдачи"&amp;": ")</f>
        <v/>
      </c>
      <c r="AC1453" s="64" t="str">
        <f>IFERROR(VLOOKUP(AA$13&amp;$B1453,Aux!$B:$M,6,0),"")</f>
        <v/>
      </c>
      <c r="AD1453" s="64"/>
      <c r="AE1453" s="63"/>
    </row>
    <row r="1454" spans="2:31" x14ac:dyDescent="0.25">
      <c r="B1454" s="53">
        <f t="shared" si="22"/>
        <v>288</v>
      </c>
      <c r="C1454" s="7"/>
      <c r="D1454" s="17"/>
      <c r="E1454" s="7"/>
      <c r="F1454" s="18"/>
      <c r="G1454" s="18"/>
      <c r="K1454" s="13"/>
      <c r="L1454" s="17"/>
      <c r="M1454" s="13"/>
      <c r="N1454" s="14"/>
      <c r="O1454" s="14"/>
      <c r="S1454" s="13"/>
      <c r="T1454" s="17"/>
      <c r="U1454" s="13"/>
      <c r="V1454" s="14"/>
      <c r="W1454" s="14"/>
      <c r="AA1454" s="13"/>
      <c r="AB1454" s="17"/>
      <c r="AC1454" s="13"/>
      <c r="AD1454" s="14"/>
      <c r="AE1454" s="30"/>
    </row>
    <row r="1455" spans="2:31" x14ac:dyDescent="0.25">
      <c r="B1455" s="53">
        <f t="shared" si="22"/>
        <v>289</v>
      </c>
      <c r="C1455" s="59" t="str">
        <f>IFERROR(VLOOKUP(C$13&amp;$B1459,Aux!$B:$M,5,0),"")</f>
        <v/>
      </c>
      <c r="D1455" s="60" t="str">
        <f>IFERROR(VLOOKUP(C$13&amp;$B1455,Aux!$B:$M,3,0),"")</f>
        <v/>
      </c>
      <c r="E1455" s="60"/>
      <c r="F1455" s="60"/>
      <c r="G1455" s="61" t="str">
        <f>IFERROR(VLOOKUP(C$13&amp;$B1455,Aux!$B:$M,9,0),"")</f>
        <v/>
      </c>
      <c r="K1455" s="59" t="str">
        <f>IFERROR(VLOOKUP(K$13&amp;$B1459,Aux!$B:$M,5,0),"")</f>
        <v/>
      </c>
      <c r="L1455" s="60" t="str">
        <f>IFERROR(VLOOKUP(K$13&amp;$B1455,Aux!$B:$M,3,0),"")</f>
        <v/>
      </c>
      <c r="M1455" s="60"/>
      <c r="N1455" s="60"/>
      <c r="O1455" s="61" t="str">
        <f>IFERROR(VLOOKUP(K$13&amp;$B1455,Aux!$B:$M,9,0),"")</f>
        <v/>
      </c>
      <c r="S1455" s="59" t="str">
        <f>IFERROR(VLOOKUP(S$13&amp;$B1459,Aux!$B:$M,5,0),"")</f>
        <v/>
      </c>
      <c r="T1455" s="60" t="str">
        <f>IFERROR(VLOOKUP(S$13&amp;$B1455,Aux!$B:$M,3,0),"")</f>
        <v/>
      </c>
      <c r="U1455" s="60"/>
      <c r="V1455" s="60"/>
      <c r="W1455" s="61" t="str">
        <f>IFERROR(VLOOKUP(S$13&amp;$B1455,Aux!$B:$M,9,0),"")</f>
        <v/>
      </c>
      <c r="AA1455" s="59" t="str">
        <f>IFERROR(VLOOKUP(AA$13&amp;$B1459,Aux!$B:$M,5,0),"")</f>
        <v/>
      </c>
      <c r="AB1455" s="60" t="str">
        <f>IFERROR(VLOOKUP(AA$13&amp;$B1455,Aux!$B:$M,3,0),"")</f>
        <v/>
      </c>
      <c r="AC1455" s="60"/>
      <c r="AD1455" s="60"/>
      <c r="AE1455" s="61" t="str">
        <f>IFERROR(VLOOKUP(AA$13&amp;$B1455,Aux!$B:$M,9,0),"")</f>
        <v/>
      </c>
    </row>
    <row r="1456" spans="2:31" x14ac:dyDescent="0.25">
      <c r="B1456" s="53">
        <f t="shared" si="22"/>
        <v>289</v>
      </c>
      <c r="C1456" s="59"/>
      <c r="D1456" s="60"/>
      <c r="E1456" s="60"/>
      <c r="F1456" s="60"/>
      <c r="G1456" s="61"/>
      <c r="K1456" s="59"/>
      <c r="L1456" s="60"/>
      <c r="M1456" s="60"/>
      <c r="N1456" s="60"/>
      <c r="O1456" s="61"/>
      <c r="S1456" s="59"/>
      <c r="T1456" s="60"/>
      <c r="U1456" s="60"/>
      <c r="V1456" s="60"/>
      <c r="W1456" s="61"/>
      <c r="AA1456" s="59"/>
      <c r="AB1456" s="60"/>
      <c r="AC1456" s="60"/>
      <c r="AD1456" s="60"/>
      <c r="AE1456" s="61"/>
    </row>
    <row r="1457" spans="2:31" x14ac:dyDescent="0.25">
      <c r="B1457" s="53">
        <f t="shared" si="22"/>
        <v>289</v>
      </c>
      <c r="C1457" s="59"/>
      <c r="D1457" s="15" t="str">
        <f>IF(D1455="","","Исполнитель"&amp;": ")</f>
        <v/>
      </c>
      <c r="E1457" s="62" t="str">
        <f>IFERROR(VLOOKUP(C$13&amp;$B1457,Aux!$B:$M,4,0),"")</f>
        <v/>
      </c>
      <c r="F1457" s="62"/>
      <c r="G1457" s="63" t="str">
        <f>IFERROR(IF(VLOOKUP(C$13&amp;$B1455,Aux!$B:$M,8,0)="Да","✔","🕓"),"")</f>
        <v/>
      </c>
      <c r="K1457" s="59"/>
      <c r="L1457" s="15" t="str">
        <f>IF(L1455="","","Исполнитель"&amp;": ")</f>
        <v/>
      </c>
      <c r="M1457" s="62" t="str">
        <f>IFERROR(VLOOKUP(K$13&amp;$B1457,Aux!$B:$M,4,0),"")</f>
        <v/>
      </c>
      <c r="N1457" s="62"/>
      <c r="O1457" s="63" t="str">
        <f>IFERROR(IF(VLOOKUP(K$13&amp;$B1455,Aux!$B:$M,8,0)="Да","✔","🕓"),"")</f>
        <v/>
      </c>
      <c r="S1457" s="59"/>
      <c r="T1457" s="15" t="str">
        <f>IF(T1455="","","Исполнитель"&amp;": ")</f>
        <v/>
      </c>
      <c r="U1457" s="62" t="str">
        <f>IFERROR(VLOOKUP(S$13&amp;$B1457,Aux!$B:$M,4,0),"")</f>
        <v/>
      </c>
      <c r="V1457" s="62"/>
      <c r="W1457" s="63" t="str">
        <f>IFERROR(IF(VLOOKUP(S$13&amp;$B1455,Aux!$B:$M,8,0)="Да","✔","🕓"),"")</f>
        <v/>
      </c>
      <c r="AA1457" s="59"/>
      <c r="AB1457" s="15" t="str">
        <f>IF(AB1455="","","Исполнитель"&amp;": ")</f>
        <v/>
      </c>
      <c r="AC1457" s="62" t="str">
        <f>IFERROR(VLOOKUP(AA$13&amp;$B1457,Aux!$B:$M,4,0),"")</f>
        <v/>
      </c>
      <c r="AD1457" s="62"/>
      <c r="AE1457" s="63" t="str">
        <f>IFERROR(IF(VLOOKUP(AA$13&amp;$B1455,Aux!$B:$M,8,0)="Да","✔","🕓"),"")</f>
        <v/>
      </c>
    </row>
    <row r="1458" spans="2:31" x14ac:dyDescent="0.25">
      <c r="B1458" s="53">
        <f t="shared" si="22"/>
        <v>289</v>
      </c>
      <c r="C1458" s="59"/>
      <c r="D1458" s="16" t="str">
        <f>IF(D1455="","","Срок сдачи"&amp;": ")</f>
        <v/>
      </c>
      <c r="E1458" s="64" t="str">
        <f>IFERROR(VLOOKUP(C$13&amp;$B1458,Aux!$B:$M,6,0),"")</f>
        <v/>
      </c>
      <c r="F1458" s="64"/>
      <c r="G1458" s="63"/>
      <c r="K1458" s="59"/>
      <c r="L1458" s="16" t="str">
        <f>IF(L1455="","","Срок сдачи"&amp;": ")</f>
        <v/>
      </c>
      <c r="M1458" s="64" t="str">
        <f>IFERROR(VLOOKUP(K$13&amp;$B1458,Aux!$B:$M,6,0),"")</f>
        <v/>
      </c>
      <c r="N1458" s="64"/>
      <c r="O1458" s="63"/>
      <c r="S1458" s="59"/>
      <c r="T1458" s="16" t="str">
        <f>IF(T1455="","","Срок сдачи"&amp;": ")</f>
        <v/>
      </c>
      <c r="U1458" s="64" t="str">
        <f>IFERROR(VLOOKUP(S$13&amp;$B1458,Aux!$B:$M,6,0),"")</f>
        <v/>
      </c>
      <c r="V1458" s="64"/>
      <c r="W1458" s="63"/>
      <c r="AA1458" s="59"/>
      <c r="AB1458" s="16" t="str">
        <f>IF(AB1455="","","Срок сдачи"&amp;": ")</f>
        <v/>
      </c>
      <c r="AC1458" s="64" t="str">
        <f>IFERROR(VLOOKUP(AA$13&amp;$B1458,Aux!$B:$M,6,0),"")</f>
        <v/>
      </c>
      <c r="AD1458" s="64"/>
      <c r="AE1458" s="63"/>
    </row>
    <row r="1459" spans="2:31" x14ac:dyDescent="0.25">
      <c r="B1459" s="53">
        <f t="shared" si="22"/>
        <v>289</v>
      </c>
      <c r="C1459" s="7"/>
      <c r="D1459" s="17"/>
      <c r="E1459" s="7"/>
      <c r="F1459" s="18"/>
      <c r="G1459" s="18"/>
      <c r="K1459" s="13"/>
      <c r="L1459" s="17"/>
      <c r="M1459" s="13"/>
      <c r="N1459" s="14"/>
      <c r="O1459" s="14"/>
      <c r="S1459" s="13"/>
      <c r="T1459" s="17"/>
      <c r="U1459" s="13"/>
      <c r="V1459" s="14"/>
      <c r="W1459" s="14"/>
      <c r="AA1459" s="13"/>
      <c r="AB1459" s="17"/>
      <c r="AC1459" s="13"/>
      <c r="AD1459" s="14"/>
      <c r="AE1459" s="30"/>
    </row>
    <row r="1460" spans="2:31" x14ac:dyDescent="0.25">
      <c r="B1460" s="53">
        <f t="shared" si="22"/>
        <v>290</v>
      </c>
      <c r="C1460" s="59" t="str">
        <f>IFERROR(VLOOKUP(C$13&amp;$B1464,Aux!$B:$M,5,0),"")</f>
        <v/>
      </c>
      <c r="D1460" s="60" t="str">
        <f>IFERROR(VLOOKUP(C$13&amp;$B1460,Aux!$B:$M,3,0),"")</f>
        <v/>
      </c>
      <c r="E1460" s="60"/>
      <c r="F1460" s="60"/>
      <c r="G1460" s="61" t="str">
        <f>IFERROR(VLOOKUP(C$13&amp;$B1460,Aux!$B:$M,9,0),"")</f>
        <v/>
      </c>
      <c r="K1460" s="59" t="str">
        <f>IFERROR(VLOOKUP(K$13&amp;$B1464,Aux!$B:$M,5,0),"")</f>
        <v/>
      </c>
      <c r="L1460" s="60" t="str">
        <f>IFERROR(VLOOKUP(K$13&amp;$B1460,Aux!$B:$M,3,0),"")</f>
        <v/>
      </c>
      <c r="M1460" s="60"/>
      <c r="N1460" s="60"/>
      <c r="O1460" s="61" t="str">
        <f>IFERROR(VLOOKUP(K$13&amp;$B1460,Aux!$B:$M,9,0),"")</f>
        <v/>
      </c>
      <c r="S1460" s="59" t="str">
        <f>IFERROR(VLOOKUP(S$13&amp;$B1464,Aux!$B:$M,5,0),"")</f>
        <v/>
      </c>
      <c r="T1460" s="60" t="str">
        <f>IFERROR(VLOOKUP(S$13&amp;$B1460,Aux!$B:$M,3,0),"")</f>
        <v/>
      </c>
      <c r="U1460" s="60"/>
      <c r="V1460" s="60"/>
      <c r="W1460" s="61" t="str">
        <f>IFERROR(VLOOKUP(S$13&amp;$B1460,Aux!$B:$M,9,0),"")</f>
        <v/>
      </c>
      <c r="AA1460" s="59" t="str">
        <f>IFERROR(VLOOKUP(AA$13&amp;$B1464,Aux!$B:$M,5,0),"")</f>
        <v/>
      </c>
      <c r="AB1460" s="60" t="str">
        <f>IFERROR(VLOOKUP(AA$13&amp;$B1460,Aux!$B:$M,3,0),"")</f>
        <v/>
      </c>
      <c r="AC1460" s="60"/>
      <c r="AD1460" s="60"/>
      <c r="AE1460" s="61" t="str">
        <f>IFERROR(VLOOKUP(AA$13&amp;$B1460,Aux!$B:$M,9,0),"")</f>
        <v/>
      </c>
    </row>
    <row r="1461" spans="2:31" x14ac:dyDescent="0.25">
      <c r="B1461" s="53">
        <f t="shared" si="22"/>
        <v>290</v>
      </c>
      <c r="C1461" s="59"/>
      <c r="D1461" s="60"/>
      <c r="E1461" s="60"/>
      <c r="F1461" s="60"/>
      <c r="G1461" s="61"/>
      <c r="K1461" s="59"/>
      <c r="L1461" s="60"/>
      <c r="M1461" s="60"/>
      <c r="N1461" s="60"/>
      <c r="O1461" s="61"/>
      <c r="S1461" s="59"/>
      <c r="T1461" s="60"/>
      <c r="U1461" s="60"/>
      <c r="V1461" s="60"/>
      <c r="W1461" s="61"/>
      <c r="AA1461" s="59"/>
      <c r="AB1461" s="60"/>
      <c r="AC1461" s="60"/>
      <c r="AD1461" s="60"/>
      <c r="AE1461" s="61"/>
    </row>
    <row r="1462" spans="2:31" x14ac:dyDescent="0.25">
      <c r="B1462" s="53">
        <f t="shared" si="22"/>
        <v>290</v>
      </c>
      <c r="C1462" s="59"/>
      <c r="D1462" s="15" t="str">
        <f>IF(D1460="","","Исполнитель"&amp;": ")</f>
        <v/>
      </c>
      <c r="E1462" s="62" t="str">
        <f>IFERROR(VLOOKUP(C$13&amp;$B1462,Aux!$B:$M,4,0),"")</f>
        <v/>
      </c>
      <c r="F1462" s="62"/>
      <c r="G1462" s="63" t="str">
        <f>IFERROR(IF(VLOOKUP(C$13&amp;$B1460,Aux!$B:$M,8,0)="Да","✔","🕓"),"")</f>
        <v/>
      </c>
      <c r="K1462" s="59"/>
      <c r="L1462" s="15" t="str">
        <f>IF(L1460="","","Исполнитель"&amp;": ")</f>
        <v/>
      </c>
      <c r="M1462" s="62" t="str">
        <f>IFERROR(VLOOKUP(K$13&amp;$B1462,Aux!$B:$M,4,0),"")</f>
        <v/>
      </c>
      <c r="N1462" s="62"/>
      <c r="O1462" s="63" t="str">
        <f>IFERROR(IF(VLOOKUP(K$13&amp;$B1460,Aux!$B:$M,8,0)="Да","✔","🕓"),"")</f>
        <v/>
      </c>
      <c r="S1462" s="59"/>
      <c r="T1462" s="15" t="str">
        <f>IF(T1460="","","Исполнитель"&amp;": ")</f>
        <v/>
      </c>
      <c r="U1462" s="62" t="str">
        <f>IFERROR(VLOOKUP(S$13&amp;$B1462,Aux!$B:$M,4,0),"")</f>
        <v/>
      </c>
      <c r="V1462" s="62"/>
      <c r="W1462" s="63" t="str">
        <f>IFERROR(IF(VLOOKUP(S$13&amp;$B1460,Aux!$B:$M,8,0)="Да","✔","🕓"),"")</f>
        <v/>
      </c>
      <c r="AA1462" s="59"/>
      <c r="AB1462" s="15" t="str">
        <f>IF(AB1460="","","Исполнитель"&amp;": ")</f>
        <v/>
      </c>
      <c r="AC1462" s="62" t="str">
        <f>IFERROR(VLOOKUP(AA$13&amp;$B1462,Aux!$B:$M,4,0),"")</f>
        <v/>
      </c>
      <c r="AD1462" s="62"/>
      <c r="AE1462" s="63" t="str">
        <f>IFERROR(IF(VLOOKUP(AA$13&amp;$B1460,Aux!$B:$M,8,0)="Да","✔","🕓"),"")</f>
        <v/>
      </c>
    </row>
    <row r="1463" spans="2:31" x14ac:dyDescent="0.25">
      <c r="B1463" s="53">
        <f t="shared" si="22"/>
        <v>290</v>
      </c>
      <c r="C1463" s="59"/>
      <c r="D1463" s="16" t="str">
        <f>IF(D1460="","","Срок сдачи"&amp;": ")</f>
        <v/>
      </c>
      <c r="E1463" s="64" t="str">
        <f>IFERROR(VLOOKUP(C$13&amp;$B1463,Aux!$B:$M,6,0),"")</f>
        <v/>
      </c>
      <c r="F1463" s="64"/>
      <c r="G1463" s="63"/>
      <c r="K1463" s="59"/>
      <c r="L1463" s="16" t="str">
        <f>IF(L1460="","","Срок сдачи"&amp;": ")</f>
        <v/>
      </c>
      <c r="M1463" s="64" t="str">
        <f>IFERROR(VLOOKUP(K$13&amp;$B1463,Aux!$B:$M,6,0),"")</f>
        <v/>
      </c>
      <c r="N1463" s="64"/>
      <c r="O1463" s="63"/>
      <c r="S1463" s="59"/>
      <c r="T1463" s="16" t="str">
        <f>IF(T1460="","","Срок сдачи"&amp;": ")</f>
        <v/>
      </c>
      <c r="U1463" s="64" t="str">
        <f>IFERROR(VLOOKUP(S$13&amp;$B1463,Aux!$B:$M,6,0),"")</f>
        <v/>
      </c>
      <c r="V1463" s="64"/>
      <c r="W1463" s="63"/>
      <c r="AA1463" s="59"/>
      <c r="AB1463" s="16" t="str">
        <f>IF(AB1460="","","Срок сдачи"&amp;": ")</f>
        <v/>
      </c>
      <c r="AC1463" s="64" t="str">
        <f>IFERROR(VLOOKUP(AA$13&amp;$B1463,Aux!$B:$M,6,0),"")</f>
        <v/>
      </c>
      <c r="AD1463" s="64"/>
      <c r="AE1463" s="63"/>
    </row>
    <row r="1464" spans="2:31" x14ac:dyDescent="0.25">
      <c r="B1464" s="53">
        <f t="shared" si="22"/>
        <v>290</v>
      </c>
      <c r="C1464" s="7"/>
      <c r="D1464" s="17"/>
      <c r="E1464" s="7"/>
      <c r="F1464" s="18"/>
      <c r="G1464" s="18"/>
      <c r="K1464" s="13"/>
      <c r="L1464" s="17"/>
      <c r="M1464" s="13"/>
      <c r="N1464" s="14"/>
      <c r="O1464" s="14"/>
      <c r="S1464" s="13"/>
      <c r="T1464" s="17"/>
      <c r="U1464" s="13"/>
      <c r="V1464" s="14"/>
      <c r="W1464" s="14"/>
      <c r="AA1464" s="13"/>
      <c r="AB1464" s="17"/>
      <c r="AC1464" s="13"/>
      <c r="AD1464" s="14"/>
      <c r="AE1464" s="30"/>
    </row>
    <row r="1465" spans="2:31" x14ac:dyDescent="0.25">
      <c r="B1465" s="53">
        <f t="shared" si="22"/>
        <v>291</v>
      </c>
      <c r="C1465" s="59" t="str">
        <f>IFERROR(VLOOKUP(C$13&amp;$B1469,Aux!$B:$M,5,0),"")</f>
        <v/>
      </c>
      <c r="D1465" s="60" t="str">
        <f>IFERROR(VLOOKUP(C$13&amp;$B1465,Aux!$B:$M,3,0),"")</f>
        <v/>
      </c>
      <c r="E1465" s="60"/>
      <c r="F1465" s="60"/>
      <c r="G1465" s="61" t="str">
        <f>IFERROR(VLOOKUP(C$13&amp;$B1465,Aux!$B:$M,9,0),"")</f>
        <v/>
      </c>
      <c r="K1465" s="59" t="str">
        <f>IFERROR(VLOOKUP(K$13&amp;$B1469,Aux!$B:$M,5,0),"")</f>
        <v/>
      </c>
      <c r="L1465" s="60" t="str">
        <f>IFERROR(VLOOKUP(K$13&amp;$B1465,Aux!$B:$M,3,0),"")</f>
        <v/>
      </c>
      <c r="M1465" s="60"/>
      <c r="N1465" s="60"/>
      <c r="O1465" s="61" t="str">
        <f>IFERROR(VLOOKUP(K$13&amp;$B1465,Aux!$B:$M,9,0),"")</f>
        <v/>
      </c>
      <c r="S1465" s="59" t="str">
        <f>IFERROR(VLOOKUP(S$13&amp;$B1469,Aux!$B:$M,5,0),"")</f>
        <v/>
      </c>
      <c r="T1465" s="60" t="str">
        <f>IFERROR(VLOOKUP(S$13&amp;$B1465,Aux!$B:$M,3,0),"")</f>
        <v/>
      </c>
      <c r="U1465" s="60"/>
      <c r="V1465" s="60"/>
      <c r="W1465" s="61" t="str">
        <f>IFERROR(VLOOKUP(S$13&amp;$B1465,Aux!$B:$M,9,0),"")</f>
        <v/>
      </c>
      <c r="AA1465" s="59" t="str">
        <f>IFERROR(VLOOKUP(AA$13&amp;$B1469,Aux!$B:$M,5,0),"")</f>
        <v/>
      </c>
      <c r="AB1465" s="60" t="str">
        <f>IFERROR(VLOOKUP(AA$13&amp;$B1465,Aux!$B:$M,3,0),"")</f>
        <v/>
      </c>
      <c r="AC1465" s="60"/>
      <c r="AD1465" s="60"/>
      <c r="AE1465" s="61" t="str">
        <f>IFERROR(VLOOKUP(AA$13&amp;$B1465,Aux!$B:$M,9,0),"")</f>
        <v/>
      </c>
    </row>
    <row r="1466" spans="2:31" x14ac:dyDescent="0.25">
      <c r="B1466" s="53">
        <f t="shared" si="22"/>
        <v>291</v>
      </c>
      <c r="C1466" s="59"/>
      <c r="D1466" s="60"/>
      <c r="E1466" s="60"/>
      <c r="F1466" s="60"/>
      <c r="G1466" s="61"/>
      <c r="K1466" s="59"/>
      <c r="L1466" s="60"/>
      <c r="M1466" s="60"/>
      <c r="N1466" s="60"/>
      <c r="O1466" s="61"/>
      <c r="S1466" s="59"/>
      <c r="T1466" s="60"/>
      <c r="U1466" s="60"/>
      <c r="V1466" s="60"/>
      <c r="W1466" s="61"/>
      <c r="AA1466" s="59"/>
      <c r="AB1466" s="60"/>
      <c r="AC1466" s="60"/>
      <c r="AD1466" s="60"/>
      <c r="AE1466" s="61"/>
    </row>
    <row r="1467" spans="2:31" x14ac:dyDescent="0.25">
      <c r="B1467" s="53">
        <f t="shared" si="22"/>
        <v>291</v>
      </c>
      <c r="C1467" s="59"/>
      <c r="D1467" s="15" t="str">
        <f>IF(D1465="","","Исполнитель"&amp;": ")</f>
        <v/>
      </c>
      <c r="E1467" s="62" t="str">
        <f>IFERROR(VLOOKUP(C$13&amp;$B1467,Aux!$B:$M,4,0),"")</f>
        <v/>
      </c>
      <c r="F1467" s="62"/>
      <c r="G1467" s="63" t="str">
        <f>IFERROR(IF(VLOOKUP(C$13&amp;$B1465,Aux!$B:$M,8,0)="Да","✔","🕓"),"")</f>
        <v/>
      </c>
      <c r="K1467" s="59"/>
      <c r="L1467" s="15" t="str">
        <f>IF(L1465="","","Исполнитель"&amp;": ")</f>
        <v/>
      </c>
      <c r="M1467" s="62" t="str">
        <f>IFERROR(VLOOKUP(K$13&amp;$B1467,Aux!$B:$M,4,0),"")</f>
        <v/>
      </c>
      <c r="N1467" s="62"/>
      <c r="O1467" s="63" t="str">
        <f>IFERROR(IF(VLOOKUP(K$13&amp;$B1465,Aux!$B:$M,8,0)="Да","✔","🕓"),"")</f>
        <v/>
      </c>
      <c r="S1467" s="59"/>
      <c r="T1467" s="15" t="str">
        <f>IF(T1465="","","Исполнитель"&amp;": ")</f>
        <v/>
      </c>
      <c r="U1467" s="62" t="str">
        <f>IFERROR(VLOOKUP(S$13&amp;$B1467,Aux!$B:$M,4,0),"")</f>
        <v/>
      </c>
      <c r="V1467" s="62"/>
      <c r="W1467" s="63" t="str">
        <f>IFERROR(IF(VLOOKUP(S$13&amp;$B1465,Aux!$B:$M,8,0)="Да","✔","🕓"),"")</f>
        <v/>
      </c>
      <c r="AA1467" s="59"/>
      <c r="AB1467" s="15" t="str">
        <f>IF(AB1465="","","Исполнитель"&amp;": ")</f>
        <v/>
      </c>
      <c r="AC1467" s="62" t="str">
        <f>IFERROR(VLOOKUP(AA$13&amp;$B1467,Aux!$B:$M,4,0),"")</f>
        <v/>
      </c>
      <c r="AD1467" s="62"/>
      <c r="AE1467" s="63" t="str">
        <f>IFERROR(IF(VLOOKUP(AA$13&amp;$B1465,Aux!$B:$M,8,0)="Да","✔","🕓"),"")</f>
        <v/>
      </c>
    </row>
    <row r="1468" spans="2:31" x14ac:dyDescent="0.25">
      <c r="B1468" s="53">
        <f t="shared" si="22"/>
        <v>291</v>
      </c>
      <c r="C1468" s="59"/>
      <c r="D1468" s="16" t="str">
        <f>IF(D1465="","","Срок сдачи"&amp;": ")</f>
        <v/>
      </c>
      <c r="E1468" s="64" t="str">
        <f>IFERROR(VLOOKUP(C$13&amp;$B1468,Aux!$B:$M,6,0),"")</f>
        <v/>
      </c>
      <c r="F1468" s="64"/>
      <c r="G1468" s="63"/>
      <c r="K1468" s="59"/>
      <c r="L1468" s="16" t="str">
        <f>IF(L1465="","","Срок сдачи"&amp;": ")</f>
        <v/>
      </c>
      <c r="M1468" s="64" t="str">
        <f>IFERROR(VLOOKUP(K$13&amp;$B1468,Aux!$B:$M,6,0),"")</f>
        <v/>
      </c>
      <c r="N1468" s="64"/>
      <c r="O1468" s="63"/>
      <c r="S1468" s="59"/>
      <c r="T1468" s="16" t="str">
        <f>IF(T1465="","","Срок сдачи"&amp;": ")</f>
        <v/>
      </c>
      <c r="U1468" s="64" t="str">
        <f>IFERROR(VLOOKUP(S$13&amp;$B1468,Aux!$B:$M,6,0),"")</f>
        <v/>
      </c>
      <c r="V1468" s="64"/>
      <c r="W1468" s="63"/>
      <c r="AA1468" s="59"/>
      <c r="AB1468" s="16" t="str">
        <f>IF(AB1465="","","Срок сдачи"&amp;": ")</f>
        <v/>
      </c>
      <c r="AC1468" s="64" t="str">
        <f>IFERROR(VLOOKUP(AA$13&amp;$B1468,Aux!$B:$M,6,0),"")</f>
        <v/>
      </c>
      <c r="AD1468" s="64"/>
      <c r="AE1468" s="63"/>
    </row>
    <row r="1469" spans="2:31" x14ac:dyDescent="0.25">
      <c r="B1469" s="53">
        <f t="shared" si="22"/>
        <v>291</v>
      </c>
      <c r="C1469" s="7"/>
      <c r="D1469" s="17"/>
      <c r="E1469" s="7"/>
      <c r="F1469" s="18"/>
      <c r="G1469" s="18"/>
      <c r="K1469" s="13"/>
      <c r="L1469" s="17"/>
      <c r="M1469" s="13"/>
      <c r="N1469" s="14"/>
      <c r="O1469" s="14"/>
      <c r="S1469" s="13"/>
      <c r="T1469" s="17"/>
      <c r="U1469" s="13"/>
      <c r="V1469" s="14"/>
      <c r="W1469" s="14"/>
      <c r="AA1469" s="13"/>
      <c r="AB1469" s="17"/>
      <c r="AC1469" s="13"/>
      <c r="AD1469" s="14"/>
      <c r="AE1469" s="30"/>
    </row>
    <row r="1470" spans="2:31" x14ac:dyDescent="0.25">
      <c r="B1470" s="53">
        <f t="shared" si="22"/>
        <v>292</v>
      </c>
      <c r="C1470" s="59" t="str">
        <f>IFERROR(VLOOKUP(C$13&amp;$B1474,Aux!$B:$M,5,0),"")</f>
        <v/>
      </c>
      <c r="D1470" s="60" t="str">
        <f>IFERROR(VLOOKUP(C$13&amp;$B1470,Aux!$B:$M,3,0),"")</f>
        <v/>
      </c>
      <c r="E1470" s="60"/>
      <c r="F1470" s="60"/>
      <c r="G1470" s="61" t="str">
        <f>IFERROR(VLOOKUP(C$13&amp;$B1470,Aux!$B:$M,9,0),"")</f>
        <v/>
      </c>
      <c r="K1470" s="59" t="str">
        <f>IFERROR(VLOOKUP(K$13&amp;$B1474,Aux!$B:$M,5,0),"")</f>
        <v/>
      </c>
      <c r="L1470" s="60" t="str">
        <f>IFERROR(VLOOKUP(K$13&amp;$B1470,Aux!$B:$M,3,0),"")</f>
        <v/>
      </c>
      <c r="M1470" s="60"/>
      <c r="N1470" s="60"/>
      <c r="O1470" s="61" t="str">
        <f>IFERROR(VLOOKUP(K$13&amp;$B1470,Aux!$B:$M,9,0),"")</f>
        <v/>
      </c>
      <c r="S1470" s="59" t="str">
        <f>IFERROR(VLOOKUP(S$13&amp;$B1474,Aux!$B:$M,5,0),"")</f>
        <v/>
      </c>
      <c r="T1470" s="60" t="str">
        <f>IFERROR(VLOOKUP(S$13&amp;$B1470,Aux!$B:$M,3,0),"")</f>
        <v/>
      </c>
      <c r="U1470" s="60"/>
      <c r="V1470" s="60"/>
      <c r="W1470" s="61" t="str">
        <f>IFERROR(VLOOKUP(S$13&amp;$B1470,Aux!$B:$M,9,0),"")</f>
        <v/>
      </c>
      <c r="AA1470" s="59" t="str">
        <f>IFERROR(VLOOKUP(AA$13&amp;$B1474,Aux!$B:$M,5,0),"")</f>
        <v/>
      </c>
      <c r="AB1470" s="60" t="str">
        <f>IFERROR(VLOOKUP(AA$13&amp;$B1470,Aux!$B:$M,3,0),"")</f>
        <v/>
      </c>
      <c r="AC1470" s="60"/>
      <c r="AD1470" s="60"/>
      <c r="AE1470" s="61" t="str">
        <f>IFERROR(VLOOKUP(AA$13&amp;$B1470,Aux!$B:$M,9,0),"")</f>
        <v/>
      </c>
    </row>
    <row r="1471" spans="2:31" x14ac:dyDescent="0.25">
      <c r="B1471" s="53">
        <f t="shared" si="22"/>
        <v>292</v>
      </c>
      <c r="C1471" s="59"/>
      <c r="D1471" s="60"/>
      <c r="E1471" s="60"/>
      <c r="F1471" s="60"/>
      <c r="G1471" s="61"/>
      <c r="K1471" s="59"/>
      <c r="L1471" s="60"/>
      <c r="M1471" s="60"/>
      <c r="N1471" s="60"/>
      <c r="O1471" s="61"/>
      <c r="S1471" s="59"/>
      <c r="T1471" s="60"/>
      <c r="U1471" s="60"/>
      <c r="V1471" s="60"/>
      <c r="W1471" s="61"/>
      <c r="AA1471" s="59"/>
      <c r="AB1471" s="60"/>
      <c r="AC1471" s="60"/>
      <c r="AD1471" s="60"/>
      <c r="AE1471" s="61"/>
    </row>
    <row r="1472" spans="2:31" x14ac:dyDescent="0.25">
      <c r="B1472" s="53">
        <f t="shared" si="22"/>
        <v>292</v>
      </c>
      <c r="C1472" s="59"/>
      <c r="D1472" s="15" t="str">
        <f>IF(D1470="","","Исполнитель"&amp;": ")</f>
        <v/>
      </c>
      <c r="E1472" s="62" t="str">
        <f>IFERROR(VLOOKUP(C$13&amp;$B1472,Aux!$B:$M,4,0),"")</f>
        <v/>
      </c>
      <c r="F1472" s="62"/>
      <c r="G1472" s="63" t="str">
        <f>IFERROR(IF(VLOOKUP(C$13&amp;$B1470,Aux!$B:$M,8,0)="Да","✔","🕓"),"")</f>
        <v/>
      </c>
      <c r="K1472" s="59"/>
      <c r="L1472" s="15" t="str">
        <f>IF(L1470="","","Исполнитель"&amp;": ")</f>
        <v/>
      </c>
      <c r="M1472" s="62" t="str">
        <f>IFERROR(VLOOKUP(K$13&amp;$B1472,Aux!$B:$M,4,0),"")</f>
        <v/>
      </c>
      <c r="N1472" s="62"/>
      <c r="O1472" s="63" t="str">
        <f>IFERROR(IF(VLOOKUP(K$13&amp;$B1470,Aux!$B:$M,8,0)="Да","✔","🕓"),"")</f>
        <v/>
      </c>
      <c r="S1472" s="59"/>
      <c r="T1472" s="15" t="str">
        <f>IF(T1470="","","Исполнитель"&amp;": ")</f>
        <v/>
      </c>
      <c r="U1472" s="62" t="str">
        <f>IFERROR(VLOOKUP(S$13&amp;$B1472,Aux!$B:$M,4,0),"")</f>
        <v/>
      </c>
      <c r="V1472" s="62"/>
      <c r="W1472" s="63" t="str">
        <f>IFERROR(IF(VLOOKUP(S$13&amp;$B1470,Aux!$B:$M,8,0)="Да","✔","🕓"),"")</f>
        <v/>
      </c>
      <c r="AA1472" s="59"/>
      <c r="AB1472" s="15" t="str">
        <f>IF(AB1470="","","Исполнитель"&amp;": ")</f>
        <v/>
      </c>
      <c r="AC1472" s="62" t="str">
        <f>IFERROR(VLOOKUP(AA$13&amp;$B1472,Aux!$B:$M,4,0),"")</f>
        <v/>
      </c>
      <c r="AD1472" s="62"/>
      <c r="AE1472" s="63" t="str">
        <f>IFERROR(IF(VLOOKUP(AA$13&amp;$B1470,Aux!$B:$M,8,0)="Да","✔","🕓"),"")</f>
        <v/>
      </c>
    </row>
    <row r="1473" spans="2:31" x14ac:dyDescent="0.25">
      <c r="B1473" s="53">
        <f t="shared" si="22"/>
        <v>292</v>
      </c>
      <c r="C1473" s="59"/>
      <c r="D1473" s="16" t="str">
        <f>IF(D1470="","","Срок сдачи"&amp;": ")</f>
        <v/>
      </c>
      <c r="E1473" s="64" t="str">
        <f>IFERROR(VLOOKUP(C$13&amp;$B1473,Aux!$B:$M,6,0),"")</f>
        <v/>
      </c>
      <c r="F1473" s="64"/>
      <c r="G1473" s="63"/>
      <c r="K1473" s="59"/>
      <c r="L1473" s="16" t="str">
        <f>IF(L1470="","","Срок сдачи"&amp;": ")</f>
        <v/>
      </c>
      <c r="M1473" s="64" t="str">
        <f>IFERROR(VLOOKUP(K$13&amp;$B1473,Aux!$B:$M,6,0),"")</f>
        <v/>
      </c>
      <c r="N1473" s="64"/>
      <c r="O1473" s="63"/>
      <c r="S1473" s="59"/>
      <c r="T1473" s="16" t="str">
        <f>IF(T1470="","","Срок сдачи"&amp;": ")</f>
        <v/>
      </c>
      <c r="U1473" s="64" t="str">
        <f>IFERROR(VLOOKUP(S$13&amp;$B1473,Aux!$B:$M,6,0),"")</f>
        <v/>
      </c>
      <c r="V1473" s="64"/>
      <c r="W1473" s="63"/>
      <c r="AA1473" s="59"/>
      <c r="AB1473" s="16" t="str">
        <f>IF(AB1470="","","Срок сдачи"&amp;": ")</f>
        <v/>
      </c>
      <c r="AC1473" s="64" t="str">
        <f>IFERROR(VLOOKUP(AA$13&amp;$B1473,Aux!$B:$M,6,0),"")</f>
        <v/>
      </c>
      <c r="AD1473" s="64"/>
      <c r="AE1473" s="63"/>
    </row>
    <row r="1474" spans="2:31" x14ac:dyDescent="0.25">
      <c r="B1474" s="53">
        <f t="shared" si="22"/>
        <v>292</v>
      </c>
      <c r="C1474" s="7"/>
      <c r="D1474" s="17"/>
      <c r="E1474" s="7"/>
      <c r="F1474" s="18"/>
      <c r="G1474" s="18"/>
      <c r="K1474" s="13"/>
      <c r="L1474" s="17"/>
      <c r="M1474" s="13"/>
      <c r="N1474" s="14"/>
      <c r="O1474" s="14"/>
      <c r="S1474" s="13"/>
      <c r="T1474" s="17"/>
      <c r="U1474" s="13"/>
      <c r="V1474" s="14"/>
      <c r="W1474" s="14"/>
      <c r="AA1474" s="13"/>
      <c r="AB1474" s="17"/>
      <c r="AC1474" s="13"/>
      <c r="AD1474" s="14"/>
      <c r="AE1474" s="30"/>
    </row>
    <row r="1475" spans="2:31" x14ac:dyDescent="0.25">
      <c r="B1475" s="53">
        <f t="shared" si="22"/>
        <v>293</v>
      </c>
      <c r="C1475" s="59" t="str">
        <f>IFERROR(VLOOKUP(C$13&amp;$B1479,Aux!$B:$M,5,0),"")</f>
        <v/>
      </c>
      <c r="D1475" s="60" t="str">
        <f>IFERROR(VLOOKUP(C$13&amp;$B1475,Aux!$B:$M,3,0),"")</f>
        <v/>
      </c>
      <c r="E1475" s="60"/>
      <c r="F1475" s="60"/>
      <c r="G1475" s="61" t="str">
        <f>IFERROR(VLOOKUP(C$13&amp;$B1475,Aux!$B:$M,9,0),"")</f>
        <v/>
      </c>
      <c r="K1475" s="59" t="str">
        <f>IFERROR(VLOOKUP(K$13&amp;$B1479,Aux!$B:$M,5,0),"")</f>
        <v/>
      </c>
      <c r="L1475" s="60" t="str">
        <f>IFERROR(VLOOKUP(K$13&amp;$B1475,Aux!$B:$M,3,0),"")</f>
        <v/>
      </c>
      <c r="M1475" s="60"/>
      <c r="N1475" s="60"/>
      <c r="O1475" s="61" t="str">
        <f>IFERROR(VLOOKUP(K$13&amp;$B1475,Aux!$B:$M,9,0),"")</f>
        <v/>
      </c>
      <c r="S1475" s="59" t="str">
        <f>IFERROR(VLOOKUP(S$13&amp;$B1479,Aux!$B:$M,5,0),"")</f>
        <v/>
      </c>
      <c r="T1475" s="60" t="str">
        <f>IFERROR(VLOOKUP(S$13&amp;$B1475,Aux!$B:$M,3,0),"")</f>
        <v/>
      </c>
      <c r="U1475" s="60"/>
      <c r="V1475" s="60"/>
      <c r="W1475" s="61" t="str">
        <f>IFERROR(VLOOKUP(S$13&amp;$B1475,Aux!$B:$M,9,0),"")</f>
        <v/>
      </c>
      <c r="AA1475" s="59" t="str">
        <f>IFERROR(VLOOKUP(AA$13&amp;$B1479,Aux!$B:$M,5,0),"")</f>
        <v/>
      </c>
      <c r="AB1475" s="60" t="str">
        <f>IFERROR(VLOOKUP(AA$13&amp;$B1475,Aux!$B:$M,3,0),"")</f>
        <v/>
      </c>
      <c r="AC1475" s="60"/>
      <c r="AD1475" s="60"/>
      <c r="AE1475" s="61" t="str">
        <f>IFERROR(VLOOKUP(AA$13&amp;$B1475,Aux!$B:$M,9,0),"")</f>
        <v/>
      </c>
    </row>
    <row r="1476" spans="2:31" x14ac:dyDescent="0.25">
      <c r="B1476" s="53">
        <f t="shared" si="22"/>
        <v>293</v>
      </c>
      <c r="C1476" s="59"/>
      <c r="D1476" s="60"/>
      <c r="E1476" s="60"/>
      <c r="F1476" s="60"/>
      <c r="G1476" s="61"/>
      <c r="K1476" s="59"/>
      <c r="L1476" s="60"/>
      <c r="M1476" s="60"/>
      <c r="N1476" s="60"/>
      <c r="O1476" s="61"/>
      <c r="S1476" s="59"/>
      <c r="T1476" s="60"/>
      <c r="U1476" s="60"/>
      <c r="V1476" s="60"/>
      <c r="W1476" s="61"/>
      <c r="AA1476" s="59"/>
      <c r="AB1476" s="60"/>
      <c r="AC1476" s="60"/>
      <c r="AD1476" s="60"/>
      <c r="AE1476" s="61"/>
    </row>
    <row r="1477" spans="2:31" x14ac:dyDescent="0.25">
      <c r="B1477" s="53">
        <f t="shared" si="22"/>
        <v>293</v>
      </c>
      <c r="C1477" s="59"/>
      <c r="D1477" s="15" t="str">
        <f>IF(D1475="","","Исполнитель"&amp;": ")</f>
        <v/>
      </c>
      <c r="E1477" s="62" t="str">
        <f>IFERROR(VLOOKUP(C$13&amp;$B1477,Aux!$B:$M,4,0),"")</f>
        <v/>
      </c>
      <c r="F1477" s="62"/>
      <c r="G1477" s="63" t="str">
        <f>IFERROR(IF(VLOOKUP(C$13&amp;$B1475,Aux!$B:$M,8,0)="Да","✔","🕓"),"")</f>
        <v/>
      </c>
      <c r="K1477" s="59"/>
      <c r="L1477" s="15" t="str">
        <f>IF(L1475="","","Исполнитель"&amp;": ")</f>
        <v/>
      </c>
      <c r="M1477" s="62" t="str">
        <f>IFERROR(VLOOKUP(K$13&amp;$B1477,Aux!$B:$M,4,0),"")</f>
        <v/>
      </c>
      <c r="N1477" s="62"/>
      <c r="O1477" s="63" t="str">
        <f>IFERROR(IF(VLOOKUP(K$13&amp;$B1475,Aux!$B:$M,8,0)="Да","✔","🕓"),"")</f>
        <v/>
      </c>
      <c r="S1477" s="59"/>
      <c r="T1477" s="15" t="str">
        <f>IF(T1475="","","Исполнитель"&amp;": ")</f>
        <v/>
      </c>
      <c r="U1477" s="62" t="str">
        <f>IFERROR(VLOOKUP(S$13&amp;$B1477,Aux!$B:$M,4,0),"")</f>
        <v/>
      </c>
      <c r="V1477" s="62"/>
      <c r="W1477" s="63" t="str">
        <f>IFERROR(IF(VLOOKUP(S$13&amp;$B1475,Aux!$B:$M,8,0)="Да","✔","🕓"),"")</f>
        <v/>
      </c>
      <c r="AA1477" s="59"/>
      <c r="AB1477" s="15" t="str">
        <f>IF(AB1475="","","Исполнитель"&amp;": ")</f>
        <v/>
      </c>
      <c r="AC1477" s="62" t="str">
        <f>IFERROR(VLOOKUP(AA$13&amp;$B1477,Aux!$B:$M,4,0),"")</f>
        <v/>
      </c>
      <c r="AD1477" s="62"/>
      <c r="AE1477" s="63" t="str">
        <f>IFERROR(IF(VLOOKUP(AA$13&amp;$B1475,Aux!$B:$M,8,0)="Да","✔","🕓"),"")</f>
        <v/>
      </c>
    </row>
    <row r="1478" spans="2:31" x14ac:dyDescent="0.25">
      <c r="B1478" s="53">
        <f t="shared" si="22"/>
        <v>293</v>
      </c>
      <c r="C1478" s="59"/>
      <c r="D1478" s="16" t="str">
        <f>IF(D1475="","","Срок сдачи"&amp;": ")</f>
        <v/>
      </c>
      <c r="E1478" s="64" t="str">
        <f>IFERROR(VLOOKUP(C$13&amp;$B1478,Aux!$B:$M,6,0),"")</f>
        <v/>
      </c>
      <c r="F1478" s="64"/>
      <c r="G1478" s="63"/>
      <c r="K1478" s="59"/>
      <c r="L1478" s="16" t="str">
        <f>IF(L1475="","","Срок сдачи"&amp;": ")</f>
        <v/>
      </c>
      <c r="M1478" s="64" t="str">
        <f>IFERROR(VLOOKUP(K$13&amp;$B1478,Aux!$B:$M,6,0),"")</f>
        <v/>
      </c>
      <c r="N1478" s="64"/>
      <c r="O1478" s="63"/>
      <c r="S1478" s="59"/>
      <c r="T1478" s="16" t="str">
        <f>IF(T1475="","","Срок сдачи"&amp;": ")</f>
        <v/>
      </c>
      <c r="U1478" s="64" t="str">
        <f>IFERROR(VLOOKUP(S$13&amp;$B1478,Aux!$B:$M,6,0),"")</f>
        <v/>
      </c>
      <c r="V1478" s="64"/>
      <c r="W1478" s="63"/>
      <c r="AA1478" s="59"/>
      <c r="AB1478" s="16" t="str">
        <f>IF(AB1475="","","Срок сдачи"&amp;": ")</f>
        <v/>
      </c>
      <c r="AC1478" s="64" t="str">
        <f>IFERROR(VLOOKUP(AA$13&amp;$B1478,Aux!$B:$M,6,0),"")</f>
        <v/>
      </c>
      <c r="AD1478" s="64"/>
      <c r="AE1478" s="63"/>
    </row>
    <row r="1479" spans="2:31" x14ac:dyDescent="0.25">
      <c r="B1479" s="53">
        <f t="shared" si="22"/>
        <v>293</v>
      </c>
      <c r="C1479" s="7"/>
      <c r="D1479" s="17"/>
      <c r="E1479" s="7"/>
      <c r="F1479" s="18"/>
      <c r="G1479" s="18"/>
      <c r="K1479" s="13"/>
      <c r="L1479" s="17"/>
      <c r="M1479" s="13"/>
      <c r="N1479" s="14"/>
      <c r="O1479" s="14"/>
      <c r="S1479" s="13"/>
      <c r="T1479" s="17"/>
      <c r="U1479" s="13"/>
      <c r="V1479" s="14"/>
      <c r="W1479" s="14"/>
      <c r="AA1479" s="13"/>
      <c r="AB1479" s="17"/>
      <c r="AC1479" s="13"/>
      <c r="AD1479" s="14"/>
      <c r="AE1479" s="30"/>
    </row>
    <row r="1480" spans="2:31" x14ac:dyDescent="0.25">
      <c r="B1480" s="53">
        <f t="shared" si="22"/>
        <v>294</v>
      </c>
      <c r="C1480" s="59" t="str">
        <f>IFERROR(VLOOKUP(C$13&amp;$B1484,Aux!$B:$M,5,0),"")</f>
        <v/>
      </c>
      <c r="D1480" s="60" t="str">
        <f>IFERROR(VLOOKUP(C$13&amp;$B1480,Aux!$B:$M,3,0),"")</f>
        <v/>
      </c>
      <c r="E1480" s="60"/>
      <c r="F1480" s="60"/>
      <c r="G1480" s="61" t="str">
        <f>IFERROR(VLOOKUP(C$13&amp;$B1480,Aux!$B:$M,9,0),"")</f>
        <v/>
      </c>
      <c r="K1480" s="59" t="str">
        <f>IFERROR(VLOOKUP(K$13&amp;$B1484,Aux!$B:$M,5,0),"")</f>
        <v/>
      </c>
      <c r="L1480" s="60" t="str">
        <f>IFERROR(VLOOKUP(K$13&amp;$B1480,Aux!$B:$M,3,0),"")</f>
        <v/>
      </c>
      <c r="M1480" s="60"/>
      <c r="N1480" s="60"/>
      <c r="O1480" s="61" t="str">
        <f>IFERROR(VLOOKUP(K$13&amp;$B1480,Aux!$B:$M,9,0),"")</f>
        <v/>
      </c>
      <c r="S1480" s="59" t="str">
        <f>IFERROR(VLOOKUP(S$13&amp;$B1484,Aux!$B:$M,5,0),"")</f>
        <v/>
      </c>
      <c r="T1480" s="60" t="str">
        <f>IFERROR(VLOOKUP(S$13&amp;$B1480,Aux!$B:$M,3,0),"")</f>
        <v/>
      </c>
      <c r="U1480" s="60"/>
      <c r="V1480" s="60"/>
      <c r="W1480" s="61" t="str">
        <f>IFERROR(VLOOKUP(S$13&amp;$B1480,Aux!$B:$M,9,0),"")</f>
        <v/>
      </c>
      <c r="AA1480" s="59" t="str">
        <f>IFERROR(VLOOKUP(AA$13&amp;$B1484,Aux!$B:$M,5,0),"")</f>
        <v/>
      </c>
      <c r="AB1480" s="60" t="str">
        <f>IFERROR(VLOOKUP(AA$13&amp;$B1480,Aux!$B:$M,3,0),"")</f>
        <v/>
      </c>
      <c r="AC1480" s="60"/>
      <c r="AD1480" s="60"/>
      <c r="AE1480" s="61" t="str">
        <f>IFERROR(VLOOKUP(AA$13&amp;$B1480,Aux!$B:$M,9,0),"")</f>
        <v/>
      </c>
    </row>
    <row r="1481" spans="2:31" x14ac:dyDescent="0.25">
      <c r="B1481" s="53">
        <f t="shared" si="22"/>
        <v>294</v>
      </c>
      <c r="C1481" s="59"/>
      <c r="D1481" s="60"/>
      <c r="E1481" s="60"/>
      <c r="F1481" s="60"/>
      <c r="G1481" s="61"/>
      <c r="K1481" s="59"/>
      <c r="L1481" s="60"/>
      <c r="M1481" s="60"/>
      <c r="N1481" s="60"/>
      <c r="O1481" s="61"/>
      <c r="S1481" s="59"/>
      <c r="T1481" s="60"/>
      <c r="U1481" s="60"/>
      <c r="V1481" s="60"/>
      <c r="W1481" s="61"/>
      <c r="AA1481" s="59"/>
      <c r="AB1481" s="60"/>
      <c r="AC1481" s="60"/>
      <c r="AD1481" s="60"/>
      <c r="AE1481" s="61"/>
    </row>
    <row r="1482" spans="2:31" x14ac:dyDescent="0.25">
      <c r="B1482" s="53">
        <f t="shared" si="22"/>
        <v>294</v>
      </c>
      <c r="C1482" s="59"/>
      <c r="D1482" s="15" t="str">
        <f>IF(D1480="","","Исполнитель"&amp;": ")</f>
        <v/>
      </c>
      <c r="E1482" s="62" t="str">
        <f>IFERROR(VLOOKUP(C$13&amp;$B1482,Aux!$B:$M,4,0),"")</f>
        <v/>
      </c>
      <c r="F1482" s="62"/>
      <c r="G1482" s="63" t="str">
        <f>IFERROR(IF(VLOOKUP(C$13&amp;$B1480,Aux!$B:$M,8,0)="Да","✔","🕓"),"")</f>
        <v/>
      </c>
      <c r="K1482" s="59"/>
      <c r="L1482" s="15" t="str">
        <f>IF(L1480="","","Исполнитель"&amp;": ")</f>
        <v/>
      </c>
      <c r="M1482" s="62" t="str">
        <f>IFERROR(VLOOKUP(K$13&amp;$B1482,Aux!$B:$M,4,0),"")</f>
        <v/>
      </c>
      <c r="N1482" s="62"/>
      <c r="O1482" s="63" t="str">
        <f>IFERROR(IF(VLOOKUP(K$13&amp;$B1480,Aux!$B:$M,8,0)="Да","✔","🕓"),"")</f>
        <v/>
      </c>
      <c r="S1482" s="59"/>
      <c r="T1482" s="15" t="str">
        <f>IF(T1480="","","Исполнитель"&amp;": ")</f>
        <v/>
      </c>
      <c r="U1482" s="62" t="str">
        <f>IFERROR(VLOOKUP(S$13&amp;$B1482,Aux!$B:$M,4,0),"")</f>
        <v/>
      </c>
      <c r="V1482" s="62"/>
      <c r="W1482" s="63" t="str">
        <f>IFERROR(IF(VLOOKUP(S$13&amp;$B1480,Aux!$B:$M,8,0)="Да","✔","🕓"),"")</f>
        <v/>
      </c>
      <c r="AA1482" s="59"/>
      <c r="AB1482" s="15" t="str">
        <f>IF(AB1480="","","Исполнитель"&amp;": ")</f>
        <v/>
      </c>
      <c r="AC1482" s="62" t="str">
        <f>IFERROR(VLOOKUP(AA$13&amp;$B1482,Aux!$B:$M,4,0),"")</f>
        <v/>
      </c>
      <c r="AD1482" s="62"/>
      <c r="AE1482" s="63" t="str">
        <f>IFERROR(IF(VLOOKUP(AA$13&amp;$B1480,Aux!$B:$M,8,0)="Да","✔","🕓"),"")</f>
        <v/>
      </c>
    </row>
    <row r="1483" spans="2:31" x14ac:dyDescent="0.25">
      <c r="B1483" s="53">
        <f t="shared" si="22"/>
        <v>294</v>
      </c>
      <c r="C1483" s="59"/>
      <c r="D1483" s="16" t="str">
        <f>IF(D1480="","","Срок сдачи"&amp;": ")</f>
        <v/>
      </c>
      <c r="E1483" s="64" t="str">
        <f>IFERROR(VLOOKUP(C$13&amp;$B1483,Aux!$B:$M,6,0),"")</f>
        <v/>
      </c>
      <c r="F1483" s="64"/>
      <c r="G1483" s="63"/>
      <c r="K1483" s="59"/>
      <c r="L1483" s="16" t="str">
        <f>IF(L1480="","","Срок сдачи"&amp;": ")</f>
        <v/>
      </c>
      <c r="M1483" s="64" t="str">
        <f>IFERROR(VLOOKUP(K$13&amp;$B1483,Aux!$B:$M,6,0),"")</f>
        <v/>
      </c>
      <c r="N1483" s="64"/>
      <c r="O1483" s="63"/>
      <c r="S1483" s="59"/>
      <c r="T1483" s="16" t="str">
        <f>IF(T1480="","","Срок сдачи"&amp;": ")</f>
        <v/>
      </c>
      <c r="U1483" s="64" t="str">
        <f>IFERROR(VLOOKUP(S$13&amp;$B1483,Aux!$B:$M,6,0),"")</f>
        <v/>
      </c>
      <c r="V1483" s="64"/>
      <c r="W1483" s="63"/>
      <c r="AA1483" s="59"/>
      <c r="AB1483" s="16" t="str">
        <f>IF(AB1480="","","Срок сдачи"&amp;": ")</f>
        <v/>
      </c>
      <c r="AC1483" s="64" t="str">
        <f>IFERROR(VLOOKUP(AA$13&amp;$B1483,Aux!$B:$M,6,0),"")</f>
        <v/>
      </c>
      <c r="AD1483" s="64"/>
      <c r="AE1483" s="63"/>
    </row>
    <row r="1484" spans="2:31" x14ac:dyDescent="0.25">
      <c r="B1484" s="53">
        <f t="shared" si="22"/>
        <v>294</v>
      </c>
      <c r="C1484" s="7"/>
      <c r="D1484" s="17"/>
      <c r="E1484" s="7"/>
      <c r="F1484" s="18"/>
      <c r="G1484" s="18"/>
      <c r="K1484" s="13"/>
      <c r="L1484" s="17"/>
      <c r="M1484" s="13"/>
      <c r="N1484" s="14"/>
      <c r="O1484" s="14"/>
      <c r="S1484" s="13"/>
      <c r="T1484" s="17"/>
      <c r="U1484" s="13"/>
      <c r="V1484" s="14"/>
      <c r="W1484" s="14"/>
      <c r="AA1484" s="13"/>
      <c r="AB1484" s="17"/>
      <c r="AC1484" s="13"/>
      <c r="AD1484" s="14"/>
      <c r="AE1484" s="30"/>
    </row>
    <row r="1485" spans="2:31" x14ac:dyDescent="0.25">
      <c r="B1485" s="53">
        <f t="shared" si="22"/>
        <v>295</v>
      </c>
      <c r="C1485" s="59" t="str">
        <f>IFERROR(VLOOKUP(C$13&amp;$B1489,Aux!$B:$M,5,0),"")</f>
        <v/>
      </c>
      <c r="D1485" s="60" t="str">
        <f>IFERROR(VLOOKUP(C$13&amp;$B1485,Aux!$B:$M,3,0),"")</f>
        <v/>
      </c>
      <c r="E1485" s="60"/>
      <c r="F1485" s="60"/>
      <c r="G1485" s="61" t="str">
        <f>IFERROR(VLOOKUP(C$13&amp;$B1485,Aux!$B:$M,9,0),"")</f>
        <v/>
      </c>
      <c r="K1485" s="59" t="str">
        <f>IFERROR(VLOOKUP(K$13&amp;$B1489,Aux!$B:$M,5,0),"")</f>
        <v/>
      </c>
      <c r="L1485" s="60" t="str">
        <f>IFERROR(VLOOKUP(K$13&amp;$B1485,Aux!$B:$M,3,0),"")</f>
        <v/>
      </c>
      <c r="M1485" s="60"/>
      <c r="N1485" s="60"/>
      <c r="O1485" s="61" t="str">
        <f>IFERROR(VLOOKUP(K$13&amp;$B1485,Aux!$B:$M,9,0),"")</f>
        <v/>
      </c>
      <c r="S1485" s="59" t="str">
        <f>IFERROR(VLOOKUP(S$13&amp;$B1489,Aux!$B:$M,5,0),"")</f>
        <v/>
      </c>
      <c r="T1485" s="60" t="str">
        <f>IFERROR(VLOOKUP(S$13&amp;$B1485,Aux!$B:$M,3,0),"")</f>
        <v/>
      </c>
      <c r="U1485" s="60"/>
      <c r="V1485" s="60"/>
      <c r="W1485" s="61" t="str">
        <f>IFERROR(VLOOKUP(S$13&amp;$B1485,Aux!$B:$M,9,0),"")</f>
        <v/>
      </c>
      <c r="AA1485" s="59" t="str">
        <f>IFERROR(VLOOKUP(AA$13&amp;$B1489,Aux!$B:$M,5,0),"")</f>
        <v/>
      </c>
      <c r="AB1485" s="60" t="str">
        <f>IFERROR(VLOOKUP(AA$13&amp;$B1485,Aux!$B:$M,3,0),"")</f>
        <v/>
      </c>
      <c r="AC1485" s="60"/>
      <c r="AD1485" s="60"/>
      <c r="AE1485" s="61" t="str">
        <f>IFERROR(VLOOKUP(AA$13&amp;$B1485,Aux!$B:$M,9,0),"")</f>
        <v/>
      </c>
    </row>
    <row r="1486" spans="2:31" x14ac:dyDescent="0.25">
      <c r="B1486" s="53">
        <f t="shared" si="22"/>
        <v>295</v>
      </c>
      <c r="C1486" s="59"/>
      <c r="D1486" s="60"/>
      <c r="E1486" s="60"/>
      <c r="F1486" s="60"/>
      <c r="G1486" s="61"/>
      <c r="K1486" s="59"/>
      <c r="L1486" s="60"/>
      <c r="M1486" s="60"/>
      <c r="N1486" s="60"/>
      <c r="O1486" s="61"/>
      <c r="S1486" s="59"/>
      <c r="T1486" s="60"/>
      <c r="U1486" s="60"/>
      <c r="V1486" s="60"/>
      <c r="W1486" s="61"/>
      <c r="AA1486" s="59"/>
      <c r="AB1486" s="60"/>
      <c r="AC1486" s="60"/>
      <c r="AD1486" s="60"/>
      <c r="AE1486" s="61"/>
    </row>
    <row r="1487" spans="2:31" x14ac:dyDescent="0.25">
      <c r="B1487" s="53">
        <f t="shared" si="22"/>
        <v>295</v>
      </c>
      <c r="C1487" s="59"/>
      <c r="D1487" s="15" t="str">
        <f>IF(D1485="","","Исполнитель"&amp;": ")</f>
        <v/>
      </c>
      <c r="E1487" s="62" t="str">
        <f>IFERROR(VLOOKUP(C$13&amp;$B1487,Aux!$B:$M,4,0),"")</f>
        <v/>
      </c>
      <c r="F1487" s="62"/>
      <c r="G1487" s="63" t="str">
        <f>IFERROR(IF(VLOOKUP(C$13&amp;$B1485,Aux!$B:$M,8,0)="Да","✔","🕓"),"")</f>
        <v/>
      </c>
      <c r="K1487" s="59"/>
      <c r="L1487" s="15" t="str">
        <f>IF(L1485="","","Исполнитель"&amp;": ")</f>
        <v/>
      </c>
      <c r="M1487" s="62" t="str">
        <f>IFERROR(VLOOKUP(K$13&amp;$B1487,Aux!$B:$M,4,0),"")</f>
        <v/>
      </c>
      <c r="N1487" s="62"/>
      <c r="O1487" s="63" t="str">
        <f>IFERROR(IF(VLOOKUP(K$13&amp;$B1485,Aux!$B:$M,8,0)="Да","✔","🕓"),"")</f>
        <v/>
      </c>
      <c r="S1487" s="59"/>
      <c r="T1487" s="15" t="str">
        <f>IF(T1485="","","Исполнитель"&amp;": ")</f>
        <v/>
      </c>
      <c r="U1487" s="62" t="str">
        <f>IFERROR(VLOOKUP(S$13&amp;$B1487,Aux!$B:$M,4,0),"")</f>
        <v/>
      </c>
      <c r="V1487" s="62"/>
      <c r="W1487" s="63" t="str">
        <f>IFERROR(IF(VLOOKUP(S$13&amp;$B1485,Aux!$B:$M,8,0)="Да","✔","🕓"),"")</f>
        <v/>
      </c>
      <c r="AA1487" s="59"/>
      <c r="AB1487" s="15" t="str">
        <f>IF(AB1485="","","Исполнитель"&amp;": ")</f>
        <v/>
      </c>
      <c r="AC1487" s="62" t="str">
        <f>IFERROR(VLOOKUP(AA$13&amp;$B1487,Aux!$B:$M,4,0),"")</f>
        <v/>
      </c>
      <c r="AD1487" s="62"/>
      <c r="AE1487" s="63" t="str">
        <f>IFERROR(IF(VLOOKUP(AA$13&amp;$B1485,Aux!$B:$M,8,0)="Да","✔","🕓"),"")</f>
        <v/>
      </c>
    </row>
    <row r="1488" spans="2:31" x14ac:dyDescent="0.25">
      <c r="B1488" s="53">
        <f t="shared" si="22"/>
        <v>295</v>
      </c>
      <c r="C1488" s="59"/>
      <c r="D1488" s="16" t="str">
        <f>IF(D1485="","","Срок сдачи"&amp;": ")</f>
        <v/>
      </c>
      <c r="E1488" s="64" t="str">
        <f>IFERROR(VLOOKUP(C$13&amp;$B1488,Aux!$B:$M,6,0),"")</f>
        <v/>
      </c>
      <c r="F1488" s="64"/>
      <c r="G1488" s="63"/>
      <c r="K1488" s="59"/>
      <c r="L1488" s="16" t="str">
        <f>IF(L1485="","","Срок сдачи"&amp;": ")</f>
        <v/>
      </c>
      <c r="M1488" s="64" t="str">
        <f>IFERROR(VLOOKUP(K$13&amp;$B1488,Aux!$B:$M,6,0),"")</f>
        <v/>
      </c>
      <c r="N1488" s="64"/>
      <c r="O1488" s="63"/>
      <c r="S1488" s="59"/>
      <c r="T1488" s="16" t="str">
        <f>IF(T1485="","","Срок сдачи"&amp;": ")</f>
        <v/>
      </c>
      <c r="U1488" s="64" t="str">
        <f>IFERROR(VLOOKUP(S$13&amp;$B1488,Aux!$B:$M,6,0),"")</f>
        <v/>
      </c>
      <c r="V1488" s="64"/>
      <c r="W1488" s="63"/>
      <c r="AA1488" s="59"/>
      <c r="AB1488" s="16" t="str">
        <f>IF(AB1485="","","Срок сдачи"&amp;": ")</f>
        <v/>
      </c>
      <c r="AC1488" s="64" t="str">
        <f>IFERROR(VLOOKUP(AA$13&amp;$B1488,Aux!$B:$M,6,0),"")</f>
        <v/>
      </c>
      <c r="AD1488" s="64"/>
      <c r="AE1488" s="63"/>
    </row>
    <row r="1489" spans="2:31" x14ac:dyDescent="0.25">
      <c r="B1489" s="53">
        <f t="shared" si="22"/>
        <v>295</v>
      </c>
      <c r="C1489" s="7"/>
      <c r="D1489" s="17"/>
      <c r="E1489" s="7"/>
      <c r="F1489" s="18"/>
      <c r="G1489" s="18"/>
      <c r="K1489" s="13"/>
      <c r="L1489" s="17"/>
      <c r="M1489" s="13"/>
      <c r="N1489" s="14"/>
      <c r="O1489" s="14"/>
      <c r="S1489" s="13"/>
      <c r="T1489" s="17"/>
      <c r="U1489" s="13"/>
      <c r="V1489" s="14"/>
      <c r="W1489" s="14"/>
      <c r="AA1489" s="13"/>
      <c r="AB1489" s="17"/>
      <c r="AC1489" s="13"/>
      <c r="AD1489" s="14"/>
      <c r="AE1489" s="30"/>
    </row>
    <row r="1490" spans="2:31" x14ac:dyDescent="0.25">
      <c r="B1490" s="53">
        <f t="shared" si="22"/>
        <v>296</v>
      </c>
      <c r="C1490" s="59" t="str">
        <f>IFERROR(VLOOKUP(C$13&amp;$B1494,Aux!$B:$M,5,0),"")</f>
        <v/>
      </c>
      <c r="D1490" s="60" t="str">
        <f>IFERROR(VLOOKUP(C$13&amp;$B1490,Aux!$B:$M,3,0),"")</f>
        <v/>
      </c>
      <c r="E1490" s="60"/>
      <c r="F1490" s="60"/>
      <c r="G1490" s="61" t="str">
        <f>IFERROR(VLOOKUP(C$13&amp;$B1490,Aux!$B:$M,9,0),"")</f>
        <v/>
      </c>
      <c r="K1490" s="59" t="str">
        <f>IFERROR(VLOOKUP(K$13&amp;$B1494,Aux!$B:$M,5,0),"")</f>
        <v/>
      </c>
      <c r="L1490" s="60" t="str">
        <f>IFERROR(VLOOKUP(K$13&amp;$B1490,Aux!$B:$M,3,0),"")</f>
        <v/>
      </c>
      <c r="M1490" s="60"/>
      <c r="N1490" s="60"/>
      <c r="O1490" s="61" t="str">
        <f>IFERROR(VLOOKUP(K$13&amp;$B1490,Aux!$B:$M,9,0),"")</f>
        <v/>
      </c>
      <c r="S1490" s="59" t="str">
        <f>IFERROR(VLOOKUP(S$13&amp;$B1494,Aux!$B:$M,5,0),"")</f>
        <v/>
      </c>
      <c r="T1490" s="60" t="str">
        <f>IFERROR(VLOOKUP(S$13&amp;$B1490,Aux!$B:$M,3,0),"")</f>
        <v/>
      </c>
      <c r="U1490" s="60"/>
      <c r="V1490" s="60"/>
      <c r="W1490" s="61" t="str">
        <f>IFERROR(VLOOKUP(S$13&amp;$B1490,Aux!$B:$M,9,0),"")</f>
        <v/>
      </c>
      <c r="AA1490" s="59" t="str">
        <f>IFERROR(VLOOKUP(AA$13&amp;$B1494,Aux!$B:$M,5,0),"")</f>
        <v/>
      </c>
      <c r="AB1490" s="60" t="str">
        <f>IFERROR(VLOOKUP(AA$13&amp;$B1490,Aux!$B:$M,3,0),"")</f>
        <v/>
      </c>
      <c r="AC1490" s="60"/>
      <c r="AD1490" s="60"/>
      <c r="AE1490" s="61" t="str">
        <f>IFERROR(VLOOKUP(AA$13&amp;$B1490,Aux!$B:$M,9,0),"")</f>
        <v/>
      </c>
    </row>
    <row r="1491" spans="2:31" x14ac:dyDescent="0.25">
      <c r="B1491" s="53">
        <f t="shared" si="22"/>
        <v>296</v>
      </c>
      <c r="C1491" s="59"/>
      <c r="D1491" s="60"/>
      <c r="E1491" s="60"/>
      <c r="F1491" s="60"/>
      <c r="G1491" s="61"/>
      <c r="K1491" s="59"/>
      <c r="L1491" s="60"/>
      <c r="M1491" s="60"/>
      <c r="N1491" s="60"/>
      <c r="O1491" s="61"/>
      <c r="S1491" s="59"/>
      <c r="T1491" s="60"/>
      <c r="U1491" s="60"/>
      <c r="V1491" s="60"/>
      <c r="W1491" s="61"/>
      <c r="AA1491" s="59"/>
      <c r="AB1491" s="60"/>
      <c r="AC1491" s="60"/>
      <c r="AD1491" s="60"/>
      <c r="AE1491" s="61"/>
    </row>
    <row r="1492" spans="2:31" x14ac:dyDescent="0.25">
      <c r="B1492" s="53">
        <f t="shared" si="22"/>
        <v>296</v>
      </c>
      <c r="C1492" s="59"/>
      <c r="D1492" s="15" t="str">
        <f>IF(D1490="","","Исполнитель"&amp;": ")</f>
        <v/>
      </c>
      <c r="E1492" s="62" t="str">
        <f>IFERROR(VLOOKUP(C$13&amp;$B1492,Aux!$B:$M,4,0),"")</f>
        <v/>
      </c>
      <c r="F1492" s="62"/>
      <c r="G1492" s="63" t="str">
        <f>IFERROR(IF(VLOOKUP(C$13&amp;$B1490,Aux!$B:$M,8,0)="Да","✔","🕓"),"")</f>
        <v/>
      </c>
      <c r="K1492" s="59"/>
      <c r="L1492" s="15" t="str">
        <f>IF(L1490="","","Исполнитель"&amp;": ")</f>
        <v/>
      </c>
      <c r="M1492" s="62" t="str">
        <f>IFERROR(VLOOKUP(K$13&amp;$B1492,Aux!$B:$M,4,0),"")</f>
        <v/>
      </c>
      <c r="N1492" s="62"/>
      <c r="O1492" s="63" t="str">
        <f>IFERROR(IF(VLOOKUP(K$13&amp;$B1490,Aux!$B:$M,8,0)="Да","✔","🕓"),"")</f>
        <v/>
      </c>
      <c r="S1492" s="59"/>
      <c r="T1492" s="15" t="str">
        <f>IF(T1490="","","Исполнитель"&amp;": ")</f>
        <v/>
      </c>
      <c r="U1492" s="62" t="str">
        <f>IFERROR(VLOOKUP(S$13&amp;$B1492,Aux!$B:$M,4,0),"")</f>
        <v/>
      </c>
      <c r="V1492" s="62"/>
      <c r="W1492" s="63" t="str">
        <f>IFERROR(IF(VLOOKUP(S$13&amp;$B1490,Aux!$B:$M,8,0)="Да","✔","🕓"),"")</f>
        <v/>
      </c>
      <c r="AA1492" s="59"/>
      <c r="AB1492" s="15" t="str">
        <f>IF(AB1490="","","Исполнитель"&amp;": ")</f>
        <v/>
      </c>
      <c r="AC1492" s="62" t="str">
        <f>IFERROR(VLOOKUP(AA$13&amp;$B1492,Aux!$B:$M,4,0),"")</f>
        <v/>
      </c>
      <c r="AD1492" s="62"/>
      <c r="AE1492" s="63" t="str">
        <f>IFERROR(IF(VLOOKUP(AA$13&amp;$B1490,Aux!$B:$M,8,0)="Да","✔","🕓"),"")</f>
        <v/>
      </c>
    </row>
    <row r="1493" spans="2:31" x14ac:dyDescent="0.25">
      <c r="B1493" s="53">
        <f t="shared" ref="B1493:B1556" si="23">B1488+1</f>
        <v>296</v>
      </c>
      <c r="C1493" s="59"/>
      <c r="D1493" s="16" t="str">
        <f>IF(D1490="","","Срок сдачи"&amp;": ")</f>
        <v/>
      </c>
      <c r="E1493" s="64" t="str">
        <f>IFERROR(VLOOKUP(C$13&amp;$B1493,Aux!$B:$M,6,0),"")</f>
        <v/>
      </c>
      <c r="F1493" s="64"/>
      <c r="G1493" s="63"/>
      <c r="K1493" s="59"/>
      <c r="L1493" s="16" t="str">
        <f>IF(L1490="","","Срок сдачи"&amp;": ")</f>
        <v/>
      </c>
      <c r="M1493" s="64" t="str">
        <f>IFERROR(VLOOKUP(K$13&amp;$B1493,Aux!$B:$M,6,0),"")</f>
        <v/>
      </c>
      <c r="N1493" s="64"/>
      <c r="O1493" s="63"/>
      <c r="S1493" s="59"/>
      <c r="T1493" s="16" t="str">
        <f>IF(T1490="","","Срок сдачи"&amp;": ")</f>
        <v/>
      </c>
      <c r="U1493" s="64" t="str">
        <f>IFERROR(VLOOKUP(S$13&amp;$B1493,Aux!$B:$M,6,0),"")</f>
        <v/>
      </c>
      <c r="V1493" s="64"/>
      <c r="W1493" s="63"/>
      <c r="AA1493" s="59"/>
      <c r="AB1493" s="16" t="str">
        <f>IF(AB1490="","","Срок сдачи"&amp;": ")</f>
        <v/>
      </c>
      <c r="AC1493" s="64" t="str">
        <f>IFERROR(VLOOKUP(AA$13&amp;$B1493,Aux!$B:$M,6,0),"")</f>
        <v/>
      </c>
      <c r="AD1493" s="64"/>
      <c r="AE1493" s="63"/>
    </row>
    <row r="1494" spans="2:31" x14ac:dyDescent="0.25">
      <c r="B1494" s="53">
        <f t="shared" si="23"/>
        <v>296</v>
      </c>
      <c r="C1494" s="7"/>
      <c r="D1494" s="17"/>
      <c r="E1494" s="7"/>
      <c r="F1494" s="18"/>
      <c r="G1494" s="18"/>
      <c r="K1494" s="13"/>
      <c r="L1494" s="17"/>
      <c r="M1494" s="13"/>
      <c r="N1494" s="14"/>
      <c r="O1494" s="14"/>
      <c r="S1494" s="13"/>
      <c r="T1494" s="17"/>
      <c r="U1494" s="13"/>
      <c r="V1494" s="14"/>
      <c r="W1494" s="14"/>
      <c r="AA1494" s="13"/>
      <c r="AB1494" s="17"/>
      <c r="AC1494" s="13"/>
      <c r="AD1494" s="14"/>
      <c r="AE1494" s="30"/>
    </row>
    <row r="1495" spans="2:31" x14ac:dyDescent="0.25">
      <c r="B1495" s="53">
        <f t="shared" si="23"/>
        <v>297</v>
      </c>
      <c r="C1495" s="59" t="str">
        <f>IFERROR(VLOOKUP(C$13&amp;$B1499,Aux!$B:$M,5,0),"")</f>
        <v/>
      </c>
      <c r="D1495" s="60" t="str">
        <f>IFERROR(VLOOKUP(C$13&amp;$B1495,Aux!$B:$M,3,0),"")</f>
        <v/>
      </c>
      <c r="E1495" s="60"/>
      <c r="F1495" s="60"/>
      <c r="G1495" s="61" t="str">
        <f>IFERROR(VLOOKUP(C$13&amp;$B1495,Aux!$B:$M,9,0),"")</f>
        <v/>
      </c>
      <c r="K1495" s="59" t="str">
        <f>IFERROR(VLOOKUP(K$13&amp;$B1499,Aux!$B:$M,5,0),"")</f>
        <v/>
      </c>
      <c r="L1495" s="60" t="str">
        <f>IFERROR(VLOOKUP(K$13&amp;$B1495,Aux!$B:$M,3,0),"")</f>
        <v/>
      </c>
      <c r="M1495" s="60"/>
      <c r="N1495" s="60"/>
      <c r="O1495" s="61" t="str">
        <f>IFERROR(VLOOKUP(K$13&amp;$B1495,Aux!$B:$M,9,0),"")</f>
        <v/>
      </c>
      <c r="S1495" s="59" t="str">
        <f>IFERROR(VLOOKUP(S$13&amp;$B1499,Aux!$B:$M,5,0),"")</f>
        <v/>
      </c>
      <c r="T1495" s="60" t="str">
        <f>IFERROR(VLOOKUP(S$13&amp;$B1495,Aux!$B:$M,3,0),"")</f>
        <v/>
      </c>
      <c r="U1495" s="60"/>
      <c r="V1495" s="60"/>
      <c r="W1495" s="61" t="str">
        <f>IFERROR(VLOOKUP(S$13&amp;$B1495,Aux!$B:$M,9,0),"")</f>
        <v/>
      </c>
      <c r="AA1495" s="59" t="str">
        <f>IFERROR(VLOOKUP(AA$13&amp;$B1499,Aux!$B:$M,5,0),"")</f>
        <v/>
      </c>
      <c r="AB1495" s="60" t="str">
        <f>IFERROR(VLOOKUP(AA$13&amp;$B1495,Aux!$B:$M,3,0),"")</f>
        <v/>
      </c>
      <c r="AC1495" s="60"/>
      <c r="AD1495" s="60"/>
      <c r="AE1495" s="61" t="str">
        <f>IFERROR(VLOOKUP(AA$13&amp;$B1495,Aux!$B:$M,9,0),"")</f>
        <v/>
      </c>
    </row>
    <row r="1496" spans="2:31" x14ac:dyDescent="0.25">
      <c r="B1496" s="53">
        <f t="shared" si="23"/>
        <v>297</v>
      </c>
      <c r="C1496" s="59"/>
      <c r="D1496" s="60"/>
      <c r="E1496" s="60"/>
      <c r="F1496" s="60"/>
      <c r="G1496" s="61"/>
      <c r="K1496" s="59"/>
      <c r="L1496" s="60"/>
      <c r="M1496" s="60"/>
      <c r="N1496" s="60"/>
      <c r="O1496" s="61"/>
      <c r="S1496" s="59"/>
      <c r="T1496" s="60"/>
      <c r="U1496" s="60"/>
      <c r="V1496" s="60"/>
      <c r="W1496" s="61"/>
      <c r="AA1496" s="59"/>
      <c r="AB1496" s="60"/>
      <c r="AC1496" s="60"/>
      <c r="AD1496" s="60"/>
      <c r="AE1496" s="61"/>
    </row>
    <row r="1497" spans="2:31" x14ac:dyDescent="0.25">
      <c r="B1497" s="53">
        <f t="shared" si="23"/>
        <v>297</v>
      </c>
      <c r="C1497" s="59"/>
      <c r="D1497" s="15" t="str">
        <f>IF(D1495="","","Исполнитель"&amp;": ")</f>
        <v/>
      </c>
      <c r="E1497" s="62" t="str">
        <f>IFERROR(VLOOKUP(C$13&amp;$B1497,Aux!$B:$M,4,0),"")</f>
        <v/>
      </c>
      <c r="F1497" s="62"/>
      <c r="G1497" s="63" t="str">
        <f>IFERROR(IF(VLOOKUP(C$13&amp;$B1495,Aux!$B:$M,8,0)="Да","✔","🕓"),"")</f>
        <v/>
      </c>
      <c r="K1497" s="59"/>
      <c r="L1497" s="15" t="str">
        <f>IF(L1495="","","Исполнитель"&amp;": ")</f>
        <v/>
      </c>
      <c r="M1497" s="62" t="str">
        <f>IFERROR(VLOOKUP(K$13&amp;$B1497,Aux!$B:$M,4,0),"")</f>
        <v/>
      </c>
      <c r="N1497" s="62"/>
      <c r="O1497" s="63" t="str">
        <f>IFERROR(IF(VLOOKUP(K$13&amp;$B1495,Aux!$B:$M,8,0)="Да","✔","🕓"),"")</f>
        <v/>
      </c>
      <c r="S1497" s="59"/>
      <c r="T1497" s="15" t="str">
        <f>IF(T1495="","","Исполнитель"&amp;": ")</f>
        <v/>
      </c>
      <c r="U1497" s="62" t="str">
        <f>IFERROR(VLOOKUP(S$13&amp;$B1497,Aux!$B:$M,4,0),"")</f>
        <v/>
      </c>
      <c r="V1497" s="62"/>
      <c r="W1497" s="63" t="str">
        <f>IFERROR(IF(VLOOKUP(S$13&amp;$B1495,Aux!$B:$M,8,0)="Да","✔","🕓"),"")</f>
        <v/>
      </c>
      <c r="AA1497" s="59"/>
      <c r="AB1497" s="15" t="str">
        <f>IF(AB1495="","","Исполнитель"&amp;": ")</f>
        <v/>
      </c>
      <c r="AC1497" s="62" t="str">
        <f>IFERROR(VLOOKUP(AA$13&amp;$B1497,Aux!$B:$M,4,0),"")</f>
        <v/>
      </c>
      <c r="AD1497" s="62"/>
      <c r="AE1497" s="63" t="str">
        <f>IFERROR(IF(VLOOKUP(AA$13&amp;$B1495,Aux!$B:$M,8,0)="Да","✔","🕓"),"")</f>
        <v/>
      </c>
    </row>
    <row r="1498" spans="2:31" x14ac:dyDescent="0.25">
      <c r="B1498" s="53">
        <f t="shared" si="23"/>
        <v>297</v>
      </c>
      <c r="C1498" s="59"/>
      <c r="D1498" s="16" t="str">
        <f>IF(D1495="","","Срок сдачи"&amp;": ")</f>
        <v/>
      </c>
      <c r="E1498" s="64" t="str">
        <f>IFERROR(VLOOKUP(C$13&amp;$B1498,Aux!$B:$M,6,0),"")</f>
        <v/>
      </c>
      <c r="F1498" s="64"/>
      <c r="G1498" s="63"/>
      <c r="K1498" s="59"/>
      <c r="L1498" s="16" t="str">
        <f>IF(L1495="","","Срок сдачи"&amp;": ")</f>
        <v/>
      </c>
      <c r="M1498" s="64" t="str">
        <f>IFERROR(VLOOKUP(K$13&amp;$B1498,Aux!$B:$M,6,0),"")</f>
        <v/>
      </c>
      <c r="N1498" s="64"/>
      <c r="O1498" s="63"/>
      <c r="S1498" s="59"/>
      <c r="T1498" s="16" t="str">
        <f>IF(T1495="","","Срок сдачи"&amp;": ")</f>
        <v/>
      </c>
      <c r="U1498" s="64" t="str">
        <f>IFERROR(VLOOKUP(S$13&amp;$B1498,Aux!$B:$M,6,0),"")</f>
        <v/>
      </c>
      <c r="V1498" s="64"/>
      <c r="W1498" s="63"/>
      <c r="AA1498" s="59"/>
      <c r="AB1498" s="16" t="str">
        <f>IF(AB1495="","","Срок сдачи"&amp;": ")</f>
        <v/>
      </c>
      <c r="AC1498" s="64" t="str">
        <f>IFERROR(VLOOKUP(AA$13&amp;$B1498,Aux!$B:$M,6,0),"")</f>
        <v/>
      </c>
      <c r="AD1498" s="64"/>
      <c r="AE1498" s="63"/>
    </row>
    <row r="1499" spans="2:31" x14ac:dyDescent="0.25">
      <c r="B1499" s="53">
        <f t="shared" si="23"/>
        <v>297</v>
      </c>
      <c r="C1499" s="7"/>
      <c r="D1499" s="17"/>
      <c r="E1499" s="7"/>
      <c r="F1499" s="18"/>
      <c r="G1499" s="18"/>
      <c r="K1499" s="13"/>
      <c r="L1499" s="17"/>
      <c r="M1499" s="13"/>
      <c r="N1499" s="14"/>
      <c r="O1499" s="14"/>
      <c r="S1499" s="13"/>
      <c r="T1499" s="17"/>
      <c r="U1499" s="13"/>
      <c r="V1499" s="14"/>
      <c r="W1499" s="14"/>
      <c r="AA1499" s="13"/>
      <c r="AB1499" s="17"/>
      <c r="AC1499" s="13"/>
      <c r="AD1499" s="14"/>
      <c r="AE1499" s="30"/>
    </row>
    <row r="1500" spans="2:31" x14ac:dyDescent="0.25">
      <c r="B1500" s="53">
        <f t="shared" si="23"/>
        <v>298</v>
      </c>
      <c r="C1500" s="59" t="str">
        <f>IFERROR(VLOOKUP(C$13&amp;$B1504,Aux!$B:$M,5,0),"")</f>
        <v/>
      </c>
      <c r="D1500" s="60" t="str">
        <f>IFERROR(VLOOKUP(C$13&amp;$B1500,Aux!$B:$M,3,0),"")</f>
        <v/>
      </c>
      <c r="E1500" s="60"/>
      <c r="F1500" s="60"/>
      <c r="G1500" s="61" t="str">
        <f>IFERROR(VLOOKUP(C$13&amp;$B1500,Aux!$B:$M,9,0),"")</f>
        <v/>
      </c>
      <c r="K1500" s="59" t="str">
        <f>IFERROR(VLOOKUP(K$13&amp;$B1504,Aux!$B:$M,5,0),"")</f>
        <v/>
      </c>
      <c r="L1500" s="60" t="str">
        <f>IFERROR(VLOOKUP(K$13&amp;$B1500,Aux!$B:$M,3,0),"")</f>
        <v/>
      </c>
      <c r="M1500" s="60"/>
      <c r="N1500" s="60"/>
      <c r="O1500" s="61" t="str">
        <f>IFERROR(VLOOKUP(K$13&amp;$B1500,Aux!$B:$M,9,0),"")</f>
        <v/>
      </c>
      <c r="S1500" s="59" t="str">
        <f>IFERROR(VLOOKUP(S$13&amp;$B1504,Aux!$B:$M,5,0),"")</f>
        <v/>
      </c>
      <c r="T1500" s="60" t="str">
        <f>IFERROR(VLOOKUP(S$13&amp;$B1500,Aux!$B:$M,3,0),"")</f>
        <v/>
      </c>
      <c r="U1500" s="60"/>
      <c r="V1500" s="60"/>
      <c r="W1500" s="61" t="str">
        <f>IFERROR(VLOOKUP(S$13&amp;$B1500,Aux!$B:$M,9,0),"")</f>
        <v/>
      </c>
      <c r="AA1500" s="59" t="str">
        <f>IFERROR(VLOOKUP(AA$13&amp;$B1504,Aux!$B:$M,5,0),"")</f>
        <v/>
      </c>
      <c r="AB1500" s="60" t="str">
        <f>IFERROR(VLOOKUP(AA$13&amp;$B1500,Aux!$B:$M,3,0),"")</f>
        <v/>
      </c>
      <c r="AC1500" s="60"/>
      <c r="AD1500" s="60"/>
      <c r="AE1500" s="61" t="str">
        <f>IFERROR(VLOOKUP(AA$13&amp;$B1500,Aux!$B:$M,9,0),"")</f>
        <v/>
      </c>
    </row>
    <row r="1501" spans="2:31" x14ac:dyDescent="0.25">
      <c r="B1501" s="53">
        <f t="shared" si="23"/>
        <v>298</v>
      </c>
      <c r="C1501" s="59"/>
      <c r="D1501" s="60"/>
      <c r="E1501" s="60"/>
      <c r="F1501" s="60"/>
      <c r="G1501" s="61"/>
      <c r="K1501" s="59"/>
      <c r="L1501" s="60"/>
      <c r="M1501" s="60"/>
      <c r="N1501" s="60"/>
      <c r="O1501" s="61"/>
      <c r="S1501" s="59"/>
      <c r="T1501" s="60"/>
      <c r="U1501" s="60"/>
      <c r="V1501" s="60"/>
      <c r="W1501" s="61"/>
      <c r="AA1501" s="59"/>
      <c r="AB1501" s="60"/>
      <c r="AC1501" s="60"/>
      <c r="AD1501" s="60"/>
      <c r="AE1501" s="61"/>
    </row>
    <row r="1502" spans="2:31" x14ac:dyDescent="0.25">
      <c r="B1502" s="53">
        <f t="shared" si="23"/>
        <v>298</v>
      </c>
      <c r="C1502" s="59"/>
      <c r="D1502" s="15" t="str">
        <f>IF(D1500="","","Исполнитель"&amp;": ")</f>
        <v/>
      </c>
      <c r="E1502" s="62" t="str">
        <f>IFERROR(VLOOKUP(C$13&amp;$B1502,Aux!$B:$M,4,0),"")</f>
        <v/>
      </c>
      <c r="F1502" s="62"/>
      <c r="G1502" s="63" t="str">
        <f>IFERROR(IF(VLOOKUP(C$13&amp;$B1500,Aux!$B:$M,8,0)="Да","✔","🕓"),"")</f>
        <v/>
      </c>
      <c r="K1502" s="59"/>
      <c r="L1502" s="15" t="str">
        <f>IF(L1500="","","Исполнитель"&amp;": ")</f>
        <v/>
      </c>
      <c r="M1502" s="62" t="str">
        <f>IFERROR(VLOOKUP(K$13&amp;$B1502,Aux!$B:$M,4,0),"")</f>
        <v/>
      </c>
      <c r="N1502" s="62"/>
      <c r="O1502" s="63" t="str">
        <f>IFERROR(IF(VLOOKUP(K$13&amp;$B1500,Aux!$B:$M,8,0)="Да","✔","🕓"),"")</f>
        <v/>
      </c>
      <c r="S1502" s="59"/>
      <c r="T1502" s="15" t="str">
        <f>IF(T1500="","","Исполнитель"&amp;": ")</f>
        <v/>
      </c>
      <c r="U1502" s="62" t="str">
        <f>IFERROR(VLOOKUP(S$13&amp;$B1502,Aux!$B:$M,4,0),"")</f>
        <v/>
      </c>
      <c r="V1502" s="62"/>
      <c r="W1502" s="63" t="str">
        <f>IFERROR(IF(VLOOKUP(S$13&amp;$B1500,Aux!$B:$M,8,0)="Да","✔","🕓"),"")</f>
        <v/>
      </c>
      <c r="AA1502" s="59"/>
      <c r="AB1502" s="15" t="str">
        <f>IF(AB1500="","","Исполнитель"&amp;": ")</f>
        <v/>
      </c>
      <c r="AC1502" s="62" t="str">
        <f>IFERROR(VLOOKUP(AA$13&amp;$B1502,Aux!$B:$M,4,0),"")</f>
        <v/>
      </c>
      <c r="AD1502" s="62"/>
      <c r="AE1502" s="63" t="str">
        <f>IFERROR(IF(VLOOKUP(AA$13&amp;$B1500,Aux!$B:$M,8,0)="Да","✔","🕓"),"")</f>
        <v/>
      </c>
    </row>
    <row r="1503" spans="2:31" x14ac:dyDescent="0.25">
      <c r="B1503" s="53">
        <f t="shared" si="23"/>
        <v>298</v>
      </c>
      <c r="C1503" s="59"/>
      <c r="D1503" s="16" t="str">
        <f>IF(D1500="","","Срок сдачи"&amp;": ")</f>
        <v/>
      </c>
      <c r="E1503" s="64" t="str">
        <f>IFERROR(VLOOKUP(C$13&amp;$B1503,Aux!$B:$M,6,0),"")</f>
        <v/>
      </c>
      <c r="F1503" s="64"/>
      <c r="G1503" s="63"/>
      <c r="K1503" s="59"/>
      <c r="L1503" s="16" t="str">
        <f>IF(L1500="","","Срок сдачи"&amp;": ")</f>
        <v/>
      </c>
      <c r="M1503" s="64" t="str">
        <f>IFERROR(VLOOKUP(K$13&amp;$B1503,Aux!$B:$M,6,0),"")</f>
        <v/>
      </c>
      <c r="N1503" s="64"/>
      <c r="O1503" s="63"/>
      <c r="S1503" s="59"/>
      <c r="T1503" s="16" t="str">
        <f>IF(T1500="","","Срок сдачи"&amp;": ")</f>
        <v/>
      </c>
      <c r="U1503" s="64" t="str">
        <f>IFERROR(VLOOKUP(S$13&amp;$B1503,Aux!$B:$M,6,0),"")</f>
        <v/>
      </c>
      <c r="V1503" s="64"/>
      <c r="W1503" s="63"/>
      <c r="AA1503" s="59"/>
      <c r="AB1503" s="16" t="str">
        <f>IF(AB1500="","","Срок сдачи"&amp;": ")</f>
        <v/>
      </c>
      <c r="AC1503" s="64" t="str">
        <f>IFERROR(VLOOKUP(AA$13&amp;$B1503,Aux!$B:$M,6,0),"")</f>
        <v/>
      </c>
      <c r="AD1503" s="64"/>
      <c r="AE1503" s="63"/>
    </row>
    <row r="1504" spans="2:31" x14ac:dyDescent="0.25">
      <c r="B1504" s="53">
        <f t="shared" si="23"/>
        <v>298</v>
      </c>
      <c r="C1504" s="7"/>
      <c r="D1504" s="17"/>
      <c r="E1504" s="7"/>
      <c r="F1504" s="18"/>
      <c r="G1504" s="18"/>
      <c r="K1504" s="13"/>
      <c r="L1504" s="17"/>
      <c r="M1504" s="13"/>
      <c r="N1504" s="14"/>
      <c r="O1504" s="14"/>
      <c r="S1504" s="13"/>
      <c r="T1504" s="17"/>
      <c r="U1504" s="13"/>
      <c r="V1504" s="14"/>
      <c r="W1504" s="14"/>
      <c r="AA1504" s="13"/>
      <c r="AB1504" s="17"/>
      <c r="AC1504" s="13"/>
      <c r="AD1504" s="14"/>
      <c r="AE1504" s="30"/>
    </row>
    <row r="1505" spans="2:31" x14ac:dyDescent="0.25">
      <c r="B1505" s="53">
        <f t="shared" si="23"/>
        <v>299</v>
      </c>
      <c r="C1505" s="59" t="str">
        <f>IFERROR(VLOOKUP(C$13&amp;$B1509,Aux!$B:$M,5,0),"")</f>
        <v/>
      </c>
      <c r="D1505" s="60" t="str">
        <f>IFERROR(VLOOKUP(C$13&amp;$B1505,Aux!$B:$M,3,0),"")</f>
        <v/>
      </c>
      <c r="E1505" s="60"/>
      <c r="F1505" s="60"/>
      <c r="G1505" s="61" t="str">
        <f>IFERROR(VLOOKUP(C$13&amp;$B1505,Aux!$B:$M,9,0),"")</f>
        <v/>
      </c>
      <c r="K1505" s="59" t="str">
        <f>IFERROR(VLOOKUP(K$13&amp;$B1509,Aux!$B:$M,5,0),"")</f>
        <v/>
      </c>
      <c r="L1505" s="60" t="str">
        <f>IFERROR(VLOOKUP(K$13&amp;$B1505,Aux!$B:$M,3,0),"")</f>
        <v/>
      </c>
      <c r="M1505" s="60"/>
      <c r="N1505" s="60"/>
      <c r="O1505" s="61" t="str">
        <f>IFERROR(VLOOKUP(K$13&amp;$B1505,Aux!$B:$M,9,0),"")</f>
        <v/>
      </c>
      <c r="S1505" s="59" t="str">
        <f>IFERROR(VLOOKUP(S$13&amp;$B1509,Aux!$B:$M,5,0),"")</f>
        <v/>
      </c>
      <c r="T1505" s="60" t="str">
        <f>IFERROR(VLOOKUP(S$13&amp;$B1505,Aux!$B:$M,3,0),"")</f>
        <v/>
      </c>
      <c r="U1505" s="60"/>
      <c r="V1505" s="60"/>
      <c r="W1505" s="61" t="str">
        <f>IFERROR(VLOOKUP(S$13&amp;$B1505,Aux!$B:$M,9,0),"")</f>
        <v/>
      </c>
      <c r="AA1505" s="59" t="str">
        <f>IFERROR(VLOOKUP(AA$13&amp;$B1509,Aux!$B:$M,5,0),"")</f>
        <v/>
      </c>
      <c r="AB1505" s="60" t="str">
        <f>IFERROR(VLOOKUP(AA$13&amp;$B1505,Aux!$B:$M,3,0),"")</f>
        <v/>
      </c>
      <c r="AC1505" s="60"/>
      <c r="AD1505" s="60"/>
      <c r="AE1505" s="61" t="str">
        <f>IFERROR(VLOOKUP(AA$13&amp;$B1505,Aux!$B:$M,9,0),"")</f>
        <v/>
      </c>
    </row>
    <row r="1506" spans="2:31" x14ac:dyDescent="0.25">
      <c r="B1506" s="53">
        <f t="shared" si="23"/>
        <v>299</v>
      </c>
      <c r="C1506" s="59"/>
      <c r="D1506" s="60"/>
      <c r="E1506" s="60"/>
      <c r="F1506" s="60"/>
      <c r="G1506" s="61"/>
      <c r="K1506" s="59"/>
      <c r="L1506" s="60"/>
      <c r="M1506" s="60"/>
      <c r="N1506" s="60"/>
      <c r="O1506" s="61"/>
      <c r="S1506" s="59"/>
      <c r="T1506" s="60"/>
      <c r="U1506" s="60"/>
      <c r="V1506" s="60"/>
      <c r="W1506" s="61"/>
      <c r="AA1506" s="59"/>
      <c r="AB1506" s="60"/>
      <c r="AC1506" s="60"/>
      <c r="AD1506" s="60"/>
      <c r="AE1506" s="61"/>
    </row>
    <row r="1507" spans="2:31" x14ac:dyDescent="0.25">
      <c r="B1507" s="53">
        <f t="shared" si="23"/>
        <v>299</v>
      </c>
      <c r="C1507" s="59"/>
      <c r="D1507" s="15" t="str">
        <f>IF(D1505="","","Исполнитель"&amp;": ")</f>
        <v/>
      </c>
      <c r="E1507" s="62" t="str">
        <f>IFERROR(VLOOKUP(C$13&amp;$B1507,Aux!$B:$M,4,0),"")</f>
        <v/>
      </c>
      <c r="F1507" s="62"/>
      <c r="G1507" s="63" t="str">
        <f>IFERROR(IF(VLOOKUP(C$13&amp;$B1505,Aux!$B:$M,8,0)="Да","✔","🕓"),"")</f>
        <v/>
      </c>
      <c r="K1507" s="59"/>
      <c r="L1507" s="15" t="str">
        <f>IF(L1505="","","Исполнитель"&amp;": ")</f>
        <v/>
      </c>
      <c r="M1507" s="62" t="str">
        <f>IFERROR(VLOOKUP(K$13&amp;$B1507,Aux!$B:$M,4,0),"")</f>
        <v/>
      </c>
      <c r="N1507" s="62"/>
      <c r="O1507" s="63" t="str">
        <f>IFERROR(IF(VLOOKUP(K$13&amp;$B1505,Aux!$B:$M,8,0)="Да","✔","🕓"),"")</f>
        <v/>
      </c>
      <c r="S1507" s="59"/>
      <c r="T1507" s="15" t="str">
        <f>IF(T1505="","","Исполнитель"&amp;": ")</f>
        <v/>
      </c>
      <c r="U1507" s="62" t="str">
        <f>IFERROR(VLOOKUP(S$13&amp;$B1507,Aux!$B:$M,4,0),"")</f>
        <v/>
      </c>
      <c r="V1507" s="62"/>
      <c r="W1507" s="63" t="str">
        <f>IFERROR(IF(VLOOKUP(S$13&amp;$B1505,Aux!$B:$M,8,0)="Да","✔","🕓"),"")</f>
        <v/>
      </c>
      <c r="AA1507" s="59"/>
      <c r="AB1507" s="15" t="str">
        <f>IF(AB1505="","","Исполнитель"&amp;": ")</f>
        <v/>
      </c>
      <c r="AC1507" s="62" t="str">
        <f>IFERROR(VLOOKUP(AA$13&amp;$B1507,Aux!$B:$M,4,0),"")</f>
        <v/>
      </c>
      <c r="AD1507" s="62"/>
      <c r="AE1507" s="63" t="str">
        <f>IFERROR(IF(VLOOKUP(AA$13&amp;$B1505,Aux!$B:$M,8,0)="Да","✔","🕓"),"")</f>
        <v/>
      </c>
    </row>
    <row r="1508" spans="2:31" x14ac:dyDescent="0.25">
      <c r="B1508" s="53">
        <f t="shared" si="23"/>
        <v>299</v>
      </c>
      <c r="C1508" s="59"/>
      <c r="D1508" s="16" t="str">
        <f>IF(D1505="","","Срок сдачи"&amp;": ")</f>
        <v/>
      </c>
      <c r="E1508" s="64" t="str">
        <f>IFERROR(VLOOKUP(C$13&amp;$B1508,Aux!$B:$M,6,0),"")</f>
        <v/>
      </c>
      <c r="F1508" s="64"/>
      <c r="G1508" s="63"/>
      <c r="K1508" s="59"/>
      <c r="L1508" s="16" t="str">
        <f>IF(L1505="","","Срок сдачи"&amp;": ")</f>
        <v/>
      </c>
      <c r="M1508" s="64" t="str">
        <f>IFERROR(VLOOKUP(K$13&amp;$B1508,Aux!$B:$M,6,0),"")</f>
        <v/>
      </c>
      <c r="N1508" s="64"/>
      <c r="O1508" s="63"/>
      <c r="S1508" s="59"/>
      <c r="T1508" s="16" t="str">
        <f>IF(T1505="","","Срок сдачи"&amp;": ")</f>
        <v/>
      </c>
      <c r="U1508" s="64" t="str">
        <f>IFERROR(VLOOKUP(S$13&amp;$B1508,Aux!$B:$M,6,0),"")</f>
        <v/>
      </c>
      <c r="V1508" s="64"/>
      <c r="W1508" s="63"/>
      <c r="AA1508" s="59"/>
      <c r="AB1508" s="16" t="str">
        <f>IF(AB1505="","","Срок сдачи"&amp;": ")</f>
        <v/>
      </c>
      <c r="AC1508" s="64" t="str">
        <f>IFERROR(VLOOKUP(AA$13&amp;$B1508,Aux!$B:$M,6,0),"")</f>
        <v/>
      </c>
      <c r="AD1508" s="64"/>
      <c r="AE1508" s="63"/>
    </row>
    <row r="1509" spans="2:31" x14ac:dyDescent="0.25">
      <c r="B1509" s="53">
        <f t="shared" si="23"/>
        <v>299</v>
      </c>
      <c r="C1509" s="7"/>
      <c r="D1509" s="17"/>
      <c r="E1509" s="7"/>
      <c r="F1509" s="18"/>
      <c r="G1509" s="18"/>
      <c r="K1509" s="13"/>
      <c r="L1509" s="17"/>
      <c r="M1509" s="13"/>
      <c r="N1509" s="14"/>
      <c r="O1509" s="14"/>
      <c r="S1509" s="13"/>
      <c r="T1509" s="17"/>
      <c r="U1509" s="13"/>
      <c r="V1509" s="14"/>
      <c r="W1509" s="14"/>
      <c r="AA1509" s="13"/>
      <c r="AB1509" s="17"/>
      <c r="AC1509" s="13"/>
      <c r="AD1509" s="14"/>
      <c r="AE1509" s="30"/>
    </row>
    <row r="1510" spans="2:31" x14ac:dyDescent="0.25">
      <c r="B1510" s="53">
        <f t="shared" si="23"/>
        <v>300</v>
      </c>
      <c r="C1510" s="59" t="str">
        <f>IFERROR(VLOOKUP(C$13&amp;$B1514,Aux!$B:$M,5,0),"")</f>
        <v/>
      </c>
      <c r="D1510" s="60" t="str">
        <f>IFERROR(VLOOKUP(C$13&amp;$B1510,Aux!$B:$M,3,0),"")</f>
        <v/>
      </c>
      <c r="E1510" s="60"/>
      <c r="F1510" s="60"/>
      <c r="G1510" s="61" t="str">
        <f>IFERROR(VLOOKUP(C$13&amp;$B1510,Aux!$B:$M,9,0),"")</f>
        <v/>
      </c>
      <c r="K1510" s="59" t="str">
        <f>IFERROR(VLOOKUP(K$13&amp;$B1514,Aux!$B:$M,5,0),"")</f>
        <v/>
      </c>
      <c r="L1510" s="60" t="str">
        <f>IFERROR(VLOOKUP(K$13&amp;$B1510,Aux!$B:$M,3,0),"")</f>
        <v/>
      </c>
      <c r="M1510" s="60"/>
      <c r="N1510" s="60"/>
      <c r="O1510" s="61" t="str">
        <f>IFERROR(VLOOKUP(K$13&amp;$B1510,Aux!$B:$M,9,0),"")</f>
        <v/>
      </c>
      <c r="S1510" s="59" t="str">
        <f>IFERROR(VLOOKUP(S$13&amp;$B1514,Aux!$B:$M,5,0),"")</f>
        <v/>
      </c>
      <c r="T1510" s="60" t="str">
        <f>IFERROR(VLOOKUP(S$13&amp;$B1510,Aux!$B:$M,3,0),"")</f>
        <v/>
      </c>
      <c r="U1510" s="60"/>
      <c r="V1510" s="60"/>
      <c r="W1510" s="61" t="str">
        <f>IFERROR(VLOOKUP(S$13&amp;$B1510,Aux!$B:$M,9,0),"")</f>
        <v/>
      </c>
      <c r="AA1510" s="59" t="str">
        <f>IFERROR(VLOOKUP(AA$13&amp;$B1514,Aux!$B:$M,5,0),"")</f>
        <v/>
      </c>
      <c r="AB1510" s="60" t="str">
        <f>IFERROR(VLOOKUP(AA$13&amp;$B1510,Aux!$B:$M,3,0),"")</f>
        <v/>
      </c>
      <c r="AC1510" s="60"/>
      <c r="AD1510" s="60"/>
      <c r="AE1510" s="61" t="str">
        <f>IFERROR(VLOOKUP(AA$13&amp;$B1510,Aux!$B:$M,9,0),"")</f>
        <v/>
      </c>
    </row>
    <row r="1511" spans="2:31" x14ac:dyDescent="0.25">
      <c r="B1511" s="53">
        <f t="shared" si="23"/>
        <v>300</v>
      </c>
      <c r="C1511" s="59"/>
      <c r="D1511" s="60"/>
      <c r="E1511" s="60"/>
      <c r="F1511" s="60"/>
      <c r="G1511" s="61"/>
      <c r="K1511" s="59"/>
      <c r="L1511" s="60"/>
      <c r="M1511" s="60"/>
      <c r="N1511" s="60"/>
      <c r="O1511" s="61"/>
      <c r="S1511" s="59"/>
      <c r="T1511" s="60"/>
      <c r="U1511" s="60"/>
      <c r="V1511" s="60"/>
      <c r="W1511" s="61"/>
      <c r="AA1511" s="59"/>
      <c r="AB1511" s="60"/>
      <c r="AC1511" s="60"/>
      <c r="AD1511" s="60"/>
      <c r="AE1511" s="61"/>
    </row>
    <row r="1512" spans="2:31" x14ac:dyDescent="0.25">
      <c r="B1512" s="53">
        <f t="shared" si="23"/>
        <v>300</v>
      </c>
      <c r="C1512" s="59"/>
      <c r="D1512" s="15" t="str">
        <f>IF(D1510="","","Исполнитель"&amp;": ")</f>
        <v/>
      </c>
      <c r="E1512" s="62" t="str">
        <f>IFERROR(VLOOKUP(C$13&amp;$B1512,Aux!$B:$M,4,0),"")</f>
        <v/>
      </c>
      <c r="F1512" s="62"/>
      <c r="G1512" s="63" t="str">
        <f>IFERROR(IF(VLOOKUP(C$13&amp;$B1510,Aux!$B:$M,8,0)="Да","✔","🕓"),"")</f>
        <v/>
      </c>
      <c r="K1512" s="59"/>
      <c r="L1512" s="15" t="str">
        <f>IF(L1510="","","Исполнитель"&amp;": ")</f>
        <v/>
      </c>
      <c r="M1512" s="62" t="str">
        <f>IFERROR(VLOOKUP(K$13&amp;$B1512,Aux!$B:$M,4,0),"")</f>
        <v/>
      </c>
      <c r="N1512" s="62"/>
      <c r="O1512" s="63" t="str">
        <f>IFERROR(IF(VLOOKUP(K$13&amp;$B1510,Aux!$B:$M,8,0)="Да","✔","🕓"),"")</f>
        <v/>
      </c>
      <c r="S1512" s="59"/>
      <c r="T1512" s="15" t="str">
        <f>IF(T1510="","","Исполнитель"&amp;": ")</f>
        <v/>
      </c>
      <c r="U1512" s="62" t="str">
        <f>IFERROR(VLOOKUP(S$13&amp;$B1512,Aux!$B:$M,4,0),"")</f>
        <v/>
      </c>
      <c r="V1512" s="62"/>
      <c r="W1512" s="63" t="str">
        <f>IFERROR(IF(VLOOKUP(S$13&amp;$B1510,Aux!$B:$M,8,0)="Да","✔","🕓"),"")</f>
        <v/>
      </c>
      <c r="AA1512" s="59"/>
      <c r="AB1512" s="15" t="str">
        <f>IF(AB1510="","","Исполнитель"&amp;": ")</f>
        <v/>
      </c>
      <c r="AC1512" s="62" t="str">
        <f>IFERROR(VLOOKUP(AA$13&amp;$B1512,Aux!$B:$M,4,0),"")</f>
        <v/>
      </c>
      <c r="AD1512" s="62"/>
      <c r="AE1512" s="63" t="str">
        <f>IFERROR(IF(VLOOKUP(AA$13&amp;$B1510,Aux!$B:$M,8,0)="Да","✔","🕓"),"")</f>
        <v/>
      </c>
    </row>
    <row r="1513" spans="2:31" x14ac:dyDescent="0.25">
      <c r="B1513" s="53">
        <f t="shared" si="23"/>
        <v>300</v>
      </c>
      <c r="C1513" s="59"/>
      <c r="D1513" s="16" t="str">
        <f>IF(D1510="","","Срок сдачи"&amp;": ")</f>
        <v/>
      </c>
      <c r="E1513" s="64" t="str">
        <f>IFERROR(VLOOKUP(C$13&amp;$B1513,Aux!$B:$M,6,0),"")</f>
        <v/>
      </c>
      <c r="F1513" s="64"/>
      <c r="G1513" s="63"/>
      <c r="K1513" s="59"/>
      <c r="L1513" s="16" t="str">
        <f>IF(L1510="","","Срок сдачи"&amp;": ")</f>
        <v/>
      </c>
      <c r="M1513" s="64" t="str">
        <f>IFERROR(VLOOKUP(K$13&amp;$B1513,Aux!$B:$M,6,0),"")</f>
        <v/>
      </c>
      <c r="N1513" s="64"/>
      <c r="O1513" s="63"/>
      <c r="S1513" s="59"/>
      <c r="T1513" s="16" t="str">
        <f>IF(T1510="","","Срок сдачи"&amp;": ")</f>
        <v/>
      </c>
      <c r="U1513" s="64" t="str">
        <f>IFERROR(VLOOKUP(S$13&amp;$B1513,Aux!$B:$M,6,0),"")</f>
        <v/>
      </c>
      <c r="V1513" s="64"/>
      <c r="W1513" s="63"/>
      <c r="AA1513" s="59"/>
      <c r="AB1513" s="16" t="str">
        <f>IF(AB1510="","","Срок сдачи"&amp;": ")</f>
        <v/>
      </c>
      <c r="AC1513" s="64" t="str">
        <f>IFERROR(VLOOKUP(AA$13&amp;$B1513,Aux!$B:$M,6,0),"")</f>
        <v/>
      </c>
      <c r="AD1513" s="64"/>
      <c r="AE1513" s="63"/>
    </row>
    <row r="1514" spans="2:31" x14ac:dyDescent="0.25">
      <c r="B1514" s="53">
        <f t="shared" si="23"/>
        <v>300</v>
      </c>
      <c r="C1514" s="7"/>
      <c r="D1514" s="17"/>
      <c r="E1514" s="7"/>
      <c r="F1514" s="18"/>
      <c r="G1514" s="18"/>
      <c r="K1514" s="13"/>
      <c r="L1514" s="17"/>
      <c r="M1514" s="13"/>
      <c r="N1514" s="14"/>
      <c r="O1514" s="14"/>
      <c r="S1514" s="13"/>
      <c r="T1514" s="17"/>
      <c r="U1514" s="13"/>
      <c r="V1514" s="14"/>
      <c r="W1514" s="14"/>
      <c r="AA1514" s="13"/>
      <c r="AB1514" s="17"/>
      <c r="AC1514" s="13"/>
      <c r="AD1514" s="14"/>
      <c r="AE1514" s="30"/>
    </row>
    <row r="1515" spans="2:31" x14ac:dyDescent="0.25">
      <c r="B1515" s="53">
        <f t="shared" si="23"/>
        <v>301</v>
      </c>
      <c r="C1515" s="59" t="str">
        <f>IFERROR(VLOOKUP(C$13&amp;$B1519,Aux!$B:$M,5,0),"")</f>
        <v/>
      </c>
      <c r="D1515" s="60" t="str">
        <f>IFERROR(VLOOKUP(C$13&amp;$B1515,Aux!$B:$M,3,0),"")</f>
        <v/>
      </c>
      <c r="E1515" s="60"/>
      <c r="F1515" s="60"/>
      <c r="G1515" s="61" t="str">
        <f>IFERROR(VLOOKUP(C$13&amp;$B1515,Aux!$B:$M,9,0),"")</f>
        <v/>
      </c>
      <c r="K1515" s="59" t="str">
        <f>IFERROR(VLOOKUP(K$13&amp;$B1519,Aux!$B:$M,5,0),"")</f>
        <v/>
      </c>
      <c r="L1515" s="60" t="str">
        <f>IFERROR(VLOOKUP(K$13&amp;$B1515,Aux!$B:$M,3,0),"")</f>
        <v/>
      </c>
      <c r="M1515" s="60"/>
      <c r="N1515" s="60"/>
      <c r="O1515" s="61" t="str">
        <f>IFERROR(VLOOKUP(K$13&amp;$B1515,Aux!$B:$M,9,0),"")</f>
        <v/>
      </c>
      <c r="S1515" s="59" t="str">
        <f>IFERROR(VLOOKUP(S$13&amp;$B1519,Aux!$B:$M,5,0),"")</f>
        <v/>
      </c>
      <c r="T1515" s="60" t="str">
        <f>IFERROR(VLOOKUP(S$13&amp;$B1515,Aux!$B:$M,3,0),"")</f>
        <v/>
      </c>
      <c r="U1515" s="60"/>
      <c r="V1515" s="60"/>
      <c r="W1515" s="61" t="str">
        <f>IFERROR(VLOOKUP(S$13&amp;$B1515,Aux!$B:$M,9,0),"")</f>
        <v/>
      </c>
      <c r="AA1515" s="59" t="str">
        <f>IFERROR(VLOOKUP(AA$13&amp;$B1519,Aux!$B:$M,5,0),"")</f>
        <v/>
      </c>
      <c r="AB1515" s="60" t="str">
        <f>IFERROR(VLOOKUP(AA$13&amp;$B1515,Aux!$B:$M,3,0),"")</f>
        <v/>
      </c>
      <c r="AC1515" s="60"/>
      <c r="AD1515" s="60"/>
      <c r="AE1515" s="61" t="str">
        <f>IFERROR(VLOOKUP(AA$13&amp;$B1515,Aux!$B:$M,9,0),"")</f>
        <v/>
      </c>
    </row>
    <row r="1516" spans="2:31" x14ac:dyDescent="0.25">
      <c r="B1516" s="53">
        <f t="shared" si="23"/>
        <v>301</v>
      </c>
      <c r="C1516" s="59"/>
      <c r="D1516" s="60"/>
      <c r="E1516" s="60"/>
      <c r="F1516" s="60"/>
      <c r="G1516" s="61"/>
      <c r="K1516" s="59"/>
      <c r="L1516" s="60"/>
      <c r="M1516" s="60"/>
      <c r="N1516" s="60"/>
      <c r="O1516" s="61"/>
      <c r="S1516" s="59"/>
      <c r="T1516" s="60"/>
      <c r="U1516" s="60"/>
      <c r="V1516" s="60"/>
      <c r="W1516" s="61"/>
      <c r="AA1516" s="59"/>
      <c r="AB1516" s="60"/>
      <c r="AC1516" s="60"/>
      <c r="AD1516" s="60"/>
      <c r="AE1516" s="61"/>
    </row>
    <row r="1517" spans="2:31" x14ac:dyDescent="0.25">
      <c r="B1517" s="53">
        <f t="shared" si="23"/>
        <v>301</v>
      </c>
      <c r="C1517" s="59"/>
      <c r="D1517" s="15" t="str">
        <f>IF(D1515="","","Исполнитель"&amp;": ")</f>
        <v/>
      </c>
      <c r="E1517" s="62" t="str">
        <f>IFERROR(VLOOKUP(C$13&amp;$B1517,Aux!$B:$M,4,0),"")</f>
        <v/>
      </c>
      <c r="F1517" s="62"/>
      <c r="G1517" s="63" t="str">
        <f>IFERROR(IF(VLOOKUP(C$13&amp;$B1515,Aux!$B:$M,8,0)="Да","✔","🕓"),"")</f>
        <v/>
      </c>
      <c r="K1517" s="59"/>
      <c r="L1517" s="15" t="str">
        <f>IF(L1515="","","Исполнитель"&amp;": ")</f>
        <v/>
      </c>
      <c r="M1517" s="62" t="str">
        <f>IFERROR(VLOOKUP(K$13&amp;$B1517,Aux!$B:$M,4,0),"")</f>
        <v/>
      </c>
      <c r="N1517" s="62"/>
      <c r="O1517" s="63" t="str">
        <f>IFERROR(IF(VLOOKUP(K$13&amp;$B1515,Aux!$B:$M,8,0)="Да","✔","🕓"),"")</f>
        <v/>
      </c>
      <c r="S1517" s="59"/>
      <c r="T1517" s="15" t="str">
        <f>IF(T1515="","","Исполнитель"&amp;": ")</f>
        <v/>
      </c>
      <c r="U1517" s="62" t="str">
        <f>IFERROR(VLOOKUP(S$13&amp;$B1517,Aux!$B:$M,4,0),"")</f>
        <v/>
      </c>
      <c r="V1517" s="62"/>
      <c r="W1517" s="63" t="str">
        <f>IFERROR(IF(VLOOKUP(S$13&amp;$B1515,Aux!$B:$M,8,0)="Да","✔","🕓"),"")</f>
        <v/>
      </c>
      <c r="AA1517" s="59"/>
      <c r="AB1517" s="15" t="str">
        <f>IF(AB1515="","","Исполнитель"&amp;": ")</f>
        <v/>
      </c>
      <c r="AC1517" s="62" t="str">
        <f>IFERROR(VLOOKUP(AA$13&amp;$B1517,Aux!$B:$M,4,0),"")</f>
        <v/>
      </c>
      <c r="AD1517" s="62"/>
      <c r="AE1517" s="63" t="str">
        <f>IFERROR(IF(VLOOKUP(AA$13&amp;$B1515,Aux!$B:$M,8,0)="Да","✔","🕓"),"")</f>
        <v/>
      </c>
    </row>
    <row r="1518" spans="2:31" x14ac:dyDescent="0.25">
      <c r="B1518" s="53">
        <f t="shared" si="23"/>
        <v>301</v>
      </c>
      <c r="C1518" s="59"/>
      <c r="D1518" s="16" t="str">
        <f>IF(D1515="","","Срок сдачи"&amp;": ")</f>
        <v/>
      </c>
      <c r="E1518" s="64" t="str">
        <f>IFERROR(VLOOKUP(C$13&amp;$B1518,Aux!$B:$M,6,0),"")</f>
        <v/>
      </c>
      <c r="F1518" s="64"/>
      <c r="G1518" s="63"/>
      <c r="K1518" s="59"/>
      <c r="L1518" s="16" t="str">
        <f>IF(L1515="","","Срок сдачи"&amp;": ")</f>
        <v/>
      </c>
      <c r="M1518" s="64" t="str">
        <f>IFERROR(VLOOKUP(K$13&amp;$B1518,Aux!$B:$M,6,0),"")</f>
        <v/>
      </c>
      <c r="N1518" s="64"/>
      <c r="O1518" s="63"/>
      <c r="S1518" s="59"/>
      <c r="T1518" s="16" t="str">
        <f>IF(T1515="","","Срок сдачи"&amp;": ")</f>
        <v/>
      </c>
      <c r="U1518" s="64" t="str">
        <f>IFERROR(VLOOKUP(S$13&amp;$B1518,Aux!$B:$M,6,0),"")</f>
        <v/>
      </c>
      <c r="V1518" s="64"/>
      <c r="W1518" s="63"/>
      <c r="AA1518" s="59"/>
      <c r="AB1518" s="16" t="str">
        <f>IF(AB1515="","","Срок сдачи"&amp;": ")</f>
        <v/>
      </c>
      <c r="AC1518" s="64" t="str">
        <f>IFERROR(VLOOKUP(AA$13&amp;$B1518,Aux!$B:$M,6,0),"")</f>
        <v/>
      </c>
      <c r="AD1518" s="64"/>
      <c r="AE1518" s="63"/>
    </row>
    <row r="1519" spans="2:31" x14ac:dyDescent="0.25">
      <c r="B1519" s="53">
        <f t="shared" si="23"/>
        <v>301</v>
      </c>
      <c r="C1519" s="7"/>
      <c r="D1519" s="17"/>
      <c r="E1519" s="7"/>
      <c r="F1519" s="18"/>
      <c r="G1519" s="18"/>
      <c r="K1519" s="13"/>
      <c r="L1519" s="17"/>
      <c r="M1519" s="13"/>
      <c r="N1519" s="14"/>
      <c r="O1519" s="14"/>
      <c r="S1519" s="13"/>
      <c r="T1519" s="17"/>
      <c r="U1519" s="13"/>
      <c r="V1519" s="14"/>
      <c r="W1519" s="14"/>
      <c r="AA1519" s="13"/>
      <c r="AB1519" s="17"/>
      <c r="AC1519" s="13"/>
      <c r="AD1519" s="14"/>
      <c r="AE1519" s="30"/>
    </row>
    <row r="1520" spans="2:31" x14ac:dyDescent="0.25">
      <c r="B1520" s="53">
        <f t="shared" si="23"/>
        <v>302</v>
      </c>
      <c r="C1520" s="59" t="str">
        <f>IFERROR(VLOOKUP(C$13&amp;$B1524,Aux!$B:$M,5,0),"")</f>
        <v/>
      </c>
      <c r="D1520" s="60" t="str">
        <f>IFERROR(VLOOKUP(C$13&amp;$B1520,Aux!$B:$M,3,0),"")</f>
        <v/>
      </c>
      <c r="E1520" s="60"/>
      <c r="F1520" s="60"/>
      <c r="G1520" s="61" t="str">
        <f>IFERROR(VLOOKUP(C$13&amp;$B1520,Aux!$B:$M,9,0),"")</f>
        <v/>
      </c>
      <c r="K1520" s="59" t="str">
        <f>IFERROR(VLOOKUP(K$13&amp;$B1524,Aux!$B:$M,5,0),"")</f>
        <v/>
      </c>
      <c r="L1520" s="60" t="str">
        <f>IFERROR(VLOOKUP(K$13&amp;$B1520,Aux!$B:$M,3,0),"")</f>
        <v/>
      </c>
      <c r="M1520" s="60"/>
      <c r="N1520" s="60"/>
      <c r="O1520" s="61" t="str">
        <f>IFERROR(VLOOKUP(K$13&amp;$B1520,Aux!$B:$M,9,0),"")</f>
        <v/>
      </c>
      <c r="S1520" s="59" t="str">
        <f>IFERROR(VLOOKUP(S$13&amp;$B1524,Aux!$B:$M,5,0),"")</f>
        <v/>
      </c>
      <c r="T1520" s="60" t="str">
        <f>IFERROR(VLOOKUP(S$13&amp;$B1520,Aux!$B:$M,3,0),"")</f>
        <v/>
      </c>
      <c r="U1520" s="60"/>
      <c r="V1520" s="60"/>
      <c r="W1520" s="61" t="str">
        <f>IFERROR(VLOOKUP(S$13&amp;$B1520,Aux!$B:$M,9,0),"")</f>
        <v/>
      </c>
      <c r="AA1520" s="59" t="str">
        <f>IFERROR(VLOOKUP(AA$13&amp;$B1524,Aux!$B:$M,5,0),"")</f>
        <v/>
      </c>
      <c r="AB1520" s="60" t="str">
        <f>IFERROR(VLOOKUP(AA$13&amp;$B1520,Aux!$B:$M,3,0),"")</f>
        <v/>
      </c>
      <c r="AC1520" s="60"/>
      <c r="AD1520" s="60"/>
      <c r="AE1520" s="61" t="str">
        <f>IFERROR(VLOOKUP(AA$13&amp;$B1520,Aux!$B:$M,9,0),"")</f>
        <v/>
      </c>
    </row>
    <row r="1521" spans="2:31" x14ac:dyDescent="0.25">
      <c r="B1521" s="53">
        <f t="shared" si="23"/>
        <v>302</v>
      </c>
      <c r="C1521" s="59"/>
      <c r="D1521" s="60"/>
      <c r="E1521" s="60"/>
      <c r="F1521" s="60"/>
      <c r="G1521" s="61"/>
      <c r="K1521" s="59"/>
      <c r="L1521" s="60"/>
      <c r="M1521" s="60"/>
      <c r="N1521" s="60"/>
      <c r="O1521" s="61"/>
      <c r="S1521" s="59"/>
      <c r="T1521" s="60"/>
      <c r="U1521" s="60"/>
      <c r="V1521" s="60"/>
      <c r="W1521" s="61"/>
      <c r="AA1521" s="59"/>
      <c r="AB1521" s="60"/>
      <c r="AC1521" s="60"/>
      <c r="AD1521" s="60"/>
      <c r="AE1521" s="61"/>
    </row>
    <row r="1522" spans="2:31" x14ac:dyDescent="0.25">
      <c r="B1522" s="53">
        <f t="shared" si="23"/>
        <v>302</v>
      </c>
      <c r="C1522" s="59"/>
      <c r="D1522" s="15" t="str">
        <f>IF(D1520="","","Исполнитель"&amp;": ")</f>
        <v/>
      </c>
      <c r="E1522" s="62" t="str">
        <f>IFERROR(VLOOKUP(C$13&amp;$B1522,Aux!$B:$M,4,0),"")</f>
        <v/>
      </c>
      <c r="F1522" s="62"/>
      <c r="G1522" s="63" t="str">
        <f>IFERROR(IF(VLOOKUP(C$13&amp;$B1520,Aux!$B:$M,8,0)="Да","✔","🕓"),"")</f>
        <v/>
      </c>
      <c r="K1522" s="59"/>
      <c r="L1522" s="15" t="str">
        <f>IF(L1520="","","Исполнитель"&amp;": ")</f>
        <v/>
      </c>
      <c r="M1522" s="62" t="str">
        <f>IFERROR(VLOOKUP(K$13&amp;$B1522,Aux!$B:$M,4,0),"")</f>
        <v/>
      </c>
      <c r="N1522" s="62"/>
      <c r="O1522" s="63" t="str">
        <f>IFERROR(IF(VLOOKUP(K$13&amp;$B1520,Aux!$B:$M,8,0)="Да","✔","🕓"),"")</f>
        <v/>
      </c>
      <c r="S1522" s="59"/>
      <c r="T1522" s="15" t="str">
        <f>IF(T1520="","","Исполнитель"&amp;": ")</f>
        <v/>
      </c>
      <c r="U1522" s="62" t="str">
        <f>IFERROR(VLOOKUP(S$13&amp;$B1522,Aux!$B:$M,4,0),"")</f>
        <v/>
      </c>
      <c r="V1522" s="62"/>
      <c r="W1522" s="63" t="str">
        <f>IFERROR(IF(VLOOKUP(S$13&amp;$B1520,Aux!$B:$M,8,0)="Да","✔","🕓"),"")</f>
        <v/>
      </c>
      <c r="AA1522" s="59"/>
      <c r="AB1522" s="15" t="str">
        <f>IF(AB1520="","","Исполнитель"&amp;": ")</f>
        <v/>
      </c>
      <c r="AC1522" s="62" t="str">
        <f>IFERROR(VLOOKUP(AA$13&amp;$B1522,Aux!$B:$M,4,0),"")</f>
        <v/>
      </c>
      <c r="AD1522" s="62"/>
      <c r="AE1522" s="63" t="str">
        <f>IFERROR(IF(VLOOKUP(AA$13&amp;$B1520,Aux!$B:$M,8,0)="Да","✔","🕓"),"")</f>
        <v/>
      </c>
    </row>
    <row r="1523" spans="2:31" x14ac:dyDescent="0.25">
      <c r="B1523" s="53">
        <f t="shared" si="23"/>
        <v>302</v>
      </c>
      <c r="C1523" s="59"/>
      <c r="D1523" s="16" t="str">
        <f>IF(D1520="","","Срок сдачи"&amp;": ")</f>
        <v/>
      </c>
      <c r="E1523" s="64" t="str">
        <f>IFERROR(VLOOKUP(C$13&amp;$B1523,Aux!$B:$M,6,0),"")</f>
        <v/>
      </c>
      <c r="F1523" s="64"/>
      <c r="G1523" s="63"/>
      <c r="K1523" s="59"/>
      <c r="L1523" s="16" t="str">
        <f>IF(L1520="","","Срок сдачи"&amp;": ")</f>
        <v/>
      </c>
      <c r="M1523" s="64" t="str">
        <f>IFERROR(VLOOKUP(K$13&amp;$B1523,Aux!$B:$M,6,0),"")</f>
        <v/>
      </c>
      <c r="N1523" s="64"/>
      <c r="O1523" s="63"/>
      <c r="S1523" s="59"/>
      <c r="T1523" s="16" t="str">
        <f>IF(T1520="","","Срок сдачи"&amp;": ")</f>
        <v/>
      </c>
      <c r="U1523" s="64" t="str">
        <f>IFERROR(VLOOKUP(S$13&amp;$B1523,Aux!$B:$M,6,0),"")</f>
        <v/>
      </c>
      <c r="V1523" s="64"/>
      <c r="W1523" s="63"/>
      <c r="AA1523" s="59"/>
      <c r="AB1523" s="16" t="str">
        <f>IF(AB1520="","","Срок сдачи"&amp;": ")</f>
        <v/>
      </c>
      <c r="AC1523" s="64" t="str">
        <f>IFERROR(VLOOKUP(AA$13&amp;$B1523,Aux!$B:$M,6,0),"")</f>
        <v/>
      </c>
      <c r="AD1523" s="64"/>
      <c r="AE1523" s="63"/>
    </row>
    <row r="1524" spans="2:31" x14ac:dyDescent="0.25">
      <c r="B1524" s="53">
        <f t="shared" si="23"/>
        <v>302</v>
      </c>
      <c r="C1524" s="7"/>
      <c r="D1524" s="17"/>
      <c r="E1524" s="7"/>
      <c r="F1524" s="18"/>
      <c r="G1524" s="18"/>
      <c r="K1524" s="13"/>
      <c r="L1524" s="17"/>
      <c r="M1524" s="13"/>
      <c r="N1524" s="14"/>
      <c r="O1524" s="14"/>
      <c r="S1524" s="13"/>
      <c r="T1524" s="17"/>
      <c r="U1524" s="13"/>
      <c r="V1524" s="14"/>
      <c r="W1524" s="14"/>
      <c r="AA1524" s="13"/>
      <c r="AB1524" s="17"/>
      <c r="AC1524" s="13"/>
      <c r="AD1524" s="14"/>
      <c r="AE1524" s="30"/>
    </row>
    <row r="1525" spans="2:31" x14ac:dyDescent="0.25">
      <c r="B1525" s="53">
        <f t="shared" si="23"/>
        <v>303</v>
      </c>
      <c r="C1525" s="59" t="str">
        <f>IFERROR(VLOOKUP(C$13&amp;$B1529,Aux!$B:$M,5,0),"")</f>
        <v/>
      </c>
      <c r="D1525" s="60" t="str">
        <f>IFERROR(VLOOKUP(C$13&amp;$B1525,Aux!$B:$M,3,0),"")</f>
        <v/>
      </c>
      <c r="E1525" s="60"/>
      <c r="F1525" s="60"/>
      <c r="G1525" s="61" t="str">
        <f>IFERROR(VLOOKUP(C$13&amp;$B1525,Aux!$B:$M,9,0),"")</f>
        <v/>
      </c>
      <c r="K1525" s="59" t="str">
        <f>IFERROR(VLOOKUP(K$13&amp;$B1529,Aux!$B:$M,5,0),"")</f>
        <v/>
      </c>
      <c r="L1525" s="60" t="str">
        <f>IFERROR(VLOOKUP(K$13&amp;$B1525,Aux!$B:$M,3,0),"")</f>
        <v/>
      </c>
      <c r="M1525" s="60"/>
      <c r="N1525" s="60"/>
      <c r="O1525" s="61" t="str">
        <f>IFERROR(VLOOKUP(K$13&amp;$B1525,Aux!$B:$M,9,0),"")</f>
        <v/>
      </c>
      <c r="S1525" s="59" t="str">
        <f>IFERROR(VLOOKUP(S$13&amp;$B1529,Aux!$B:$M,5,0),"")</f>
        <v/>
      </c>
      <c r="T1525" s="60" t="str">
        <f>IFERROR(VLOOKUP(S$13&amp;$B1525,Aux!$B:$M,3,0),"")</f>
        <v/>
      </c>
      <c r="U1525" s="60"/>
      <c r="V1525" s="60"/>
      <c r="W1525" s="61" t="str">
        <f>IFERROR(VLOOKUP(S$13&amp;$B1525,Aux!$B:$M,9,0),"")</f>
        <v/>
      </c>
      <c r="AA1525" s="59" t="str">
        <f>IFERROR(VLOOKUP(AA$13&amp;$B1529,Aux!$B:$M,5,0),"")</f>
        <v/>
      </c>
      <c r="AB1525" s="60" t="str">
        <f>IFERROR(VLOOKUP(AA$13&amp;$B1525,Aux!$B:$M,3,0),"")</f>
        <v/>
      </c>
      <c r="AC1525" s="60"/>
      <c r="AD1525" s="60"/>
      <c r="AE1525" s="61" t="str">
        <f>IFERROR(VLOOKUP(AA$13&amp;$B1525,Aux!$B:$M,9,0),"")</f>
        <v/>
      </c>
    </row>
    <row r="1526" spans="2:31" x14ac:dyDescent="0.25">
      <c r="B1526" s="53">
        <f t="shared" si="23"/>
        <v>303</v>
      </c>
      <c r="C1526" s="59"/>
      <c r="D1526" s="60"/>
      <c r="E1526" s="60"/>
      <c r="F1526" s="60"/>
      <c r="G1526" s="61"/>
      <c r="K1526" s="59"/>
      <c r="L1526" s="60"/>
      <c r="M1526" s="60"/>
      <c r="N1526" s="60"/>
      <c r="O1526" s="61"/>
      <c r="S1526" s="59"/>
      <c r="T1526" s="60"/>
      <c r="U1526" s="60"/>
      <c r="V1526" s="60"/>
      <c r="W1526" s="61"/>
      <c r="AA1526" s="59"/>
      <c r="AB1526" s="60"/>
      <c r="AC1526" s="60"/>
      <c r="AD1526" s="60"/>
      <c r="AE1526" s="61"/>
    </row>
    <row r="1527" spans="2:31" x14ac:dyDescent="0.25">
      <c r="B1527" s="53">
        <f t="shared" si="23"/>
        <v>303</v>
      </c>
      <c r="C1527" s="59"/>
      <c r="D1527" s="15" t="str">
        <f>IF(D1525="","","Исполнитель"&amp;": ")</f>
        <v/>
      </c>
      <c r="E1527" s="62" t="str">
        <f>IFERROR(VLOOKUP(C$13&amp;$B1527,Aux!$B:$M,4,0),"")</f>
        <v/>
      </c>
      <c r="F1527" s="62"/>
      <c r="G1527" s="63" t="str">
        <f>IFERROR(IF(VLOOKUP(C$13&amp;$B1525,Aux!$B:$M,8,0)="Да","✔","🕓"),"")</f>
        <v/>
      </c>
      <c r="K1527" s="59"/>
      <c r="L1527" s="15" t="str">
        <f>IF(L1525="","","Исполнитель"&amp;": ")</f>
        <v/>
      </c>
      <c r="M1527" s="62" t="str">
        <f>IFERROR(VLOOKUP(K$13&amp;$B1527,Aux!$B:$M,4,0),"")</f>
        <v/>
      </c>
      <c r="N1527" s="62"/>
      <c r="O1527" s="63" t="str">
        <f>IFERROR(IF(VLOOKUP(K$13&amp;$B1525,Aux!$B:$M,8,0)="Да","✔","🕓"),"")</f>
        <v/>
      </c>
      <c r="S1527" s="59"/>
      <c r="T1527" s="15" t="str">
        <f>IF(T1525="","","Исполнитель"&amp;": ")</f>
        <v/>
      </c>
      <c r="U1527" s="62" t="str">
        <f>IFERROR(VLOOKUP(S$13&amp;$B1527,Aux!$B:$M,4,0),"")</f>
        <v/>
      </c>
      <c r="V1527" s="62"/>
      <c r="W1527" s="63" t="str">
        <f>IFERROR(IF(VLOOKUP(S$13&amp;$B1525,Aux!$B:$M,8,0)="Да","✔","🕓"),"")</f>
        <v/>
      </c>
      <c r="AA1527" s="59"/>
      <c r="AB1527" s="15" t="str">
        <f>IF(AB1525="","","Исполнитель"&amp;": ")</f>
        <v/>
      </c>
      <c r="AC1527" s="62" t="str">
        <f>IFERROR(VLOOKUP(AA$13&amp;$B1527,Aux!$B:$M,4,0),"")</f>
        <v/>
      </c>
      <c r="AD1527" s="62"/>
      <c r="AE1527" s="63" t="str">
        <f>IFERROR(IF(VLOOKUP(AA$13&amp;$B1525,Aux!$B:$M,8,0)="Да","✔","🕓"),"")</f>
        <v/>
      </c>
    </row>
    <row r="1528" spans="2:31" x14ac:dyDescent="0.25">
      <c r="B1528" s="53">
        <f t="shared" si="23"/>
        <v>303</v>
      </c>
      <c r="C1528" s="59"/>
      <c r="D1528" s="16" t="str">
        <f>IF(D1525="","","Срок сдачи"&amp;": ")</f>
        <v/>
      </c>
      <c r="E1528" s="64" t="str">
        <f>IFERROR(VLOOKUP(C$13&amp;$B1528,Aux!$B:$M,6,0),"")</f>
        <v/>
      </c>
      <c r="F1528" s="64"/>
      <c r="G1528" s="63"/>
      <c r="K1528" s="59"/>
      <c r="L1528" s="16" t="str">
        <f>IF(L1525="","","Срок сдачи"&amp;": ")</f>
        <v/>
      </c>
      <c r="M1528" s="64" t="str">
        <f>IFERROR(VLOOKUP(K$13&amp;$B1528,Aux!$B:$M,6,0),"")</f>
        <v/>
      </c>
      <c r="N1528" s="64"/>
      <c r="O1528" s="63"/>
      <c r="S1528" s="59"/>
      <c r="T1528" s="16" t="str">
        <f>IF(T1525="","","Срок сдачи"&amp;": ")</f>
        <v/>
      </c>
      <c r="U1528" s="64" t="str">
        <f>IFERROR(VLOOKUP(S$13&amp;$B1528,Aux!$B:$M,6,0),"")</f>
        <v/>
      </c>
      <c r="V1528" s="64"/>
      <c r="W1528" s="63"/>
      <c r="AA1528" s="59"/>
      <c r="AB1528" s="16" t="str">
        <f>IF(AB1525="","","Срок сдачи"&amp;": ")</f>
        <v/>
      </c>
      <c r="AC1528" s="64" t="str">
        <f>IFERROR(VLOOKUP(AA$13&amp;$B1528,Aux!$B:$M,6,0),"")</f>
        <v/>
      </c>
      <c r="AD1528" s="64"/>
      <c r="AE1528" s="63"/>
    </row>
    <row r="1529" spans="2:31" x14ac:dyDescent="0.25">
      <c r="B1529" s="53">
        <f t="shared" si="23"/>
        <v>303</v>
      </c>
      <c r="C1529" s="7"/>
      <c r="D1529" s="17"/>
      <c r="E1529" s="7"/>
      <c r="F1529" s="18"/>
      <c r="G1529" s="18"/>
      <c r="K1529" s="13"/>
      <c r="L1529" s="17"/>
      <c r="M1529" s="13"/>
      <c r="N1529" s="14"/>
      <c r="O1529" s="14"/>
      <c r="S1529" s="13"/>
      <c r="T1529" s="17"/>
      <c r="U1529" s="13"/>
      <c r="V1529" s="14"/>
      <c r="W1529" s="14"/>
      <c r="AA1529" s="13"/>
      <c r="AB1529" s="17"/>
      <c r="AC1529" s="13"/>
      <c r="AD1529" s="14"/>
      <c r="AE1529" s="30"/>
    </row>
    <row r="1530" spans="2:31" x14ac:dyDescent="0.25">
      <c r="B1530" s="53">
        <f t="shared" si="23"/>
        <v>304</v>
      </c>
      <c r="C1530" s="59" t="str">
        <f>IFERROR(VLOOKUP(C$13&amp;$B1534,Aux!$B:$M,5,0),"")</f>
        <v/>
      </c>
      <c r="D1530" s="60" t="str">
        <f>IFERROR(VLOOKUP(C$13&amp;$B1530,Aux!$B:$M,3,0),"")</f>
        <v/>
      </c>
      <c r="E1530" s="60"/>
      <c r="F1530" s="60"/>
      <c r="G1530" s="61" t="str">
        <f>IFERROR(VLOOKUP(C$13&amp;$B1530,Aux!$B:$M,9,0),"")</f>
        <v/>
      </c>
      <c r="K1530" s="59" t="str">
        <f>IFERROR(VLOOKUP(K$13&amp;$B1534,Aux!$B:$M,5,0),"")</f>
        <v/>
      </c>
      <c r="L1530" s="60" t="str">
        <f>IFERROR(VLOOKUP(K$13&amp;$B1530,Aux!$B:$M,3,0),"")</f>
        <v/>
      </c>
      <c r="M1530" s="60"/>
      <c r="N1530" s="60"/>
      <c r="O1530" s="61" t="str">
        <f>IFERROR(VLOOKUP(K$13&amp;$B1530,Aux!$B:$M,9,0),"")</f>
        <v/>
      </c>
      <c r="S1530" s="59" t="str">
        <f>IFERROR(VLOOKUP(S$13&amp;$B1534,Aux!$B:$M,5,0),"")</f>
        <v/>
      </c>
      <c r="T1530" s="60" t="str">
        <f>IFERROR(VLOOKUP(S$13&amp;$B1530,Aux!$B:$M,3,0),"")</f>
        <v/>
      </c>
      <c r="U1530" s="60"/>
      <c r="V1530" s="60"/>
      <c r="W1530" s="61" t="str">
        <f>IFERROR(VLOOKUP(S$13&amp;$B1530,Aux!$B:$M,9,0),"")</f>
        <v/>
      </c>
      <c r="AA1530" s="59" t="str">
        <f>IFERROR(VLOOKUP(AA$13&amp;$B1534,Aux!$B:$M,5,0),"")</f>
        <v/>
      </c>
      <c r="AB1530" s="60" t="str">
        <f>IFERROR(VLOOKUP(AA$13&amp;$B1530,Aux!$B:$M,3,0),"")</f>
        <v/>
      </c>
      <c r="AC1530" s="60"/>
      <c r="AD1530" s="60"/>
      <c r="AE1530" s="61" t="str">
        <f>IFERROR(VLOOKUP(AA$13&amp;$B1530,Aux!$B:$M,9,0),"")</f>
        <v/>
      </c>
    </row>
    <row r="1531" spans="2:31" x14ac:dyDescent="0.25">
      <c r="B1531" s="53">
        <f t="shared" si="23"/>
        <v>304</v>
      </c>
      <c r="C1531" s="59"/>
      <c r="D1531" s="60"/>
      <c r="E1531" s="60"/>
      <c r="F1531" s="60"/>
      <c r="G1531" s="61"/>
      <c r="K1531" s="59"/>
      <c r="L1531" s="60"/>
      <c r="M1531" s="60"/>
      <c r="N1531" s="60"/>
      <c r="O1531" s="61"/>
      <c r="S1531" s="59"/>
      <c r="T1531" s="60"/>
      <c r="U1531" s="60"/>
      <c r="V1531" s="60"/>
      <c r="W1531" s="61"/>
      <c r="AA1531" s="59"/>
      <c r="AB1531" s="60"/>
      <c r="AC1531" s="60"/>
      <c r="AD1531" s="60"/>
      <c r="AE1531" s="61"/>
    </row>
    <row r="1532" spans="2:31" x14ac:dyDescent="0.25">
      <c r="B1532" s="53">
        <f t="shared" si="23"/>
        <v>304</v>
      </c>
      <c r="C1532" s="59"/>
      <c r="D1532" s="15" t="str">
        <f>IF(D1530="","","Исполнитель"&amp;": ")</f>
        <v/>
      </c>
      <c r="E1532" s="62" t="str">
        <f>IFERROR(VLOOKUP(C$13&amp;$B1532,Aux!$B:$M,4,0),"")</f>
        <v/>
      </c>
      <c r="F1532" s="62"/>
      <c r="G1532" s="63" t="str">
        <f>IFERROR(IF(VLOOKUP(C$13&amp;$B1530,Aux!$B:$M,8,0)="Да","✔","🕓"),"")</f>
        <v/>
      </c>
      <c r="K1532" s="59"/>
      <c r="L1532" s="15" t="str">
        <f>IF(L1530="","","Исполнитель"&amp;": ")</f>
        <v/>
      </c>
      <c r="M1532" s="62" t="str">
        <f>IFERROR(VLOOKUP(K$13&amp;$B1532,Aux!$B:$M,4,0),"")</f>
        <v/>
      </c>
      <c r="N1532" s="62"/>
      <c r="O1532" s="63" t="str">
        <f>IFERROR(IF(VLOOKUP(K$13&amp;$B1530,Aux!$B:$M,8,0)="Да","✔","🕓"),"")</f>
        <v/>
      </c>
      <c r="S1532" s="59"/>
      <c r="T1532" s="15" t="str">
        <f>IF(T1530="","","Исполнитель"&amp;": ")</f>
        <v/>
      </c>
      <c r="U1532" s="62" t="str">
        <f>IFERROR(VLOOKUP(S$13&amp;$B1532,Aux!$B:$M,4,0),"")</f>
        <v/>
      </c>
      <c r="V1532" s="62"/>
      <c r="W1532" s="63" t="str">
        <f>IFERROR(IF(VLOOKUP(S$13&amp;$B1530,Aux!$B:$M,8,0)="Да","✔","🕓"),"")</f>
        <v/>
      </c>
      <c r="AA1532" s="59"/>
      <c r="AB1532" s="15" t="str">
        <f>IF(AB1530="","","Исполнитель"&amp;": ")</f>
        <v/>
      </c>
      <c r="AC1532" s="62" t="str">
        <f>IFERROR(VLOOKUP(AA$13&amp;$B1532,Aux!$B:$M,4,0),"")</f>
        <v/>
      </c>
      <c r="AD1532" s="62"/>
      <c r="AE1532" s="63" t="str">
        <f>IFERROR(IF(VLOOKUP(AA$13&amp;$B1530,Aux!$B:$M,8,0)="Да","✔","🕓"),"")</f>
        <v/>
      </c>
    </row>
    <row r="1533" spans="2:31" x14ac:dyDescent="0.25">
      <c r="B1533" s="53">
        <f t="shared" si="23"/>
        <v>304</v>
      </c>
      <c r="C1533" s="59"/>
      <c r="D1533" s="16" t="str">
        <f>IF(D1530="","","Срок сдачи"&amp;": ")</f>
        <v/>
      </c>
      <c r="E1533" s="64" t="str">
        <f>IFERROR(VLOOKUP(C$13&amp;$B1533,Aux!$B:$M,6,0),"")</f>
        <v/>
      </c>
      <c r="F1533" s="64"/>
      <c r="G1533" s="63"/>
      <c r="K1533" s="59"/>
      <c r="L1533" s="16" t="str">
        <f>IF(L1530="","","Срок сдачи"&amp;": ")</f>
        <v/>
      </c>
      <c r="M1533" s="64" t="str">
        <f>IFERROR(VLOOKUP(K$13&amp;$B1533,Aux!$B:$M,6,0),"")</f>
        <v/>
      </c>
      <c r="N1533" s="64"/>
      <c r="O1533" s="63"/>
      <c r="S1533" s="59"/>
      <c r="T1533" s="16" t="str">
        <f>IF(T1530="","","Срок сдачи"&amp;": ")</f>
        <v/>
      </c>
      <c r="U1533" s="64" t="str">
        <f>IFERROR(VLOOKUP(S$13&amp;$B1533,Aux!$B:$M,6,0),"")</f>
        <v/>
      </c>
      <c r="V1533" s="64"/>
      <c r="W1533" s="63"/>
      <c r="AA1533" s="59"/>
      <c r="AB1533" s="16" t="str">
        <f>IF(AB1530="","","Срок сдачи"&amp;": ")</f>
        <v/>
      </c>
      <c r="AC1533" s="64" t="str">
        <f>IFERROR(VLOOKUP(AA$13&amp;$B1533,Aux!$B:$M,6,0),"")</f>
        <v/>
      </c>
      <c r="AD1533" s="64"/>
      <c r="AE1533" s="63"/>
    </row>
    <row r="1534" spans="2:31" x14ac:dyDescent="0.25">
      <c r="B1534" s="53">
        <f t="shared" si="23"/>
        <v>304</v>
      </c>
      <c r="C1534" s="7"/>
      <c r="D1534" s="17"/>
      <c r="E1534" s="7"/>
      <c r="F1534" s="18"/>
      <c r="G1534" s="18"/>
      <c r="K1534" s="13"/>
      <c r="L1534" s="17"/>
      <c r="M1534" s="13"/>
      <c r="N1534" s="14"/>
      <c r="O1534" s="14"/>
      <c r="S1534" s="13"/>
      <c r="T1534" s="17"/>
      <c r="U1534" s="13"/>
      <c r="V1534" s="14"/>
      <c r="W1534" s="14"/>
      <c r="AA1534" s="13"/>
      <c r="AB1534" s="17"/>
      <c r="AC1534" s="13"/>
      <c r="AD1534" s="14"/>
      <c r="AE1534" s="30"/>
    </row>
    <row r="1535" spans="2:31" x14ac:dyDescent="0.25">
      <c r="B1535" s="53">
        <f t="shared" si="23"/>
        <v>305</v>
      </c>
      <c r="C1535" s="59" t="str">
        <f>IFERROR(VLOOKUP(C$13&amp;$B1539,Aux!$B:$M,5,0),"")</f>
        <v/>
      </c>
      <c r="D1535" s="60" t="str">
        <f>IFERROR(VLOOKUP(C$13&amp;$B1535,Aux!$B:$M,3,0),"")</f>
        <v/>
      </c>
      <c r="E1535" s="60"/>
      <c r="F1535" s="60"/>
      <c r="G1535" s="61" t="str">
        <f>IFERROR(VLOOKUP(C$13&amp;$B1535,Aux!$B:$M,9,0),"")</f>
        <v/>
      </c>
      <c r="K1535" s="59" t="str">
        <f>IFERROR(VLOOKUP(K$13&amp;$B1539,Aux!$B:$M,5,0),"")</f>
        <v/>
      </c>
      <c r="L1535" s="60" t="str">
        <f>IFERROR(VLOOKUP(K$13&amp;$B1535,Aux!$B:$M,3,0),"")</f>
        <v/>
      </c>
      <c r="M1535" s="60"/>
      <c r="N1535" s="60"/>
      <c r="O1535" s="61" t="str">
        <f>IFERROR(VLOOKUP(K$13&amp;$B1535,Aux!$B:$M,9,0),"")</f>
        <v/>
      </c>
      <c r="S1535" s="59" t="str">
        <f>IFERROR(VLOOKUP(S$13&amp;$B1539,Aux!$B:$M,5,0),"")</f>
        <v/>
      </c>
      <c r="T1535" s="60" t="str">
        <f>IFERROR(VLOOKUP(S$13&amp;$B1535,Aux!$B:$M,3,0),"")</f>
        <v/>
      </c>
      <c r="U1535" s="60"/>
      <c r="V1535" s="60"/>
      <c r="W1535" s="61" t="str">
        <f>IFERROR(VLOOKUP(S$13&amp;$B1535,Aux!$B:$M,9,0),"")</f>
        <v/>
      </c>
      <c r="AA1535" s="59" t="str">
        <f>IFERROR(VLOOKUP(AA$13&amp;$B1539,Aux!$B:$M,5,0),"")</f>
        <v/>
      </c>
      <c r="AB1535" s="60" t="str">
        <f>IFERROR(VLOOKUP(AA$13&amp;$B1535,Aux!$B:$M,3,0),"")</f>
        <v/>
      </c>
      <c r="AC1535" s="60"/>
      <c r="AD1535" s="60"/>
      <c r="AE1535" s="61" t="str">
        <f>IFERROR(VLOOKUP(AA$13&amp;$B1535,Aux!$B:$M,9,0),"")</f>
        <v/>
      </c>
    </row>
    <row r="1536" spans="2:31" x14ac:dyDescent="0.25">
      <c r="B1536" s="53">
        <f t="shared" si="23"/>
        <v>305</v>
      </c>
      <c r="C1536" s="59"/>
      <c r="D1536" s="60"/>
      <c r="E1536" s="60"/>
      <c r="F1536" s="60"/>
      <c r="G1536" s="61"/>
      <c r="K1536" s="59"/>
      <c r="L1536" s="60"/>
      <c r="M1536" s="60"/>
      <c r="N1536" s="60"/>
      <c r="O1536" s="61"/>
      <c r="S1536" s="59"/>
      <c r="T1536" s="60"/>
      <c r="U1536" s="60"/>
      <c r="V1536" s="60"/>
      <c r="W1536" s="61"/>
      <c r="AA1536" s="59"/>
      <c r="AB1536" s="60"/>
      <c r="AC1536" s="60"/>
      <c r="AD1536" s="60"/>
      <c r="AE1536" s="61"/>
    </row>
    <row r="1537" spans="2:31" x14ac:dyDescent="0.25">
      <c r="B1537" s="53">
        <f t="shared" si="23"/>
        <v>305</v>
      </c>
      <c r="C1537" s="59"/>
      <c r="D1537" s="15" t="str">
        <f>IF(D1535="","","Исполнитель"&amp;": ")</f>
        <v/>
      </c>
      <c r="E1537" s="62" t="str">
        <f>IFERROR(VLOOKUP(C$13&amp;$B1537,Aux!$B:$M,4,0),"")</f>
        <v/>
      </c>
      <c r="F1537" s="62"/>
      <c r="G1537" s="63" t="str">
        <f>IFERROR(IF(VLOOKUP(C$13&amp;$B1535,Aux!$B:$M,8,0)="Да","✔","🕓"),"")</f>
        <v/>
      </c>
      <c r="K1537" s="59"/>
      <c r="L1537" s="15" t="str">
        <f>IF(L1535="","","Исполнитель"&amp;": ")</f>
        <v/>
      </c>
      <c r="M1537" s="62" t="str">
        <f>IFERROR(VLOOKUP(K$13&amp;$B1537,Aux!$B:$M,4,0),"")</f>
        <v/>
      </c>
      <c r="N1537" s="62"/>
      <c r="O1537" s="63" t="str">
        <f>IFERROR(IF(VLOOKUP(K$13&amp;$B1535,Aux!$B:$M,8,0)="Да","✔","🕓"),"")</f>
        <v/>
      </c>
      <c r="S1537" s="59"/>
      <c r="T1537" s="15" t="str">
        <f>IF(T1535="","","Исполнитель"&amp;": ")</f>
        <v/>
      </c>
      <c r="U1537" s="62" t="str">
        <f>IFERROR(VLOOKUP(S$13&amp;$B1537,Aux!$B:$M,4,0),"")</f>
        <v/>
      </c>
      <c r="V1537" s="62"/>
      <c r="W1537" s="63" t="str">
        <f>IFERROR(IF(VLOOKUP(S$13&amp;$B1535,Aux!$B:$M,8,0)="Да","✔","🕓"),"")</f>
        <v/>
      </c>
      <c r="AA1537" s="59"/>
      <c r="AB1537" s="15" t="str">
        <f>IF(AB1535="","","Исполнитель"&amp;": ")</f>
        <v/>
      </c>
      <c r="AC1537" s="62" t="str">
        <f>IFERROR(VLOOKUP(AA$13&amp;$B1537,Aux!$B:$M,4,0),"")</f>
        <v/>
      </c>
      <c r="AD1537" s="62"/>
      <c r="AE1537" s="63" t="str">
        <f>IFERROR(IF(VLOOKUP(AA$13&amp;$B1535,Aux!$B:$M,8,0)="Да","✔","🕓"),"")</f>
        <v/>
      </c>
    </row>
    <row r="1538" spans="2:31" x14ac:dyDescent="0.25">
      <c r="B1538" s="53">
        <f t="shared" si="23"/>
        <v>305</v>
      </c>
      <c r="C1538" s="59"/>
      <c r="D1538" s="16" t="str">
        <f>IF(D1535="","","Срок сдачи"&amp;": ")</f>
        <v/>
      </c>
      <c r="E1538" s="64" t="str">
        <f>IFERROR(VLOOKUP(C$13&amp;$B1538,Aux!$B:$M,6,0),"")</f>
        <v/>
      </c>
      <c r="F1538" s="64"/>
      <c r="G1538" s="63"/>
      <c r="K1538" s="59"/>
      <c r="L1538" s="16" t="str">
        <f>IF(L1535="","","Срок сдачи"&amp;": ")</f>
        <v/>
      </c>
      <c r="M1538" s="64" t="str">
        <f>IFERROR(VLOOKUP(K$13&amp;$B1538,Aux!$B:$M,6,0),"")</f>
        <v/>
      </c>
      <c r="N1538" s="64"/>
      <c r="O1538" s="63"/>
      <c r="S1538" s="59"/>
      <c r="T1538" s="16" t="str">
        <f>IF(T1535="","","Срок сдачи"&amp;": ")</f>
        <v/>
      </c>
      <c r="U1538" s="64" t="str">
        <f>IFERROR(VLOOKUP(S$13&amp;$B1538,Aux!$B:$M,6,0),"")</f>
        <v/>
      </c>
      <c r="V1538" s="64"/>
      <c r="W1538" s="63"/>
      <c r="AA1538" s="59"/>
      <c r="AB1538" s="16" t="str">
        <f>IF(AB1535="","","Срок сдачи"&amp;": ")</f>
        <v/>
      </c>
      <c r="AC1538" s="64" t="str">
        <f>IFERROR(VLOOKUP(AA$13&amp;$B1538,Aux!$B:$M,6,0),"")</f>
        <v/>
      </c>
      <c r="AD1538" s="64"/>
      <c r="AE1538" s="63"/>
    </row>
    <row r="1539" spans="2:31" x14ac:dyDescent="0.25">
      <c r="B1539" s="53">
        <f t="shared" si="23"/>
        <v>305</v>
      </c>
      <c r="C1539" s="7"/>
      <c r="D1539" s="17"/>
      <c r="E1539" s="7"/>
      <c r="F1539" s="18"/>
      <c r="G1539" s="18"/>
      <c r="K1539" s="13"/>
      <c r="L1539" s="17"/>
      <c r="M1539" s="13"/>
      <c r="N1539" s="14"/>
      <c r="O1539" s="14"/>
      <c r="S1539" s="13"/>
      <c r="T1539" s="17"/>
      <c r="U1539" s="13"/>
      <c r="V1539" s="14"/>
      <c r="W1539" s="14"/>
      <c r="AA1539" s="13"/>
      <c r="AB1539" s="17"/>
      <c r="AC1539" s="13"/>
      <c r="AD1539" s="14"/>
      <c r="AE1539" s="30"/>
    </row>
    <row r="1540" spans="2:31" x14ac:dyDescent="0.25">
      <c r="B1540" s="53">
        <f t="shared" si="23"/>
        <v>306</v>
      </c>
      <c r="C1540" s="59" t="str">
        <f>IFERROR(VLOOKUP(C$13&amp;$B1544,Aux!$B:$M,5,0),"")</f>
        <v/>
      </c>
      <c r="D1540" s="60" t="str">
        <f>IFERROR(VLOOKUP(C$13&amp;$B1540,Aux!$B:$M,3,0),"")</f>
        <v/>
      </c>
      <c r="E1540" s="60"/>
      <c r="F1540" s="60"/>
      <c r="G1540" s="61" t="str">
        <f>IFERROR(VLOOKUP(C$13&amp;$B1540,Aux!$B:$M,9,0),"")</f>
        <v/>
      </c>
      <c r="K1540" s="59" t="str">
        <f>IFERROR(VLOOKUP(K$13&amp;$B1544,Aux!$B:$M,5,0),"")</f>
        <v/>
      </c>
      <c r="L1540" s="60" t="str">
        <f>IFERROR(VLOOKUP(K$13&amp;$B1540,Aux!$B:$M,3,0),"")</f>
        <v/>
      </c>
      <c r="M1540" s="60"/>
      <c r="N1540" s="60"/>
      <c r="O1540" s="61" t="str">
        <f>IFERROR(VLOOKUP(K$13&amp;$B1540,Aux!$B:$M,9,0),"")</f>
        <v/>
      </c>
      <c r="S1540" s="59" t="str">
        <f>IFERROR(VLOOKUP(S$13&amp;$B1544,Aux!$B:$M,5,0),"")</f>
        <v/>
      </c>
      <c r="T1540" s="60" t="str">
        <f>IFERROR(VLOOKUP(S$13&amp;$B1540,Aux!$B:$M,3,0),"")</f>
        <v/>
      </c>
      <c r="U1540" s="60"/>
      <c r="V1540" s="60"/>
      <c r="W1540" s="61" t="str">
        <f>IFERROR(VLOOKUP(S$13&amp;$B1540,Aux!$B:$M,9,0),"")</f>
        <v/>
      </c>
      <c r="AA1540" s="59" t="str">
        <f>IFERROR(VLOOKUP(AA$13&amp;$B1544,Aux!$B:$M,5,0),"")</f>
        <v/>
      </c>
      <c r="AB1540" s="60" t="str">
        <f>IFERROR(VLOOKUP(AA$13&amp;$B1540,Aux!$B:$M,3,0),"")</f>
        <v/>
      </c>
      <c r="AC1540" s="60"/>
      <c r="AD1540" s="60"/>
      <c r="AE1540" s="61" t="str">
        <f>IFERROR(VLOOKUP(AA$13&amp;$B1540,Aux!$B:$M,9,0),"")</f>
        <v/>
      </c>
    </row>
    <row r="1541" spans="2:31" x14ac:dyDescent="0.25">
      <c r="B1541" s="53">
        <f t="shared" si="23"/>
        <v>306</v>
      </c>
      <c r="C1541" s="59"/>
      <c r="D1541" s="60"/>
      <c r="E1541" s="60"/>
      <c r="F1541" s="60"/>
      <c r="G1541" s="61"/>
      <c r="K1541" s="59"/>
      <c r="L1541" s="60"/>
      <c r="M1541" s="60"/>
      <c r="N1541" s="60"/>
      <c r="O1541" s="61"/>
      <c r="S1541" s="59"/>
      <c r="T1541" s="60"/>
      <c r="U1541" s="60"/>
      <c r="V1541" s="60"/>
      <c r="W1541" s="61"/>
      <c r="AA1541" s="59"/>
      <c r="AB1541" s="60"/>
      <c r="AC1541" s="60"/>
      <c r="AD1541" s="60"/>
      <c r="AE1541" s="61"/>
    </row>
    <row r="1542" spans="2:31" x14ac:dyDescent="0.25">
      <c r="B1542" s="53">
        <f t="shared" si="23"/>
        <v>306</v>
      </c>
      <c r="C1542" s="59"/>
      <c r="D1542" s="15" t="str">
        <f>IF(D1540="","","Исполнитель"&amp;": ")</f>
        <v/>
      </c>
      <c r="E1542" s="62" t="str">
        <f>IFERROR(VLOOKUP(C$13&amp;$B1542,Aux!$B:$M,4,0),"")</f>
        <v/>
      </c>
      <c r="F1542" s="62"/>
      <c r="G1542" s="63" t="str">
        <f>IFERROR(IF(VLOOKUP(C$13&amp;$B1540,Aux!$B:$M,8,0)="Да","✔","🕓"),"")</f>
        <v/>
      </c>
      <c r="K1542" s="59"/>
      <c r="L1542" s="15" t="str">
        <f>IF(L1540="","","Исполнитель"&amp;": ")</f>
        <v/>
      </c>
      <c r="M1542" s="62" t="str">
        <f>IFERROR(VLOOKUP(K$13&amp;$B1542,Aux!$B:$M,4,0),"")</f>
        <v/>
      </c>
      <c r="N1542" s="62"/>
      <c r="O1542" s="63" t="str">
        <f>IFERROR(IF(VLOOKUP(K$13&amp;$B1540,Aux!$B:$M,8,0)="Да","✔","🕓"),"")</f>
        <v/>
      </c>
      <c r="S1542" s="59"/>
      <c r="T1542" s="15" t="str">
        <f>IF(T1540="","","Исполнитель"&amp;": ")</f>
        <v/>
      </c>
      <c r="U1542" s="62" t="str">
        <f>IFERROR(VLOOKUP(S$13&amp;$B1542,Aux!$B:$M,4,0),"")</f>
        <v/>
      </c>
      <c r="V1542" s="62"/>
      <c r="W1542" s="63" t="str">
        <f>IFERROR(IF(VLOOKUP(S$13&amp;$B1540,Aux!$B:$M,8,0)="Да","✔","🕓"),"")</f>
        <v/>
      </c>
      <c r="AA1542" s="59"/>
      <c r="AB1542" s="15" t="str">
        <f>IF(AB1540="","","Исполнитель"&amp;": ")</f>
        <v/>
      </c>
      <c r="AC1542" s="62" t="str">
        <f>IFERROR(VLOOKUP(AA$13&amp;$B1542,Aux!$B:$M,4,0),"")</f>
        <v/>
      </c>
      <c r="AD1542" s="62"/>
      <c r="AE1542" s="63" t="str">
        <f>IFERROR(IF(VLOOKUP(AA$13&amp;$B1540,Aux!$B:$M,8,0)="Да","✔","🕓"),"")</f>
        <v/>
      </c>
    </row>
    <row r="1543" spans="2:31" x14ac:dyDescent="0.25">
      <c r="B1543" s="53">
        <f t="shared" si="23"/>
        <v>306</v>
      </c>
      <c r="C1543" s="59"/>
      <c r="D1543" s="16" t="str">
        <f>IF(D1540="","","Срок сдачи"&amp;": ")</f>
        <v/>
      </c>
      <c r="E1543" s="64" t="str">
        <f>IFERROR(VLOOKUP(C$13&amp;$B1543,Aux!$B:$M,6,0),"")</f>
        <v/>
      </c>
      <c r="F1543" s="64"/>
      <c r="G1543" s="63"/>
      <c r="K1543" s="59"/>
      <c r="L1543" s="16" t="str">
        <f>IF(L1540="","","Срок сдачи"&amp;": ")</f>
        <v/>
      </c>
      <c r="M1543" s="64" t="str">
        <f>IFERROR(VLOOKUP(K$13&amp;$B1543,Aux!$B:$M,6,0),"")</f>
        <v/>
      </c>
      <c r="N1543" s="64"/>
      <c r="O1543" s="63"/>
      <c r="S1543" s="59"/>
      <c r="T1543" s="16" t="str">
        <f>IF(T1540="","","Срок сдачи"&amp;": ")</f>
        <v/>
      </c>
      <c r="U1543" s="64" t="str">
        <f>IFERROR(VLOOKUP(S$13&amp;$B1543,Aux!$B:$M,6,0),"")</f>
        <v/>
      </c>
      <c r="V1543" s="64"/>
      <c r="W1543" s="63"/>
      <c r="AA1543" s="59"/>
      <c r="AB1543" s="16" t="str">
        <f>IF(AB1540="","","Срок сдачи"&amp;": ")</f>
        <v/>
      </c>
      <c r="AC1543" s="64" t="str">
        <f>IFERROR(VLOOKUP(AA$13&amp;$B1543,Aux!$B:$M,6,0),"")</f>
        <v/>
      </c>
      <c r="AD1543" s="64"/>
      <c r="AE1543" s="63"/>
    </row>
    <row r="1544" spans="2:31" x14ac:dyDescent="0.25">
      <c r="B1544" s="53">
        <f t="shared" si="23"/>
        <v>306</v>
      </c>
      <c r="C1544" s="7"/>
      <c r="D1544" s="17"/>
      <c r="E1544" s="7"/>
      <c r="F1544" s="18"/>
      <c r="G1544" s="18"/>
      <c r="K1544" s="13"/>
      <c r="L1544" s="17"/>
      <c r="M1544" s="13"/>
      <c r="N1544" s="14"/>
      <c r="O1544" s="14"/>
      <c r="S1544" s="13"/>
      <c r="T1544" s="17"/>
      <c r="U1544" s="13"/>
      <c r="V1544" s="14"/>
      <c r="W1544" s="14"/>
      <c r="AA1544" s="13"/>
      <c r="AB1544" s="17"/>
      <c r="AC1544" s="13"/>
      <c r="AD1544" s="14"/>
      <c r="AE1544" s="30"/>
    </row>
    <row r="1545" spans="2:31" x14ac:dyDescent="0.25">
      <c r="B1545" s="53">
        <f t="shared" si="23"/>
        <v>307</v>
      </c>
      <c r="C1545" s="59" t="str">
        <f>IFERROR(VLOOKUP(C$13&amp;$B1549,Aux!$B:$M,5,0),"")</f>
        <v/>
      </c>
      <c r="D1545" s="60" t="str">
        <f>IFERROR(VLOOKUP(C$13&amp;$B1545,Aux!$B:$M,3,0),"")</f>
        <v/>
      </c>
      <c r="E1545" s="60"/>
      <c r="F1545" s="60"/>
      <c r="G1545" s="61" t="str">
        <f>IFERROR(VLOOKUP(C$13&amp;$B1545,Aux!$B:$M,9,0),"")</f>
        <v/>
      </c>
      <c r="K1545" s="59" t="str">
        <f>IFERROR(VLOOKUP(K$13&amp;$B1549,Aux!$B:$M,5,0),"")</f>
        <v/>
      </c>
      <c r="L1545" s="60" t="str">
        <f>IFERROR(VLOOKUP(K$13&amp;$B1545,Aux!$B:$M,3,0),"")</f>
        <v/>
      </c>
      <c r="M1545" s="60"/>
      <c r="N1545" s="60"/>
      <c r="O1545" s="61" t="str">
        <f>IFERROR(VLOOKUP(K$13&amp;$B1545,Aux!$B:$M,9,0),"")</f>
        <v/>
      </c>
      <c r="S1545" s="59" t="str">
        <f>IFERROR(VLOOKUP(S$13&amp;$B1549,Aux!$B:$M,5,0),"")</f>
        <v/>
      </c>
      <c r="T1545" s="60" t="str">
        <f>IFERROR(VLOOKUP(S$13&amp;$B1545,Aux!$B:$M,3,0),"")</f>
        <v/>
      </c>
      <c r="U1545" s="60"/>
      <c r="V1545" s="60"/>
      <c r="W1545" s="61" t="str">
        <f>IFERROR(VLOOKUP(S$13&amp;$B1545,Aux!$B:$M,9,0),"")</f>
        <v/>
      </c>
      <c r="AA1545" s="59" t="str">
        <f>IFERROR(VLOOKUP(AA$13&amp;$B1549,Aux!$B:$M,5,0),"")</f>
        <v/>
      </c>
      <c r="AB1545" s="60" t="str">
        <f>IFERROR(VLOOKUP(AA$13&amp;$B1545,Aux!$B:$M,3,0),"")</f>
        <v/>
      </c>
      <c r="AC1545" s="60"/>
      <c r="AD1545" s="60"/>
      <c r="AE1545" s="61" t="str">
        <f>IFERROR(VLOOKUP(AA$13&amp;$B1545,Aux!$B:$M,9,0),"")</f>
        <v/>
      </c>
    </row>
    <row r="1546" spans="2:31" x14ac:dyDescent="0.25">
      <c r="B1546" s="53">
        <f t="shared" si="23"/>
        <v>307</v>
      </c>
      <c r="C1546" s="59"/>
      <c r="D1546" s="60"/>
      <c r="E1546" s="60"/>
      <c r="F1546" s="60"/>
      <c r="G1546" s="61"/>
      <c r="K1546" s="59"/>
      <c r="L1546" s="60"/>
      <c r="M1546" s="60"/>
      <c r="N1546" s="60"/>
      <c r="O1546" s="61"/>
      <c r="S1546" s="59"/>
      <c r="T1546" s="60"/>
      <c r="U1546" s="60"/>
      <c r="V1546" s="60"/>
      <c r="W1546" s="61"/>
      <c r="AA1546" s="59"/>
      <c r="AB1546" s="60"/>
      <c r="AC1546" s="60"/>
      <c r="AD1546" s="60"/>
      <c r="AE1546" s="61"/>
    </row>
    <row r="1547" spans="2:31" x14ac:dyDescent="0.25">
      <c r="B1547" s="53">
        <f t="shared" si="23"/>
        <v>307</v>
      </c>
      <c r="C1547" s="59"/>
      <c r="D1547" s="15" t="str">
        <f>IF(D1545="","","Исполнитель"&amp;": ")</f>
        <v/>
      </c>
      <c r="E1547" s="62" t="str">
        <f>IFERROR(VLOOKUP(C$13&amp;$B1547,Aux!$B:$M,4,0),"")</f>
        <v/>
      </c>
      <c r="F1547" s="62"/>
      <c r="G1547" s="63" t="str">
        <f>IFERROR(IF(VLOOKUP(C$13&amp;$B1545,Aux!$B:$M,8,0)="Да","✔","🕓"),"")</f>
        <v/>
      </c>
      <c r="K1547" s="59"/>
      <c r="L1547" s="15" t="str">
        <f>IF(L1545="","","Исполнитель"&amp;": ")</f>
        <v/>
      </c>
      <c r="M1547" s="62" t="str">
        <f>IFERROR(VLOOKUP(K$13&amp;$B1547,Aux!$B:$M,4,0),"")</f>
        <v/>
      </c>
      <c r="N1547" s="62"/>
      <c r="O1547" s="63" t="str">
        <f>IFERROR(IF(VLOOKUP(K$13&amp;$B1545,Aux!$B:$M,8,0)="Да","✔","🕓"),"")</f>
        <v/>
      </c>
      <c r="S1547" s="59"/>
      <c r="T1547" s="15" t="str">
        <f>IF(T1545="","","Исполнитель"&amp;": ")</f>
        <v/>
      </c>
      <c r="U1547" s="62" t="str">
        <f>IFERROR(VLOOKUP(S$13&amp;$B1547,Aux!$B:$M,4,0),"")</f>
        <v/>
      </c>
      <c r="V1547" s="62"/>
      <c r="W1547" s="63" t="str">
        <f>IFERROR(IF(VLOOKUP(S$13&amp;$B1545,Aux!$B:$M,8,0)="Да","✔","🕓"),"")</f>
        <v/>
      </c>
      <c r="AA1547" s="59"/>
      <c r="AB1547" s="15" t="str">
        <f>IF(AB1545="","","Исполнитель"&amp;": ")</f>
        <v/>
      </c>
      <c r="AC1547" s="62" t="str">
        <f>IFERROR(VLOOKUP(AA$13&amp;$B1547,Aux!$B:$M,4,0),"")</f>
        <v/>
      </c>
      <c r="AD1547" s="62"/>
      <c r="AE1547" s="63" t="str">
        <f>IFERROR(IF(VLOOKUP(AA$13&amp;$B1545,Aux!$B:$M,8,0)="Да","✔","🕓"),"")</f>
        <v/>
      </c>
    </row>
    <row r="1548" spans="2:31" x14ac:dyDescent="0.25">
      <c r="B1548" s="53">
        <f t="shared" si="23"/>
        <v>307</v>
      </c>
      <c r="C1548" s="59"/>
      <c r="D1548" s="16" t="str">
        <f>IF(D1545="","","Срок сдачи"&amp;": ")</f>
        <v/>
      </c>
      <c r="E1548" s="64" t="str">
        <f>IFERROR(VLOOKUP(C$13&amp;$B1548,Aux!$B:$M,6,0),"")</f>
        <v/>
      </c>
      <c r="F1548" s="64"/>
      <c r="G1548" s="63"/>
      <c r="K1548" s="59"/>
      <c r="L1548" s="16" t="str">
        <f>IF(L1545="","","Срок сдачи"&amp;": ")</f>
        <v/>
      </c>
      <c r="M1548" s="64" t="str">
        <f>IFERROR(VLOOKUP(K$13&amp;$B1548,Aux!$B:$M,6,0),"")</f>
        <v/>
      </c>
      <c r="N1548" s="64"/>
      <c r="O1548" s="63"/>
      <c r="S1548" s="59"/>
      <c r="T1548" s="16" t="str">
        <f>IF(T1545="","","Срок сдачи"&amp;": ")</f>
        <v/>
      </c>
      <c r="U1548" s="64" t="str">
        <f>IFERROR(VLOOKUP(S$13&amp;$B1548,Aux!$B:$M,6,0),"")</f>
        <v/>
      </c>
      <c r="V1548" s="64"/>
      <c r="W1548" s="63"/>
      <c r="AA1548" s="59"/>
      <c r="AB1548" s="16" t="str">
        <f>IF(AB1545="","","Срок сдачи"&amp;": ")</f>
        <v/>
      </c>
      <c r="AC1548" s="64" t="str">
        <f>IFERROR(VLOOKUP(AA$13&amp;$B1548,Aux!$B:$M,6,0),"")</f>
        <v/>
      </c>
      <c r="AD1548" s="64"/>
      <c r="AE1548" s="63"/>
    </row>
    <row r="1549" spans="2:31" x14ac:dyDescent="0.25">
      <c r="B1549" s="53">
        <f t="shared" si="23"/>
        <v>307</v>
      </c>
      <c r="C1549" s="7"/>
      <c r="D1549" s="17"/>
      <c r="E1549" s="7"/>
      <c r="F1549" s="18"/>
      <c r="G1549" s="18"/>
      <c r="K1549" s="13"/>
      <c r="L1549" s="17"/>
      <c r="M1549" s="13"/>
      <c r="N1549" s="14"/>
      <c r="O1549" s="14"/>
      <c r="S1549" s="13"/>
      <c r="T1549" s="17"/>
      <c r="U1549" s="13"/>
      <c r="V1549" s="14"/>
      <c r="W1549" s="14"/>
      <c r="AA1549" s="13"/>
      <c r="AB1549" s="17"/>
      <c r="AC1549" s="13"/>
      <c r="AD1549" s="14"/>
      <c r="AE1549" s="30"/>
    </row>
    <row r="1550" spans="2:31" x14ac:dyDescent="0.25">
      <c r="B1550" s="53">
        <f t="shared" si="23"/>
        <v>308</v>
      </c>
      <c r="C1550" s="59" t="str">
        <f>IFERROR(VLOOKUP(C$13&amp;$B1554,Aux!$B:$M,5,0),"")</f>
        <v/>
      </c>
      <c r="D1550" s="60" t="str">
        <f>IFERROR(VLOOKUP(C$13&amp;$B1550,Aux!$B:$M,3,0),"")</f>
        <v/>
      </c>
      <c r="E1550" s="60"/>
      <c r="F1550" s="60"/>
      <c r="G1550" s="61" t="str">
        <f>IFERROR(VLOOKUP(C$13&amp;$B1550,Aux!$B:$M,9,0),"")</f>
        <v/>
      </c>
      <c r="K1550" s="59" t="str">
        <f>IFERROR(VLOOKUP(K$13&amp;$B1554,Aux!$B:$M,5,0),"")</f>
        <v/>
      </c>
      <c r="L1550" s="60" t="str">
        <f>IFERROR(VLOOKUP(K$13&amp;$B1550,Aux!$B:$M,3,0),"")</f>
        <v/>
      </c>
      <c r="M1550" s="60"/>
      <c r="N1550" s="60"/>
      <c r="O1550" s="61" t="str">
        <f>IFERROR(VLOOKUP(K$13&amp;$B1550,Aux!$B:$M,9,0),"")</f>
        <v/>
      </c>
      <c r="S1550" s="59" t="str">
        <f>IFERROR(VLOOKUP(S$13&amp;$B1554,Aux!$B:$M,5,0),"")</f>
        <v/>
      </c>
      <c r="T1550" s="60" t="str">
        <f>IFERROR(VLOOKUP(S$13&amp;$B1550,Aux!$B:$M,3,0),"")</f>
        <v/>
      </c>
      <c r="U1550" s="60"/>
      <c r="V1550" s="60"/>
      <c r="W1550" s="61" t="str">
        <f>IFERROR(VLOOKUP(S$13&amp;$B1550,Aux!$B:$M,9,0),"")</f>
        <v/>
      </c>
      <c r="AA1550" s="59" t="str">
        <f>IFERROR(VLOOKUP(AA$13&amp;$B1554,Aux!$B:$M,5,0),"")</f>
        <v/>
      </c>
      <c r="AB1550" s="60" t="str">
        <f>IFERROR(VLOOKUP(AA$13&amp;$B1550,Aux!$B:$M,3,0),"")</f>
        <v/>
      </c>
      <c r="AC1550" s="60"/>
      <c r="AD1550" s="60"/>
      <c r="AE1550" s="61" t="str">
        <f>IFERROR(VLOOKUP(AA$13&amp;$B1550,Aux!$B:$M,9,0),"")</f>
        <v/>
      </c>
    </row>
    <row r="1551" spans="2:31" x14ac:dyDescent="0.25">
      <c r="B1551" s="53">
        <f t="shared" si="23"/>
        <v>308</v>
      </c>
      <c r="C1551" s="59"/>
      <c r="D1551" s="60"/>
      <c r="E1551" s="60"/>
      <c r="F1551" s="60"/>
      <c r="G1551" s="61"/>
      <c r="K1551" s="59"/>
      <c r="L1551" s="60"/>
      <c r="M1551" s="60"/>
      <c r="N1551" s="60"/>
      <c r="O1551" s="61"/>
      <c r="S1551" s="59"/>
      <c r="T1551" s="60"/>
      <c r="U1551" s="60"/>
      <c r="V1551" s="60"/>
      <c r="W1551" s="61"/>
      <c r="AA1551" s="59"/>
      <c r="AB1551" s="60"/>
      <c r="AC1551" s="60"/>
      <c r="AD1551" s="60"/>
      <c r="AE1551" s="61"/>
    </row>
    <row r="1552" spans="2:31" x14ac:dyDescent="0.25">
      <c r="B1552" s="53">
        <f t="shared" si="23"/>
        <v>308</v>
      </c>
      <c r="C1552" s="59"/>
      <c r="D1552" s="15" t="str">
        <f>IF(D1550="","","Исполнитель"&amp;": ")</f>
        <v/>
      </c>
      <c r="E1552" s="62" t="str">
        <f>IFERROR(VLOOKUP(C$13&amp;$B1552,Aux!$B:$M,4,0),"")</f>
        <v/>
      </c>
      <c r="F1552" s="62"/>
      <c r="G1552" s="63" t="str">
        <f>IFERROR(IF(VLOOKUP(C$13&amp;$B1550,Aux!$B:$M,8,0)="Да","✔","🕓"),"")</f>
        <v/>
      </c>
      <c r="K1552" s="59"/>
      <c r="L1552" s="15" t="str">
        <f>IF(L1550="","","Исполнитель"&amp;": ")</f>
        <v/>
      </c>
      <c r="M1552" s="62" t="str">
        <f>IFERROR(VLOOKUP(K$13&amp;$B1552,Aux!$B:$M,4,0),"")</f>
        <v/>
      </c>
      <c r="N1552" s="62"/>
      <c r="O1552" s="63" t="str">
        <f>IFERROR(IF(VLOOKUP(K$13&amp;$B1550,Aux!$B:$M,8,0)="Да","✔","🕓"),"")</f>
        <v/>
      </c>
      <c r="S1552" s="59"/>
      <c r="T1552" s="15" t="str">
        <f>IF(T1550="","","Исполнитель"&amp;": ")</f>
        <v/>
      </c>
      <c r="U1552" s="62" t="str">
        <f>IFERROR(VLOOKUP(S$13&amp;$B1552,Aux!$B:$M,4,0),"")</f>
        <v/>
      </c>
      <c r="V1552" s="62"/>
      <c r="W1552" s="63" t="str">
        <f>IFERROR(IF(VLOOKUP(S$13&amp;$B1550,Aux!$B:$M,8,0)="Да","✔","🕓"),"")</f>
        <v/>
      </c>
      <c r="AA1552" s="59"/>
      <c r="AB1552" s="15" t="str">
        <f>IF(AB1550="","","Исполнитель"&amp;": ")</f>
        <v/>
      </c>
      <c r="AC1552" s="62" t="str">
        <f>IFERROR(VLOOKUP(AA$13&amp;$B1552,Aux!$B:$M,4,0),"")</f>
        <v/>
      </c>
      <c r="AD1552" s="62"/>
      <c r="AE1552" s="63" t="str">
        <f>IFERROR(IF(VLOOKUP(AA$13&amp;$B1550,Aux!$B:$M,8,0)="Да","✔","🕓"),"")</f>
        <v/>
      </c>
    </row>
    <row r="1553" spans="2:31" x14ac:dyDescent="0.25">
      <c r="B1553" s="53">
        <f t="shared" si="23"/>
        <v>308</v>
      </c>
      <c r="C1553" s="59"/>
      <c r="D1553" s="16" t="str">
        <f>IF(D1550="","","Срок сдачи"&amp;": ")</f>
        <v/>
      </c>
      <c r="E1553" s="64" t="str">
        <f>IFERROR(VLOOKUP(C$13&amp;$B1553,Aux!$B:$M,6,0),"")</f>
        <v/>
      </c>
      <c r="F1553" s="64"/>
      <c r="G1553" s="63"/>
      <c r="K1553" s="59"/>
      <c r="L1553" s="16" t="str">
        <f>IF(L1550="","","Срок сдачи"&amp;": ")</f>
        <v/>
      </c>
      <c r="M1553" s="64" t="str">
        <f>IFERROR(VLOOKUP(K$13&amp;$B1553,Aux!$B:$M,6,0),"")</f>
        <v/>
      </c>
      <c r="N1553" s="64"/>
      <c r="O1553" s="63"/>
      <c r="S1553" s="59"/>
      <c r="T1553" s="16" t="str">
        <f>IF(T1550="","","Срок сдачи"&amp;": ")</f>
        <v/>
      </c>
      <c r="U1553" s="64" t="str">
        <f>IFERROR(VLOOKUP(S$13&amp;$B1553,Aux!$B:$M,6,0),"")</f>
        <v/>
      </c>
      <c r="V1553" s="64"/>
      <c r="W1553" s="63"/>
      <c r="AA1553" s="59"/>
      <c r="AB1553" s="16" t="str">
        <f>IF(AB1550="","","Срок сдачи"&amp;": ")</f>
        <v/>
      </c>
      <c r="AC1553" s="64" t="str">
        <f>IFERROR(VLOOKUP(AA$13&amp;$B1553,Aux!$B:$M,6,0),"")</f>
        <v/>
      </c>
      <c r="AD1553" s="64"/>
      <c r="AE1553" s="63"/>
    </row>
    <row r="1554" spans="2:31" x14ac:dyDescent="0.25">
      <c r="B1554" s="53">
        <f t="shared" si="23"/>
        <v>308</v>
      </c>
      <c r="C1554" s="7"/>
      <c r="D1554" s="17"/>
      <c r="E1554" s="7"/>
      <c r="F1554" s="18"/>
      <c r="G1554" s="18"/>
      <c r="K1554" s="13"/>
      <c r="L1554" s="17"/>
      <c r="M1554" s="13"/>
      <c r="N1554" s="14"/>
      <c r="O1554" s="14"/>
      <c r="S1554" s="13"/>
      <c r="T1554" s="17"/>
      <c r="U1554" s="13"/>
      <c r="V1554" s="14"/>
      <c r="W1554" s="14"/>
      <c r="AA1554" s="13"/>
      <c r="AB1554" s="17"/>
      <c r="AC1554" s="13"/>
      <c r="AD1554" s="14"/>
      <c r="AE1554" s="30"/>
    </row>
    <row r="1555" spans="2:31" x14ac:dyDescent="0.25">
      <c r="B1555" s="53">
        <f t="shared" si="23"/>
        <v>309</v>
      </c>
      <c r="C1555" s="59" t="str">
        <f>IFERROR(VLOOKUP(C$13&amp;$B1559,Aux!$B:$M,5,0),"")</f>
        <v/>
      </c>
      <c r="D1555" s="60" t="str">
        <f>IFERROR(VLOOKUP(C$13&amp;$B1555,Aux!$B:$M,3,0),"")</f>
        <v/>
      </c>
      <c r="E1555" s="60"/>
      <c r="F1555" s="60"/>
      <c r="G1555" s="61" t="str">
        <f>IFERROR(VLOOKUP(C$13&amp;$B1555,Aux!$B:$M,9,0),"")</f>
        <v/>
      </c>
      <c r="K1555" s="59" t="str">
        <f>IFERROR(VLOOKUP(K$13&amp;$B1559,Aux!$B:$M,5,0),"")</f>
        <v/>
      </c>
      <c r="L1555" s="60" t="str">
        <f>IFERROR(VLOOKUP(K$13&amp;$B1555,Aux!$B:$M,3,0),"")</f>
        <v/>
      </c>
      <c r="M1555" s="60"/>
      <c r="N1555" s="60"/>
      <c r="O1555" s="61" t="str">
        <f>IFERROR(VLOOKUP(K$13&amp;$B1555,Aux!$B:$M,9,0),"")</f>
        <v/>
      </c>
      <c r="S1555" s="59" t="str">
        <f>IFERROR(VLOOKUP(S$13&amp;$B1559,Aux!$B:$M,5,0),"")</f>
        <v/>
      </c>
      <c r="T1555" s="60" t="str">
        <f>IFERROR(VLOOKUP(S$13&amp;$B1555,Aux!$B:$M,3,0),"")</f>
        <v/>
      </c>
      <c r="U1555" s="60"/>
      <c r="V1555" s="60"/>
      <c r="W1555" s="61" t="str">
        <f>IFERROR(VLOOKUP(S$13&amp;$B1555,Aux!$B:$M,9,0),"")</f>
        <v/>
      </c>
      <c r="AA1555" s="59" t="str">
        <f>IFERROR(VLOOKUP(AA$13&amp;$B1559,Aux!$B:$M,5,0),"")</f>
        <v/>
      </c>
      <c r="AB1555" s="60" t="str">
        <f>IFERROR(VLOOKUP(AA$13&amp;$B1555,Aux!$B:$M,3,0),"")</f>
        <v/>
      </c>
      <c r="AC1555" s="60"/>
      <c r="AD1555" s="60"/>
      <c r="AE1555" s="61" t="str">
        <f>IFERROR(VLOOKUP(AA$13&amp;$B1555,Aux!$B:$M,9,0),"")</f>
        <v/>
      </c>
    </row>
    <row r="1556" spans="2:31" x14ac:dyDescent="0.25">
      <c r="B1556" s="53">
        <f t="shared" si="23"/>
        <v>309</v>
      </c>
      <c r="C1556" s="59"/>
      <c r="D1556" s="60"/>
      <c r="E1556" s="60"/>
      <c r="F1556" s="60"/>
      <c r="G1556" s="61"/>
      <c r="K1556" s="59"/>
      <c r="L1556" s="60"/>
      <c r="M1556" s="60"/>
      <c r="N1556" s="60"/>
      <c r="O1556" s="61"/>
      <c r="S1556" s="59"/>
      <c r="T1556" s="60"/>
      <c r="U1556" s="60"/>
      <c r="V1556" s="60"/>
      <c r="W1556" s="61"/>
      <c r="AA1556" s="59"/>
      <c r="AB1556" s="60"/>
      <c r="AC1556" s="60"/>
      <c r="AD1556" s="60"/>
      <c r="AE1556" s="61"/>
    </row>
    <row r="1557" spans="2:31" x14ac:dyDescent="0.25">
      <c r="B1557" s="53">
        <f t="shared" ref="B1557:B1620" si="24">B1552+1</f>
        <v>309</v>
      </c>
      <c r="C1557" s="59"/>
      <c r="D1557" s="15" t="str">
        <f>IF(D1555="","","Исполнитель"&amp;": ")</f>
        <v/>
      </c>
      <c r="E1557" s="62" t="str">
        <f>IFERROR(VLOOKUP(C$13&amp;$B1557,Aux!$B:$M,4,0),"")</f>
        <v/>
      </c>
      <c r="F1557" s="62"/>
      <c r="G1557" s="63" t="str">
        <f>IFERROR(IF(VLOOKUP(C$13&amp;$B1555,Aux!$B:$M,8,0)="Да","✔","🕓"),"")</f>
        <v/>
      </c>
      <c r="K1557" s="59"/>
      <c r="L1557" s="15" t="str">
        <f>IF(L1555="","","Исполнитель"&amp;": ")</f>
        <v/>
      </c>
      <c r="M1557" s="62" t="str">
        <f>IFERROR(VLOOKUP(K$13&amp;$B1557,Aux!$B:$M,4,0),"")</f>
        <v/>
      </c>
      <c r="N1557" s="62"/>
      <c r="O1557" s="63" t="str">
        <f>IFERROR(IF(VLOOKUP(K$13&amp;$B1555,Aux!$B:$M,8,0)="Да","✔","🕓"),"")</f>
        <v/>
      </c>
      <c r="S1557" s="59"/>
      <c r="T1557" s="15" t="str">
        <f>IF(T1555="","","Исполнитель"&amp;": ")</f>
        <v/>
      </c>
      <c r="U1557" s="62" t="str">
        <f>IFERROR(VLOOKUP(S$13&amp;$B1557,Aux!$B:$M,4,0),"")</f>
        <v/>
      </c>
      <c r="V1557" s="62"/>
      <c r="W1557" s="63" t="str">
        <f>IFERROR(IF(VLOOKUP(S$13&amp;$B1555,Aux!$B:$M,8,0)="Да","✔","🕓"),"")</f>
        <v/>
      </c>
      <c r="AA1557" s="59"/>
      <c r="AB1557" s="15" t="str">
        <f>IF(AB1555="","","Исполнитель"&amp;": ")</f>
        <v/>
      </c>
      <c r="AC1557" s="62" t="str">
        <f>IFERROR(VLOOKUP(AA$13&amp;$B1557,Aux!$B:$M,4,0),"")</f>
        <v/>
      </c>
      <c r="AD1557" s="62"/>
      <c r="AE1557" s="63" t="str">
        <f>IFERROR(IF(VLOOKUP(AA$13&amp;$B1555,Aux!$B:$M,8,0)="Да","✔","🕓"),"")</f>
        <v/>
      </c>
    </row>
    <row r="1558" spans="2:31" x14ac:dyDescent="0.25">
      <c r="B1558" s="53">
        <f t="shared" si="24"/>
        <v>309</v>
      </c>
      <c r="C1558" s="59"/>
      <c r="D1558" s="16" t="str">
        <f>IF(D1555="","","Срок сдачи"&amp;": ")</f>
        <v/>
      </c>
      <c r="E1558" s="64" t="str">
        <f>IFERROR(VLOOKUP(C$13&amp;$B1558,Aux!$B:$M,6,0),"")</f>
        <v/>
      </c>
      <c r="F1558" s="64"/>
      <c r="G1558" s="63"/>
      <c r="K1558" s="59"/>
      <c r="L1558" s="16" t="str">
        <f>IF(L1555="","","Срок сдачи"&amp;": ")</f>
        <v/>
      </c>
      <c r="M1558" s="64" t="str">
        <f>IFERROR(VLOOKUP(K$13&amp;$B1558,Aux!$B:$M,6,0),"")</f>
        <v/>
      </c>
      <c r="N1558" s="64"/>
      <c r="O1558" s="63"/>
      <c r="S1558" s="59"/>
      <c r="T1558" s="16" t="str">
        <f>IF(T1555="","","Срок сдачи"&amp;": ")</f>
        <v/>
      </c>
      <c r="U1558" s="64" t="str">
        <f>IFERROR(VLOOKUP(S$13&amp;$B1558,Aux!$B:$M,6,0),"")</f>
        <v/>
      </c>
      <c r="V1558" s="64"/>
      <c r="W1558" s="63"/>
      <c r="AA1558" s="59"/>
      <c r="AB1558" s="16" t="str">
        <f>IF(AB1555="","","Срок сдачи"&amp;": ")</f>
        <v/>
      </c>
      <c r="AC1558" s="64" t="str">
        <f>IFERROR(VLOOKUP(AA$13&amp;$B1558,Aux!$B:$M,6,0),"")</f>
        <v/>
      </c>
      <c r="AD1558" s="64"/>
      <c r="AE1558" s="63"/>
    </row>
    <row r="1559" spans="2:31" x14ac:dyDescent="0.25">
      <c r="B1559" s="53">
        <f t="shared" si="24"/>
        <v>309</v>
      </c>
      <c r="C1559" s="7"/>
      <c r="D1559" s="17"/>
      <c r="E1559" s="7"/>
      <c r="F1559" s="18"/>
      <c r="G1559" s="18"/>
      <c r="K1559" s="13"/>
      <c r="L1559" s="17"/>
      <c r="M1559" s="13"/>
      <c r="N1559" s="14"/>
      <c r="O1559" s="14"/>
      <c r="S1559" s="13"/>
      <c r="T1559" s="17"/>
      <c r="U1559" s="13"/>
      <c r="V1559" s="14"/>
      <c r="W1559" s="14"/>
      <c r="AA1559" s="13"/>
      <c r="AB1559" s="17"/>
      <c r="AC1559" s="13"/>
      <c r="AD1559" s="14"/>
      <c r="AE1559" s="30"/>
    </row>
    <row r="1560" spans="2:31" x14ac:dyDescent="0.25">
      <c r="B1560" s="53">
        <f t="shared" si="24"/>
        <v>310</v>
      </c>
      <c r="C1560" s="59" t="str">
        <f>IFERROR(VLOOKUP(C$13&amp;$B1564,Aux!$B:$M,5,0),"")</f>
        <v/>
      </c>
      <c r="D1560" s="60" t="str">
        <f>IFERROR(VLOOKUP(C$13&amp;$B1560,Aux!$B:$M,3,0),"")</f>
        <v/>
      </c>
      <c r="E1560" s="60"/>
      <c r="F1560" s="60"/>
      <c r="G1560" s="61" t="str">
        <f>IFERROR(VLOOKUP(C$13&amp;$B1560,Aux!$B:$M,9,0),"")</f>
        <v/>
      </c>
      <c r="K1560" s="59" t="str">
        <f>IFERROR(VLOOKUP(K$13&amp;$B1564,Aux!$B:$M,5,0),"")</f>
        <v/>
      </c>
      <c r="L1560" s="60" t="str">
        <f>IFERROR(VLOOKUP(K$13&amp;$B1560,Aux!$B:$M,3,0),"")</f>
        <v/>
      </c>
      <c r="M1560" s="60"/>
      <c r="N1560" s="60"/>
      <c r="O1560" s="61" t="str">
        <f>IFERROR(VLOOKUP(K$13&amp;$B1560,Aux!$B:$M,9,0),"")</f>
        <v/>
      </c>
      <c r="S1560" s="59" t="str">
        <f>IFERROR(VLOOKUP(S$13&amp;$B1564,Aux!$B:$M,5,0),"")</f>
        <v/>
      </c>
      <c r="T1560" s="60" t="str">
        <f>IFERROR(VLOOKUP(S$13&amp;$B1560,Aux!$B:$M,3,0),"")</f>
        <v/>
      </c>
      <c r="U1560" s="60"/>
      <c r="V1560" s="60"/>
      <c r="W1560" s="61" t="str">
        <f>IFERROR(VLOOKUP(S$13&amp;$B1560,Aux!$B:$M,9,0),"")</f>
        <v/>
      </c>
      <c r="AA1560" s="59" t="str">
        <f>IFERROR(VLOOKUP(AA$13&amp;$B1564,Aux!$B:$M,5,0),"")</f>
        <v/>
      </c>
      <c r="AB1560" s="60" t="str">
        <f>IFERROR(VLOOKUP(AA$13&amp;$B1560,Aux!$B:$M,3,0),"")</f>
        <v/>
      </c>
      <c r="AC1560" s="60"/>
      <c r="AD1560" s="60"/>
      <c r="AE1560" s="61" t="str">
        <f>IFERROR(VLOOKUP(AA$13&amp;$B1560,Aux!$B:$M,9,0),"")</f>
        <v/>
      </c>
    </row>
    <row r="1561" spans="2:31" x14ac:dyDescent="0.25">
      <c r="B1561" s="53">
        <f t="shared" si="24"/>
        <v>310</v>
      </c>
      <c r="C1561" s="59"/>
      <c r="D1561" s="60"/>
      <c r="E1561" s="60"/>
      <c r="F1561" s="60"/>
      <c r="G1561" s="61"/>
      <c r="K1561" s="59"/>
      <c r="L1561" s="60"/>
      <c r="M1561" s="60"/>
      <c r="N1561" s="60"/>
      <c r="O1561" s="61"/>
      <c r="S1561" s="59"/>
      <c r="T1561" s="60"/>
      <c r="U1561" s="60"/>
      <c r="V1561" s="60"/>
      <c r="W1561" s="61"/>
      <c r="AA1561" s="59"/>
      <c r="AB1561" s="60"/>
      <c r="AC1561" s="60"/>
      <c r="AD1561" s="60"/>
      <c r="AE1561" s="61"/>
    </row>
    <row r="1562" spans="2:31" x14ac:dyDescent="0.25">
      <c r="B1562" s="53">
        <f t="shared" si="24"/>
        <v>310</v>
      </c>
      <c r="C1562" s="59"/>
      <c r="D1562" s="15" t="str">
        <f>IF(D1560="","","Исполнитель"&amp;": ")</f>
        <v/>
      </c>
      <c r="E1562" s="62" t="str">
        <f>IFERROR(VLOOKUP(C$13&amp;$B1562,Aux!$B:$M,4,0),"")</f>
        <v/>
      </c>
      <c r="F1562" s="62"/>
      <c r="G1562" s="63" t="str">
        <f>IFERROR(IF(VLOOKUP(C$13&amp;$B1560,Aux!$B:$M,8,0)="Да","✔","🕓"),"")</f>
        <v/>
      </c>
      <c r="K1562" s="59"/>
      <c r="L1562" s="15" t="str">
        <f>IF(L1560="","","Исполнитель"&amp;": ")</f>
        <v/>
      </c>
      <c r="M1562" s="62" t="str">
        <f>IFERROR(VLOOKUP(K$13&amp;$B1562,Aux!$B:$M,4,0),"")</f>
        <v/>
      </c>
      <c r="N1562" s="62"/>
      <c r="O1562" s="63" t="str">
        <f>IFERROR(IF(VLOOKUP(K$13&amp;$B1560,Aux!$B:$M,8,0)="Да","✔","🕓"),"")</f>
        <v/>
      </c>
      <c r="S1562" s="59"/>
      <c r="T1562" s="15" t="str">
        <f>IF(T1560="","","Исполнитель"&amp;": ")</f>
        <v/>
      </c>
      <c r="U1562" s="62" t="str">
        <f>IFERROR(VLOOKUP(S$13&amp;$B1562,Aux!$B:$M,4,0),"")</f>
        <v/>
      </c>
      <c r="V1562" s="62"/>
      <c r="W1562" s="63" t="str">
        <f>IFERROR(IF(VLOOKUP(S$13&amp;$B1560,Aux!$B:$M,8,0)="Да","✔","🕓"),"")</f>
        <v/>
      </c>
      <c r="AA1562" s="59"/>
      <c r="AB1562" s="15" t="str">
        <f>IF(AB1560="","","Исполнитель"&amp;": ")</f>
        <v/>
      </c>
      <c r="AC1562" s="62" t="str">
        <f>IFERROR(VLOOKUP(AA$13&amp;$B1562,Aux!$B:$M,4,0),"")</f>
        <v/>
      </c>
      <c r="AD1562" s="62"/>
      <c r="AE1562" s="63" t="str">
        <f>IFERROR(IF(VLOOKUP(AA$13&amp;$B1560,Aux!$B:$M,8,0)="Да","✔","🕓"),"")</f>
        <v/>
      </c>
    </row>
    <row r="1563" spans="2:31" x14ac:dyDescent="0.25">
      <c r="B1563" s="53">
        <f t="shared" si="24"/>
        <v>310</v>
      </c>
      <c r="C1563" s="59"/>
      <c r="D1563" s="16" t="str">
        <f>IF(D1560="","","Срок сдачи"&amp;": ")</f>
        <v/>
      </c>
      <c r="E1563" s="64" t="str">
        <f>IFERROR(VLOOKUP(C$13&amp;$B1563,Aux!$B:$M,6,0),"")</f>
        <v/>
      </c>
      <c r="F1563" s="64"/>
      <c r="G1563" s="63"/>
      <c r="K1563" s="59"/>
      <c r="L1563" s="16" t="str">
        <f>IF(L1560="","","Срок сдачи"&amp;": ")</f>
        <v/>
      </c>
      <c r="M1563" s="64" t="str">
        <f>IFERROR(VLOOKUP(K$13&amp;$B1563,Aux!$B:$M,6,0),"")</f>
        <v/>
      </c>
      <c r="N1563" s="64"/>
      <c r="O1563" s="63"/>
      <c r="S1563" s="59"/>
      <c r="T1563" s="16" t="str">
        <f>IF(T1560="","","Срок сдачи"&amp;": ")</f>
        <v/>
      </c>
      <c r="U1563" s="64" t="str">
        <f>IFERROR(VLOOKUP(S$13&amp;$B1563,Aux!$B:$M,6,0),"")</f>
        <v/>
      </c>
      <c r="V1563" s="64"/>
      <c r="W1563" s="63"/>
      <c r="AA1563" s="59"/>
      <c r="AB1563" s="16" t="str">
        <f>IF(AB1560="","","Срок сдачи"&amp;": ")</f>
        <v/>
      </c>
      <c r="AC1563" s="64" t="str">
        <f>IFERROR(VLOOKUP(AA$13&amp;$B1563,Aux!$B:$M,6,0),"")</f>
        <v/>
      </c>
      <c r="AD1563" s="64"/>
      <c r="AE1563" s="63"/>
    </row>
    <row r="1564" spans="2:31" x14ac:dyDescent="0.25">
      <c r="B1564" s="53">
        <f t="shared" si="24"/>
        <v>310</v>
      </c>
      <c r="C1564" s="7"/>
      <c r="D1564" s="17"/>
      <c r="E1564" s="7"/>
      <c r="F1564" s="18"/>
      <c r="G1564" s="18"/>
      <c r="K1564" s="13"/>
      <c r="L1564" s="17"/>
      <c r="M1564" s="13"/>
      <c r="N1564" s="14"/>
      <c r="O1564" s="14"/>
      <c r="S1564" s="13"/>
      <c r="T1564" s="17"/>
      <c r="U1564" s="13"/>
      <c r="V1564" s="14"/>
      <c r="W1564" s="14"/>
      <c r="AA1564" s="13"/>
      <c r="AB1564" s="17"/>
      <c r="AC1564" s="13"/>
      <c r="AD1564" s="14"/>
      <c r="AE1564" s="30"/>
    </row>
    <row r="1565" spans="2:31" x14ac:dyDescent="0.25">
      <c r="B1565" s="53">
        <f t="shared" si="24"/>
        <v>311</v>
      </c>
      <c r="C1565" s="59" t="str">
        <f>IFERROR(VLOOKUP(C$13&amp;$B1569,Aux!$B:$M,5,0),"")</f>
        <v/>
      </c>
      <c r="D1565" s="60" t="str">
        <f>IFERROR(VLOOKUP(C$13&amp;$B1565,Aux!$B:$M,3,0),"")</f>
        <v/>
      </c>
      <c r="E1565" s="60"/>
      <c r="F1565" s="60"/>
      <c r="G1565" s="61" t="str">
        <f>IFERROR(VLOOKUP(C$13&amp;$B1565,Aux!$B:$M,9,0),"")</f>
        <v/>
      </c>
      <c r="K1565" s="59" t="str">
        <f>IFERROR(VLOOKUP(K$13&amp;$B1569,Aux!$B:$M,5,0),"")</f>
        <v/>
      </c>
      <c r="L1565" s="60" t="str">
        <f>IFERROR(VLOOKUP(K$13&amp;$B1565,Aux!$B:$M,3,0),"")</f>
        <v/>
      </c>
      <c r="M1565" s="60"/>
      <c r="N1565" s="60"/>
      <c r="O1565" s="61" t="str">
        <f>IFERROR(VLOOKUP(K$13&amp;$B1565,Aux!$B:$M,9,0),"")</f>
        <v/>
      </c>
      <c r="S1565" s="59" t="str">
        <f>IFERROR(VLOOKUP(S$13&amp;$B1569,Aux!$B:$M,5,0),"")</f>
        <v/>
      </c>
      <c r="T1565" s="60" t="str">
        <f>IFERROR(VLOOKUP(S$13&amp;$B1565,Aux!$B:$M,3,0),"")</f>
        <v/>
      </c>
      <c r="U1565" s="60"/>
      <c r="V1565" s="60"/>
      <c r="W1565" s="61" t="str">
        <f>IFERROR(VLOOKUP(S$13&amp;$B1565,Aux!$B:$M,9,0),"")</f>
        <v/>
      </c>
      <c r="AA1565" s="59" t="str">
        <f>IFERROR(VLOOKUP(AA$13&amp;$B1569,Aux!$B:$M,5,0),"")</f>
        <v/>
      </c>
      <c r="AB1565" s="60" t="str">
        <f>IFERROR(VLOOKUP(AA$13&amp;$B1565,Aux!$B:$M,3,0),"")</f>
        <v/>
      </c>
      <c r="AC1565" s="60"/>
      <c r="AD1565" s="60"/>
      <c r="AE1565" s="61" t="str">
        <f>IFERROR(VLOOKUP(AA$13&amp;$B1565,Aux!$B:$M,9,0),"")</f>
        <v/>
      </c>
    </row>
    <row r="1566" spans="2:31" x14ac:dyDescent="0.25">
      <c r="B1566" s="53">
        <f t="shared" si="24"/>
        <v>311</v>
      </c>
      <c r="C1566" s="59"/>
      <c r="D1566" s="60"/>
      <c r="E1566" s="60"/>
      <c r="F1566" s="60"/>
      <c r="G1566" s="61"/>
      <c r="K1566" s="59"/>
      <c r="L1566" s="60"/>
      <c r="M1566" s="60"/>
      <c r="N1566" s="60"/>
      <c r="O1566" s="61"/>
      <c r="S1566" s="59"/>
      <c r="T1566" s="60"/>
      <c r="U1566" s="60"/>
      <c r="V1566" s="60"/>
      <c r="W1566" s="61"/>
      <c r="AA1566" s="59"/>
      <c r="AB1566" s="60"/>
      <c r="AC1566" s="60"/>
      <c r="AD1566" s="60"/>
      <c r="AE1566" s="61"/>
    </row>
    <row r="1567" spans="2:31" x14ac:dyDescent="0.25">
      <c r="B1567" s="53">
        <f t="shared" si="24"/>
        <v>311</v>
      </c>
      <c r="C1567" s="59"/>
      <c r="D1567" s="15" t="str">
        <f>IF(D1565="","","Исполнитель"&amp;": ")</f>
        <v/>
      </c>
      <c r="E1567" s="62" t="str">
        <f>IFERROR(VLOOKUP(C$13&amp;$B1567,Aux!$B:$M,4,0),"")</f>
        <v/>
      </c>
      <c r="F1567" s="62"/>
      <c r="G1567" s="63" t="str">
        <f>IFERROR(IF(VLOOKUP(C$13&amp;$B1565,Aux!$B:$M,8,0)="Да","✔","🕓"),"")</f>
        <v/>
      </c>
      <c r="K1567" s="59"/>
      <c r="L1567" s="15" t="str">
        <f>IF(L1565="","","Исполнитель"&amp;": ")</f>
        <v/>
      </c>
      <c r="M1567" s="62" t="str">
        <f>IFERROR(VLOOKUP(K$13&amp;$B1567,Aux!$B:$M,4,0),"")</f>
        <v/>
      </c>
      <c r="N1567" s="62"/>
      <c r="O1567" s="63" t="str">
        <f>IFERROR(IF(VLOOKUP(K$13&amp;$B1565,Aux!$B:$M,8,0)="Да","✔","🕓"),"")</f>
        <v/>
      </c>
      <c r="S1567" s="59"/>
      <c r="T1567" s="15" t="str">
        <f>IF(T1565="","","Исполнитель"&amp;": ")</f>
        <v/>
      </c>
      <c r="U1567" s="62" t="str">
        <f>IFERROR(VLOOKUP(S$13&amp;$B1567,Aux!$B:$M,4,0),"")</f>
        <v/>
      </c>
      <c r="V1567" s="62"/>
      <c r="W1567" s="63" t="str">
        <f>IFERROR(IF(VLOOKUP(S$13&amp;$B1565,Aux!$B:$M,8,0)="Да","✔","🕓"),"")</f>
        <v/>
      </c>
      <c r="AA1567" s="59"/>
      <c r="AB1567" s="15" t="str">
        <f>IF(AB1565="","","Исполнитель"&amp;": ")</f>
        <v/>
      </c>
      <c r="AC1567" s="62" t="str">
        <f>IFERROR(VLOOKUP(AA$13&amp;$B1567,Aux!$B:$M,4,0),"")</f>
        <v/>
      </c>
      <c r="AD1567" s="62"/>
      <c r="AE1567" s="63" t="str">
        <f>IFERROR(IF(VLOOKUP(AA$13&amp;$B1565,Aux!$B:$M,8,0)="Да","✔","🕓"),"")</f>
        <v/>
      </c>
    </row>
    <row r="1568" spans="2:31" x14ac:dyDescent="0.25">
      <c r="B1568" s="53">
        <f t="shared" si="24"/>
        <v>311</v>
      </c>
      <c r="C1568" s="59"/>
      <c r="D1568" s="16" t="str">
        <f>IF(D1565="","","Срок сдачи"&amp;": ")</f>
        <v/>
      </c>
      <c r="E1568" s="64" t="str">
        <f>IFERROR(VLOOKUP(C$13&amp;$B1568,Aux!$B:$M,6,0),"")</f>
        <v/>
      </c>
      <c r="F1568" s="64"/>
      <c r="G1568" s="63"/>
      <c r="K1568" s="59"/>
      <c r="L1568" s="16" t="str">
        <f>IF(L1565="","","Срок сдачи"&amp;": ")</f>
        <v/>
      </c>
      <c r="M1568" s="64" t="str">
        <f>IFERROR(VLOOKUP(K$13&amp;$B1568,Aux!$B:$M,6,0),"")</f>
        <v/>
      </c>
      <c r="N1568" s="64"/>
      <c r="O1568" s="63"/>
      <c r="S1568" s="59"/>
      <c r="T1568" s="16" t="str">
        <f>IF(T1565="","","Срок сдачи"&amp;": ")</f>
        <v/>
      </c>
      <c r="U1568" s="64" t="str">
        <f>IFERROR(VLOOKUP(S$13&amp;$B1568,Aux!$B:$M,6,0),"")</f>
        <v/>
      </c>
      <c r="V1568" s="64"/>
      <c r="W1568" s="63"/>
      <c r="AA1568" s="59"/>
      <c r="AB1568" s="16" t="str">
        <f>IF(AB1565="","","Срок сдачи"&amp;": ")</f>
        <v/>
      </c>
      <c r="AC1568" s="64" t="str">
        <f>IFERROR(VLOOKUP(AA$13&amp;$B1568,Aux!$B:$M,6,0),"")</f>
        <v/>
      </c>
      <c r="AD1568" s="64"/>
      <c r="AE1568" s="63"/>
    </row>
    <row r="1569" spans="2:31" x14ac:dyDescent="0.25">
      <c r="B1569" s="53">
        <f t="shared" si="24"/>
        <v>311</v>
      </c>
      <c r="C1569" s="7"/>
      <c r="D1569" s="17"/>
      <c r="E1569" s="7"/>
      <c r="F1569" s="18"/>
      <c r="G1569" s="18"/>
      <c r="K1569" s="13"/>
      <c r="L1569" s="17"/>
      <c r="M1569" s="13"/>
      <c r="N1569" s="14"/>
      <c r="O1569" s="14"/>
      <c r="S1569" s="13"/>
      <c r="T1569" s="17"/>
      <c r="U1569" s="13"/>
      <c r="V1569" s="14"/>
      <c r="W1569" s="14"/>
      <c r="AA1569" s="13"/>
      <c r="AB1569" s="17"/>
      <c r="AC1569" s="13"/>
      <c r="AD1569" s="14"/>
      <c r="AE1569" s="30"/>
    </row>
    <row r="1570" spans="2:31" x14ac:dyDescent="0.25">
      <c r="B1570" s="53">
        <f t="shared" si="24"/>
        <v>312</v>
      </c>
      <c r="C1570" s="59" t="str">
        <f>IFERROR(VLOOKUP(C$13&amp;$B1574,Aux!$B:$M,5,0),"")</f>
        <v/>
      </c>
      <c r="D1570" s="60" t="str">
        <f>IFERROR(VLOOKUP(C$13&amp;$B1570,Aux!$B:$M,3,0),"")</f>
        <v/>
      </c>
      <c r="E1570" s="60"/>
      <c r="F1570" s="60"/>
      <c r="G1570" s="61" t="str">
        <f>IFERROR(VLOOKUP(C$13&amp;$B1570,Aux!$B:$M,9,0),"")</f>
        <v/>
      </c>
      <c r="K1570" s="59" t="str">
        <f>IFERROR(VLOOKUP(K$13&amp;$B1574,Aux!$B:$M,5,0),"")</f>
        <v/>
      </c>
      <c r="L1570" s="60" t="str">
        <f>IFERROR(VLOOKUP(K$13&amp;$B1570,Aux!$B:$M,3,0),"")</f>
        <v/>
      </c>
      <c r="M1570" s="60"/>
      <c r="N1570" s="60"/>
      <c r="O1570" s="61" t="str">
        <f>IFERROR(VLOOKUP(K$13&amp;$B1570,Aux!$B:$M,9,0),"")</f>
        <v/>
      </c>
      <c r="S1570" s="59" t="str">
        <f>IFERROR(VLOOKUP(S$13&amp;$B1574,Aux!$B:$M,5,0),"")</f>
        <v/>
      </c>
      <c r="T1570" s="60" t="str">
        <f>IFERROR(VLOOKUP(S$13&amp;$B1570,Aux!$B:$M,3,0),"")</f>
        <v/>
      </c>
      <c r="U1570" s="60"/>
      <c r="V1570" s="60"/>
      <c r="W1570" s="61" t="str">
        <f>IFERROR(VLOOKUP(S$13&amp;$B1570,Aux!$B:$M,9,0),"")</f>
        <v/>
      </c>
      <c r="AA1570" s="59" t="str">
        <f>IFERROR(VLOOKUP(AA$13&amp;$B1574,Aux!$B:$M,5,0),"")</f>
        <v/>
      </c>
      <c r="AB1570" s="60" t="str">
        <f>IFERROR(VLOOKUP(AA$13&amp;$B1570,Aux!$B:$M,3,0),"")</f>
        <v/>
      </c>
      <c r="AC1570" s="60"/>
      <c r="AD1570" s="60"/>
      <c r="AE1570" s="61" t="str">
        <f>IFERROR(VLOOKUP(AA$13&amp;$B1570,Aux!$B:$M,9,0),"")</f>
        <v/>
      </c>
    </row>
    <row r="1571" spans="2:31" x14ac:dyDescent="0.25">
      <c r="B1571" s="53">
        <f t="shared" si="24"/>
        <v>312</v>
      </c>
      <c r="C1571" s="59"/>
      <c r="D1571" s="60"/>
      <c r="E1571" s="60"/>
      <c r="F1571" s="60"/>
      <c r="G1571" s="61"/>
      <c r="K1571" s="59"/>
      <c r="L1571" s="60"/>
      <c r="M1571" s="60"/>
      <c r="N1571" s="60"/>
      <c r="O1571" s="61"/>
      <c r="S1571" s="59"/>
      <c r="T1571" s="60"/>
      <c r="U1571" s="60"/>
      <c r="V1571" s="60"/>
      <c r="W1571" s="61"/>
      <c r="AA1571" s="59"/>
      <c r="AB1571" s="60"/>
      <c r="AC1571" s="60"/>
      <c r="AD1571" s="60"/>
      <c r="AE1571" s="61"/>
    </row>
    <row r="1572" spans="2:31" x14ac:dyDescent="0.25">
      <c r="B1572" s="53">
        <f t="shared" si="24"/>
        <v>312</v>
      </c>
      <c r="C1572" s="59"/>
      <c r="D1572" s="15" t="str">
        <f>IF(D1570="","","Исполнитель"&amp;": ")</f>
        <v/>
      </c>
      <c r="E1572" s="62" t="str">
        <f>IFERROR(VLOOKUP(C$13&amp;$B1572,Aux!$B:$M,4,0),"")</f>
        <v/>
      </c>
      <c r="F1572" s="62"/>
      <c r="G1572" s="63" t="str">
        <f>IFERROR(IF(VLOOKUP(C$13&amp;$B1570,Aux!$B:$M,8,0)="Да","✔","🕓"),"")</f>
        <v/>
      </c>
      <c r="K1572" s="59"/>
      <c r="L1572" s="15" t="str">
        <f>IF(L1570="","","Исполнитель"&amp;": ")</f>
        <v/>
      </c>
      <c r="M1572" s="62" t="str">
        <f>IFERROR(VLOOKUP(K$13&amp;$B1572,Aux!$B:$M,4,0),"")</f>
        <v/>
      </c>
      <c r="N1572" s="62"/>
      <c r="O1572" s="63" t="str">
        <f>IFERROR(IF(VLOOKUP(K$13&amp;$B1570,Aux!$B:$M,8,0)="Да","✔","🕓"),"")</f>
        <v/>
      </c>
      <c r="S1572" s="59"/>
      <c r="T1572" s="15" t="str">
        <f>IF(T1570="","","Исполнитель"&amp;": ")</f>
        <v/>
      </c>
      <c r="U1572" s="62" t="str">
        <f>IFERROR(VLOOKUP(S$13&amp;$B1572,Aux!$B:$M,4,0),"")</f>
        <v/>
      </c>
      <c r="V1572" s="62"/>
      <c r="W1572" s="63" t="str">
        <f>IFERROR(IF(VLOOKUP(S$13&amp;$B1570,Aux!$B:$M,8,0)="Да","✔","🕓"),"")</f>
        <v/>
      </c>
      <c r="AA1572" s="59"/>
      <c r="AB1572" s="15" t="str">
        <f>IF(AB1570="","","Исполнитель"&amp;": ")</f>
        <v/>
      </c>
      <c r="AC1572" s="62" t="str">
        <f>IFERROR(VLOOKUP(AA$13&amp;$B1572,Aux!$B:$M,4,0),"")</f>
        <v/>
      </c>
      <c r="AD1572" s="62"/>
      <c r="AE1572" s="63" t="str">
        <f>IFERROR(IF(VLOOKUP(AA$13&amp;$B1570,Aux!$B:$M,8,0)="Да","✔","🕓"),"")</f>
        <v/>
      </c>
    </row>
    <row r="1573" spans="2:31" x14ac:dyDescent="0.25">
      <c r="B1573" s="53">
        <f t="shared" si="24"/>
        <v>312</v>
      </c>
      <c r="C1573" s="59"/>
      <c r="D1573" s="16" t="str">
        <f>IF(D1570="","","Срок сдачи"&amp;": ")</f>
        <v/>
      </c>
      <c r="E1573" s="64" t="str">
        <f>IFERROR(VLOOKUP(C$13&amp;$B1573,Aux!$B:$M,6,0),"")</f>
        <v/>
      </c>
      <c r="F1573" s="64"/>
      <c r="G1573" s="63"/>
      <c r="K1573" s="59"/>
      <c r="L1573" s="16" t="str">
        <f>IF(L1570="","","Срок сдачи"&amp;": ")</f>
        <v/>
      </c>
      <c r="M1573" s="64" t="str">
        <f>IFERROR(VLOOKUP(K$13&amp;$B1573,Aux!$B:$M,6,0),"")</f>
        <v/>
      </c>
      <c r="N1573" s="64"/>
      <c r="O1573" s="63"/>
      <c r="S1573" s="59"/>
      <c r="T1573" s="16" t="str">
        <f>IF(T1570="","","Срок сдачи"&amp;": ")</f>
        <v/>
      </c>
      <c r="U1573" s="64" t="str">
        <f>IFERROR(VLOOKUP(S$13&amp;$B1573,Aux!$B:$M,6,0),"")</f>
        <v/>
      </c>
      <c r="V1573" s="64"/>
      <c r="W1573" s="63"/>
      <c r="AA1573" s="59"/>
      <c r="AB1573" s="16" t="str">
        <f>IF(AB1570="","","Срок сдачи"&amp;": ")</f>
        <v/>
      </c>
      <c r="AC1573" s="64" t="str">
        <f>IFERROR(VLOOKUP(AA$13&amp;$B1573,Aux!$B:$M,6,0),"")</f>
        <v/>
      </c>
      <c r="AD1573" s="64"/>
      <c r="AE1573" s="63"/>
    </row>
    <row r="1574" spans="2:31" x14ac:dyDescent="0.25">
      <c r="B1574" s="53">
        <f t="shared" si="24"/>
        <v>312</v>
      </c>
      <c r="C1574" s="7"/>
      <c r="D1574" s="17"/>
      <c r="E1574" s="7"/>
      <c r="F1574" s="18"/>
      <c r="G1574" s="18"/>
      <c r="K1574" s="13"/>
      <c r="L1574" s="17"/>
      <c r="M1574" s="13"/>
      <c r="N1574" s="14"/>
      <c r="O1574" s="14"/>
      <c r="S1574" s="13"/>
      <c r="T1574" s="17"/>
      <c r="U1574" s="13"/>
      <c r="V1574" s="14"/>
      <c r="W1574" s="14"/>
      <c r="AA1574" s="13"/>
      <c r="AB1574" s="17"/>
      <c r="AC1574" s="13"/>
      <c r="AD1574" s="14"/>
      <c r="AE1574" s="30"/>
    </row>
    <row r="1575" spans="2:31" x14ac:dyDescent="0.25">
      <c r="B1575" s="53">
        <f t="shared" si="24"/>
        <v>313</v>
      </c>
      <c r="C1575" s="59" t="str">
        <f>IFERROR(VLOOKUP(C$13&amp;$B1579,Aux!$B:$M,5,0),"")</f>
        <v/>
      </c>
      <c r="D1575" s="60" t="str">
        <f>IFERROR(VLOOKUP(C$13&amp;$B1575,Aux!$B:$M,3,0),"")</f>
        <v/>
      </c>
      <c r="E1575" s="60"/>
      <c r="F1575" s="60"/>
      <c r="G1575" s="61" t="str">
        <f>IFERROR(VLOOKUP(C$13&amp;$B1575,Aux!$B:$M,9,0),"")</f>
        <v/>
      </c>
      <c r="K1575" s="59" t="str">
        <f>IFERROR(VLOOKUP(K$13&amp;$B1579,Aux!$B:$M,5,0),"")</f>
        <v/>
      </c>
      <c r="L1575" s="60" t="str">
        <f>IFERROR(VLOOKUP(K$13&amp;$B1575,Aux!$B:$M,3,0),"")</f>
        <v/>
      </c>
      <c r="M1575" s="60"/>
      <c r="N1575" s="60"/>
      <c r="O1575" s="61" t="str">
        <f>IFERROR(VLOOKUP(K$13&amp;$B1575,Aux!$B:$M,9,0),"")</f>
        <v/>
      </c>
      <c r="S1575" s="59" t="str">
        <f>IFERROR(VLOOKUP(S$13&amp;$B1579,Aux!$B:$M,5,0),"")</f>
        <v/>
      </c>
      <c r="T1575" s="60" t="str">
        <f>IFERROR(VLOOKUP(S$13&amp;$B1575,Aux!$B:$M,3,0),"")</f>
        <v/>
      </c>
      <c r="U1575" s="60"/>
      <c r="V1575" s="60"/>
      <c r="W1575" s="61" t="str">
        <f>IFERROR(VLOOKUP(S$13&amp;$B1575,Aux!$B:$M,9,0),"")</f>
        <v/>
      </c>
      <c r="AA1575" s="59" t="str">
        <f>IFERROR(VLOOKUP(AA$13&amp;$B1579,Aux!$B:$M,5,0),"")</f>
        <v/>
      </c>
      <c r="AB1575" s="60" t="str">
        <f>IFERROR(VLOOKUP(AA$13&amp;$B1575,Aux!$B:$M,3,0),"")</f>
        <v/>
      </c>
      <c r="AC1575" s="60"/>
      <c r="AD1575" s="60"/>
      <c r="AE1575" s="61" t="str">
        <f>IFERROR(VLOOKUP(AA$13&amp;$B1575,Aux!$B:$M,9,0),"")</f>
        <v/>
      </c>
    </row>
    <row r="1576" spans="2:31" x14ac:dyDescent="0.25">
      <c r="B1576" s="53">
        <f t="shared" si="24"/>
        <v>313</v>
      </c>
      <c r="C1576" s="59"/>
      <c r="D1576" s="60"/>
      <c r="E1576" s="60"/>
      <c r="F1576" s="60"/>
      <c r="G1576" s="61"/>
      <c r="K1576" s="59"/>
      <c r="L1576" s="60"/>
      <c r="M1576" s="60"/>
      <c r="N1576" s="60"/>
      <c r="O1576" s="61"/>
      <c r="S1576" s="59"/>
      <c r="T1576" s="60"/>
      <c r="U1576" s="60"/>
      <c r="V1576" s="60"/>
      <c r="W1576" s="61"/>
      <c r="AA1576" s="59"/>
      <c r="AB1576" s="60"/>
      <c r="AC1576" s="60"/>
      <c r="AD1576" s="60"/>
      <c r="AE1576" s="61"/>
    </row>
    <row r="1577" spans="2:31" x14ac:dyDescent="0.25">
      <c r="B1577" s="53">
        <f t="shared" si="24"/>
        <v>313</v>
      </c>
      <c r="C1577" s="59"/>
      <c r="D1577" s="15" t="str">
        <f>IF(D1575="","","Исполнитель"&amp;": ")</f>
        <v/>
      </c>
      <c r="E1577" s="62" t="str">
        <f>IFERROR(VLOOKUP(C$13&amp;$B1577,Aux!$B:$M,4,0),"")</f>
        <v/>
      </c>
      <c r="F1577" s="62"/>
      <c r="G1577" s="63" t="str">
        <f>IFERROR(IF(VLOOKUP(C$13&amp;$B1575,Aux!$B:$M,8,0)="Да","✔","🕓"),"")</f>
        <v/>
      </c>
      <c r="K1577" s="59"/>
      <c r="L1577" s="15" t="str">
        <f>IF(L1575="","","Исполнитель"&amp;": ")</f>
        <v/>
      </c>
      <c r="M1577" s="62" t="str">
        <f>IFERROR(VLOOKUP(K$13&amp;$B1577,Aux!$B:$M,4,0),"")</f>
        <v/>
      </c>
      <c r="N1577" s="62"/>
      <c r="O1577" s="63" t="str">
        <f>IFERROR(IF(VLOOKUP(K$13&amp;$B1575,Aux!$B:$M,8,0)="Да","✔","🕓"),"")</f>
        <v/>
      </c>
      <c r="S1577" s="59"/>
      <c r="T1577" s="15" t="str">
        <f>IF(T1575="","","Исполнитель"&amp;": ")</f>
        <v/>
      </c>
      <c r="U1577" s="62" t="str">
        <f>IFERROR(VLOOKUP(S$13&amp;$B1577,Aux!$B:$M,4,0),"")</f>
        <v/>
      </c>
      <c r="V1577" s="62"/>
      <c r="W1577" s="63" t="str">
        <f>IFERROR(IF(VLOOKUP(S$13&amp;$B1575,Aux!$B:$M,8,0)="Да","✔","🕓"),"")</f>
        <v/>
      </c>
      <c r="AA1577" s="59"/>
      <c r="AB1577" s="15" t="str">
        <f>IF(AB1575="","","Исполнитель"&amp;": ")</f>
        <v/>
      </c>
      <c r="AC1577" s="62" t="str">
        <f>IFERROR(VLOOKUP(AA$13&amp;$B1577,Aux!$B:$M,4,0),"")</f>
        <v/>
      </c>
      <c r="AD1577" s="62"/>
      <c r="AE1577" s="63" t="str">
        <f>IFERROR(IF(VLOOKUP(AA$13&amp;$B1575,Aux!$B:$M,8,0)="Да","✔","🕓"),"")</f>
        <v/>
      </c>
    </row>
    <row r="1578" spans="2:31" x14ac:dyDescent="0.25">
      <c r="B1578" s="53">
        <f t="shared" si="24"/>
        <v>313</v>
      </c>
      <c r="C1578" s="59"/>
      <c r="D1578" s="16" t="str">
        <f>IF(D1575="","","Срок сдачи"&amp;": ")</f>
        <v/>
      </c>
      <c r="E1578" s="64" t="str">
        <f>IFERROR(VLOOKUP(C$13&amp;$B1578,Aux!$B:$M,6,0),"")</f>
        <v/>
      </c>
      <c r="F1578" s="64"/>
      <c r="G1578" s="63"/>
      <c r="K1578" s="59"/>
      <c r="L1578" s="16" t="str">
        <f>IF(L1575="","","Срок сдачи"&amp;": ")</f>
        <v/>
      </c>
      <c r="M1578" s="64" t="str">
        <f>IFERROR(VLOOKUP(K$13&amp;$B1578,Aux!$B:$M,6,0),"")</f>
        <v/>
      </c>
      <c r="N1578" s="64"/>
      <c r="O1578" s="63"/>
      <c r="S1578" s="59"/>
      <c r="T1578" s="16" t="str">
        <f>IF(T1575="","","Срок сдачи"&amp;": ")</f>
        <v/>
      </c>
      <c r="U1578" s="64" t="str">
        <f>IFERROR(VLOOKUP(S$13&amp;$B1578,Aux!$B:$M,6,0),"")</f>
        <v/>
      </c>
      <c r="V1578" s="64"/>
      <c r="W1578" s="63"/>
      <c r="AA1578" s="59"/>
      <c r="AB1578" s="16" t="str">
        <f>IF(AB1575="","","Срок сдачи"&amp;": ")</f>
        <v/>
      </c>
      <c r="AC1578" s="64" t="str">
        <f>IFERROR(VLOOKUP(AA$13&amp;$B1578,Aux!$B:$M,6,0),"")</f>
        <v/>
      </c>
      <c r="AD1578" s="64"/>
      <c r="AE1578" s="63"/>
    </row>
    <row r="1579" spans="2:31" x14ac:dyDescent="0.25">
      <c r="B1579" s="53">
        <f t="shared" si="24"/>
        <v>313</v>
      </c>
      <c r="C1579" s="7"/>
      <c r="D1579" s="17"/>
      <c r="E1579" s="7"/>
      <c r="F1579" s="18"/>
      <c r="G1579" s="18"/>
      <c r="K1579" s="13"/>
      <c r="L1579" s="17"/>
      <c r="M1579" s="13"/>
      <c r="N1579" s="14"/>
      <c r="O1579" s="14"/>
      <c r="S1579" s="13"/>
      <c r="T1579" s="17"/>
      <c r="U1579" s="13"/>
      <c r="V1579" s="14"/>
      <c r="W1579" s="14"/>
      <c r="AA1579" s="13"/>
      <c r="AB1579" s="17"/>
      <c r="AC1579" s="13"/>
      <c r="AD1579" s="14"/>
      <c r="AE1579" s="30"/>
    </row>
    <row r="1580" spans="2:31" x14ac:dyDescent="0.25">
      <c r="B1580" s="53">
        <f t="shared" si="24"/>
        <v>314</v>
      </c>
      <c r="C1580" s="59" t="str">
        <f>IFERROR(VLOOKUP(C$13&amp;$B1584,Aux!$B:$M,5,0),"")</f>
        <v/>
      </c>
      <c r="D1580" s="60" t="str">
        <f>IFERROR(VLOOKUP(C$13&amp;$B1580,Aux!$B:$M,3,0),"")</f>
        <v/>
      </c>
      <c r="E1580" s="60"/>
      <c r="F1580" s="60"/>
      <c r="G1580" s="61" t="str">
        <f>IFERROR(VLOOKUP(C$13&amp;$B1580,Aux!$B:$M,9,0),"")</f>
        <v/>
      </c>
      <c r="K1580" s="59" t="str">
        <f>IFERROR(VLOOKUP(K$13&amp;$B1584,Aux!$B:$M,5,0),"")</f>
        <v/>
      </c>
      <c r="L1580" s="60" t="str">
        <f>IFERROR(VLOOKUP(K$13&amp;$B1580,Aux!$B:$M,3,0),"")</f>
        <v/>
      </c>
      <c r="M1580" s="60"/>
      <c r="N1580" s="60"/>
      <c r="O1580" s="61" t="str">
        <f>IFERROR(VLOOKUP(K$13&amp;$B1580,Aux!$B:$M,9,0),"")</f>
        <v/>
      </c>
      <c r="S1580" s="59" t="str">
        <f>IFERROR(VLOOKUP(S$13&amp;$B1584,Aux!$B:$M,5,0),"")</f>
        <v/>
      </c>
      <c r="T1580" s="60" t="str">
        <f>IFERROR(VLOOKUP(S$13&amp;$B1580,Aux!$B:$M,3,0),"")</f>
        <v/>
      </c>
      <c r="U1580" s="60"/>
      <c r="V1580" s="60"/>
      <c r="W1580" s="61" t="str">
        <f>IFERROR(VLOOKUP(S$13&amp;$B1580,Aux!$B:$M,9,0),"")</f>
        <v/>
      </c>
      <c r="AA1580" s="59" t="str">
        <f>IFERROR(VLOOKUP(AA$13&amp;$B1584,Aux!$B:$M,5,0),"")</f>
        <v/>
      </c>
      <c r="AB1580" s="60" t="str">
        <f>IFERROR(VLOOKUP(AA$13&amp;$B1580,Aux!$B:$M,3,0),"")</f>
        <v/>
      </c>
      <c r="AC1580" s="60"/>
      <c r="AD1580" s="60"/>
      <c r="AE1580" s="61" t="str">
        <f>IFERROR(VLOOKUP(AA$13&amp;$B1580,Aux!$B:$M,9,0),"")</f>
        <v/>
      </c>
    </row>
    <row r="1581" spans="2:31" x14ac:dyDescent="0.25">
      <c r="B1581" s="53">
        <f t="shared" si="24"/>
        <v>314</v>
      </c>
      <c r="C1581" s="59"/>
      <c r="D1581" s="60"/>
      <c r="E1581" s="60"/>
      <c r="F1581" s="60"/>
      <c r="G1581" s="61"/>
      <c r="K1581" s="59"/>
      <c r="L1581" s="60"/>
      <c r="M1581" s="60"/>
      <c r="N1581" s="60"/>
      <c r="O1581" s="61"/>
      <c r="S1581" s="59"/>
      <c r="T1581" s="60"/>
      <c r="U1581" s="60"/>
      <c r="V1581" s="60"/>
      <c r="W1581" s="61"/>
      <c r="AA1581" s="59"/>
      <c r="AB1581" s="60"/>
      <c r="AC1581" s="60"/>
      <c r="AD1581" s="60"/>
      <c r="AE1581" s="61"/>
    </row>
    <row r="1582" spans="2:31" x14ac:dyDescent="0.25">
      <c r="B1582" s="53">
        <f t="shared" si="24"/>
        <v>314</v>
      </c>
      <c r="C1582" s="59"/>
      <c r="D1582" s="15" t="str">
        <f>IF(D1580="","","Исполнитель"&amp;": ")</f>
        <v/>
      </c>
      <c r="E1582" s="62" t="str">
        <f>IFERROR(VLOOKUP(C$13&amp;$B1582,Aux!$B:$M,4,0),"")</f>
        <v/>
      </c>
      <c r="F1582" s="62"/>
      <c r="G1582" s="63" t="str">
        <f>IFERROR(IF(VLOOKUP(C$13&amp;$B1580,Aux!$B:$M,8,0)="Да","✔","🕓"),"")</f>
        <v/>
      </c>
      <c r="K1582" s="59"/>
      <c r="L1582" s="15" t="str">
        <f>IF(L1580="","","Исполнитель"&amp;": ")</f>
        <v/>
      </c>
      <c r="M1582" s="62" t="str">
        <f>IFERROR(VLOOKUP(K$13&amp;$B1582,Aux!$B:$M,4,0),"")</f>
        <v/>
      </c>
      <c r="N1582" s="62"/>
      <c r="O1582" s="63" t="str">
        <f>IFERROR(IF(VLOOKUP(K$13&amp;$B1580,Aux!$B:$M,8,0)="Да","✔","🕓"),"")</f>
        <v/>
      </c>
      <c r="S1582" s="59"/>
      <c r="T1582" s="15" t="str">
        <f>IF(T1580="","","Исполнитель"&amp;": ")</f>
        <v/>
      </c>
      <c r="U1582" s="62" t="str">
        <f>IFERROR(VLOOKUP(S$13&amp;$B1582,Aux!$B:$M,4,0),"")</f>
        <v/>
      </c>
      <c r="V1582" s="62"/>
      <c r="W1582" s="63" t="str">
        <f>IFERROR(IF(VLOOKUP(S$13&amp;$B1580,Aux!$B:$M,8,0)="Да","✔","🕓"),"")</f>
        <v/>
      </c>
      <c r="AA1582" s="59"/>
      <c r="AB1582" s="15" t="str">
        <f>IF(AB1580="","","Исполнитель"&amp;": ")</f>
        <v/>
      </c>
      <c r="AC1582" s="62" t="str">
        <f>IFERROR(VLOOKUP(AA$13&amp;$B1582,Aux!$B:$M,4,0),"")</f>
        <v/>
      </c>
      <c r="AD1582" s="62"/>
      <c r="AE1582" s="63" t="str">
        <f>IFERROR(IF(VLOOKUP(AA$13&amp;$B1580,Aux!$B:$M,8,0)="Да","✔","🕓"),"")</f>
        <v/>
      </c>
    </row>
    <row r="1583" spans="2:31" x14ac:dyDescent="0.25">
      <c r="B1583" s="53">
        <f t="shared" si="24"/>
        <v>314</v>
      </c>
      <c r="C1583" s="59"/>
      <c r="D1583" s="16" t="str">
        <f>IF(D1580="","","Срок сдачи"&amp;": ")</f>
        <v/>
      </c>
      <c r="E1583" s="64" t="str">
        <f>IFERROR(VLOOKUP(C$13&amp;$B1583,Aux!$B:$M,6,0),"")</f>
        <v/>
      </c>
      <c r="F1583" s="64"/>
      <c r="G1583" s="63"/>
      <c r="K1583" s="59"/>
      <c r="L1583" s="16" t="str">
        <f>IF(L1580="","","Срок сдачи"&amp;": ")</f>
        <v/>
      </c>
      <c r="M1583" s="64" t="str">
        <f>IFERROR(VLOOKUP(K$13&amp;$B1583,Aux!$B:$M,6,0),"")</f>
        <v/>
      </c>
      <c r="N1583" s="64"/>
      <c r="O1583" s="63"/>
      <c r="S1583" s="59"/>
      <c r="T1583" s="16" t="str">
        <f>IF(T1580="","","Срок сдачи"&amp;": ")</f>
        <v/>
      </c>
      <c r="U1583" s="64" t="str">
        <f>IFERROR(VLOOKUP(S$13&amp;$B1583,Aux!$B:$M,6,0),"")</f>
        <v/>
      </c>
      <c r="V1583" s="64"/>
      <c r="W1583" s="63"/>
      <c r="AA1583" s="59"/>
      <c r="AB1583" s="16" t="str">
        <f>IF(AB1580="","","Срок сдачи"&amp;": ")</f>
        <v/>
      </c>
      <c r="AC1583" s="64" t="str">
        <f>IFERROR(VLOOKUP(AA$13&amp;$B1583,Aux!$B:$M,6,0),"")</f>
        <v/>
      </c>
      <c r="AD1583" s="64"/>
      <c r="AE1583" s="63"/>
    </row>
    <row r="1584" spans="2:31" x14ac:dyDescent="0.25">
      <c r="B1584" s="53">
        <f t="shared" si="24"/>
        <v>314</v>
      </c>
      <c r="C1584" s="7"/>
      <c r="D1584" s="17"/>
      <c r="E1584" s="7"/>
      <c r="F1584" s="18"/>
      <c r="G1584" s="18"/>
      <c r="K1584" s="13"/>
      <c r="L1584" s="17"/>
      <c r="M1584" s="13"/>
      <c r="N1584" s="14"/>
      <c r="O1584" s="14"/>
      <c r="S1584" s="13"/>
      <c r="T1584" s="17"/>
      <c r="U1584" s="13"/>
      <c r="V1584" s="14"/>
      <c r="W1584" s="14"/>
      <c r="AA1584" s="13"/>
      <c r="AB1584" s="17"/>
      <c r="AC1584" s="13"/>
      <c r="AD1584" s="14"/>
      <c r="AE1584" s="30"/>
    </row>
    <row r="1585" spans="2:31" x14ac:dyDescent="0.25">
      <c r="B1585" s="53">
        <f t="shared" si="24"/>
        <v>315</v>
      </c>
      <c r="C1585" s="59" t="str">
        <f>IFERROR(VLOOKUP(C$13&amp;$B1589,Aux!$B:$M,5,0),"")</f>
        <v/>
      </c>
      <c r="D1585" s="60" t="str">
        <f>IFERROR(VLOOKUP(C$13&amp;$B1585,Aux!$B:$M,3,0),"")</f>
        <v/>
      </c>
      <c r="E1585" s="60"/>
      <c r="F1585" s="60"/>
      <c r="G1585" s="61" t="str">
        <f>IFERROR(VLOOKUP(C$13&amp;$B1585,Aux!$B:$M,9,0),"")</f>
        <v/>
      </c>
      <c r="K1585" s="59" t="str">
        <f>IFERROR(VLOOKUP(K$13&amp;$B1589,Aux!$B:$M,5,0),"")</f>
        <v/>
      </c>
      <c r="L1585" s="60" t="str">
        <f>IFERROR(VLOOKUP(K$13&amp;$B1585,Aux!$B:$M,3,0),"")</f>
        <v/>
      </c>
      <c r="M1585" s="60"/>
      <c r="N1585" s="60"/>
      <c r="O1585" s="61" t="str">
        <f>IFERROR(VLOOKUP(K$13&amp;$B1585,Aux!$B:$M,9,0),"")</f>
        <v/>
      </c>
      <c r="S1585" s="59" t="str">
        <f>IFERROR(VLOOKUP(S$13&amp;$B1589,Aux!$B:$M,5,0),"")</f>
        <v/>
      </c>
      <c r="T1585" s="60" t="str">
        <f>IFERROR(VLOOKUP(S$13&amp;$B1585,Aux!$B:$M,3,0),"")</f>
        <v/>
      </c>
      <c r="U1585" s="60"/>
      <c r="V1585" s="60"/>
      <c r="W1585" s="61" t="str">
        <f>IFERROR(VLOOKUP(S$13&amp;$B1585,Aux!$B:$M,9,0),"")</f>
        <v/>
      </c>
      <c r="AA1585" s="59" t="str">
        <f>IFERROR(VLOOKUP(AA$13&amp;$B1589,Aux!$B:$M,5,0),"")</f>
        <v/>
      </c>
      <c r="AB1585" s="60" t="str">
        <f>IFERROR(VLOOKUP(AA$13&amp;$B1585,Aux!$B:$M,3,0),"")</f>
        <v/>
      </c>
      <c r="AC1585" s="60"/>
      <c r="AD1585" s="60"/>
      <c r="AE1585" s="61" t="str">
        <f>IFERROR(VLOOKUP(AA$13&amp;$B1585,Aux!$B:$M,9,0),"")</f>
        <v/>
      </c>
    </row>
    <row r="1586" spans="2:31" x14ac:dyDescent="0.25">
      <c r="B1586" s="53">
        <f t="shared" si="24"/>
        <v>315</v>
      </c>
      <c r="C1586" s="59"/>
      <c r="D1586" s="60"/>
      <c r="E1586" s="60"/>
      <c r="F1586" s="60"/>
      <c r="G1586" s="61"/>
      <c r="K1586" s="59"/>
      <c r="L1586" s="60"/>
      <c r="M1586" s="60"/>
      <c r="N1586" s="60"/>
      <c r="O1586" s="61"/>
      <c r="S1586" s="59"/>
      <c r="T1586" s="60"/>
      <c r="U1586" s="60"/>
      <c r="V1586" s="60"/>
      <c r="W1586" s="61"/>
      <c r="AA1586" s="59"/>
      <c r="AB1586" s="60"/>
      <c r="AC1586" s="60"/>
      <c r="AD1586" s="60"/>
      <c r="AE1586" s="61"/>
    </row>
    <row r="1587" spans="2:31" x14ac:dyDescent="0.25">
      <c r="B1587" s="53">
        <f t="shared" si="24"/>
        <v>315</v>
      </c>
      <c r="C1587" s="59"/>
      <c r="D1587" s="15" t="str">
        <f>IF(D1585="","","Исполнитель"&amp;": ")</f>
        <v/>
      </c>
      <c r="E1587" s="62" t="str">
        <f>IFERROR(VLOOKUP(C$13&amp;$B1587,Aux!$B:$M,4,0),"")</f>
        <v/>
      </c>
      <c r="F1587" s="62"/>
      <c r="G1587" s="63" t="str">
        <f>IFERROR(IF(VLOOKUP(C$13&amp;$B1585,Aux!$B:$M,8,0)="Да","✔","🕓"),"")</f>
        <v/>
      </c>
      <c r="K1587" s="59"/>
      <c r="L1587" s="15" t="str">
        <f>IF(L1585="","","Исполнитель"&amp;": ")</f>
        <v/>
      </c>
      <c r="M1587" s="62" t="str">
        <f>IFERROR(VLOOKUP(K$13&amp;$B1587,Aux!$B:$M,4,0),"")</f>
        <v/>
      </c>
      <c r="N1587" s="62"/>
      <c r="O1587" s="63" t="str">
        <f>IFERROR(IF(VLOOKUP(K$13&amp;$B1585,Aux!$B:$M,8,0)="Да","✔","🕓"),"")</f>
        <v/>
      </c>
      <c r="S1587" s="59"/>
      <c r="T1587" s="15" t="str">
        <f>IF(T1585="","","Исполнитель"&amp;": ")</f>
        <v/>
      </c>
      <c r="U1587" s="62" t="str">
        <f>IFERROR(VLOOKUP(S$13&amp;$B1587,Aux!$B:$M,4,0),"")</f>
        <v/>
      </c>
      <c r="V1587" s="62"/>
      <c r="W1587" s="63" t="str">
        <f>IFERROR(IF(VLOOKUP(S$13&amp;$B1585,Aux!$B:$M,8,0)="Да","✔","🕓"),"")</f>
        <v/>
      </c>
      <c r="AA1587" s="59"/>
      <c r="AB1587" s="15" t="str">
        <f>IF(AB1585="","","Исполнитель"&amp;": ")</f>
        <v/>
      </c>
      <c r="AC1587" s="62" t="str">
        <f>IFERROR(VLOOKUP(AA$13&amp;$B1587,Aux!$B:$M,4,0),"")</f>
        <v/>
      </c>
      <c r="AD1587" s="62"/>
      <c r="AE1587" s="63" t="str">
        <f>IFERROR(IF(VLOOKUP(AA$13&amp;$B1585,Aux!$B:$M,8,0)="Да","✔","🕓"),"")</f>
        <v/>
      </c>
    </row>
    <row r="1588" spans="2:31" x14ac:dyDescent="0.25">
      <c r="B1588" s="53">
        <f t="shared" si="24"/>
        <v>315</v>
      </c>
      <c r="C1588" s="59"/>
      <c r="D1588" s="16" t="str">
        <f>IF(D1585="","","Срок сдачи"&amp;": ")</f>
        <v/>
      </c>
      <c r="E1588" s="64" t="str">
        <f>IFERROR(VLOOKUP(C$13&amp;$B1588,Aux!$B:$M,6,0),"")</f>
        <v/>
      </c>
      <c r="F1588" s="64"/>
      <c r="G1588" s="63"/>
      <c r="K1588" s="59"/>
      <c r="L1588" s="16" t="str">
        <f>IF(L1585="","","Срок сдачи"&amp;": ")</f>
        <v/>
      </c>
      <c r="M1588" s="64" t="str">
        <f>IFERROR(VLOOKUP(K$13&amp;$B1588,Aux!$B:$M,6,0),"")</f>
        <v/>
      </c>
      <c r="N1588" s="64"/>
      <c r="O1588" s="63"/>
      <c r="S1588" s="59"/>
      <c r="T1588" s="16" t="str">
        <f>IF(T1585="","","Срок сдачи"&amp;": ")</f>
        <v/>
      </c>
      <c r="U1588" s="64" t="str">
        <f>IFERROR(VLOOKUP(S$13&amp;$B1588,Aux!$B:$M,6,0),"")</f>
        <v/>
      </c>
      <c r="V1588" s="64"/>
      <c r="W1588" s="63"/>
      <c r="AA1588" s="59"/>
      <c r="AB1588" s="16" t="str">
        <f>IF(AB1585="","","Срок сдачи"&amp;": ")</f>
        <v/>
      </c>
      <c r="AC1588" s="64" t="str">
        <f>IFERROR(VLOOKUP(AA$13&amp;$B1588,Aux!$B:$M,6,0),"")</f>
        <v/>
      </c>
      <c r="AD1588" s="64"/>
      <c r="AE1588" s="63"/>
    </row>
    <row r="1589" spans="2:31" x14ac:dyDescent="0.25">
      <c r="B1589" s="53">
        <f t="shared" si="24"/>
        <v>315</v>
      </c>
      <c r="C1589" s="7"/>
      <c r="D1589" s="17"/>
      <c r="E1589" s="7"/>
      <c r="F1589" s="18"/>
      <c r="G1589" s="18"/>
      <c r="K1589" s="13"/>
      <c r="L1589" s="17"/>
      <c r="M1589" s="13"/>
      <c r="N1589" s="14"/>
      <c r="O1589" s="14"/>
      <c r="S1589" s="13"/>
      <c r="T1589" s="17"/>
      <c r="U1589" s="13"/>
      <c r="V1589" s="14"/>
      <c r="W1589" s="14"/>
      <c r="AA1589" s="13"/>
      <c r="AB1589" s="17"/>
      <c r="AC1589" s="13"/>
      <c r="AD1589" s="14"/>
      <c r="AE1589" s="30"/>
    </row>
    <row r="1590" spans="2:31" x14ac:dyDescent="0.25">
      <c r="B1590" s="53">
        <f t="shared" si="24"/>
        <v>316</v>
      </c>
      <c r="C1590" s="59" t="str">
        <f>IFERROR(VLOOKUP(C$13&amp;$B1594,Aux!$B:$M,5,0),"")</f>
        <v/>
      </c>
      <c r="D1590" s="60" t="str">
        <f>IFERROR(VLOOKUP(C$13&amp;$B1590,Aux!$B:$M,3,0),"")</f>
        <v/>
      </c>
      <c r="E1590" s="60"/>
      <c r="F1590" s="60"/>
      <c r="G1590" s="61" t="str">
        <f>IFERROR(VLOOKUP(C$13&amp;$B1590,Aux!$B:$M,9,0),"")</f>
        <v/>
      </c>
      <c r="K1590" s="59" t="str">
        <f>IFERROR(VLOOKUP(K$13&amp;$B1594,Aux!$B:$M,5,0),"")</f>
        <v/>
      </c>
      <c r="L1590" s="60" t="str">
        <f>IFERROR(VLOOKUP(K$13&amp;$B1590,Aux!$B:$M,3,0),"")</f>
        <v/>
      </c>
      <c r="M1590" s="60"/>
      <c r="N1590" s="60"/>
      <c r="O1590" s="61" t="str">
        <f>IFERROR(VLOOKUP(K$13&amp;$B1590,Aux!$B:$M,9,0),"")</f>
        <v/>
      </c>
      <c r="S1590" s="59" t="str">
        <f>IFERROR(VLOOKUP(S$13&amp;$B1594,Aux!$B:$M,5,0),"")</f>
        <v/>
      </c>
      <c r="T1590" s="60" t="str">
        <f>IFERROR(VLOOKUP(S$13&amp;$B1590,Aux!$B:$M,3,0),"")</f>
        <v/>
      </c>
      <c r="U1590" s="60"/>
      <c r="V1590" s="60"/>
      <c r="W1590" s="61" t="str">
        <f>IFERROR(VLOOKUP(S$13&amp;$B1590,Aux!$B:$M,9,0),"")</f>
        <v/>
      </c>
      <c r="AA1590" s="59" t="str">
        <f>IFERROR(VLOOKUP(AA$13&amp;$B1594,Aux!$B:$M,5,0),"")</f>
        <v/>
      </c>
      <c r="AB1590" s="60" t="str">
        <f>IFERROR(VLOOKUP(AA$13&amp;$B1590,Aux!$B:$M,3,0),"")</f>
        <v/>
      </c>
      <c r="AC1590" s="60"/>
      <c r="AD1590" s="60"/>
      <c r="AE1590" s="61" t="str">
        <f>IFERROR(VLOOKUP(AA$13&amp;$B1590,Aux!$B:$M,9,0),"")</f>
        <v/>
      </c>
    </row>
    <row r="1591" spans="2:31" x14ac:dyDescent="0.25">
      <c r="B1591" s="53">
        <f t="shared" si="24"/>
        <v>316</v>
      </c>
      <c r="C1591" s="59"/>
      <c r="D1591" s="60"/>
      <c r="E1591" s="60"/>
      <c r="F1591" s="60"/>
      <c r="G1591" s="61"/>
      <c r="K1591" s="59"/>
      <c r="L1591" s="60"/>
      <c r="M1591" s="60"/>
      <c r="N1591" s="60"/>
      <c r="O1591" s="61"/>
      <c r="S1591" s="59"/>
      <c r="T1591" s="60"/>
      <c r="U1591" s="60"/>
      <c r="V1591" s="60"/>
      <c r="W1591" s="61"/>
      <c r="AA1591" s="59"/>
      <c r="AB1591" s="60"/>
      <c r="AC1591" s="60"/>
      <c r="AD1591" s="60"/>
      <c r="AE1591" s="61"/>
    </row>
    <row r="1592" spans="2:31" x14ac:dyDescent="0.25">
      <c r="B1592" s="53">
        <f t="shared" si="24"/>
        <v>316</v>
      </c>
      <c r="C1592" s="59"/>
      <c r="D1592" s="15" t="str">
        <f>IF(D1590="","","Исполнитель"&amp;": ")</f>
        <v/>
      </c>
      <c r="E1592" s="62" t="str">
        <f>IFERROR(VLOOKUP(C$13&amp;$B1592,Aux!$B:$M,4,0),"")</f>
        <v/>
      </c>
      <c r="F1592" s="62"/>
      <c r="G1592" s="63" t="str">
        <f>IFERROR(IF(VLOOKUP(C$13&amp;$B1590,Aux!$B:$M,8,0)="Да","✔","🕓"),"")</f>
        <v/>
      </c>
      <c r="K1592" s="59"/>
      <c r="L1592" s="15" t="str">
        <f>IF(L1590="","","Исполнитель"&amp;": ")</f>
        <v/>
      </c>
      <c r="M1592" s="62" t="str">
        <f>IFERROR(VLOOKUP(K$13&amp;$B1592,Aux!$B:$M,4,0),"")</f>
        <v/>
      </c>
      <c r="N1592" s="62"/>
      <c r="O1592" s="63" t="str">
        <f>IFERROR(IF(VLOOKUP(K$13&amp;$B1590,Aux!$B:$M,8,0)="Да","✔","🕓"),"")</f>
        <v/>
      </c>
      <c r="S1592" s="59"/>
      <c r="T1592" s="15" t="str">
        <f>IF(T1590="","","Исполнитель"&amp;": ")</f>
        <v/>
      </c>
      <c r="U1592" s="62" t="str">
        <f>IFERROR(VLOOKUP(S$13&amp;$B1592,Aux!$B:$M,4,0),"")</f>
        <v/>
      </c>
      <c r="V1592" s="62"/>
      <c r="W1592" s="63" t="str">
        <f>IFERROR(IF(VLOOKUP(S$13&amp;$B1590,Aux!$B:$M,8,0)="Да","✔","🕓"),"")</f>
        <v/>
      </c>
      <c r="AA1592" s="59"/>
      <c r="AB1592" s="15" t="str">
        <f>IF(AB1590="","","Исполнитель"&amp;": ")</f>
        <v/>
      </c>
      <c r="AC1592" s="62" t="str">
        <f>IFERROR(VLOOKUP(AA$13&amp;$B1592,Aux!$B:$M,4,0),"")</f>
        <v/>
      </c>
      <c r="AD1592" s="62"/>
      <c r="AE1592" s="63" t="str">
        <f>IFERROR(IF(VLOOKUP(AA$13&amp;$B1590,Aux!$B:$M,8,0)="Да","✔","🕓"),"")</f>
        <v/>
      </c>
    </row>
    <row r="1593" spans="2:31" x14ac:dyDescent="0.25">
      <c r="B1593" s="53">
        <f t="shared" si="24"/>
        <v>316</v>
      </c>
      <c r="C1593" s="59"/>
      <c r="D1593" s="16" t="str">
        <f>IF(D1590="","","Срок сдачи"&amp;": ")</f>
        <v/>
      </c>
      <c r="E1593" s="64" t="str">
        <f>IFERROR(VLOOKUP(C$13&amp;$B1593,Aux!$B:$M,6,0),"")</f>
        <v/>
      </c>
      <c r="F1593" s="64"/>
      <c r="G1593" s="63"/>
      <c r="K1593" s="59"/>
      <c r="L1593" s="16" t="str">
        <f>IF(L1590="","","Срок сдачи"&amp;": ")</f>
        <v/>
      </c>
      <c r="M1593" s="64" t="str">
        <f>IFERROR(VLOOKUP(K$13&amp;$B1593,Aux!$B:$M,6,0),"")</f>
        <v/>
      </c>
      <c r="N1593" s="64"/>
      <c r="O1593" s="63"/>
      <c r="S1593" s="59"/>
      <c r="T1593" s="16" t="str">
        <f>IF(T1590="","","Срок сдачи"&amp;": ")</f>
        <v/>
      </c>
      <c r="U1593" s="64" t="str">
        <f>IFERROR(VLOOKUP(S$13&amp;$B1593,Aux!$B:$M,6,0),"")</f>
        <v/>
      </c>
      <c r="V1593" s="64"/>
      <c r="W1593" s="63"/>
      <c r="AA1593" s="59"/>
      <c r="AB1593" s="16" t="str">
        <f>IF(AB1590="","","Срок сдачи"&amp;": ")</f>
        <v/>
      </c>
      <c r="AC1593" s="64" t="str">
        <f>IFERROR(VLOOKUP(AA$13&amp;$B1593,Aux!$B:$M,6,0),"")</f>
        <v/>
      </c>
      <c r="AD1593" s="64"/>
      <c r="AE1593" s="63"/>
    </row>
    <row r="1594" spans="2:31" x14ac:dyDescent="0.25">
      <c r="B1594" s="53">
        <f t="shared" si="24"/>
        <v>316</v>
      </c>
      <c r="C1594" s="7"/>
      <c r="D1594" s="17"/>
      <c r="E1594" s="7"/>
      <c r="F1594" s="18"/>
      <c r="G1594" s="18"/>
      <c r="K1594" s="13"/>
      <c r="L1594" s="17"/>
      <c r="M1594" s="13"/>
      <c r="N1594" s="14"/>
      <c r="O1594" s="14"/>
      <c r="S1594" s="13"/>
      <c r="T1594" s="17"/>
      <c r="U1594" s="13"/>
      <c r="V1594" s="14"/>
      <c r="W1594" s="14"/>
      <c r="AA1594" s="13"/>
      <c r="AB1594" s="17"/>
      <c r="AC1594" s="13"/>
      <c r="AD1594" s="14"/>
      <c r="AE1594" s="30"/>
    </row>
    <row r="1595" spans="2:31" x14ac:dyDescent="0.25">
      <c r="B1595" s="53">
        <f t="shared" si="24"/>
        <v>317</v>
      </c>
      <c r="C1595" s="59" t="str">
        <f>IFERROR(VLOOKUP(C$13&amp;$B1599,Aux!$B:$M,5,0),"")</f>
        <v/>
      </c>
      <c r="D1595" s="60" t="str">
        <f>IFERROR(VLOOKUP(C$13&amp;$B1595,Aux!$B:$M,3,0),"")</f>
        <v/>
      </c>
      <c r="E1595" s="60"/>
      <c r="F1595" s="60"/>
      <c r="G1595" s="61" t="str">
        <f>IFERROR(VLOOKUP(C$13&amp;$B1595,Aux!$B:$M,9,0),"")</f>
        <v/>
      </c>
      <c r="K1595" s="59" t="str">
        <f>IFERROR(VLOOKUP(K$13&amp;$B1599,Aux!$B:$M,5,0),"")</f>
        <v/>
      </c>
      <c r="L1595" s="60" t="str">
        <f>IFERROR(VLOOKUP(K$13&amp;$B1595,Aux!$B:$M,3,0),"")</f>
        <v/>
      </c>
      <c r="M1595" s="60"/>
      <c r="N1595" s="60"/>
      <c r="O1595" s="61" t="str">
        <f>IFERROR(VLOOKUP(K$13&amp;$B1595,Aux!$B:$M,9,0),"")</f>
        <v/>
      </c>
      <c r="S1595" s="59" t="str">
        <f>IFERROR(VLOOKUP(S$13&amp;$B1599,Aux!$B:$M,5,0),"")</f>
        <v/>
      </c>
      <c r="T1595" s="60" t="str">
        <f>IFERROR(VLOOKUP(S$13&amp;$B1595,Aux!$B:$M,3,0),"")</f>
        <v/>
      </c>
      <c r="U1595" s="60"/>
      <c r="V1595" s="60"/>
      <c r="W1595" s="61" t="str">
        <f>IFERROR(VLOOKUP(S$13&amp;$B1595,Aux!$B:$M,9,0),"")</f>
        <v/>
      </c>
      <c r="AA1595" s="59" t="str">
        <f>IFERROR(VLOOKUP(AA$13&amp;$B1599,Aux!$B:$M,5,0),"")</f>
        <v/>
      </c>
      <c r="AB1595" s="60" t="str">
        <f>IFERROR(VLOOKUP(AA$13&amp;$B1595,Aux!$B:$M,3,0),"")</f>
        <v/>
      </c>
      <c r="AC1595" s="60"/>
      <c r="AD1595" s="60"/>
      <c r="AE1595" s="61" t="str">
        <f>IFERROR(VLOOKUP(AA$13&amp;$B1595,Aux!$B:$M,9,0),"")</f>
        <v/>
      </c>
    </row>
    <row r="1596" spans="2:31" x14ac:dyDescent="0.25">
      <c r="B1596" s="53">
        <f t="shared" si="24"/>
        <v>317</v>
      </c>
      <c r="C1596" s="59"/>
      <c r="D1596" s="60"/>
      <c r="E1596" s="60"/>
      <c r="F1596" s="60"/>
      <c r="G1596" s="61"/>
      <c r="K1596" s="59"/>
      <c r="L1596" s="60"/>
      <c r="M1596" s="60"/>
      <c r="N1596" s="60"/>
      <c r="O1596" s="61"/>
      <c r="S1596" s="59"/>
      <c r="T1596" s="60"/>
      <c r="U1596" s="60"/>
      <c r="V1596" s="60"/>
      <c r="W1596" s="61"/>
      <c r="AA1596" s="59"/>
      <c r="AB1596" s="60"/>
      <c r="AC1596" s="60"/>
      <c r="AD1596" s="60"/>
      <c r="AE1596" s="61"/>
    </row>
    <row r="1597" spans="2:31" x14ac:dyDescent="0.25">
      <c r="B1597" s="53">
        <f t="shared" si="24"/>
        <v>317</v>
      </c>
      <c r="C1597" s="59"/>
      <c r="D1597" s="15" t="str">
        <f>IF(D1595="","","Исполнитель"&amp;": ")</f>
        <v/>
      </c>
      <c r="E1597" s="62" t="str">
        <f>IFERROR(VLOOKUP(C$13&amp;$B1597,Aux!$B:$M,4,0),"")</f>
        <v/>
      </c>
      <c r="F1597" s="62"/>
      <c r="G1597" s="63" t="str">
        <f>IFERROR(IF(VLOOKUP(C$13&amp;$B1595,Aux!$B:$M,8,0)="Да","✔","🕓"),"")</f>
        <v/>
      </c>
      <c r="K1597" s="59"/>
      <c r="L1597" s="15" t="str">
        <f>IF(L1595="","","Исполнитель"&amp;": ")</f>
        <v/>
      </c>
      <c r="M1597" s="62" t="str">
        <f>IFERROR(VLOOKUP(K$13&amp;$B1597,Aux!$B:$M,4,0),"")</f>
        <v/>
      </c>
      <c r="N1597" s="62"/>
      <c r="O1597" s="63" t="str">
        <f>IFERROR(IF(VLOOKUP(K$13&amp;$B1595,Aux!$B:$M,8,0)="Да","✔","🕓"),"")</f>
        <v/>
      </c>
      <c r="S1597" s="59"/>
      <c r="T1597" s="15" t="str">
        <f>IF(T1595="","","Исполнитель"&amp;": ")</f>
        <v/>
      </c>
      <c r="U1597" s="62" t="str">
        <f>IFERROR(VLOOKUP(S$13&amp;$B1597,Aux!$B:$M,4,0),"")</f>
        <v/>
      </c>
      <c r="V1597" s="62"/>
      <c r="W1597" s="63" t="str">
        <f>IFERROR(IF(VLOOKUP(S$13&amp;$B1595,Aux!$B:$M,8,0)="Да","✔","🕓"),"")</f>
        <v/>
      </c>
      <c r="AA1597" s="59"/>
      <c r="AB1597" s="15" t="str">
        <f>IF(AB1595="","","Исполнитель"&amp;": ")</f>
        <v/>
      </c>
      <c r="AC1597" s="62" t="str">
        <f>IFERROR(VLOOKUP(AA$13&amp;$B1597,Aux!$B:$M,4,0),"")</f>
        <v/>
      </c>
      <c r="AD1597" s="62"/>
      <c r="AE1597" s="63" t="str">
        <f>IFERROR(IF(VLOOKUP(AA$13&amp;$B1595,Aux!$B:$M,8,0)="Да","✔","🕓"),"")</f>
        <v/>
      </c>
    </row>
    <row r="1598" spans="2:31" x14ac:dyDescent="0.25">
      <c r="B1598" s="53">
        <f t="shared" si="24"/>
        <v>317</v>
      </c>
      <c r="C1598" s="59"/>
      <c r="D1598" s="16" t="str">
        <f>IF(D1595="","","Срок сдачи"&amp;": ")</f>
        <v/>
      </c>
      <c r="E1598" s="64" t="str">
        <f>IFERROR(VLOOKUP(C$13&amp;$B1598,Aux!$B:$M,6,0),"")</f>
        <v/>
      </c>
      <c r="F1598" s="64"/>
      <c r="G1598" s="63"/>
      <c r="K1598" s="59"/>
      <c r="L1598" s="16" t="str">
        <f>IF(L1595="","","Срок сдачи"&amp;": ")</f>
        <v/>
      </c>
      <c r="M1598" s="64" t="str">
        <f>IFERROR(VLOOKUP(K$13&amp;$B1598,Aux!$B:$M,6,0),"")</f>
        <v/>
      </c>
      <c r="N1598" s="64"/>
      <c r="O1598" s="63"/>
      <c r="S1598" s="59"/>
      <c r="T1598" s="16" t="str">
        <f>IF(T1595="","","Срок сдачи"&amp;": ")</f>
        <v/>
      </c>
      <c r="U1598" s="64" t="str">
        <f>IFERROR(VLOOKUP(S$13&amp;$B1598,Aux!$B:$M,6,0),"")</f>
        <v/>
      </c>
      <c r="V1598" s="64"/>
      <c r="W1598" s="63"/>
      <c r="AA1598" s="59"/>
      <c r="AB1598" s="16" t="str">
        <f>IF(AB1595="","","Срок сдачи"&amp;": ")</f>
        <v/>
      </c>
      <c r="AC1598" s="64" t="str">
        <f>IFERROR(VLOOKUP(AA$13&amp;$B1598,Aux!$B:$M,6,0),"")</f>
        <v/>
      </c>
      <c r="AD1598" s="64"/>
      <c r="AE1598" s="63"/>
    </row>
    <row r="1599" spans="2:31" x14ac:dyDescent="0.25">
      <c r="B1599" s="53">
        <f t="shared" si="24"/>
        <v>317</v>
      </c>
      <c r="C1599" s="7"/>
      <c r="D1599" s="17"/>
      <c r="E1599" s="7"/>
      <c r="F1599" s="18"/>
      <c r="G1599" s="18"/>
      <c r="K1599" s="13"/>
      <c r="L1599" s="17"/>
      <c r="M1599" s="13"/>
      <c r="N1599" s="14"/>
      <c r="O1599" s="14"/>
      <c r="S1599" s="13"/>
      <c r="T1599" s="17"/>
      <c r="U1599" s="13"/>
      <c r="V1599" s="14"/>
      <c r="W1599" s="14"/>
      <c r="AA1599" s="13"/>
      <c r="AB1599" s="17"/>
      <c r="AC1599" s="13"/>
      <c r="AD1599" s="14"/>
      <c r="AE1599" s="30"/>
    </row>
    <row r="1600" spans="2:31" x14ac:dyDescent="0.25">
      <c r="B1600" s="53">
        <f t="shared" si="24"/>
        <v>318</v>
      </c>
      <c r="C1600" s="59" t="str">
        <f>IFERROR(VLOOKUP(C$13&amp;$B1604,Aux!$B:$M,5,0),"")</f>
        <v/>
      </c>
      <c r="D1600" s="60" t="str">
        <f>IFERROR(VLOOKUP(C$13&amp;$B1600,Aux!$B:$M,3,0),"")</f>
        <v/>
      </c>
      <c r="E1600" s="60"/>
      <c r="F1600" s="60"/>
      <c r="G1600" s="61" t="str">
        <f>IFERROR(VLOOKUP(C$13&amp;$B1600,Aux!$B:$M,9,0),"")</f>
        <v/>
      </c>
      <c r="K1600" s="59" t="str">
        <f>IFERROR(VLOOKUP(K$13&amp;$B1604,Aux!$B:$M,5,0),"")</f>
        <v/>
      </c>
      <c r="L1600" s="60" t="str">
        <f>IFERROR(VLOOKUP(K$13&amp;$B1600,Aux!$B:$M,3,0),"")</f>
        <v/>
      </c>
      <c r="M1600" s="60"/>
      <c r="N1600" s="60"/>
      <c r="O1600" s="61" t="str">
        <f>IFERROR(VLOOKUP(K$13&amp;$B1600,Aux!$B:$M,9,0),"")</f>
        <v/>
      </c>
      <c r="S1600" s="59" t="str">
        <f>IFERROR(VLOOKUP(S$13&amp;$B1604,Aux!$B:$M,5,0),"")</f>
        <v/>
      </c>
      <c r="T1600" s="60" t="str">
        <f>IFERROR(VLOOKUP(S$13&amp;$B1600,Aux!$B:$M,3,0),"")</f>
        <v/>
      </c>
      <c r="U1600" s="60"/>
      <c r="V1600" s="60"/>
      <c r="W1600" s="61" t="str">
        <f>IFERROR(VLOOKUP(S$13&amp;$B1600,Aux!$B:$M,9,0),"")</f>
        <v/>
      </c>
      <c r="AA1600" s="59" t="str">
        <f>IFERROR(VLOOKUP(AA$13&amp;$B1604,Aux!$B:$M,5,0),"")</f>
        <v/>
      </c>
      <c r="AB1600" s="60" t="str">
        <f>IFERROR(VLOOKUP(AA$13&amp;$B1600,Aux!$B:$M,3,0),"")</f>
        <v/>
      </c>
      <c r="AC1600" s="60"/>
      <c r="AD1600" s="60"/>
      <c r="AE1600" s="61" t="str">
        <f>IFERROR(VLOOKUP(AA$13&amp;$B1600,Aux!$B:$M,9,0),"")</f>
        <v/>
      </c>
    </row>
    <row r="1601" spans="2:31" x14ac:dyDescent="0.25">
      <c r="B1601" s="53">
        <f t="shared" si="24"/>
        <v>318</v>
      </c>
      <c r="C1601" s="59"/>
      <c r="D1601" s="60"/>
      <c r="E1601" s="60"/>
      <c r="F1601" s="60"/>
      <c r="G1601" s="61"/>
      <c r="K1601" s="59"/>
      <c r="L1601" s="60"/>
      <c r="M1601" s="60"/>
      <c r="N1601" s="60"/>
      <c r="O1601" s="61"/>
      <c r="S1601" s="59"/>
      <c r="T1601" s="60"/>
      <c r="U1601" s="60"/>
      <c r="V1601" s="60"/>
      <c r="W1601" s="61"/>
      <c r="AA1601" s="59"/>
      <c r="AB1601" s="60"/>
      <c r="AC1601" s="60"/>
      <c r="AD1601" s="60"/>
      <c r="AE1601" s="61"/>
    </row>
    <row r="1602" spans="2:31" x14ac:dyDescent="0.25">
      <c r="B1602" s="53">
        <f t="shared" si="24"/>
        <v>318</v>
      </c>
      <c r="C1602" s="59"/>
      <c r="D1602" s="15" t="str">
        <f>IF(D1600="","","Исполнитель"&amp;": ")</f>
        <v/>
      </c>
      <c r="E1602" s="62" t="str">
        <f>IFERROR(VLOOKUP(C$13&amp;$B1602,Aux!$B:$M,4,0),"")</f>
        <v/>
      </c>
      <c r="F1602" s="62"/>
      <c r="G1602" s="63" t="str">
        <f>IFERROR(IF(VLOOKUP(C$13&amp;$B1600,Aux!$B:$M,8,0)="Да","✔","🕓"),"")</f>
        <v/>
      </c>
      <c r="K1602" s="59"/>
      <c r="L1602" s="15" t="str">
        <f>IF(L1600="","","Исполнитель"&amp;": ")</f>
        <v/>
      </c>
      <c r="M1602" s="62" t="str">
        <f>IFERROR(VLOOKUP(K$13&amp;$B1602,Aux!$B:$M,4,0),"")</f>
        <v/>
      </c>
      <c r="N1602" s="62"/>
      <c r="O1602" s="63" t="str">
        <f>IFERROR(IF(VLOOKUP(K$13&amp;$B1600,Aux!$B:$M,8,0)="Да","✔","🕓"),"")</f>
        <v/>
      </c>
      <c r="S1602" s="59"/>
      <c r="T1602" s="15" t="str">
        <f>IF(T1600="","","Исполнитель"&amp;": ")</f>
        <v/>
      </c>
      <c r="U1602" s="62" t="str">
        <f>IFERROR(VLOOKUP(S$13&amp;$B1602,Aux!$B:$M,4,0),"")</f>
        <v/>
      </c>
      <c r="V1602" s="62"/>
      <c r="W1602" s="63" t="str">
        <f>IFERROR(IF(VLOOKUP(S$13&amp;$B1600,Aux!$B:$M,8,0)="Да","✔","🕓"),"")</f>
        <v/>
      </c>
      <c r="AA1602" s="59"/>
      <c r="AB1602" s="15" t="str">
        <f>IF(AB1600="","","Исполнитель"&amp;": ")</f>
        <v/>
      </c>
      <c r="AC1602" s="62" t="str">
        <f>IFERROR(VLOOKUP(AA$13&amp;$B1602,Aux!$B:$M,4,0),"")</f>
        <v/>
      </c>
      <c r="AD1602" s="62"/>
      <c r="AE1602" s="63" t="str">
        <f>IFERROR(IF(VLOOKUP(AA$13&amp;$B1600,Aux!$B:$M,8,0)="Да","✔","🕓"),"")</f>
        <v/>
      </c>
    </row>
    <row r="1603" spans="2:31" x14ac:dyDescent="0.25">
      <c r="B1603" s="53">
        <f t="shared" si="24"/>
        <v>318</v>
      </c>
      <c r="C1603" s="59"/>
      <c r="D1603" s="16" t="str">
        <f>IF(D1600="","","Срок сдачи"&amp;": ")</f>
        <v/>
      </c>
      <c r="E1603" s="64" t="str">
        <f>IFERROR(VLOOKUP(C$13&amp;$B1603,Aux!$B:$M,6,0),"")</f>
        <v/>
      </c>
      <c r="F1603" s="64"/>
      <c r="G1603" s="63"/>
      <c r="K1603" s="59"/>
      <c r="L1603" s="16" t="str">
        <f>IF(L1600="","","Срок сдачи"&amp;": ")</f>
        <v/>
      </c>
      <c r="M1603" s="64" t="str">
        <f>IFERROR(VLOOKUP(K$13&amp;$B1603,Aux!$B:$M,6,0),"")</f>
        <v/>
      </c>
      <c r="N1603" s="64"/>
      <c r="O1603" s="63"/>
      <c r="S1603" s="59"/>
      <c r="T1603" s="16" t="str">
        <f>IF(T1600="","","Срок сдачи"&amp;": ")</f>
        <v/>
      </c>
      <c r="U1603" s="64" t="str">
        <f>IFERROR(VLOOKUP(S$13&amp;$B1603,Aux!$B:$M,6,0),"")</f>
        <v/>
      </c>
      <c r="V1603" s="64"/>
      <c r="W1603" s="63"/>
      <c r="AA1603" s="59"/>
      <c r="AB1603" s="16" t="str">
        <f>IF(AB1600="","","Срок сдачи"&amp;": ")</f>
        <v/>
      </c>
      <c r="AC1603" s="64" t="str">
        <f>IFERROR(VLOOKUP(AA$13&amp;$B1603,Aux!$B:$M,6,0),"")</f>
        <v/>
      </c>
      <c r="AD1603" s="64"/>
      <c r="AE1603" s="63"/>
    </row>
    <row r="1604" spans="2:31" x14ac:dyDescent="0.25">
      <c r="B1604" s="53">
        <f t="shared" si="24"/>
        <v>318</v>
      </c>
      <c r="C1604" s="7"/>
      <c r="D1604" s="17"/>
      <c r="E1604" s="7"/>
      <c r="F1604" s="18"/>
      <c r="G1604" s="18"/>
      <c r="K1604" s="13"/>
      <c r="L1604" s="17"/>
      <c r="M1604" s="13"/>
      <c r="N1604" s="14"/>
      <c r="O1604" s="14"/>
      <c r="S1604" s="13"/>
      <c r="T1604" s="17"/>
      <c r="U1604" s="13"/>
      <c r="V1604" s="14"/>
      <c r="W1604" s="14"/>
      <c r="AA1604" s="13"/>
      <c r="AB1604" s="17"/>
      <c r="AC1604" s="13"/>
      <c r="AD1604" s="14"/>
      <c r="AE1604" s="30"/>
    </row>
    <row r="1605" spans="2:31" x14ac:dyDescent="0.25">
      <c r="B1605" s="53">
        <f t="shared" si="24"/>
        <v>319</v>
      </c>
      <c r="C1605" s="59" t="str">
        <f>IFERROR(VLOOKUP(C$13&amp;$B1609,Aux!$B:$M,5,0),"")</f>
        <v/>
      </c>
      <c r="D1605" s="60" t="str">
        <f>IFERROR(VLOOKUP(C$13&amp;$B1605,Aux!$B:$M,3,0),"")</f>
        <v/>
      </c>
      <c r="E1605" s="60"/>
      <c r="F1605" s="60"/>
      <c r="G1605" s="61" t="str">
        <f>IFERROR(VLOOKUP(C$13&amp;$B1605,Aux!$B:$M,9,0),"")</f>
        <v/>
      </c>
      <c r="K1605" s="59" t="str">
        <f>IFERROR(VLOOKUP(K$13&amp;$B1609,Aux!$B:$M,5,0),"")</f>
        <v/>
      </c>
      <c r="L1605" s="60" t="str">
        <f>IFERROR(VLOOKUP(K$13&amp;$B1605,Aux!$B:$M,3,0),"")</f>
        <v/>
      </c>
      <c r="M1605" s="60"/>
      <c r="N1605" s="60"/>
      <c r="O1605" s="61" t="str">
        <f>IFERROR(VLOOKUP(K$13&amp;$B1605,Aux!$B:$M,9,0),"")</f>
        <v/>
      </c>
      <c r="S1605" s="59" t="str">
        <f>IFERROR(VLOOKUP(S$13&amp;$B1609,Aux!$B:$M,5,0),"")</f>
        <v/>
      </c>
      <c r="T1605" s="60" t="str">
        <f>IFERROR(VLOOKUP(S$13&amp;$B1605,Aux!$B:$M,3,0),"")</f>
        <v/>
      </c>
      <c r="U1605" s="60"/>
      <c r="V1605" s="60"/>
      <c r="W1605" s="61" t="str">
        <f>IFERROR(VLOOKUP(S$13&amp;$B1605,Aux!$B:$M,9,0),"")</f>
        <v/>
      </c>
      <c r="AA1605" s="59" t="str">
        <f>IFERROR(VLOOKUP(AA$13&amp;$B1609,Aux!$B:$M,5,0),"")</f>
        <v/>
      </c>
      <c r="AB1605" s="60" t="str">
        <f>IFERROR(VLOOKUP(AA$13&amp;$B1605,Aux!$B:$M,3,0),"")</f>
        <v/>
      </c>
      <c r="AC1605" s="60"/>
      <c r="AD1605" s="60"/>
      <c r="AE1605" s="61" t="str">
        <f>IFERROR(VLOOKUP(AA$13&amp;$B1605,Aux!$B:$M,9,0),"")</f>
        <v/>
      </c>
    </row>
    <row r="1606" spans="2:31" x14ac:dyDescent="0.25">
      <c r="B1606" s="53">
        <f t="shared" si="24"/>
        <v>319</v>
      </c>
      <c r="C1606" s="59"/>
      <c r="D1606" s="60"/>
      <c r="E1606" s="60"/>
      <c r="F1606" s="60"/>
      <c r="G1606" s="61"/>
      <c r="K1606" s="59"/>
      <c r="L1606" s="60"/>
      <c r="M1606" s="60"/>
      <c r="N1606" s="60"/>
      <c r="O1606" s="61"/>
      <c r="S1606" s="59"/>
      <c r="T1606" s="60"/>
      <c r="U1606" s="60"/>
      <c r="V1606" s="60"/>
      <c r="W1606" s="61"/>
      <c r="AA1606" s="59"/>
      <c r="AB1606" s="60"/>
      <c r="AC1606" s="60"/>
      <c r="AD1606" s="60"/>
      <c r="AE1606" s="61"/>
    </row>
    <row r="1607" spans="2:31" x14ac:dyDescent="0.25">
      <c r="B1607" s="53">
        <f t="shared" si="24"/>
        <v>319</v>
      </c>
      <c r="C1607" s="59"/>
      <c r="D1607" s="15" t="str">
        <f>IF(D1605="","","Исполнитель"&amp;": ")</f>
        <v/>
      </c>
      <c r="E1607" s="62" t="str">
        <f>IFERROR(VLOOKUP(C$13&amp;$B1607,Aux!$B:$M,4,0),"")</f>
        <v/>
      </c>
      <c r="F1607" s="62"/>
      <c r="G1607" s="63" t="str">
        <f>IFERROR(IF(VLOOKUP(C$13&amp;$B1605,Aux!$B:$M,8,0)="Да","✔","🕓"),"")</f>
        <v/>
      </c>
      <c r="K1607" s="59"/>
      <c r="L1607" s="15" t="str">
        <f>IF(L1605="","","Исполнитель"&amp;": ")</f>
        <v/>
      </c>
      <c r="M1607" s="62" t="str">
        <f>IFERROR(VLOOKUP(K$13&amp;$B1607,Aux!$B:$M,4,0),"")</f>
        <v/>
      </c>
      <c r="N1607" s="62"/>
      <c r="O1607" s="63" t="str">
        <f>IFERROR(IF(VLOOKUP(K$13&amp;$B1605,Aux!$B:$M,8,0)="Да","✔","🕓"),"")</f>
        <v/>
      </c>
      <c r="S1607" s="59"/>
      <c r="T1607" s="15" t="str">
        <f>IF(T1605="","","Исполнитель"&amp;": ")</f>
        <v/>
      </c>
      <c r="U1607" s="62" t="str">
        <f>IFERROR(VLOOKUP(S$13&amp;$B1607,Aux!$B:$M,4,0),"")</f>
        <v/>
      </c>
      <c r="V1607" s="62"/>
      <c r="W1607" s="63" t="str">
        <f>IFERROR(IF(VLOOKUP(S$13&amp;$B1605,Aux!$B:$M,8,0)="Да","✔","🕓"),"")</f>
        <v/>
      </c>
      <c r="AA1607" s="59"/>
      <c r="AB1607" s="15" t="str">
        <f>IF(AB1605="","","Исполнитель"&amp;": ")</f>
        <v/>
      </c>
      <c r="AC1607" s="62" t="str">
        <f>IFERROR(VLOOKUP(AA$13&amp;$B1607,Aux!$B:$M,4,0),"")</f>
        <v/>
      </c>
      <c r="AD1607" s="62"/>
      <c r="AE1607" s="63" t="str">
        <f>IFERROR(IF(VLOOKUP(AA$13&amp;$B1605,Aux!$B:$M,8,0)="Да","✔","🕓"),"")</f>
        <v/>
      </c>
    </row>
    <row r="1608" spans="2:31" x14ac:dyDescent="0.25">
      <c r="B1608" s="53">
        <f t="shared" si="24"/>
        <v>319</v>
      </c>
      <c r="C1608" s="59"/>
      <c r="D1608" s="16" t="str">
        <f>IF(D1605="","","Срок сдачи"&amp;": ")</f>
        <v/>
      </c>
      <c r="E1608" s="64" t="str">
        <f>IFERROR(VLOOKUP(C$13&amp;$B1608,Aux!$B:$M,6,0),"")</f>
        <v/>
      </c>
      <c r="F1608" s="64"/>
      <c r="G1608" s="63"/>
      <c r="K1608" s="59"/>
      <c r="L1608" s="16" t="str">
        <f>IF(L1605="","","Срок сдачи"&amp;": ")</f>
        <v/>
      </c>
      <c r="M1608" s="64" t="str">
        <f>IFERROR(VLOOKUP(K$13&amp;$B1608,Aux!$B:$M,6,0),"")</f>
        <v/>
      </c>
      <c r="N1608" s="64"/>
      <c r="O1608" s="63"/>
      <c r="S1608" s="59"/>
      <c r="T1608" s="16" t="str">
        <f>IF(T1605="","","Срок сдачи"&amp;": ")</f>
        <v/>
      </c>
      <c r="U1608" s="64" t="str">
        <f>IFERROR(VLOOKUP(S$13&amp;$B1608,Aux!$B:$M,6,0),"")</f>
        <v/>
      </c>
      <c r="V1608" s="64"/>
      <c r="W1608" s="63"/>
      <c r="AA1608" s="59"/>
      <c r="AB1608" s="16" t="str">
        <f>IF(AB1605="","","Срок сдачи"&amp;": ")</f>
        <v/>
      </c>
      <c r="AC1608" s="64" t="str">
        <f>IFERROR(VLOOKUP(AA$13&amp;$B1608,Aux!$B:$M,6,0),"")</f>
        <v/>
      </c>
      <c r="AD1608" s="64"/>
      <c r="AE1608" s="63"/>
    </row>
    <row r="1609" spans="2:31" x14ac:dyDescent="0.25">
      <c r="B1609" s="53">
        <f t="shared" si="24"/>
        <v>319</v>
      </c>
      <c r="C1609" s="7"/>
      <c r="D1609" s="17"/>
      <c r="E1609" s="7"/>
      <c r="F1609" s="18"/>
      <c r="G1609" s="18"/>
      <c r="K1609" s="13"/>
      <c r="L1609" s="17"/>
      <c r="M1609" s="13"/>
      <c r="N1609" s="14"/>
      <c r="O1609" s="14"/>
      <c r="S1609" s="13"/>
      <c r="T1609" s="17"/>
      <c r="U1609" s="13"/>
      <c r="V1609" s="14"/>
      <c r="W1609" s="14"/>
      <c r="AA1609" s="13"/>
      <c r="AB1609" s="17"/>
      <c r="AC1609" s="13"/>
      <c r="AD1609" s="14"/>
      <c r="AE1609" s="30"/>
    </row>
    <row r="1610" spans="2:31" x14ac:dyDescent="0.25">
      <c r="B1610" s="53">
        <f t="shared" si="24"/>
        <v>320</v>
      </c>
      <c r="C1610" s="59" t="str">
        <f>IFERROR(VLOOKUP(C$13&amp;$B1614,Aux!$B:$M,5,0),"")</f>
        <v/>
      </c>
      <c r="D1610" s="60" t="str">
        <f>IFERROR(VLOOKUP(C$13&amp;$B1610,Aux!$B:$M,3,0),"")</f>
        <v/>
      </c>
      <c r="E1610" s="60"/>
      <c r="F1610" s="60"/>
      <c r="G1610" s="61" t="str">
        <f>IFERROR(VLOOKUP(C$13&amp;$B1610,Aux!$B:$M,9,0),"")</f>
        <v/>
      </c>
      <c r="K1610" s="59" t="str">
        <f>IFERROR(VLOOKUP(K$13&amp;$B1614,Aux!$B:$M,5,0),"")</f>
        <v/>
      </c>
      <c r="L1610" s="60" t="str">
        <f>IFERROR(VLOOKUP(K$13&amp;$B1610,Aux!$B:$M,3,0),"")</f>
        <v/>
      </c>
      <c r="M1610" s="60"/>
      <c r="N1610" s="60"/>
      <c r="O1610" s="61" t="str">
        <f>IFERROR(VLOOKUP(K$13&amp;$B1610,Aux!$B:$M,9,0),"")</f>
        <v/>
      </c>
      <c r="S1610" s="59" t="str">
        <f>IFERROR(VLOOKUP(S$13&amp;$B1614,Aux!$B:$M,5,0),"")</f>
        <v/>
      </c>
      <c r="T1610" s="60" t="str">
        <f>IFERROR(VLOOKUP(S$13&amp;$B1610,Aux!$B:$M,3,0),"")</f>
        <v/>
      </c>
      <c r="U1610" s="60"/>
      <c r="V1610" s="60"/>
      <c r="W1610" s="61" t="str">
        <f>IFERROR(VLOOKUP(S$13&amp;$B1610,Aux!$B:$M,9,0),"")</f>
        <v/>
      </c>
      <c r="AA1610" s="59" t="str">
        <f>IFERROR(VLOOKUP(AA$13&amp;$B1614,Aux!$B:$M,5,0),"")</f>
        <v/>
      </c>
      <c r="AB1610" s="60" t="str">
        <f>IFERROR(VLOOKUP(AA$13&amp;$B1610,Aux!$B:$M,3,0),"")</f>
        <v/>
      </c>
      <c r="AC1610" s="60"/>
      <c r="AD1610" s="60"/>
      <c r="AE1610" s="61" t="str">
        <f>IFERROR(VLOOKUP(AA$13&amp;$B1610,Aux!$B:$M,9,0),"")</f>
        <v/>
      </c>
    </row>
    <row r="1611" spans="2:31" x14ac:dyDescent="0.25">
      <c r="B1611" s="53">
        <f t="shared" si="24"/>
        <v>320</v>
      </c>
      <c r="C1611" s="59"/>
      <c r="D1611" s="60"/>
      <c r="E1611" s="60"/>
      <c r="F1611" s="60"/>
      <c r="G1611" s="61"/>
      <c r="K1611" s="59"/>
      <c r="L1611" s="60"/>
      <c r="M1611" s="60"/>
      <c r="N1611" s="60"/>
      <c r="O1611" s="61"/>
      <c r="S1611" s="59"/>
      <c r="T1611" s="60"/>
      <c r="U1611" s="60"/>
      <c r="V1611" s="60"/>
      <c r="W1611" s="61"/>
      <c r="AA1611" s="59"/>
      <c r="AB1611" s="60"/>
      <c r="AC1611" s="60"/>
      <c r="AD1611" s="60"/>
      <c r="AE1611" s="61"/>
    </row>
    <row r="1612" spans="2:31" x14ac:dyDescent="0.25">
      <c r="B1612" s="53">
        <f t="shared" si="24"/>
        <v>320</v>
      </c>
      <c r="C1612" s="59"/>
      <c r="D1612" s="15" t="str">
        <f>IF(D1610="","","Исполнитель"&amp;": ")</f>
        <v/>
      </c>
      <c r="E1612" s="62" t="str">
        <f>IFERROR(VLOOKUP(C$13&amp;$B1612,Aux!$B:$M,4,0),"")</f>
        <v/>
      </c>
      <c r="F1612" s="62"/>
      <c r="G1612" s="63" t="str">
        <f>IFERROR(IF(VLOOKUP(C$13&amp;$B1610,Aux!$B:$M,8,0)="Да","✔","🕓"),"")</f>
        <v/>
      </c>
      <c r="K1612" s="59"/>
      <c r="L1612" s="15" t="str">
        <f>IF(L1610="","","Исполнитель"&amp;": ")</f>
        <v/>
      </c>
      <c r="M1612" s="62" t="str">
        <f>IFERROR(VLOOKUP(K$13&amp;$B1612,Aux!$B:$M,4,0),"")</f>
        <v/>
      </c>
      <c r="N1612" s="62"/>
      <c r="O1612" s="63" t="str">
        <f>IFERROR(IF(VLOOKUP(K$13&amp;$B1610,Aux!$B:$M,8,0)="Да","✔","🕓"),"")</f>
        <v/>
      </c>
      <c r="S1612" s="59"/>
      <c r="T1612" s="15" t="str">
        <f>IF(T1610="","","Исполнитель"&amp;": ")</f>
        <v/>
      </c>
      <c r="U1612" s="62" t="str">
        <f>IFERROR(VLOOKUP(S$13&amp;$B1612,Aux!$B:$M,4,0),"")</f>
        <v/>
      </c>
      <c r="V1612" s="62"/>
      <c r="W1612" s="63" t="str">
        <f>IFERROR(IF(VLOOKUP(S$13&amp;$B1610,Aux!$B:$M,8,0)="Да","✔","🕓"),"")</f>
        <v/>
      </c>
      <c r="AA1612" s="59"/>
      <c r="AB1612" s="15" t="str">
        <f>IF(AB1610="","","Исполнитель"&amp;": ")</f>
        <v/>
      </c>
      <c r="AC1612" s="62" t="str">
        <f>IFERROR(VLOOKUP(AA$13&amp;$B1612,Aux!$B:$M,4,0),"")</f>
        <v/>
      </c>
      <c r="AD1612" s="62"/>
      <c r="AE1612" s="63" t="str">
        <f>IFERROR(IF(VLOOKUP(AA$13&amp;$B1610,Aux!$B:$M,8,0)="Да","✔","🕓"),"")</f>
        <v/>
      </c>
    </row>
    <row r="1613" spans="2:31" x14ac:dyDescent="0.25">
      <c r="B1613" s="53">
        <f t="shared" si="24"/>
        <v>320</v>
      </c>
      <c r="C1613" s="59"/>
      <c r="D1613" s="16" t="str">
        <f>IF(D1610="","","Срок сдачи"&amp;": ")</f>
        <v/>
      </c>
      <c r="E1613" s="64" t="str">
        <f>IFERROR(VLOOKUP(C$13&amp;$B1613,Aux!$B:$M,6,0),"")</f>
        <v/>
      </c>
      <c r="F1613" s="64"/>
      <c r="G1613" s="63"/>
      <c r="K1613" s="59"/>
      <c r="L1613" s="16" t="str">
        <f>IF(L1610="","","Срок сдачи"&amp;": ")</f>
        <v/>
      </c>
      <c r="M1613" s="64" t="str">
        <f>IFERROR(VLOOKUP(K$13&amp;$B1613,Aux!$B:$M,6,0),"")</f>
        <v/>
      </c>
      <c r="N1613" s="64"/>
      <c r="O1613" s="63"/>
      <c r="S1613" s="59"/>
      <c r="T1613" s="16" t="str">
        <f>IF(T1610="","","Срок сдачи"&amp;": ")</f>
        <v/>
      </c>
      <c r="U1613" s="64" t="str">
        <f>IFERROR(VLOOKUP(S$13&amp;$B1613,Aux!$B:$M,6,0),"")</f>
        <v/>
      </c>
      <c r="V1613" s="64"/>
      <c r="W1613" s="63"/>
      <c r="AA1613" s="59"/>
      <c r="AB1613" s="16" t="str">
        <f>IF(AB1610="","","Срок сдачи"&amp;": ")</f>
        <v/>
      </c>
      <c r="AC1613" s="64" t="str">
        <f>IFERROR(VLOOKUP(AA$13&amp;$B1613,Aux!$B:$M,6,0),"")</f>
        <v/>
      </c>
      <c r="AD1613" s="64"/>
      <c r="AE1613" s="63"/>
    </row>
    <row r="1614" spans="2:31" x14ac:dyDescent="0.25">
      <c r="B1614" s="53">
        <f t="shared" si="24"/>
        <v>320</v>
      </c>
      <c r="C1614" s="7"/>
      <c r="D1614" s="17"/>
      <c r="E1614" s="7"/>
      <c r="F1614" s="18"/>
      <c r="G1614" s="18"/>
      <c r="K1614" s="13"/>
      <c r="L1614" s="17"/>
      <c r="M1614" s="13"/>
      <c r="N1614" s="14"/>
      <c r="O1614" s="14"/>
      <c r="S1614" s="13"/>
      <c r="T1614" s="17"/>
      <c r="U1614" s="13"/>
      <c r="V1614" s="14"/>
      <c r="W1614" s="14"/>
      <c r="AA1614" s="13"/>
      <c r="AB1614" s="17"/>
      <c r="AC1614" s="13"/>
      <c r="AD1614" s="14"/>
      <c r="AE1614" s="30"/>
    </row>
    <row r="1615" spans="2:31" x14ac:dyDescent="0.25">
      <c r="B1615" s="53">
        <f t="shared" si="24"/>
        <v>321</v>
      </c>
      <c r="C1615" s="59" t="str">
        <f>IFERROR(VLOOKUP(C$13&amp;$B1619,Aux!$B:$M,5,0),"")</f>
        <v/>
      </c>
      <c r="D1615" s="60" t="str">
        <f>IFERROR(VLOOKUP(C$13&amp;$B1615,Aux!$B:$M,3,0),"")</f>
        <v/>
      </c>
      <c r="E1615" s="60"/>
      <c r="F1615" s="60"/>
      <c r="G1615" s="61" t="str">
        <f>IFERROR(VLOOKUP(C$13&amp;$B1615,Aux!$B:$M,9,0),"")</f>
        <v/>
      </c>
      <c r="K1615" s="59" t="str">
        <f>IFERROR(VLOOKUP(K$13&amp;$B1619,Aux!$B:$M,5,0),"")</f>
        <v/>
      </c>
      <c r="L1615" s="60" t="str">
        <f>IFERROR(VLOOKUP(K$13&amp;$B1615,Aux!$B:$M,3,0),"")</f>
        <v/>
      </c>
      <c r="M1615" s="60"/>
      <c r="N1615" s="60"/>
      <c r="O1615" s="61" t="str">
        <f>IFERROR(VLOOKUP(K$13&amp;$B1615,Aux!$B:$M,9,0),"")</f>
        <v/>
      </c>
      <c r="S1615" s="59" t="str">
        <f>IFERROR(VLOOKUP(S$13&amp;$B1619,Aux!$B:$M,5,0),"")</f>
        <v/>
      </c>
      <c r="T1615" s="60" t="str">
        <f>IFERROR(VLOOKUP(S$13&amp;$B1615,Aux!$B:$M,3,0),"")</f>
        <v/>
      </c>
      <c r="U1615" s="60"/>
      <c r="V1615" s="60"/>
      <c r="W1615" s="61" t="str">
        <f>IFERROR(VLOOKUP(S$13&amp;$B1615,Aux!$B:$M,9,0),"")</f>
        <v/>
      </c>
      <c r="AA1615" s="59" t="str">
        <f>IFERROR(VLOOKUP(AA$13&amp;$B1619,Aux!$B:$M,5,0),"")</f>
        <v/>
      </c>
      <c r="AB1615" s="60" t="str">
        <f>IFERROR(VLOOKUP(AA$13&amp;$B1615,Aux!$B:$M,3,0),"")</f>
        <v/>
      </c>
      <c r="AC1615" s="60"/>
      <c r="AD1615" s="60"/>
      <c r="AE1615" s="61" t="str">
        <f>IFERROR(VLOOKUP(AA$13&amp;$B1615,Aux!$B:$M,9,0),"")</f>
        <v/>
      </c>
    </row>
    <row r="1616" spans="2:31" x14ac:dyDescent="0.25">
      <c r="B1616" s="53">
        <f t="shared" si="24"/>
        <v>321</v>
      </c>
      <c r="C1616" s="59"/>
      <c r="D1616" s="60"/>
      <c r="E1616" s="60"/>
      <c r="F1616" s="60"/>
      <c r="G1616" s="61"/>
      <c r="K1616" s="59"/>
      <c r="L1616" s="60"/>
      <c r="M1616" s="60"/>
      <c r="N1616" s="60"/>
      <c r="O1616" s="61"/>
      <c r="S1616" s="59"/>
      <c r="T1616" s="60"/>
      <c r="U1616" s="60"/>
      <c r="V1616" s="60"/>
      <c r="W1616" s="61"/>
      <c r="AA1616" s="59"/>
      <c r="AB1616" s="60"/>
      <c r="AC1616" s="60"/>
      <c r="AD1616" s="60"/>
      <c r="AE1616" s="61"/>
    </row>
    <row r="1617" spans="2:31" x14ac:dyDescent="0.25">
      <c r="B1617" s="53">
        <f t="shared" si="24"/>
        <v>321</v>
      </c>
      <c r="C1617" s="59"/>
      <c r="D1617" s="15" t="str">
        <f>IF(D1615="","","Исполнитель"&amp;": ")</f>
        <v/>
      </c>
      <c r="E1617" s="62" t="str">
        <f>IFERROR(VLOOKUP(C$13&amp;$B1617,Aux!$B:$M,4,0),"")</f>
        <v/>
      </c>
      <c r="F1617" s="62"/>
      <c r="G1617" s="63" t="str">
        <f>IFERROR(IF(VLOOKUP(C$13&amp;$B1615,Aux!$B:$M,8,0)="Да","✔","🕓"),"")</f>
        <v/>
      </c>
      <c r="K1617" s="59"/>
      <c r="L1617" s="15" t="str">
        <f>IF(L1615="","","Исполнитель"&amp;": ")</f>
        <v/>
      </c>
      <c r="M1617" s="62" t="str">
        <f>IFERROR(VLOOKUP(K$13&amp;$B1617,Aux!$B:$M,4,0),"")</f>
        <v/>
      </c>
      <c r="N1617" s="62"/>
      <c r="O1617" s="63" t="str">
        <f>IFERROR(IF(VLOOKUP(K$13&amp;$B1615,Aux!$B:$M,8,0)="Да","✔","🕓"),"")</f>
        <v/>
      </c>
      <c r="S1617" s="59"/>
      <c r="T1617" s="15" t="str">
        <f>IF(T1615="","","Исполнитель"&amp;": ")</f>
        <v/>
      </c>
      <c r="U1617" s="62" t="str">
        <f>IFERROR(VLOOKUP(S$13&amp;$B1617,Aux!$B:$M,4,0),"")</f>
        <v/>
      </c>
      <c r="V1617" s="62"/>
      <c r="W1617" s="63" t="str">
        <f>IFERROR(IF(VLOOKUP(S$13&amp;$B1615,Aux!$B:$M,8,0)="Да","✔","🕓"),"")</f>
        <v/>
      </c>
      <c r="AA1617" s="59"/>
      <c r="AB1617" s="15" t="str">
        <f>IF(AB1615="","","Исполнитель"&amp;": ")</f>
        <v/>
      </c>
      <c r="AC1617" s="62" t="str">
        <f>IFERROR(VLOOKUP(AA$13&amp;$B1617,Aux!$B:$M,4,0),"")</f>
        <v/>
      </c>
      <c r="AD1617" s="62"/>
      <c r="AE1617" s="63" t="str">
        <f>IFERROR(IF(VLOOKUP(AA$13&amp;$B1615,Aux!$B:$M,8,0)="Да","✔","🕓"),"")</f>
        <v/>
      </c>
    </row>
    <row r="1618" spans="2:31" x14ac:dyDescent="0.25">
      <c r="B1618" s="53">
        <f t="shared" si="24"/>
        <v>321</v>
      </c>
      <c r="C1618" s="59"/>
      <c r="D1618" s="16" t="str">
        <f>IF(D1615="","","Срок сдачи"&amp;": ")</f>
        <v/>
      </c>
      <c r="E1618" s="64" t="str">
        <f>IFERROR(VLOOKUP(C$13&amp;$B1618,Aux!$B:$M,6,0),"")</f>
        <v/>
      </c>
      <c r="F1618" s="64"/>
      <c r="G1618" s="63"/>
      <c r="K1618" s="59"/>
      <c r="L1618" s="16" t="str">
        <f>IF(L1615="","","Срок сдачи"&amp;": ")</f>
        <v/>
      </c>
      <c r="M1618" s="64" t="str">
        <f>IFERROR(VLOOKUP(K$13&amp;$B1618,Aux!$B:$M,6,0),"")</f>
        <v/>
      </c>
      <c r="N1618" s="64"/>
      <c r="O1618" s="63"/>
      <c r="S1618" s="59"/>
      <c r="T1618" s="16" t="str">
        <f>IF(T1615="","","Срок сдачи"&amp;": ")</f>
        <v/>
      </c>
      <c r="U1618" s="64" t="str">
        <f>IFERROR(VLOOKUP(S$13&amp;$B1618,Aux!$B:$M,6,0),"")</f>
        <v/>
      </c>
      <c r="V1618" s="64"/>
      <c r="W1618" s="63"/>
      <c r="AA1618" s="59"/>
      <c r="AB1618" s="16" t="str">
        <f>IF(AB1615="","","Срок сдачи"&amp;": ")</f>
        <v/>
      </c>
      <c r="AC1618" s="64" t="str">
        <f>IFERROR(VLOOKUP(AA$13&amp;$B1618,Aux!$B:$M,6,0),"")</f>
        <v/>
      </c>
      <c r="AD1618" s="64"/>
      <c r="AE1618" s="63"/>
    </row>
    <row r="1619" spans="2:31" x14ac:dyDescent="0.25">
      <c r="B1619" s="53">
        <f t="shared" si="24"/>
        <v>321</v>
      </c>
      <c r="C1619" s="7"/>
      <c r="D1619" s="17"/>
      <c r="E1619" s="7"/>
      <c r="F1619" s="18"/>
      <c r="G1619" s="18"/>
      <c r="K1619" s="13"/>
      <c r="L1619" s="17"/>
      <c r="M1619" s="13"/>
      <c r="N1619" s="14"/>
      <c r="O1619" s="14"/>
      <c r="S1619" s="13"/>
      <c r="T1619" s="17"/>
      <c r="U1619" s="13"/>
      <c r="V1619" s="14"/>
      <c r="W1619" s="14"/>
      <c r="AA1619" s="13"/>
      <c r="AB1619" s="17"/>
      <c r="AC1619" s="13"/>
      <c r="AD1619" s="14"/>
      <c r="AE1619" s="30"/>
    </row>
    <row r="1620" spans="2:31" x14ac:dyDescent="0.25">
      <c r="B1620" s="53">
        <f t="shared" si="24"/>
        <v>322</v>
      </c>
      <c r="C1620" s="59" t="str">
        <f>IFERROR(VLOOKUP(C$13&amp;$B1624,Aux!$B:$M,5,0),"")</f>
        <v/>
      </c>
      <c r="D1620" s="60" t="str">
        <f>IFERROR(VLOOKUP(C$13&amp;$B1620,Aux!$B:$M,3,0),"")</f>
        <v/>
      </c>
      <c r="E1620" s="60"/>
      <c r="F1620" s="60"/>
      <c r="G1620" s="61" t="str">
        <f>IFERROR(VLOOKUP(C$13&amp;$B1620,Aux!$B:$M,9,0),"")</f>
        <v/>
      </c>
      <c r="K1620" s="59" t="str">
        <f>IFERROR(VLOOKUP(K$13&amp;$B1624,Aux!$B:$M,5,0),"")</f>
        <v/>
      </c>
      <c r="L1620" s="60" t="str">
        <f>IFERROR(VLOOKUP(K$13&amp;$B1620,Aux!$B:$M,3,0),"")</f>
        <v/>
      </c>
      <c r="M1620" s="60"/>
      <c r="N1620" s="60"/>
      <c r="O1620" s="61" t="str">
        <f>IFERROR(VLOOKUP(K$13&amp;$B1620,Aux!$B:$M,9,0),"")</f>
        <v/>
      </c>
      <c r="S1620" s="59" t="str">
        <f>IFERROR(VLOOKUP(S$13&amp;$B1624,Aux!$B:$M,5,0),"")</f>
        <v/>
      </c>
      <c r="T1620" s="60" t="str">
        <f>IFERROR(VLOOKUP(S$13&amp;$B1620,Aux!$B:$M,3,0),"")</f>
        <v/>
      </c>
      <c r="U1620" s="60"/>
      <c r="V1620" s="60"/>
      <c r="W1620" s="61" t="str">
        <f>IFERROR(VLOOKUP(S$13&amp;$B1620,Aux!$B:$M,9,0),"")</f>
        <v/>
      </c>
      <c r="AA1620" s="59" t="str">
        <f>IFERROR(VLOOKUP(AA$13&amp;$B1624,Aux!$B:$M,5,0),"")</f>
        <v/>
      </c>
      <c r="AB1620" s="60" t="str">
        <f>IFERROR(VLOOKUP(AA$13&amp;$B1620,Aux!$B:$M,3,0),"")</f>
        <v/>
      </c>
      <c r="AC1620" s="60"/>
      <c r="AD1620" s="60"/>
      <c r="AE1620" s="61" t="str">
        <f>IFERROR(VLOOKUP(AA$13&amp;$B1620,Aux!$B:$M,9,0),"")</f>
        <v/>
      </c>
    </row>
    <row r="1621" spans="2:31" x14ac:dyDescent="0.25">
      <c r="B1621" s="53">
        <f t="shared" ref="B1621:B1684" si="25">B1616+1</f>
        <v>322</v>
      </c>
      <c r="C1621" s="59"/>
      <c r="D1621" s="60"/>
      <c r="E1621" s="60"/>
      <c r="F1621" s="60"/>
      <c r="G1621" s="61"/>
      <c r="K1621" s="59"/>
      <c r="L1621" s="60"/>
      <c r="M1621" s="60"/>
      <c r="N1621" s="60"/>
      <c r="O1621" s="61"/>
      <c r="S1621" s="59"/>
      <c r="T1621" s="60"/>
      <c r="U1621" s="60"/>
      <c r="V1621" s="60"/>
      <c r="W1621" s="61"/>
      <c r="AA1621" s="59"/>
      <c r="AB1621" s="60"/>
      <c r="AC1621" s="60"/>
      <c r="AD1621" s="60"/>
      <c r="AE1621" s="61"/>
    </row>
    <row r="1622" spans="2:31" x14ac:dyDescent="0.25">
      <c r="B1622" s="53">
        <f t="shared" si="25"/>
        <v>322</v>
      </c>
      <c r="C1622" s="59"/>
      <c r="D1622" s="15" t="str">
        <f>IF(D1620="","","Исполнитель"&amp;": ")</f>
        <v/>
      </c>
      <c r="E1622" s="62" t="str">
        <f>IFERROR(VLOOKUP(C$13&amp;$B1622,Aux!$B:$M,4,0),"")</f>
        <v/>
      </c>
      <c r="F1622" s="62"/>
      <c r="G1622" s="63" t="str">
        <f>IFERROR(IF(VLOOKUP(C$13&amp;$B1620,Aux!$B:$M,8,0)="Да","✔","🕓"),"")</f>
        <v/>
      </c>
      <c r="K1622" s="59"/>
      <c r="L1622" s="15" t="str">
        <f>IF(L1620="","","Исполнитель"&amp;": ")</f>
        <v/>
      </c>
      <c r="M1622" s="62" t="str">
        <f>IFERROR(VLOOKUP(K$13&amp;$B1622,Aux!$B:$M,4,0),"")</f>
        <v/>
      </c>
      <c r="N1622" s="62"/>
      <c r="O1622" s="63" t="str">
        <f>IFERROR(IF(VLOOKUP(K$13&amp;$B1620,Aux!$B:$M,8,0)="Да","✔","🕓"),"")</f>
        <v/>
      </c>
      <c r="S1622" s="59"/>
      <c r="T1622" s="15" t="str">
        <f>IF(T1620="","","Исполнитель"&amp;": ")</f>
        <v/>
      </c>
      <c r="U1622" s="62" t="str">
        <f>IFERROR(VLOOKUP(S$13&amp;$B1622,Aux!$B:$M,4,0),"")</f>
        <v/>
      </c>
      <c r="V1622" s="62"/>
      <c r="W1622" s="63" t="str">
        <f>IFERROR(IF(VLOOKUP(S$13&amp;$B1620,Aux!$B:$M,8,0)="Да","✔","🕓"),"")</f>
        <v/>
      </c>
      <c r="AA1622" s="59"/>
      <c r="AB1622" s="15" t="str">
        <f>IF(AB1620="","","Исполнитель"&amp;": ")</f>
        <v/>
      </c>
      <c r="AC1622" s="62" t="str">
        <f>IFERROR(VLOOKUP(AA$13&amp;$B1622,Aux!$B:$M,4,0),"")</f>
        <v/>
      </c>
      <c r="AD1622" s="62"/>
      <c r="AE1622" s="63" t="str">
        <f>IFERROR(IF(VLOOKUP(AA$13&amp;$B1620,Aux!$B:$M,8,0)="Да","✔","🕓"),"")</f>
        <v/>
      </c>
    </row>
    <row r="1623" spans="2:31" x14ac:dyDescent="0.25">
      <c r="B1623" s="53">
        <f t="shared" si="25"/>
        <v>322</v>
      </c>
      <c r="C1623" s="59"/>
      <c r="D1623" s="16" t="str">
        <f>IF(D1620="","","Срок сдачи"&amp;": ")</f>
        <v/>
      </c>
      <c r="E1623" s="64" t="str">
        <f>IFERROR(VLOOKUP(C$13&amp;$B1623,Aux!$B:$M,6,0),"")</f>
        <v/>
      </c>
      <c r="F1623" s="64"/>
      <c r="G1623" s="63"/>
      <c r="K1623" s="59"/>
      <c r="L1623" s="16" t="str">
        <f>IF(L1620="","","Срок сдачи"&amp;": ")</f>
        <v/>
      </c>
      <c r="M1623" s="64" t="str">
        <f>IFERROR(VLOOKUP(K$13&amp;$B1623,Aux!$B:$M,6,0),"")</f>
        <v/>
      </c>
      <c r="N1623" s="64"/>
      <c r="O1623" s="63"/>
      <c r="S1623" s="59"/>
      <c r="T1623" s="16" t="str">
        <f>IF(T1620="","","Срок сдачи"&amp;": ")</f>
        <v/>
      </c>
      <c r="U1623" s="64" t="str">
        <f>IFERROR(VLOOKUP(S$13&amp;$B1623,Aux!$B:$M,6,0),"")</f>
        <v/>
      </c>
      <c r="V1623" s="64"/>
      <c r="W1623" s="63"/>
      <c r="AA1623" s="59"/>
      <c r="AB1623" s="16" t="str">
        <f>IF(AB1620="","","Срок сдачи"&amp;": ")</f>
        <v/>
      </c>
      <c r="AC1623" s="64" t="str">
        <f>IFERROR(VLOOKUP(AA$13&amp;$B1623,Aux!$B:$M,6,0),"")</f>
        <v/>
      </c>
      <c r="AD1623" s="64"/>
      <c r="AE1623" s="63"/>
    </row>
    <row r="1624" spans="2:31" x14ac:dyDescent="0.25">
      <c r="B1624" s="53">
        <f t="shared" si="25"/>
        <v>322</v>
      </c>
      <c r="C1624" s="7"/>
      <c r="D1624" s="17"/>
      <c r="E1624" s="7"/>
      <c r="F1624" s="18"/>
      <c r="G1624" s="18"/>
      <c r="K1624" s="13"/>
      <c r="L1624" s="17"/>
      <c r="M1624" s="13"/>
      <c r="N1624" s="14"/>
      <c r="O1624" s="14"/>
      <c r="S1624" s="13"/>
      <c r="T1624" s="17"/>
      <c r="U1624" s="13"/>
      <c r="V1624" s="14"/>
      <c r="W1624" s="14"/>
      <c r="AA1624" s="13"/>
      <c r="AB1624" s="17"/>
      <c r="AC1624" s="13"/>
      <c r="AD1624" s="14"/>
      <c r="AE1624" s="30"/>
    </row>
    <row r="1625" spans="2:31" x14ac:dyDescent="0.25">
      <c r="B1625" s="53">
        <f t="shared" si="25"/>
        <v>323</v>
      </c>
      <c r="C1625" s="59" t="str">
        <f>IFERROR(VLOOKUP(C$13&amp;$B1629,Aux!$B:$M,5,0),"")</f>
        <v/>
      </c>
      <c r="D1625" s="60" t="str">
        <f>IFERROR(VLOOKUP(C$13&amp;$B1625,Aux!$B:$M,3,0),"")</f>
        <v/>
      </c>
      <c r="E1625" s="60"/>
      <c r="F1625" s="60"/>
      <c r="G1625" s="61" t="str">
        <f>IFERROR(VLOOKUP(C$13&amp;$B1625,Aux!$B:$M,9,0),"")</f>
        <v/>
      </c>
      <c r="K1625" s="59" t="str">
        <f>IFERROR(VLOOKUP(K$13&amp;$B1629,Aux!$B:$M,5,0),"")</f>
        <v/>
      </c>
      <c r="L1625" s="60" t="str">
        <f>IFERROR(VLOOKUP(K$13&amp;$B1625,Aux!$B:$M,3,0),"")</f>
        <v/>
      </c>
      <c r="M1625" s="60"/>
      <c r="N1625" s="60"/>
      <c r="O1625" s="61" t="str">
        <f>IFERROR(VLOOKUP(K$13&amp;$B1625,Aux!$B:$M,9,0),"")</f>
        <v/>
      </c>
      <c r="S1625" s="59" t="str">
        <f>IFERROR(VLOOKUP(S$13&amp;$B1629,Aux!$B:$M,5,0),"")</f>
        <v/>
      </c>
      <c r="T1625" s="60" t="str">
        <f>IFERROR(VLOOKUP(S$13&amp;$B1625,Aux!$B:$M,3,0),"")</f>
        <v/>
      </c>
      <c r="U1625" s="60"/>
      <c r="V1625" s="60"/>
      <c r="W1625" s="61" t="str">
        <f>IFERROR(VLOOKUP(S$13&amp;$B1625,Aux!$B:$M,9,0),"")</f>
        <v/>
      </c>
      <c r="AA1625" s="59" t="str">
        <f>IFERROR(VLOOKUP(AA$13&amp;$B1629,Aux!$B:$M,5,0),"")</f>
        <v/>
      </c>
      <c r="AB1625" s="60" t="str">
        <f>IFERROR(VLOOKUP(AA$13&amp;$B1625,Aux!$B:$M,3,0),"")</f>
        <v/>
      </c>
      <c r="AC1625" s="60"/>
      <c r="AD1625" s="60"/>
      <c r="AE1625" s="61" t="str">
        <f>IFERROR(VLOOKUP(AA$13&amp;$B1625,Aux!$B:$M,9,0),"")</f>
        <v/>
      </c>
    </row>
    <row r="1626" spans="2:31" x14ac:dyDescent="0.25">
      <c r="B1626" s="53">
        <f t="shared" si="25"/>
        <v>323</v>
      </c>
      <c r="C1626" s="59"/>
      <c r="D1626" s="60"/>
      <c r="E1626" s="60"/>
      <c r="F1626" s="60"/>
      <c r="G1626" s="61"/>
      <c r="K1626" s="59"/>
      <c r="L1626" s="60"/>
      <c r="M1626" s="60"/>
      <c r="N1626" s="60"/>
      <c r="O1626" s="61"/>
      <c r="S1626" s="59"/>
      <c r="T1626" s="60"/>
      <c r="U1626" s="60"/>
      <c r="V1626" s="60"/>
      <c r="W1626" s="61"/>
      <c r="AA1626" s="59"/>
      <c r="AB1626" s="60"/>
      <c r="AC1626" s="60"/>
      <c r="AD1626" s="60"/>
      <c r="AE1626" s="61"/>
    </row>
    <row r="1627" spans="2:31" x14ac:dyDescent="0.25">
      <c r="B1627" s="53">
        <f t="shared" si="25"/>
        <v>323</v>
      </c>
      <c r="C1627" s="59"/>
      <c r="D1627" s="15" t="str">
        <f>IF(D1625="","","Исполнитель"&amp;": ")</f>
        <v/>
      </c>
      <c r="E1627" s="62" t="str">
        <f>IFERROR(VLOOKUP(C$13&amp;$B1627,Aux!$B:$M,4,0),"")</f>
        <v/>
      </c>
      <c r="F1627" s="62"/>
      <c r="G1627" s="63" t="str">
        <f>IFERROR(IF(VLOOKUP(C$13&amp;$B1625,Aux!$B:$M,8,0)="Да","✔","🕓"),"")</f>
        <v/>
      </c>
      <c r="K1627" s="59"/>
      <c r="L1627" s="15" t="str">
        <f>IF(L1625="","","Исполнитель"&amp;": ")</f>
        <v/>
      </c>
      <c r="M1627" s="62" t="str">
        <f>IFERROR(VLOOKUP(K$13&amp;$B1627,Aux!$B:$M,4,0),"")</f>
        <v/>
      </c>
      <c r="N1627" s="62"/>
      <c r="O1627" s="63" t="str">
        <f>IFERROR(IF(VLOOKUP(K$13&amp;$B1625,Aux!$B:$M,8,0)="Да","✔","🕓"),"")</f>
        <v/>
      </c>
      <c r="S1627" s="59"/>
      <c r="T1627" s="15" t="str">
        <f>IF(T1625="","","Исполнитель"&amp;": ")</f>
        <v/>
      </c>
      <c r="U1627" s="62" t="str">
        <f>IFERROR(VLOOKUP(S$13&amp;$B1627,Aux!$B:$M,4,0),"")</f>
        <v/>
      </c>
      <c r="V1627" s="62"/>
      <c r="W1627" s="63" t="str">
        <f>IFERROR(IF(VLOOKUP(S$13&amp;$B1625,Aux!$B:$M,8,0)="Да","✔","🕓"),"")</f>
        <v/>
      </c>
      <c r="AA1627" s="59"/>
      <c r="AB1627" s="15" t="str">
        <f>IF(AB1625="","","Исполнитель"&amp;": ")</f>
        <v/>
      </c>
      <c r="AC1627" s="62" t="str">
        <f>IFERROR(VLOOKUP(AA$13&amp;$B1627,Aux!$B:$M,4,0),"")</f>
        <v/>
      </c>
      <c r="AD1627" s="62"/>
      <c r="AE1627" s="63" t="str">
        <f>IFERROR(IF(VLOOKUP(AA$13&amp;$B1625,Aux!$B:$M,8,0)="Да","✔","🕓"),"")</f>
        <v/>
      </c>
    </row>
    <row r="1628" spans="2:31" x14ac:dyDescent="0.25">
      <c r="B1628" s="53">
        <f t="shared" si="25"/>
        <v>323</v>
      </c>
      <c r="C1628" s="59"/>
      <c r="D1628" s="16" t="str">
        <f>IF(D1625="","","Срок сдачи"&amp;": ")</f>
        <v/>
      </c>
      <c r="E1628" s="64" t="str">
        <f>IFERROR(VLOOKUP(C$13&amp;$B1628,Aux!$B:$M,6,0),"")</f>
        <v/>
      </c>
      <c r="F1628" s="64"/>
      <c r="G1628" s="63"/>
      <c r="K1628" s="59"/>
      <c r="L1628" s="16" t="str">
        <f>IF(L1625="","","Срок сдачи"&amp;": ")</f>
        <v/>
      </c>
      <c r="M1628" s="64" t="str">
        <f>IFERROR(VLOOKUP(K$13&amp;$B1628,Aux!$B:$M,6,0),"")</f>
        <v/>
      </c>
      <c r="N1628" s="64"/>
      <c r="O1628" s="63"/>
      <c r="S1628" s="59"/>
      <c r="T1628" s="16" t="str">
        <f>IF(T1625="","","Срок сдачи"&amp;": ")</f>
        <v/>
      </c>
      <c r="U1628" s="64" t="str">
        <f>IFERROR(VLOOKUP(S$13&amp;$B1628,Aux!$B:$M,6,0),"")</f>
        <v/>
      </c>
      <c r="V1628" s="64"/>
      <c r="W1628" s="63"/>
      <c r="AA1628" s="59"/>
      <c r="AB1628" s="16" t="str">
        <f>IF(AB1625="","","Срок сдачи"&amp;": ")</f>
        <v/>
      </c>
      <c r="AC1628" s="64" t="str">
        <f>IFERROR(VLOOKUP(AA$13&amp;$B1628,Aux!$B:$M,6,0),"")</f>
        <v/>
      </c>
      <c r="AD1628" s="64"/>
      <c r="AE1628" s="63"/>
    </row>
    <row r="1629" spans="2:31" x14ac:dyDescent="0.25">
      <c r="B1629" s="53">
        <f t="shared" si="25"/>
        <v>323</v>
      </c>
      <c r="C1629" s="7"/>
      <c r="D1629" s="17"/>
      <c r="E1629" s="7"/>
      <c r="F1629" s="18"/>
      <c r="G1629" s="18"/>
      <c r="K1629" s="13"/>
      <c r="L1629" s="17"/>
      <c r="M1629" s="13"/>
      <c r="N1629" s="14"/>
      <c r="O1629" s="14"/>
      <c r="S1629" s="13"/>
      <c r="T1629" s="17"/>
      <c r="U1629" s="13"/>
      <c r="V1629" s="14"/>
      <c r="W1629" s="14"/>
      <c r="AA1629" s="13"/>
      <c r="AB1629" s="17"/>
      <c r="AC1629" s="13"/>
      <c r="AD1629" s="14"/>
      <c r="AE1629" s="30"/>
    </row>
    <row r="1630" spans="2:31" x14ac:dyDescent="0.25">
      <c r="B1630" s="53">
        <f t="shared" si="25"/>
        <v>324</v>
      </c>
      <c r="C1630" s="59" t="str">
        <f>IFERROR(VLOOKUP(C$13&amp;$B1634,Aux!$B:$M,5,0),"")</f>
        <v/>
      </c>
      <c r="D1630" s="60" t="str">
        <f>IFERROR(VLOOKUP(C$13&amp;$B1630,Aux!$B:$M,3,0),"")</f>
        <v/>
      </c>
      <c r="E1630" s="60"/>
      <c r="F1630" s="60"/>
      <c r="G1630" s="61" t="str">
        <f>IFERROR(VLOOKUP(C$13&amp;$B1630,Aux!$B:$M,9,0),"")</f>
        <v/>
      </c>
      <c r="K1630" s="59" t="str">
        <f>IFERROR(VLOOKUP(K$13&amp;$B1634,Aux!$B:$M,5,0),"")</f>
        <v/>
      </c>
      <c r="L1630" s="60" t="str">
        <f>IFERROR(VLOOKUP(K$13&amp;$B1630,Aux!$B:$M,3,0),"")</f>
        <v/>
      </c>
      <c r="M1630" s="60"/>
      <c r="N1630" s="60"/>
      <c r="O1630" s="61" t="str">
        <f>IFERROR(VLOOKUP(K$13&amp;$B1630,Aux!$B:$M,9,0),"")</f>
        <v/>
      </c>
      <c r="S1630" s="59" t="str">
        <f>IFERROR(VLOOKUP(S$13&amp;$B1634,Aux!$B:$M,5,0),"")</f>
        <v/>
      </c>
      <c r="T1630" s="60" t="str">
        <f>IFERROR(VLOOKUP(S$13&amp;$B1630,Aux!$B:$M,3,0),"")</f>
        <v/>
      </c>
      <c r="U1630" s="60"/>
      <c r="V1630" s="60"/>
      <c r="W1630" s="61" t="str">
        <f>IFERROR(VLOOKUP(S$13&amp;$B1630,Aux!$B:$M,9,0),"")</f>
        <v/>
      </c>
      <c r="AA1630" s="59" t="str">
        <f>IFERROR(VLOOKUP(AA$13&amp;$B1634,Aux!$B:$M,5,0),"")</f>
        <v/>
      </c>
      <c r="AB1630" s="60" t="str">
        <f>IFERROR(VLOOKUP(AA$13&amp;$B1630,Aux!$B:$M,3,0),"")</f>
        <v/>
      </c>
      <c r="AC1630" s="60"/>
      <c r="AD1630" s="60"/>
      <c r="AE1630" s="61" t="str">
        <f>IFERROR(VLOOKUP(AA$13&amp;$B1630,Aux!$B:$M,9,0),"")</f>
        <v/>
      </c>
    </row>
    <row r="1631" spans="2:31" x14ac:dyDescent="0.25">
      <c r="B1631" s="53">
        <f t="shared" si="25"/>
        <v>324</v>
      </c>
      <c r="C1631" s="59"/>
      <c r="D1631" s="60"/>
      <c r="E1631" s="60"/>
      <c r="F1631" s="60"/>
      <c r="G1631" s="61"/>
      <c r="K1631" s="59"/>
      <c r="L1631" s="60"/>
      <c r="M1631" s="60"/>
      <c r="N1631" s="60"/>
      <c r="O1631" s="61"/>
      <c r="S1631" s="59"/>
      <c r="T1631" s="60"/>
      <c r="U1631" s="60"/>
      <c r="V1631" s="60"/>
      <c r="W1631" s="61"/>
      <c r="AA1631" s="59"/>
      <c r="AB1631" s="60"/>
      <c r="AC1631" s="60"/>
      <c r="AD1631" s="60"/>
      <c r="AE1631" s="61"/>
    </row>
    <row r="1632" spans="2:31" x14ac:dyDescent="0.25">
      <c r="B1632" s="53">
        <f t="shared" si="25"/>
        <v>324</v>
      </c>
      <c r="C1632" s="59"/>
      <c r="D1632" s="15" t="str">
        <f>IF(D1630="","","Исполнитель"&amp;": ")</f>
        <v/>
      </c>
      <c r="E1632" s="62" t="str">
        <f>IFERROR(VLOOKUP(C$13&amp;$B1632,Aux!$B:$M,4,0),"")</f>
        <v/>
      </c>
      <c r="F1632" s="62"/>
      <c r="G1632" s="63" t="str">
        <f>IFERROR(IF(VLOOKUP(C$13&amp;$B1630,Aux!$B:$M,8,0)="Да","✔","🕓"),"")</f>
        <v/>
      </c>
      <c r="K1632" s="59"/>
      <c r="L1632" s="15" t="str">
        <f>IF(L1630="","","Исполнитель"&amp;": ")</f>
        <v/>
      </c>
      <c r="M1632" s="62" t="str">
        <f>IFERROR(VLOOKUP(K$13&amp;$B1632,Aux!$B:$M,4,0),"")</f>
        <v/>
      </c>
      <c r="N1632" s="62"/>
      <c r="O1632" s="63" t="str">
        <f>IFERROR(IF(VLOOKUP(K$13&amp;$B1630,Aux!$B:$M,8,0)="Да","✔","🕓"),"")</f>
        <v/>
      </c>
      <c r="S1632" s="59"/>
      <c r="T1632" s="15" t="str">
        <f>IF(T1630="","","Исполнитель"&amp;": ")</f>
        <v/>
      </c>
      <c r="U1632" s="62" t="str">
        <f>IFERROR(VLOOKUP(S$13&amp;$B1632,Aux!$B:$M,4,0),"")</f>
        <v/>
      </c>
      <c r="V1632" s="62"/>
      <c r="W1632" s="63" t="str">
        <f>IFERROR(IF(VLOOKUP(S$13&amp;$B1630,Aux!$B:$M,8,0)="Да","✔","🕓"),"")</f>
        <v/>
      </c>
      <c r="AA1632" s="59"/>
      <c r="AB1632" s="15" t="str">
        <f>IF(AB1630="","","Исполнитель"&amp;": ")</f>
        <v/>
      </c>
      <c r="AC1632" s="62" t="str">
        <f>IFERROR(VLOOKUP(AA$13&amp;$B1632,Aux!$B:$M,4,0),"")</f>
        <v/>
      </c>
      <c r="AD1632" s="62"/>
      <c r="AE1632" s="63" t="str">
        <f>IFERROR(IF(VLOOKUP(AA$13&amp;$B1630,Aux!$B:$M,8,0)="Да","✔","🕓"),"")</f>
        <v/>
      </c>
    </row>
    <row r="1633" spans="2:31" x14ac:dyDescent="0.25">
      <c r="B1633" s="53">
        <f t="shared" si="25"/>
        <v>324</v>
      </c>
      <c r="C1633" s="59"/>
      <c r="D1633" s="16" t="str">
        <f>IF(D1630="","","Срок сдачи"&amp;": ")</f>
        <v/>
      </c>
      <c r="E1633" s="64" t="str">
        <f>IFERROR(VLOOKUP(C$13&amp;$B1633,Aux!$B:$M,6,0),"")</f>
        <v/>
      </c>
      <c r="F1633" s="64"/>
      <c r="G1633" s="63"/>
      <c r="K1633" s="59"/>
      <c r="L1633" s="16" t="str">
        <f>IF(L1630="","","Срок сдачи"&amp;": ")</f>
        <v/>
      </c>
      <c r="M1633" s="64" t="str">
        <f>IFERROR(VLOOKUP(K$13&amp;$B1633,Aux!$B:$M,6,0),"")</f>
        <v/>
      </c>
      <c r="N1633" s="64"/>
      <c r="O1633" s="63"/>
      <c r="S1633" s="59"/>
      <c r="T1633" s="16" t="str">
        <f>IF(T1630="","","Срок сдачи"&amp;": ")</f>
        <v/>
      </c>
      <c r="U1633" s="64" t="str">
        <f>IFERROR(VLOOKUP(S$13&amp;$B1633,Aux!$B:$M,6,0),"")</f>
        <v/>
      </c>
      <c r="V1633" s="64"/>
      <c r="W1633" s="63"/>
      <c r="AA1633" s="59"/>
      <c r="AB1633" s="16" t="str">
        <f>IF(AB1630="","","Срок сдачи"&amp;": ")</f>
        <v/>
      </c>
      <c r="AC1633" s="64" t="str">
        <f>IFERROR(VLOOKUP(AA$13&amp;$B1633,Aux!$B:$M,6,0),"")</f>
        <v/>
      </c>
      <c r="AD1633" s="64"/>
      <c r="AE1633" s="63"/>
    </row>
    <row r="1634" spans="2:31" x14ac:dyDescent="0.25">
      <c r="B1634" s="53">
        <f t="shared" si="25"/>
        <v>324</v>
      </c>
      <c r="C1634" s="7"/>
      <c r="D1634" s="17"/>
      <c r="E1634" s="7"/>
      <c r="F1634" s="18"/>
      <c r="G1634" s="18"/>
      <c r="K1634" s="13"/>
      <c r="L1634" s="17"/>
      <c r="M1634" s="13"/>
      <c r="N1634" s="14"/>
      <c r="O1634" s="14"/>
      <c r="S1634" s="13"/>
      <c r="T1634" s="17"/>
      <c r="U1634" s="13"/>
      <c r="V1634" s="14"/>
      <c r="W1634" s="14"/>
      <c r="AA1634" s="13"/>
      <c r="AB1634" s="17"/>
      <c r="AC1634" s="13"/>
      <c r="AD1634" s="14"/>
      <c r="AE1634" s="30"/>
    </row>
    <row r="1635" spans="2:31" x14ac:dyDescent="0.25">
      <c r="B1635" s="53">
        <f t="shared" si="25"/>
        <v>325</v>
      </c>
      <c r="C1635" s="59" t="str">
        <f>IFERROR(VLOOKUP(C$13&amp;$B1639,Aux!$B:$M,5,0),"")</f>
        <v/>
      </c>
      <c r="D1635" s="60" t="str">
        <f>IFERROR(VLOOKUP(C$13&amp;$B1635,Aux!$B:$M,3,0),"")</f>
        <v/>
      </c>
      <c r="E1635" s="60"/>
      <c r="F1635" s="60"/>
      <c r="G1635" s="61" t="str">
        <f>IFERROR(VLOOKUP(C$13&amp;$B1635,Aux!$B:$M,9,0),"")</f>
        <v/>
      </c>
      <c r="K1635" s="59" t="str">
        <f>IFERROR(VLOOKUP(K$13&amp;$B1639,Aux!$B:$M,5,0),"")</f>
        <v/>
      </c>
      <c r="L1635" s="60" t="str">
        <f>IFERROR(VLOOKUP(K$13&amp;$B1635,Aux!$B:$M,3,0),"")</f>
        <v/>
      </c>
      <c r="M1635" s="60"/>
      <c r="N1635" s="60"/>
      <c r="O1635" s="61" t="str">
        <f>IFERROR(VLOOKUP(K$13&amp;$B1635,Aux!$B:$M,9,0),"")</f>
        <v/>
      </c>
      <c r="S1635" s="59" t="str">
        <f>IFERROR(VLOOKUP(S$13&amp;$B1639,Aux!$B:$M,5,0),"")</f>
        <v/>
      </c>
      <c r="T1635" s="60" t="str">
        <f>IFERROR(VLOOKUP(S$13&amp;$B1635,Aux!$B:$M,3,0),"")</f>
        <v/>
      </c>
      <c r="U1635" s="60"/>
      <c r="V1635" s="60"/>
      <c r="W1635" s="61" t="str">
        <f>IFERROR(VLOOKUP(S$13&amp;$B1635,Aux!$B:$M,9,0),"")</f>
        <v/>
      </c>
      <c r="AA1635" s="59" t="str">
        <f>IFERROR(VLOOKUP(AA$13&amp;$B1639,Aux!$B:$M,5,0),"")</f>
        <v/>
      </c>
      <c r="AB1635" s="60" t="str">
        <f>IFERROR(VLOOKUP(AA$13&amp;$B1635,Aux!$B:$M,3,0),"")</f>
        <v/>
      </c>
      <c r="AC1635" s="60"/>
      <c r="AD1635" s="60"/>
      <c r="AE1635" s="61" t="str">
        <f>IFERROR(VLOOKUP(AA$13&amp;$B1635,Aux!$B:$M,9,0),"")</f>
        <v/>
      </c>
    </row>
    <row r="1636" spans="2:31" x14ac:dyDescent="0.25">
      <c r="B1636" s="53">
        <f t="shared" si="25"/>
        <v>325</v>
      </c>
      <c r="C1636" s="59"/>
      <c r="D1636" s="60"/>
      <c r="E1636" s="60"/>
      <c r="F1636" s="60"/>
      <c r="G1636" s="61"/>
      <c r="K1636" s="59"/>
      <c r="L1636" s="60"/>
      <c r="M1636" s="60"/>
      <c r="N1636" s="60"/>
      <c r="O1636" s="61"/>
      <c r="S1636" s="59"/>
      <c r="T1636" s="60"/>
      <c r="U1636" s="60"/>
      <c r="V1636" s="60"/>
      <c r="W1636" s="61"/>
      <c r="AA1636" s="59"/>
      <c r="AB1636" s="60"/>
      <c r="AC1636" s="60"/>
      <c r="AD1636" s="60"/>
      <c r="AE1636" s="61"/>
    </row>
    <row r="1637" spans="2:31" x14ac:dyDescent="0.25">
      <c r="B1637" s="53">
        <f t="shared" si="25"/>
        <v>325</v>
      </c>
      <c r="C1637" s="59"/>
      <c r="D1637" s="15" t="str">
        <f>IF(D1635="","","Исполнитель"&amp;": ")</f>
        <v/>
      </c>
      <c r="E1637" s="62" t="str">
        <f>IFERROR(VLOOKUP(C$13&amp;$B1637,Aux!$B:$M,4,0),"")</f>
        <v/>
      </c>
      <c r="F1637" s="62"/>
      <c r="G1637" s="63" t="str">
        <f>IFERROR(IF(VLOOKUP(C$13&amp;$B1635,Aux!$B:$M,8,0)="Да","✔","🕓"),"")</f>
        <v/>
      </c>
      <c r="K1637" s="59"/>
      <c r="L1637" s="15" t="str">
        <f>IF(L1635="","","Исполнитель"&amp;": ")</f>
        <v/>
      </c>
      <c r="M1637" s="62" t="str">
        <f>IFERROR(VLOOKUP(K$13&amp;$B1637,Aux!$B:$M,4,0),"")</f>
        <v/>
      </c>
      <c r="N1637" s="62"/>
      <c r="O1637" s="63" t="str">
        <f>IFERROR(IF(VLOOKUP(K$13&amp;$B1635,Aux!$B:$M,8,0)="Да","✔","🕓"),"")</f>
        <v/>
      </c>
      <c r="S1637" s="59"/>
      <c r="T1637" s="15" t="str">
        <f>IF(T1635="","","Исполнитель"&amp;": ")</f>
        <v/>
      </c>
      <c r="U1637" s="62" t="str">
        <f>IFERROR(VLOOKUP(S$13&amp;$B1637,Aux!$B:$M,4,0),"")</f>
        <v/>
      </c>
      <c r="V1637" s="62"/>
      <c r="W1637" s="63" t="str">
        <f>IFERROR(IF(VLOOKUP(S$13&amp;$B1635,Aux!$B:$M,8,0)="Да","✔","🕓"),"")</f>
        <v/>
      </c>
      <c r="AA1637" s="59"/>
      <c r="AB1637" s="15" t="str">
        <f>IF(AB1635="","","Исполнитель"&amp;": ")</f>
        <v/>
      </c>
      <c r="AC1637" s="62" t="str">
        <f>IFERROR(VLOOKUP(AA$13&amp;$B1637,Aux!$B:$M,4,0),"")</f>
        <v/>
      </c>
      <c r="AD1637" s="62"/>
      <c r="AE1637" s="63" t="str">
        <f>IFERROR(IF(VLOOKUP(AA$13&amp;$B1635,Aux!$B:$M,8,0)="Да","✔","🕓"),"")</f>
        <v/>
      </c>
    </row>
    <row r="1638" spans="2:31" x14ac:dyDescent="0.25">
      <c r="B1638" s="53">
        <f t="shared" si="25"/>
        <v>325</v>
      </c>
      <c r="C1638" s="59"/>
      <c r="D1638" s="16" t="str">
        <f>IF(D1635="","","Срок сдачи"&amp;": ")</f>
        <v/>
      </c>
      <c r="E1638" s="64" t="str">
        <f>IFERROR(VLOOKUP(C$13&amp;$B1638,Aux!$B:$M,6,0),"")</f>
        <v/>
      </c>
      <c r="F1638" s="64"/>
      <c r="G1638" s="63"/>
      <c r="K1638" s="59"/>
      <c r="L1638" s="16" t="str">
        <f>IF(L1635="","","Срок сдачи"&amp;": ")</f>
        <v/>
      </c>
      <c r="M1638" s="64" t="str">
        <f>IFERROR(VLOOKUP(K$13&amp;$B1638,Aux!$B:$M,6,0),"")</f>
        <v/>
      </c>
      <c r="N1638" s="64"/>
      <c r="O1638" s="63"/>
      <c r="S1638" s="59"/>
      <c r="T1638" s="16" t="str">
        <f>IF(T1635="","","Срок сдачи"&amp;": ")</f>
        <v/>
      </c>
      <c r="U1638" s="64" t="str">
        <f>IFERROR(VLOOKUP(S$13&amp;$B1638,Aux!$B:$M,6,0),"")</f>
        <v/>
      </c>
      <c r="V1638" s="64"/>
      <c r="W1638" s="63"/>
      <c r="AA1638" s="59"/>
      <c r="AB1638" s="16" t="str">
        <f>IF(AB1635="","","Срок сдачи"&amp;": ")</f>
        <v/>
      </c>
      <c r="AC1638" s="64" t="str">
        <f>IFERROR(VLOOKUP(AA$13&amp;$B1638,Aux!$B:$M,6,0),"")</f>
        <v/>
      </c>
      <c r="AD1638" s="64"/>
      <c r="AE1638" s="63"/>
    </row>
    <row r="1639" spans="2:31" x14ac:dyDescent="0.25">
      <c r="B1639" s="53">
        <f t="shared" si="25"/>
        <v>325</v>
      </c>
      <c r="C1639" s="7"/>
      <c r="D1639" s="17"/>
      <c r="E1639" s="7"/>
      <c r="F1639" s="18"/>
      <c r="G1639" s="18"/>
      <c r="K1639" s="13"/>
      <c r="L1639" s="17"/>
      <c r="M1639" s="13"/>
      <c r="N1639" s="14"/>
      <c r="O1639" s="14"/>
      <c r="S1639" s="13"/>
      <c r="T1639" s="17"/>
      <c r="U1639" s="13"/>
      <c r="V1639" s="14"/>
      <c r="W1639" s="14"/>
      <c r="AA1639" s="13"/>
      <c r="AB1639" s="17"/>
      <c r="AC1639" s="13"/>
      <c r="AD1639" s="14"/>
      <c r="AE1639" s="30"/>
    </row>
    <row r="1640" spans="2:31" x14ac:dyDescent="0.25">
      <c r="B1640" s="53">
        <f t="shared" si="25"/>
        <v>326</v>
      </c>
      <c r="C1640" s="59" t="str">
        <f>IFERROR(VLOOKUP(C$13&amp;$B1644,Aux!$B:$M,5,0),"")</f>
        <v/>
      </c>
      <c r="D1640" s="60" t="str">
        <f>IFERROR(VLOOKUP(C$13&amp;$B1640,Aux!$B:$M,3,0),"")</f>
        <v/>
      </c>
      <c r="E1640" s="60"/>
      <c r="F1640" s="60"/>
      <c r="G1640" s="61" t="str">
        <f>IFERROR(VLOOKUP(C$13&amp;$B1640,Aux!$B:$M,9,0),"")</f>
        <v/>
      </c>
      <c r="K1640" s="59" t="str">
        <f>IFERROR(VLOOKUP(K$13&amp;$B1644,Aux!$B:$M,5,0),"")</f>
        <v/>
      </c>
      <c r="L1640" s="60" t="str">
        <f>IFERROR(VLOOKUP(K$13&amp;$B1640,Aux!$B:$M,3,0),"")</f>
        <v/>
      </c>
      <c r="M1640" s="60"/>
      <c r="N1640" s="60"/>
      <c r="O1640" s="61" t="str">
        <f>IFERROR(VLOOKUP(K$13&amp;$B1640,Aux!$B:$M,9,0),"")</f>
        <v/>
      </c>
      <c r="S1640" s="59" t="str">
        <f>IFERROR(VLOOKUP(S$13&amp;$B1644,Aux!$B:$M,5,0),"")</f>
        <v/>
      </c>
      <c r="T1640" s="60" t="str">
        <f>IFERROR(VLOOKUP(S$13&amp;$B1640,Aux!$B:$M,3,0),"")</f>
        <v/>
      </c>
      <c r="U1640" s="60"/>
      <c r="V1640" s="60"/>
      <c r="W1640" s="61" t="str">
        <f>IFERROR(VLOOKUP(S$13&amp;$B1640,Aux!$B:$M,9,0),"")</f>
        <v/>
      </c>
      <c r="AA1640" s="59" t="str">
        <f>IFERROR(VLOOKUP(AA$13&amp;$B1644,Aux!$B:$M,5,0),"")</f>
        <v/>
      </c>
      <c r="AB1640" s="60" t="str">
        <f>IFERROR(VLOOKUP(AA$13&amp;$B1640,Aux!$B:$M,3,0),"")</f>
        <v/>
      </c>
      <c r="AC1640" s="60"/>
      <c r="AD1640" s="60"/>
      <c r="AE1640" s="61" t="str">
        <f>IFERROR(VLOOKUP(AA$13&amp;$B1640,Aux!$B:$M,9,0),"")</f>
        <v/>
      </c>
    </row>
    <row r="1641" spans="2:31" x14ac:dyDescent="0.25">
      <c r="B1641" s="53">
        <f t="shared" si="25"/>
        <v>326</v>
      </c>
      <c r="C1641" s="59"/>
      <c r="D1641" s="60"/>
      <c r="E1641" s="60"/>
      <c r="F1641" s="60"/>
      <c r="G1641" s="61"/>
      <c r="K1641" s="59"/>
      <c r="L1641" s="60"/>
      <c r="M1641" s="60"/>
      <c r="N1641" s="60"/>
      <c r="O1641" s="61"/>
      <c r="S1641" s="59"/>
      <c r="T1641" s="60"/>
      <c r="U1641" s="60"/>
      <c r="V1641" s="60"/>
      <c r="W1641" s="61"/>
      <c r="AA1641" s="59"/>
      <c r="AB1641" s="60"/>
      <c r="AC1641" s="60"/>
      <c r="AD1641" s="60"/>
      <c r="AE1641" s="61"/>
    </row>
    <row r="1642" spans="2:31" x14ac:dyDescent="0.25">
      <c r="B1642" s="53">
        <f t="shared" si="25"/>
        <v>326</v>
      </c>
      <c r="C1642" s="59"/>
      <c r="D1642" s="15" t="str">
        <f>IF(D1640="","","Исполнитель"&amp;": ")</f>
        <v/>
      </c>
      <c r="E1642" s="62" t="str">
        <f>IFERROR(VLOOKUP(C$13&amp;$B1642,Aux!$B:$M,4,0),"")</f>
        <v/>
      </c>
      <c r="F1642" s="62"/>
      <c r="G1642" s="63" t="str">
        <f>IFERROR(IF(VLOOKUP(C$13&amp;$B1640,Aux!$B:$M,8,0)="Да","✔","🕓"),"")</f>
        <v/>
      </c>
      <c r="K1642" s="59"/>
      <c r="L1642" s="15" t="str">
        <f>IF(L1640="","","Исполнитель"&amp;": ")</f>
        <v/>
      </c>
      <c r="M1642" s="62" t="str">
        <f>IFERROR(VLOOKUP(K$13&amp;$B1642,Aux!$B:$M,4,0),"")</f>
        <v/>
      </c>
      <c r="N1642" s="62"/>
      <c r="O1642" s="63" t="str">
        <f>IFERROR(IF(VLOOKUP(K$13&amp;$B1640,Aux!$B:$M,8,0)="Да","✔","🕓"),"")</f>
        <v/>
      </c>
      <c r="S1642" s="59"/>
      <c r="T1642" s="15" t="str">
        <f>IF(T1640="","","Исполнитель"&amp;": ")</f>
        <v/>
      </c>
      <c r="U1642" s="62" t="str">
        <f>IFERROR(VLOOKUP(S$13&amp;$B1642,Aux!$B:$M,4,0),"")</f>
        <v/>
      </c>
      <c r="V1642" s="62"/>
      <c r="W1642" s="63" t="str">
        <f>IFERROR(IF(VLOOKUP(S$13&amp;$B1640,Aux!$B:$M,8,0)="Да","✔","🕓"),"")</f>
        <v/>
      </c>
      <c r="AA1642" s="59"/>
      <c r="AB1642" s="15" t="str">
        <f>IF(AB1640="","","Исполнитель"&amp;": ")</f>
        <v/>
      </c>
      <c r="AC1642" s="62" t="str">
        <f>IFERROR(VLOOKUP(AA$13&amp;$B1642,Aux!$B:$M,4,0),"")</f>
        <v/>
      </c>
      <c r="AD1642" s="62"/>
      <c r="AE1642" s="63" t="str">
        <f>IFERROR(IF(VLOOKUP(AA$13&amp;$B1640,Aux!$B:$M,8,0)="Да","✔","🕓"),"")</f>
        <v/>
      </c>
    </row>
    <row r="1643" spans="2:31" x14ac:dyDescent="0.25">
      <c r="B1643" s="53">
        <f t="shared" si="25"/>
        <v>326</v>
      </c>
      <c r="C1643" s="59"/>
      <c r="D1643" s="16" t="str">
        <f>IF(D1640="","","Срок сдачи"&amp;": ")</f>
        <v/>
      </c>
      <c r="E1643" s="64" t="str">
        <f>IFERROR(VLOOKUP(C$13&amp;$B1643,Aux!$B:$M,6,0),"")</f>
        <v/>
      </c>
      <c r="F1643" s="64"/>
      <c r="G1643" s="63"/>
      <c r="K1643" s="59"/>
      <c r="L1643" s="16" t="str">
        <f>IF(L1640="","","Срок сдачи"&amp;": ")</f>
        <v/>
      </c>
      <c r="M1643" s="64" t="str">
        <f>IFERROR(VLOOKUP(K$13&amp;$B1643,Aux!$B:$M,6,0),"")</f>
        <v/>
      </c>
      <c r="N1643" s="64"/>
      <c r="O1643" s="63"/>
      <c r="S1643" s="59"/>
      <c r="T1643" s="16" t="str">
        <f>IF(T1640="","","Срок сдачи"&amp;": ")</f>
        <v/>
      </c>
      <c r="U1643" s="64" t="str">
        <f>IFERROR(VLOOKUP(S$13&amp;$B1643,Aux!$B:$M,6,0),"")</f>
        <v/>
      </c>
      <c r="V1643" s="64"/>
      <c r="W1643" s="63"/>
      <c r="AA1643" s="59"/>
      <c r="AB1643" s="16" t="str">
        <f>IF(AB1640="","","Срок сдачи"&amp;": ")</f>
        <v/>
      </c>
      <c r="AC1643" s="64" t="str">
        <f>IFERROR(VLOOKUP(AA$13&amp;$B1643,Aux!$B:$M,6,0),"")</f>
        <v/>
      </c>
      <c r="AD1643" s="64"/>
      <c r="AE1643" s="63"/>
    </row>
    <row r="1644" spans="2:31" x14ac:dyDescent="0.25">
      <c r="B1644" s="53">
        <f t="shared" si="25"/>
        <v>326</v>
      </c>
      <c r="C1644" s="7"/>
      <c r="D1644" s="17"/>
      <c r="E1644" s="7"/>
      <c r="F1644" s="18"/>
      <c r="G1644" s="18"/>
      <c r="K1644" s="13"/>
      <c r="L1644" s="17"/>
      <c r="M1644" s="13"/>
      <c r="N1644" s="14"/>
      <c r="O1644" s="14"/>
      <c r="S1644" s="13"/>
      <c r="T1644" s="17"/>
      <c r="U1644" s="13"/>
      <c r="V1644" s="14"/>
      <c r="W1644" s="14"/>
      <c r="AA1644" s="13"/>
      <c r="AB1644" s="17"/>
      <c r="AC1644" s="13"/>
      <c r="AD1644" s="14"/>
      <c r="AE1644" s="30"/>
    </row>
    <row r="1645" spans="2:31" x14ac:dyDescent="0.25">
      <c r="B1645" s="53">
        <f t="shared" si="25"/>
        <v>327</v>
      </c>
      <c r="C1645" s="59" t="str">
        <f>IFERROR(VLOOKUP(C$13&amp;$B1649,Aux!$B:$M,5,0),"")</f>
        <v/>
      </c>
      <c r="D1645" s="60" t="str">
        <f>IFERROR(VLOOKUP(C$13&amp;$B1645,Aux!$B:$M,3,0),"")</f>
        <v/>
      </c>
      <c r="E1645" s="60"/>
      <c r="F1645" s="60"/>
      <c r="G1645" s="61" t="str">
        <f>IFERROR(VLOOKUP(C$13&amp;$B1645,Aux!$B:$M,9,0),"")</f>
        <v/>
      </c>
      <c r="K1645" s="59" t="str">
        <f>IFERROR(VLOOKUP(K$13&amp;$B1649,Aux!$B:$M,5,0),"")</f>
        <v/>
      </c>
      <c r="L1645" s="60" t="str">
        <f>IFERROR(VLOOKUP(K$13&amp;$B1645,Aux!$B:$M,3,0),"")</f>
        <v/>
      </c>
      <c r="M1645" s="60"/>
      <c r="N1645" s="60"/>
      <c r="O1645" s="61" t="str">
        <f>IFERROR(VLOOKUP(K$13&amp;$B1645,Aux!$B:$M,9,0),"")</f>
        <v/>
      </c>
      <c r="S1645" s="59" t="str">
        <f>IFERROR(VLOOKUP(S$13&amp;$B1649,Aux!$B:$M,5,0),"")</f>
        <v/>
      </c>
      <c r="T1645" s="60" t="str">
        <f>IFERROR(VLOOKUP(S$13&amp;$B1645,Aux!$B:$M,3,0),"")</f>
        <v/>
      </c>
      <c r="U1645" s="60"/>
      <c r="V1645" s="60"/>
      <c r="W1645" s="61" t="str">
        <f>IFERROR(VLOOKUP(S$13&amp;$B1645,Aux!$B:$M,9,0),"")</f>
        <v/>
      </c>
      <c r="AA1645" s="59" t="str">
        <f>IFERROR(VLOOKUP(AA$13&amp;$B1649,Aux!$B:$M,5,0),"")</f>
        <v/>
      </c>
      <c r="AB1645" s="60" t="str">
        <f>IFERROR(VLOOKUP(AA$13&amp;$B1645,Aux!$B:$M,3,0),"")</f>
        <v/>
      </c>
      <c r="AC1645" s="60"/>
      <c r="AD1645" s="60"/>
      <c r="AE1645" s="61" t="str">
        <f>IFERROR(VLOOKUP(AA$13&amp;$B1645,Aux!$B:$M,9,0),"")</f>
        <v/>
      </c>
    </row>
    <row r="1646" spans="2:31" x14ac:dyDescent="0.25">
      <c r="B1646" s="53">
        <f t="shared" si="25"/>
        <v>327</v>
      </c>
      <c r="C1646" s="59"/>
      <c r="D1646" s="60"/>
      <c r="E1646" s="60"/>
      <c r="F1646" s="60"/>
      <c r="G1646" s="61"/>
      <c r="K1646" s="59"/>
      <c r="L1646" s="60"/>
      <c r="M1646" s="60"/>
      <c r="N1646" s="60"/>
      <c r="O1646" s="61"/>
      <c r="S1646" s="59"/>
      <c r="T1646" s="60"/>
      <c r="U1646" s="60"/>
      <c r="V1646" s="60"/>
      <c r="W1646" s="61"/>
      <c r="AA1646" s="59"/>
      <c r="AB1646" s="60"/>
      <c r="AC1646" s="60"/>
      <c r="AD1646" s="60"/>
      <c r="AE1646" s="61"/>
    </row>
    <row r="1647" spans="2:31" x14ac:dyDescent="0.25">
      <c r="B1647" s="53">
        <f t="shared" si="25"/>
        <v>327</v>
      </c>
      <c r="C1647" s="59"/>
      <c r="D1647" s="15" t="str">
        <f>IF(D1645="","","Исполнитель"&amp;": ")</f>
        <v/>
      </c>
      <c r="E1647" s="62" t="str">
        <f>IFERROR(VLOOKUP(C$13&amp;$B1647,Aux!$B:$M,4,0),"")</f>
        <v/>
      </c>
      <c r="F1647" s="62"/>
      <c r="G1647" s="63" t="str">
        <f>IFERROR(IF(VLOOKUP(C$13&amp;$B1645,Aux!$B:$M,8,0)="Да","✔","🕓"),"")</f>
        <v/>
      </c>
      <c r="K1647" s="59"/>
      <c r="L1647" s="15" t="str">
        <f>IF(L1645="","","Исполнитель"&amp;": ")</f>
        <v/>
      </c>
      <c r="M1647" s="62" t="str">
        <f>IFERROR(VLOOKUP(K$13&amp;$B1647,Aux!$B:$M,4,0),"")</f>
        <v/>
      </c>
      <c r="N1647" s="62"/>
      <c r="O1647" s="63" t="str">
        <f>IFERROR(IF(VLOOKUP(K$13&amp;$B1645,Aux!$B:$M,8,0)="Да","✔","🕓"),"")</f>
        <v/>
      </c>
      <c r="S1647" s="59"/>
      <c r="T1647" s="15" t="str">
        <f>IF(T1645="","","Исполнитель"&amp;": ")</f>
        <v/>
      </c>
      <c r="U1647" s="62" t="str">
        <f>IFERROR(VLOOKUP(S$13&amp;$B1647,Aux!$B:$M,4,0),"")</f>
        <v/>
      </c>
      <c r="V1647" s="62"/>
      <c r="W1647" s="63" t="str">
        <f>IFERROR(IF(VLOOKUP(S$13&amp;$B1645,Aux!$B:$M,8,0)="Да","✔","🕓"),"")</f>
        <v/>
      </c>
      <c r="AA1647" s="59"/>
      <c r="AB1647" s="15" t="str">
        <f>IF(AB1645="","","Исполнитель"&amp;": ")</f>
        <v/>
      </c>
      <c r="AC1647" s="62" t="str">
        <f>IFERROR(VLOOKUP(AA$13&amp;$B1647,Aux!$B:$M,4,0),"")</f>
        <v/>
      </c>
      <c r="AD1647" s="62"/>
      <c r="AE1647" s="63" t="str">
        <f>IFERROR(IF(VLOOKUP(AA$13&amp;$B1645,Aux!$B:$M,8,0)="Да","✔","🕓"),"")</f>
        <v/>
      </c>
    </row>
    <row r="1648" spans="2:31" x14ac:dyDescent="0.25">
      <c r="B1648" s="53">
        <f t="shared" si="25"/>
        <v>327</v>
      </c>
      <c r="C1648" s="59"/>
      <c r="D1648" s="16" t="str">
        <f>IF(D1645="","","Срок сдачи"&amp;": ")</f>
        <v/>
      </c>
      <c r="E1648" s="64" t="str">
        <f>IFERROR(VLOOKUP(C$13&amp;$B1648,Aux!$B:$M,6,0),"")</f>
        <v/>
      </c>
      <c r="F1648" s="64"/>
      <c r="G1648" s="63"/>
      <c r="K1648" s="59"/>
      <c r="L1648" s="16" t="str">
        <f>IF(L1645="","","Срок сдачи"&amp;": ")</f>
        <v/>
      </c>
      <c r="M1648" s="64" t="str">
        <f>IFERROR(VLOOKUP(K$13&amp;$B1648,Aux!$B:$M,6,0),"")</f>
        <v/>
      </c>
      <c r="N1648" s="64"/>
      <c r="O1648" s="63"/>
      <c r="S1648" s="59"/>
      <c r="T1648" s="16" t="str">
        <f>IF(T1645="","","Срок сдачи"&amp;": ")</f>
        <v/>
      </c>
      <c r="U1648" s="64" t="str">
        <f>IFERROR(VLOOKUP(S$13&amp;$B1648,Aux!$B:$M,6,0),"")</f>
        <v/>
      </c>
      <c r="V1648" s="64"/>
      <c r="W1648" s="63"/>
      <c r="AA1648" s="59"/>
      <c r="AB1648" s="16" t="str">
        <f>IF(AB1645="","","Срок сдачи"&amp;": ")</f>
        <v/>
      </c>
      <c r="AC1648" s="64" t="str">
        <f>IFERROR(VLOOKUP(AA$13&amp;$B1648,Aux!$B:$M,6,0),"")</f>
        <v/>
      </c>
      <c r="AD1648" s="64"/>
      <c r="AE1648" s="63"/>
    </row>
    <row r="1649" spans="2:31" x14ac:dyDescent="0.25">
      <c r="B1649" s="53">
        <f t="shared" si="25"/>
        <v>327</v>
      </c>
      <c r="C1649" s="7"/>
      <c r="D1649" s="17"/>
      <c r="E1649" s="7"/>
      <c r="F1649" s="18"/>
      <c r="G1649" s="18"/>
      <c r="K1649" s="13"/>
      <c r="L1649" s="17"/>
      <c r="M1649" s="13"/>
      <c r="N1649" s="14"/>
      <c r="O1649" s="14"/>
      <c r="S1649" s="13"/>
      <c r="T1649" s="17"/>
      <c r="U1649" s="13"/>
      <c r="V1649" s="14"/>
      <c r="W1649" s="14"/>
      <c r="AA1649" s="13"/>
      <c r="AB1649" s="17"/>
      <c r="AC1649" s="13"/>
      <c r="AD1649" s="14"/>
      <c r="AE1649" s="30"/>
    </row>
    <row r="1650" spans="2:31" x14ac:dyDescent="0.25">
      <c r="B1650" s="53">
        <f t="shared" si="25"/>
        <v>328</v>
      </c>
      <c r="C1650" s="59" t="str">
        <f>IFERROR(VLOOKUP(C$13&amp;$B1654,Aux!$B:$M,5,0),"")</f>
        <v/>
      </c>
      <c r="D1650" s="60" t="str">
        <f>IFERROR(VLOOKUP(C$13&amp;$B1650,Aux!$B:$M,3,0),"")</f>
        <v/>
      </c>
      <c r="E1650" s="60"/>
      <c r="F1650" s="60"/>
      <c r="G1650" s="61" t="str">
        <f>IFERROR(VLOOKUP(C$13&amp;$B1650,Aux!$B:$M,9,0),"")</f>
        <v/>
      </c>
      <c r="K1650" s="59" t="str">
        <f>IFERROR(VLOOKUP(K$13&amp;$B1654,Aux!$B:$M,5,0),"")</f>
        <v/>
      </c>
      <c r="L1650" s="60" t="str">
        <f>IFERROR(VLOOKUP(K$13&amp;$B1650,Aux!$B:$M,3,0),"")</f>
        <v/>
      </c>
      <c r="M1650" s="60"/>
      <c r="N1650" s="60"/>
      <c r="O1650" s="61" t="str">
        <f>IFERROR(VLOOKUP(K$13&amp;$B1650,Aux!$B:$M,9,0),"")</f>
        <v/>
      </c>
      <c r="S1650" s="59" t="str">
        <f>IFERROR(VLOOKUP(S$13&amp;$B1654,Aux!$B:$M,5,0),"")</f>
        <v/>
      </c>
      <c r="T1650" s="60" t="str">
        <f>IFERROR(VLOOKUP(S$13&amp;$B1650,Aux!$B:$M,3,0),"")</f>
        <v/>
      </c>
      <c r="U1650" s="60"/>
      <c r="V1650" s="60"/>
      <c r="W1650" s="61" t="str">
        <f>IFERROR(VLOOKUP(S$13&amp;$B1650,Aux!$B:$M,9,0),"")</f>
        <v/>
      </c>
      <c r="AA1650" s="59" t="str">
        <f>IFERROR(VLOOKUP(AA$13&amp;$B1654,Aux!$B:$M,5,0),"")</f>
        <v/>
      </c>
      <c r="AB1650" s="60" t="str">
        <f>IFERROR(VLOOKUP(AA$13&amp;$B1650,Aux!$B:$M,3,0),"")</f>
        <v/>
      </c>
      <c r="AC1650" s="60"/>
      <c r="AD1650" s="60"/>
      <c r="AE1650" s="61" t="str">
        <f>IFERROR(VLOOKUP(AA$13&amp;$B1650,Aux!$B:$M,9,0),"")</f>
        <v/>
      </c>
    </row>
    <row r="1651" spans="2:31" x14ac:dyDescent="0.25">
      <c r="B1651" s="53">
        <f t="shared" si="25"/>
        <v>328</v>
      </c>
      <c r="C1651" s="59"/>
      <c r="D1651" s="60"/>
      <c r="E1651" s="60"/>
      <c r="F1651" s="60"/>
      <c r="G1651" s="61"/>
      <c r="K1651" s="59"/>
      <c r="L1651" s="60"/>
      <c r="M1651" s="60"/>
      <c r="N1651" s="60"/>
      <c r="O1651" s="61"/>
      <c r="S1651" s="59"/>
      <c r="T1651" s="60"/>
      <c r="U1651" s="60"/>
      <c r="V1651" s="60"/>
      <c r="W1651" s="61"/>
      <c r="AA1651" s="59"/>
      <c r="AB1651" s="60"/>
      <c r="AC1651" s="60"/>
      <c r="AD1651" s="60"/>
      <c r="AE1651" s="61"/>
    </row>
    <row r="1652" spans="2:31" x14ac:dyDescent="0.25">
      <c r="B1652" s="53">
        <f t="shared" si="25"/>
        <v>328</v>
      </c>
      <c r="C1652" s="59"/>
      <c r="D1652" s="15" t="str">
        <f>IF(D1650="","","Исполнитель"&amp;": ")</f>
        <v/>
      </c>
      <c r="E1652" s="62" t="str">
        <f>IFERROR(VLOOKUP(C$13&amp;$B1652,Aux!$B:$M,4,0),"")</f>
        <v/>
      </c>
      <c r="F1652" s="62"/>
      <c r="G1652" s="63" t="str">
        <f>IFERROR(IF(VLOOKUP(C$13&amp;$B1650,Aux!$B:$M,8,0)="Да","✔","🕓"),"")</f>
        <v/>
      </c>
      <c r="K1652" s="59"/>
      <c r="L1652" s="15" t="str">
        <f>IF(L1650="","","Исполнитель"&amp;": ")</f>
        <v/>
      </c>
      <c r="M1652" s="62" t="str">
        <f>IFERROR(VLOOKUP(K$13&amp;$B1652,Aux!$B:$M,4,0),"")</f>
        <v/>
      </c>
      <c r="N1652" s="62"/>
      <c r="O1652" s="63" t="str">
        <f>IFERROR(IF(VLOOKUP(K$13&amp;$B1650,Aux!$B:$M,8,0)="Да","✔","🕓"),"")</f>
        <v/>
      </c>
      <c r="S1652" s="59"/>
      <c r="T1652" s="15" t="str">
        <f>IF(T1650="","","Исполнитель"&amp;": ")</f>
        <v/>
      </c>
      <c r="U1652" s="62" t="str">
        <f>IFERROR(VLOOKUP(S$13&amp;$B1652,Aux!$B:$M,4,0),"")</f>
        <v/>
      </c>
      <c r="V1652" s="62"/>
      <c r="W1652" s="63" t="str">
        <f>IFERROR(IF(VLOOKUP(S$13&amp;$B1650,Aux!$B:$M,8,0)="Да","✔","🕓"),"")</f>
        <v/>
      </c>
      <c r="AA1652" s="59"/>
      <c r="AB1652" s="15" t="str">
        <f>IF(AB1650="","","Исполнитель"&amp;": ")</f>
        <v/>
      </c>
      <c r="AC1652" s="62" t="str">
        <f>IFERROR(VLOOKUP(AA$13&amp;$B1652,Aux!$B:$M,4,0),"")</f>
        <v/>
      </c>
      <c r="AD1652" s="62"/>
      <c r="AE1652" s="63" t="str">
        <f>IFERROR(IF(VLOOKUP(AA$13&amp;$B1650,Aux!$B:$M,8,0)="Да","✔","🕓"),"")</f>
        <v/>
      </c>
    </row>
    <row r="1653" spans="2:31" x14ac:dyDescent="0.25">
      <c r="B1653" s="53">
        <f t="shared" si="25"/>
        <v>328</v>
      </c>
      <c r="C1653" s="59"/>
      <c r="D1653" s="16" t="str">
        <f>IF(D1650="","","Срок сдачи"&amp;": ")</f>
        <v/>
      </c>
      <c r="E1653" s="64" t="str">
        <f>IFERROR(VLOOKUP(C$13&amp;$B1653,Aux!$B:$M,6,0),"")</f>
        <v/>
      </c>
      <c r="F1653" s="64"/>
      <c r="G1653" s="63"/>
      <c r="K1653" s="59"/>
      <c r="L1653" s="16" t="str">
        <f>IF(L1650="","","Срок сдачи"&amp;": ")</f>
        <v/>
      </c>
      <c r="M1653" s="64" t="str">
        <f>IFERROR(VLOOKUP(K$13&amp;$B1653,Aux!$B:$M,6,0),"")</f>
        <v/>
      </c>
      <c r="N1653" s="64"/>
      <c r="O1653" s="63"/>
      <c r="S1653" s="59"/>
      <c r="T1653" s="16" t="str">
        <f>IF(T1650="","","Срок сдачи"&amp;": ")</f>
        <v/>
      </c>
      <c r="U1653" s="64" t="str">
        <f>IFERROR(VLOOKUP(S$13&amp;$B1653,Aux!$B:$M,6,0),"")</f>
        <v/>
      </c>
      <c r="V1653" s="64"/>
      <c r="W1653" s="63"/>
      <c r="AA1653" s="59"/>
      <c r="AB1653" s="16" t="str">
        <f>IF(AB1650="","","Срок сдачи"&amp;": ")</f>
        <v/>
      </c>
      <c r="AC1653" s="64" t="str">
        <f>IFERROR(VLOOKUP(AA$13&amp;$B1653,Aux!$B:$M,6,0),"")</f>
        <v/>
      </c>
      <c r="AD1653" s="64"/>
      <c r="AE1653" s="63"/>
    </row>
    <row r="1654" spans="2:31" x14ac:dyDescent="0.25">
      <c r="B1654" s="53">
        <f t="shared" si="25"/>
        <v>328</v>
      </c>
      <c r="C1654" s="7"/>
      <c r="D1654" s="17"/>
      <c r="E1654" s="7"/>
      <c r="F1654" s="18"/>
      <c r="G1654" s="18"/>
      <c r="K1654" s="13"/>
      <c r="L1654" s="17"/>
      <c r="M1654" s="13"/>
      <c r="N1654" s="14"/>
      <c r="O1654" s="14"/>
      <c r="S1654" s="13"/>
      <c r="T1654" s="17"/>
      <c r="U1654" s="13"/>
      <c r="V1654" s="14"/>
      <c r="W1654" s="14"/>
      <c r="AA1654" s="13"/>
      <c r="AB1654" s="17"/>
      <c r="AC1654" s="13"/>
      <c r="AD1654" s="14"/>
      <c r="AE1654" s="30"/>
    </row>
    <row r="1655" spans="2:31" x14ac:dyDescent="0.25">
      <c r="B1655" s="53">
        <f t="shared" si="25"/>
        <v>329</v>
      </c>
      <c r="C1655" s="59" t="str">
        <f>IFERROR(VLOOKUP(C$13&amp;$B1659,Aux!$B:$M,5,0),"")</f>
        <v/>
      </c>
      <c r="D1655" s="60" t="str">
        <f>IFERROR(VLOOKUP(C$13&amp;$B1655,Aux!$B:$M,3,0),"")</f>
        <v/>
      </c>
      <c r="E1655" s="60"/>
      <c r="F1655" s="60"/>
      <c r="G1655" s="61" t="str">
        <f>IFERROR(VLOOKUP(C$13&amp;$B1655,Aux!$B:$M,9,0),"")</f>
        <v/>
      </c>
      <c r="K1655" s="59" t="str">
        <f>IFERROR(VLOOKUP(K$13&amp;$B1659,Aux!$B:$M,5,0),"")</f>
        <v/>
      </c>
      <c r="L1655" s="60" t="str">
        <f>IFERROR(VLOOKUP(K$13&amp;$B1655,Aux!$B:$M,3,0),"")</f>
        <v/>
      </c>
      <c r="M1655" s="60"/>
      <c r="N1655" s="60"/>
      <c r="O1655" s="61" t="str">
        <f>IFERROR(VLOOKUP(K$13&amp;$B1655,Aux!$B:$M,9,0),"")</f>
        <v/>
      </c>
      <c r="S1655" s="59" t="str">
        <f>IFERROR(VLOOKUP(S$13&amp;$B1659,Aux!$B:$M,5,0),"")</f>
        <v/>
      </c>
      <c r="T1655" s="60" t="str">
        <f>IFERROR(VLOOKUP(S$13&amp;$B1655,Aux!$B:$M,3,0),"")</f>
        <v/>
      </c>
      <c r="U1655" s="60"/>
      <c r="V1655" s="60"/>
      <c r="W1655" s="61" t="str">
        <f>IFERROR(VLOOKUP(S$13&amp;$B1655,Aux!$B:$M,9,0),"")</f>
        <v/>
      </c>
      <c r="AA1655" s="59" t="str">
        <f>IFERROR(VLOOKUP(AA$13&amp;$B1659,Aux!$B:$M,5,0),"")</f>
        <v/>
      </c>
      <c r="AB1655" s="60" t="str">
        <f>IFERROR(VLOOKUP(AA$13&amp;$B1655,Aux!$B:$M,3,0),"")</f>
        <v/>
      </c>
      <c r="AC1655" s="60"/>
      <c r="AD1655" s="60"/>
      <c r="AE1655" s="61" t="str">
        <f>IFERROR(VLOOKUP(AA$13&amp;$B1655,Aux!$B:$M,9,0),"")</f>
        <v/>
      </c>
    </row>
    <row r="1656" spans="2:31" x14ac:dyDescent="0.25">
      <c r="B1656" s="53">
        <f t="shared" si="25"/>
        <v>329</v>
      </c>
      <c r="C1656" s="59"/>
      <c r="D1656" s="60"/>
      <c r="E1656" s="60"/>
      <c r="F1656" s="60"/>
      <c r="G1656" s="61"/>
      <c r="K1656" s="59"/>
      <c r="L1656" s="60"/>
      <c r="M1656" s="60"/>
      <c r="N1656" s="60"/>
      <c r="O1656" s="61"/>
      <c r="S1656" s="59"/>
      <c r="T1656" s="60"/>
      <c r="U1656" s="60"/>
      <c r="V1656" s="60"/>
      <c r="W1656" s="61"/>
      <c r="AA1656" s="59"/>
      <c r="AB1656" s="60"/>
      <c r="AC1656" s="60"/>
      <c r="AD1656" s="60"/>
      <c r="AE1656" s="61"/>
    </row>
    <row r="1657" spans="2:31" x14ac:dyDescent="0.25">
      <c r="B1657" s="53">
        <f t="shared" si="25"/>
        <v>329</v>
      </c>
      <c r="C1657" s="59"/>
      <c r="D1657" s="15" t="str">
        <f>IF(D1655="","","Исполнитель"&amp;": ")</f>
        <v/>
      </c>
      <c r="E1657" s="62" t="str">
        <f>IFERROR(VLOOKUP(C$13&amp;$B1657,Aux!$B:$M,4,0),"")</f>
        <v/>
      </c>
      <c r="F1657" s="62"/>
      <c r="G1657" s="63" t="str">
        <f>IFERROR(IF(VLOOKUP(C$13&amp;$B1655,Aux!$B:$M,8,0)="Да","✔","🕓"),"")</f>
        <v/>
      </c>
      <c r="K1657" s="59"/>
      <c r="L1657" s="15" t="str">
        <f>IF(L1655="","","Исполнитель"&amp;": ")</f>
        <v/>
      </c>
      <c r="M1657" s="62" t="str">
        <f>IFERROR(VLOOKUP(K$13&amp;$B1657,Aux!$B:$M,4,0),"")</f>
        <v/>
      </c>
      <c r="N1657" s="62"/>
      <c r="O1657" s="63" t="str">
        <f>IFERROR(IF(VLOOKUP(K$13&amp;$B1655,Aux!$B:$M,8,0)="Да","✔","🕓"),"")</f>
        <v/>
      </c>
      <c r="S1657" s="59"/>
      <c r="T1657" s="15" t="str">
        <f>IF(T1655="","","Исполнитель"&amp;": ")</f>
        <v/>
      </c>
      <c r="U1657" s="62" t="str">
        <f>IFERROR(VLOOKUP(S$13&amp;$B1657,Aux!$B:$M,4,0),"")</f>
        <v/>
      </c>
      <c r="V1657" s="62"/>
      <c r="W1657" s="63" t="str">
        <f>IFERROR(IF(VLOOKUP(S$13&amp;$B1655,Aux!$B:$M,8,0)="Да","✔","🕓"),"")</f>
        <v/>
      </c>
      <c r="AA1657" s="59"/>
      <c r="AB1657" s="15" t="str">
        <f>IF(AB1655="","","Исполнитель"&amp;": ")</f>
        <v/>
      </c>
      <c r="AC1657" s="62" t="str">
        <f>IFERROR(VLOOKUP(AA$13&amp;$B1657,Aux!$B:$M,4,0),"")</f>
        <v/>
      </c>
      <c r="AD1657" s="62"/>
      <c r="AE1657" s="63" t="str">
        <f>IFERROR(IF(VLOOKUP(AA$13&amp;$B1655,Aux!$B:$M,8,0)="Да","✔","🕓"),"")</f>
        <v/>
      </c>
    </row>
    <row r="1658" spans="2:31" x14ac:dyDescent="0.25">
      <c r="B1658" s="53">
        <f t="shared" si="25"/>
        <v>329</v>
      </c>
      <c r="C1658" s="59"/>
      <c r="D1658" s="16" t="str">
        <f>IF(D1655="","","Срок сдачи"&amp;": ")</f>
        <v/>
      </c>
      <c r="E1658" s="64" t="str">
        <f>IFERROR(VLOOKUP(C$13&amp;$B1658,Aux!$B:$M,6,0),"")</f>
        <v/>
      </c>
      <c r="F1658" s="64"/>
      <c r="G1658" s="63"/>
      <c r="K1658" s="59"/>
      <c r="L1658" s="16" t="str">
        <f>IF(L1655="","","Срок сдачи"&amp;": ")</f>
        <v/>
      </c>
      <c r="M1658" s="64" t="str">
        <f>IFERROR(VLOOKUP(K$13&amp;$B1658,Aux!$B:$M,6,0),"")</f>
        <v/>
      </c>
      <c r="N1658" s="64"/>
      <c r="O1658" s="63"/>
      <c r="S1658" s="59"/>
      <c r="T1658" s="16" t="str">
        <f>IF(T1655="","","Срок сдачи"&amp;": ")</f>
        <v/>
      </c>
      <c r="U1658" s="64" t="str">
        <f>IFERROR(VLOOKUP(S$13&amp;$B1658,Aux!$B:$M,6,0),"")</f>
        <v/>
      </c>
      <c r="V1658" s="64"/>
      <c r="W1658" s="63"/>
      <c r="AA1658" s="59"/>
      <c r="AB1658" s="16" t="str">
        <f>IF(AB1655="","","Срок сдачи"&amp;": ")</f>
        <v/>
      </c>
      <c r="AC1658" s="64" t="str">
        <f>IFERROR(VLOOKUP(AA$13&amp;$B1658,Aux!$B:$M,6,0),"")</f>
        <v/>
      </c>
      <c r="AD1658" s="64"/>
      <c r="AE1658" s="63"/>
    </row>
    <row r="1659" spans="2:31" x14ac:dyDescent="0.25">
      <c r="B1659" s="53">
        <f t="shared" si="25"/>
        <v>329</v>
      </c>
      <c r="C1659" s="7"/>
      <c r="D1659" s="17"/>
      <c r="E1659" s="7"/>
      <c r="F1659" s="18"/>
      <c r="G1659" s="18"/>
      <c r="K1659" s="13"/>
      <c r="L1659" s="17"/>
      <c r="M1659" s="13"/>
      <c r="N1659" s="14"/>
      <c r="O1659" s="14"/>
      <c r="S1659" s="13"/>
      <c r="T1659" s="17"/>
      <c r="U1659" s="13"/>
      <c r="V1659" s="14"/>
      <c r="W1659" s="14"/>
      <c r="AA1659" s="13"/>
      <c r="AB1659" s="17"/>
      <c r="AC1659" s="13"/>
      <c r="AD1659" s="14"/>
      <c r="AE1659" s="30"/>
    </row>
    <row r="1660" spans="2:31" x14ac:dyDescent="0.25">
      <c r="B1660" s="53">
        <f t="shared" si="25"/>
        <v>330</v>
      </c>
      <c r="C1660" s="59" t="str">
        <f>IFERROR(VLOOKUP(C$13&amp;$B1664,Aux!$B:$M,5,0),"")</f>
        <v/>
      </c>
      <c r="D1660" s="60" t="str">
        <f>IFERROR(VLOOKUP(C$13&amp;$B1660,Aux!$B:$M,3,0),"")</f>
        <v/>
      </c>
      <c r="E1660" s="60"/>
      <c r="F1660" s="60"/>
      <c r="G1660" s="61" t="str">
        <f>IFERROR(VLOOKUP(C$13&amp;$B1660,Aux!$B:$M,9,0),"")</f>
        <v/>
      </c>
      <c r="K1660" s="59" t="str">
        <f>IFERROR(VLOOKUP(K$13&amp;$B1664,Aux!$B:$M,5,0),"")</f>
        <v/>
      </c>
      <c r="L1660" s="60" t="str">
        <f>IFERROR(VLOOKUP(K$13&amp;$B1660,Aux!$B:$M,3,0),"")</f>
        <v/>
      </c>
      <c r="M1660" s="60"/>
      <c r="N1660" s="60"/>
      <c r="O1660" s="61" t="str">
        <f>IFERROR(VLOOKUP(K$13&amp;$B1660,Aux!$B:$M,9,0),"")</f>
        <v/>
      </c>
      <c r="S1660" s="59" t="str">
        <f>IFERROR(VLOOKUP(S$13&amp;$B1664,Aux!$B:$M,5,0),"")</f>
        <v/>
      </c>
      <c r="T1660" s="60" t="str">
        <f>IFERROR(VLOOKUP(S$13&amp;$B1660,Aux!$B:$M,3,0),"")</f>
        <v/>
      </c>
      <c r="U1660" s="60"/>
      <c r="V1660" s="60"/>
      <c r="W1660" s="61" t="str">
        <f>IFERROR(VLOOKUP(S$13&amp;$B1660,Aux!$B:$M,9,0),"")</f>
        <v/>
      </c>
      <c r="AA1660" s="59" t="str">
        <f>IFERROR(VLOOKUP(AA$13&amp;$B1664,Aux!$B:$M,5,0),"")</f>
        <v/>
      </c>
      <c r="AB1660" s="60" t="str">
        <f>IFERROR(VLOOKUP(AA$13&amp;$B1660,Aux!$B:$M,3,0),"")</f>
        <v/>
      </c>
      <c r="AC1660" s="60"/>
      <c r="AD1660" s="60"/>
      <c r="AE1660" s="61" t="str">
        <f>IFERROR(VLOOKUP(AA$13&amp;$B1660,Aux!$B:$M,9,0),"")</f>
        <v/>
      </c>
    </row>
    <row r="1661" spans="2:31" x14ac:dyDescent="0.25">
      <c r="B1661" s="53">
        <f t="shared" si="25"/>
        <v>330</v>
      </c>
      <c r="C1661" s="59"/>
      <c r="D1661" s="60"/>
      <c r="E1661" s="60"/>
      <c r="F1661" s="60"/>
      <c r="G1661" s="61"/>
      <c r="K1661" s="59"/>
      <c r="L1661" s="60"/>
      <c r="M1661" s="60"/>
      <c r="N1661" s="60"/>
      <c r="O1661" s="61"/>
      <c r="S1661" s="59"/>
      <c r="T1661" s="60"/>
      <c r="U1661" s="60"/>
      <c r="V1661" s="60"/>
      <c r="W1661" s="61"/>
      <c r="AA1661" s="59"/>
      <c r="AB1661" s="60"/>
      <c r="AC1661" s="60"/>
      <c r="AD1661" s="60"/>
      <c r="AE1661" s="61"/>
    </row>
    <row r="1662" spans="2:31" x14ac:dyDescent="0.25">
      <c r="B1662" s="53">
        <f t="shared" si="25"/>
        <v>330</v>
      </c>
      <c r="C1662" s="59"/>
      <c r="D1662" s="15" t="str">
        <f>IF(D1660="","","Исполнитель"&amp;": ")</f>
        <v/>
      </c>
      <c r="E1662" s="62" t="str">
        <f>IFERROR(VLOOKUP(C$13&amp;$B1662,Aux!$B:$M,4,0),"")</f>
        <v/>
      </c>
      <c r="F1662" s="62"/>
      <c r="G1662" s="63" t="str">
        <f>IFERROR(IF(VLOOKUP(C$13&amp;$B1660,Aux!$B:$M,8,0)="Да","✔","🕓"),"")</f>
        <v/>
      </c>
      <c r="K1662" s="59"/>
      <c r="L1662" s="15" t="str">
        <f>IF(L1660="","","Исполнитель"&amp;": ")</f>
        <v/>
      </c>
      <c r="M1662" s="62" t="str">
        <f>IFERROR(VLOOKUP(K$13&amp;$B1662,Aux!$B:$M,4,0),"")</f>
        <v/>
      </c>
      <c r="N1662" s="62"/>
      <c r="O1662" s="63" t="str">
        <f>IFERROR(IF(VLOOKUP(K$13&amp;$B1660,Aux!$B:$M,8,0)="Да","✔","🕓"),"")</f>
        <v/>
      </c>
      <c r="S1662" s="59"/>
      <c r="T1662" s="15" t="str">
        <f>IF(T1660="","","Исполнитель"&amp;": ")</f>
        <v/>
      </c>
      <c r="U1662" s="62" t="str">
        <f>IFERROR(VLOOKUP(S$13&amp;$B1662,Aux!$B:$M,4,0),"")</f>
        <v/>
      </c>
      <c r="V1662" s="62"/>
      <c r="W1662" s="63" t="str">
        <f>IFERROR(IF(VLOOKUP(S$13&amp;$B1660,Aux!$B:$M,8,0)="Да","✔","🕓"),"")</f>
        <v/>
      </c>
      <c r="AA1662" s="59"/>
      <c r="AB1662" s="15" t="str">
        <f>IF(AB1660="","","Исполнитель"&amp;": ")</f>
        <v/>
      </c>
      <c r="AC1662" s="62" t="str">
        <f>IFERROR(VLOOKUP(AA$13&amp;$B1662,Aux!$B:$M,4,0),"")</f>
        <v/>
      </c>
      <c r="AD1662" s="62"/>
      <c r="AE1662" s="63" t="str">
        <f>IFERROR(IF(VLOOKUP(AA$13&amp;$B1660,Aux!$B:$M,8,0)="Да","✔","🕓"),"")</f>
        <v/>
      </c>
    </row>
    <row r="1663" spans="2:31" x14ac:dyDescent="0.25">
      <c r="B1663" s="53">
        <f t="shared" si="25"/>
        <v>330</v>
      </c>
      <c r="C1663" s="59"/>
      <c r="D1663" s="16" t="str">
        <f>IF(D1660="","","Срок сдачи"&amp;": ")</f>
        <v/>
      </c>
      <c r="E1663" s="64" t="str">
        <f>IFERROR(VLOOKUP(C$13&amp;$B1663,Aux!$B:$M,6,0),"")</f>
        <v/>
      </c>
      <c r="F1663" s="64"/>
      <c r="G1663" s="63"/>
      <c r="K1663" s="59"/>
      <c r="L1663" s="16" t="str">
        <f>IF(L1660="","","Срок сдачи"&amp;": ")</f>
        <v/>
      </c>
      <c r="M1663" s="64" t="str">
        <f>IFERROR(VLOOKUP(K$13&amp;$B1663,Aux!$B:$M,6,0),"")</f>
        <v/>
      </c>
      <c r="N1663" s="64"/>
      <c r="O1663" s="63"/>
      <c r="S1663" s="59"/>
      <c r="T1663" s="16" t="str">
        <f>IF(T1660="","","Срок сдачи"&amp;": ")</f>
        <v/>
      </c>
      <c r="U1663" s="64" t="str">
        <f>IFERROR(VLOOKUP(S$13&amp;$B1663,Aux!$B:$M,6,0),"")</f>
        <v/>
      </c>
      <c r="V1663" s="64"/>
      <c r="W1663" s="63"/>
      <c r="AA1663" s="59"/>
      <c r="AB1663" s="16" t="str">
        <f>IF(AB1660="","","Срок сдачи"&amp;": ")</f>
        <v/>
      </c>
      <c r="AC1663" s="64" t="str">
        <f>IFERROR(VLOOKUP(AA$13&amp;$B1663,Aux!$B:$M,6,0),"")</f>
        <v/>
      </c>
      <c r="AD1663" s="64"/>
      <c r="AE1663" s="63"/>
    </row>
    <row r="1664" spans="2:31" x14ac:dyDescent="0.25">
      <c r="B1664" s="53">
        <f t="shared" si="25"/>
        <v>330</v>
      </c>
      <c r="C1664" s="7"/>
      <c r="D1664" s="17"/>
      <c r="E1664" s="7"/>
      <c r="F1664" s="18"/>
      <c r="G1664" s="18"/>
      <c r="K1664" s="13"/>
      <c r="L1664" s="17"/>
      <c r="M1664" s="13"/>
      <c r="N1664" s="14"/>
      <c r="O1664" s="14"/>
      <c r="S1664" s="13"/>
      <c r="T1664" s="17"/>
      <c r="U1664" s="13"/>
      <c r="V1664" s="14"/>
      <c r="W1664" s="14"/>
      <c r="AA1664" s="13"/>
      <c r="AB1664" s="17"/>
      <c r="AC1664" s="13"/>
      <c r="AD1664" s="14"/>
      <c r="AE1664" s="30"/>
    </row>
    <row r="1665" spans="2:31" x14ac:dyDescent="0.25">
      <c r="B1665" s="53">
        <f t="shared" si="25"/>
        <v>331</v>
      </c>
      <c r="C1665" s="59" t="str">
        <f>IFERROR(VLOOKUP(C$13&amp;$B1669,Aux!$B:$M,5,0),"")</f>
        <v/>
      </c>
      <c r="D1665" s="60" t="str">
        <f>IFERROR(VLOOKUP(C$13&amp;$B1665,Aux!$B:$M,3,0),"")</f>
        <v/>
      </c>
      <c r="E1665" s="60"/>
      <c r="F1665" s="60"/>
      <c r="G1665" s="61" t="str">
        <f>IFERROR(VLOOKUP(C$13&amp;$B1665,Aux!$B:$M,9,0),"")</f>
        <v/>
      </c>
      <c r="K1665" s="59" t="str">
        <f>IFERROR(VLOOKUP(K$13&amp;$B1669,Aux!$B:$M,5,0),"")</f>
        <v/>
      </c>
      <c r="L1665" s="60" t="str">
        <f>IFERROR(VLOOKUP(K$13&amp;$B1665,Aux!$B:$M,3,0),"")</f>
        <v/>
      </c>
      <c r="M1665" s="60"/>
      <c r="N1665" s="60"/>
      <c r="O1665" s="61" t="str">
        <f>IFERROR(VLOOKUP(K$13&amp;$B1665,Aux!$B:$M,9,0),"")</f>
        <v/>
      </c>
      <c r="S1665" s="59" t="str">
        <f>IFERROR(VLOOKUP(S$13&amp;$B1669,Aux!$B:$M,5,0),"")</f>
        <v/>
      </c>
      <c r="T1665" s="60" t="str">
        <f>IFERROR(VLOOKUP(S$13&amp;$B1665,Aux!$B:$M,3,0),"")</f>
        <v/>
      </c>
      <c r="U1665" s="60"/>
      <c r="V1665" s="60"/>
      <c r="W1665" s="61" t="str">
        <f>IFERROR(VLOOKUP(S$13&amp;$B1665,Aux!$B:$M,9,0),"")</f>
        <v/>
      </c>
      <c r="AA1665" s="59" t="str">
        <f>IFERROR(VLOOKUP(AA$13&amp;$B1669,Aux!$B:$M,5,0),"")</f>
        <v/>
      </c>
      <c r="AB1665" s="60" t="str">
        <f>IFERROR(VLOOKUP(AA$13&amp;$B1665,Aux!$B:$M,3,0),"")</f>
        <v/>
      </c>
      <c r="AC1665" s="60"/>
      <c r="AD1665" s="60"/>
      <c r="AE1665" s="61" t="str">
        <f>IFERROR(VLOOKUP(AA$13&amp;$B1665,Aux!$B:$M,9,0),"")</f>
        <v/>
      </c>
    </row>
    <row r="1666" spans="2:31" x14ac:dyDescent="0.25">
      <c r="B1666" s="53">
        <f t="shared" si="25"/>
        <v>331</v>
      </c>
      <c r="C1666" s="59"/>
      <c r="D1666" s="60"/>
      <c r="E1666" s="60"/>
      <c r="F1666" s="60"/>
      <c r="G1666" s="61"/>
      <c r="K1666" s="59"/>
      <c r="L1666" s="60"/>
      <c r="M1666" s="60"/>
      <c r="N1666" s="60"/>
      <c r="O1666" s="61"/>
      <c r="S1666" s="59"/>
      <c r="T1666" s="60"/>
      <c r="U1666" s="60"/>
      <c r="V1666" s="60"/>
      <c r="W1666" s="61"/>
      <c r="AA1666" s="59"/>
      <c r="AB1666" s="60"/>
      <c r="AC1666" s="60"/>
      <c r="AD1666" s="60"/>
      <c r="AE1666" s="61"/>
    </row>
    <row r="1667" spans="2:31" x14ac:dyDescent="0.25">
      <c r="B1667" s="53">
        <f t="shared" si="25"/>
        <v>331</v>
      </c>
      <c r="C1667" s="59"/>
      <c r="D1667" s="15" t="str">
        <f>IF(D1665="","","Исполнитель"&amp;": ")</f>
        <v/>
      </c>
      <c r="E1667" s="62" t="str">
        <f>IFERROR(VLOOKUP(C$13&amp;$B1667,Aux!$B:$M,4,0),"")</f>
        <v/>
      </c>
      <c r="F1667" s="62"/>
      <c r="G1667" s="63" t="str">
        <f>IFERROR(IF(VLOOKUP(C$13&amp;$B1665,Aux!$B:$M,8,0)="Да","✔","🕓"),"")</f>
        <v/>
      </c>
      <c r="K1667" s="59"/>
      <c r="L1667" s="15" t="str">
        <f>IF(L1665="","","Исполнитель"&amp;": ")</f>
        <v/>
      </c>
      <c r="M1667" s="62" t="str">
        <f>IFERROR(VLOOKUP(K$13&amp;$B1667,Aux!$B:$M,4,0),"")</f>
        <v/>
      </c>
      <c r="N1667" s="62"/>
      <c r="O1667" s="63" t="str">
        <f>IFERROR(IF(VLOOKUP(K$13&amp;$B1665,Aux!$B:$M,8,0)="Да","✔","🕓"),"")</f>
        <v/>
      </c>
      <c r="S1667" s="59"/>
      <c r="T1667" s="15" t="str">
        <f>IF(T1665="","","Исполнитель"&amp;": ")</f>
        <v/>
      </c>
      <c r="U1667" s="62" t="str">
        <f>IFERROR(VLOOKUP(S$13&amp;$B1667,Aux!$B:$M,4,0),"")</f>
        <v/>
      </c>
      <c r="V1667" s="62"/>
      <c r="W1667" s="63" t="str">
        <f>IFERROR(IF(VLOOKUP(S$13&amp;$B1665,Aux!$B:$M,8,0)="Да","✔","🕓"),"")</f>
        <v/>
      </c>
      <c r="AA1667" s="59"/>
      <c r="AB1667" s="15" t="str">
        <f>IF(AB1665="","","Исполнитель"&amp;": ")</f>
        <v/>
      </c>
      <c r="AC1667" s="62" t="str">
        <f>IFERROR(VLOOKUP(AA$13&amp;$B1667,Aux!$B:$M,4,0),"")</f>
        <v/>
      </c>
      <c r="AD1667" s="62"/>
      <c r="AE1667" s="63" t="str">
        <f>IFERROR(IF(VLOOKUP(AA$13&amp;$B1665,Aux!$B:$M,8,0)="Да","✔","🕓"),"")</f>
        <v/>
      </c>
    </row>
    <row r="1668" spans="2:31" x14ac:dyDescent="0.25">
      <c r="B1668" s="53">
        <f t="shared" si="25"/>
        <v>331</v>
      </c>
      <c r="C1668" s="59"/>
      <c r="D1668" s="16" t="str">
        <f>IF(D1665="","","Срок сдачи"&amp;": ")</f>
        <v/>
      </c>
      <c r="E1668" s="64" t="str">
        <f>IFERROR(VLOOKUP(C$13&amp;$B1668,Aux!$B:$M,6,0),"")</f>
        <v/>
      </c>
      <c r="F1668" s="64"/>
      <c r="G1668" s="63"/>
      <c r="K1668" s="59"/>
      <c r="L1668" s="16" t="str">
        <f>IF(L1665="","","Срок сдачи"&amp;": ")</f>
        <v/>
      </c>
      <c r="M1668" s="64" t="str">
        <f>IFERROR(VLOOKUP(K$13&amp;$B1668,Aux!$B:$M,6,0),"")</f>
        <v/>
      </c>
      <c r="N1668" s="64"/>
      <c r="O1668" s="63"/>
      <c r="S1668" s="59"/>
      <c r="T1668" s="16" t="str">
        <f>IF(T1665="","","Срок сдачи"&amp;": ")</f>
        <v/>
      </c>
      <c r="U1668" s="64" t="str">
        <f>IFERROR(VLOOKUP(S$13&amp;$B1668,Aux!$B:$M,6,0),"")</f>
        <v/>
      </c>
      <c r="V1668" s="64"/>
      <c r="W1668" s="63"/>
      <c r="AA1668" s="59"/>
      <c r="AB1668" s="16" t="str">
        <f>IF(AB1665="","","Срок сдачи"&amp;": ")</f>
        <v/>
      </c>
      <c r="AC1668" s="64" t="str">
        <f>IFERROR(VLOOKUP(AA$13&amp;$B1668,Aux!$B:$M,6,0),"")</f>
        <v/>
      </c>
      <c r="AD1668" s="64"/>
      <c r="AE1668" s="63"/>
    </row>
    <row r="1669" spans="2:31" x14ac:dyDescent="0.25">
      <c r="B1669" s="53">
        <f t="shared" si="25"/>
        <v>331</v>
      </c>
      <c r="C1669" s="7"/>
      <c r="D1669" s="17"/>
      <c r="E1669" s="7"/>
      <c r="F1669" s="18"/>
      <c r="G1669" s="18"/>
      <c r="K1669" s="13"/>
      <c r="L1669" s="17"/>
      <c r="M1669" s="13"/>
      <c r="N1669" s="14"/>
      <c r="O1669" s="14"/>
      <c r="S1669" s="13"/>
      <c r="T1669" s="17"/>
      <c r="U1669" s="13"/>
      <c r="V1669" s="14"/>
      <c r="W1669" s="14"/>
      <c r="AA1669" s="13"/>
      <c r="AB1669" s="17"/>
      <c r="AC1669" s="13"/>
      <c r="AD1669" s="14"/>
      <c r="AE1669" s="30"/>
    </row>
    <row r="1670" spans="2:31" x14ac:dyDescent="0.25">
      <c r="B1670" s="53">
        <f t="shared" si="25"/>
        <v>332</v>
      </c>
      <c r="C1670" s="59" t="str">
        <f>IFERROR(VLOOKUP(C$13&amp;$B1674,Aux!$B:$M,5,0),"")</f>
        <v/>
      </c>
      <c r="D1670" s="60" t="str">
        <f>IFERROR(VLOOKUP(C$13&amp;$B1670,Aux!$B:$M,3,0),"")</f>
        <v/>
      </c>
      <c r="E1670" s="60"/>
      <c r="F1670" s="60"/>
      <c r="G1670" s="61" t="str">
        <f>IFERROR(VLOOKUP(C$13&amp;$B1670,Aux!$B:$M,9,0),"")</f>
        <v/>
      </c>
      <c r="K1670" s="59" t="str">
        <f>IFERROR(VLOOKUP(K$13&amp;$B1674,Aux!$B:$M,5,0),"")</f>
        <v/>
      </c>
      <c r="L1670" s="60" t="str">
        <f>IFERROR(VLOOKUP(K$13&amp;$B1670,Aux!$B:$M,3,0),"")</f>
        <v/>
      </c>
      <c r="M1670" s="60"/>
      <c r="N1670" s="60"/>
      <c r="O1670" s="61" t="str">
        <f>IFERROR(VLOOKUP(K$13&amp;$B1670,Aux!$B:$M,9,0),"")</f>
        <v/>
      </c>
      <c r="S1670" s="59" t="str">
        <f>IFERROR(VLOOKUP(S$13&amp;$B1674,Aux!$B:$M,5,0),"")</f>
        <v/>
      </c>
      <c r="T1670" s="60" t="str">
        <f>IFERROR(VLOOKUP(S$13&amp;$B1670,Aux!$B:$M,3,0),"")</f>
        <v/>
      </c>
      <c r="U1670" s="60"/>
      <c r="V1670" s="60"/>
      <c r="W1670" s="61" t="str">
        <f>IFERROR(VLOOKUP(S$13&amp;$B1670,Aux!$B:$M,9,0),"")</f>
        <v/>
      </c>
      <c r="AA1670" s="59" t="str">
        <f>IFERROR(VLOOKUP(AA$13&amp;$B1674,Aux!$B:$M,5,0),"")</f>
        <v/>
      </c>
      <c r="AB1670" s="60" t="str">
        <f>IFERROR(VLOOKUP(AA$13&amp;$B1670,Aux!$B:$M,3,0),"")</f>
        <v/>
      </c>
      <c r="AC1670" s="60"/>
      <c r="AD1670" s="60"/>
      <c r="AE1670" s="61" t="str">
        <f>IFERROR(VLOOKUP(AA$13&amp;$B1670,Aux!$B:$M,9,0),"")</f>
        <v/>
      </c>
    </row>
    <row r="1671" spans="2:31" x14ac:dyDescent="0.25">
      <c r="B1671" s="53">
        <f t="shared" si="25"/>
        <v>332</v>
      </c>
      <c r="C1671" s="59"/>
      <c r="D1671" s="60"/>
      <c r="E1671" s="60"/>
      <c r="F1671" s="60"/>
      <c r="G1671" s="61"/>
      <c r="K1671" s="59"/>
      <c r="L1671" s="60"/>
      <c r="M1671" s="60"/>
      <c r="N1671" s="60"/>
      <c r="O1671" s="61"/>
      <c r="S1671" s="59"/>
      <c r="T1671" s="60"/>
      <c r="U1671" s="60"/>
      <c r="V1671" s="60"/>
      <c r="W1671" s="61"/>
      <c r="AA1671" s="59"/>
      <c r="AB1671" s="60"/>
      <c r="AC1671" s="60"/>
      <c r="AD1671" s="60"/>
      <c r="AE1671" s="61"/>
    </row>
    <row r="1672" spans="2:31" x14ac:dyDescent="0.25">
      <c r="B1672" s="53">
        <f t="shared" si="25"/>
        <v>332</v>
      </c>
      <c r="C1672" s="59"/>
      <c r="D1672" s="15" t="str">
        <f>IF(D1670="","","Исполнитель"&amp;": ")</f>
        <v/>
      </c>
      <c r="E1672" s="62" t="str">
        <f>IFERROR(VLOOKUP(C$13&amp;$B1672,Aux!$B:$M,4,0),"")</f>
        <v/>
      </c>
      <c r="F1672" s="62"/>
      <c r="G1672" s="63" t="str">
        <f>IFERROR(IF(VLOOKUP(C$13&amp;$B1670,Aux!$B:$M,8,0)="Да","✔","🕓"),"")</f>
        <v/>
      </c>
      <c r="K1672" s="59"/>
      <c r="L1672" s="15" t="str">
        <f>IF(L1670="","","Исполнитель"&amp;": ")</f>
        <v/>
      </c>
      <c r="M1672" s="62" t="str">
        <f>IFERROR(VLOOKUP(K$13&amp;$B1672,Aux!$B:$M,4,0),"")</f>
        <v/>
      </c>
      <c r="N1672" s="62"/>
      <c r="O1672" s="63" t="str">
        <f>IFERROR(IF(VLOOKUP(K$13&amp;$B1670,Aux!$B:$M,8,0)="Да","✔","🕓"),"")</f>
        <v/>
      </c>
      <c r="S1672" s="59"/>
      <c r="T1672" s="15" t="str">
        <f>IF(T1670="","","Исполнитель"&amp;": ")</f>
        <v/>
      </c>
      <c r="U1672" s="62" t="str">
        <f>IFERROR(VLOOKUP(S$13&amp;$B1672,Aux!$B:$M,4,0),"")</f>
        <v/>
      </c>
      <c r="V1672" s="62"/>
      <c r="W1672" s="63" t="str">
        <f>IFERROR(IF(VLOOKUP(S$13&amp;$B1670,Aux!$B:$M,8,0)="Да","✔","🕓"),"")</f>
        <v/>
      </c>
      <c r="AA1672" s="59"/>
      <c r="AB1672" s="15" t="str">
        <f>IF(AB1670="","","Исполнитель"&amp;": ")</f>
        <v/>
      </c>
      <c r="AC1672" s="62" t="str">
        <f>IFERROR(VLOOKUP(AA$13&amp;$B1672,Aux!$B:$M,4,0),"")</f>
        <v/>
      </c>
      <c r="AD1672" s="62"/>
      <c r="AE1672" s="63" t="str">
        <f>IFERROR(IF(VLOOKUP(AA$13&amp;$B1670,Aux!$B:$M,8,0)="Да","✔","🕓"),"")</f>
        <v/>
      </c>
    </row>
    <row r="1673" spans="2:31" x14ac:dyDescent="0.25">
      <c r="B1673" s="53">
        <f t="shared" si="25"/>
        <v>332</v>
      </c>
      <c r="C1673" s="59"/>
      <c r="D1673" s="16" t="str">
        <f>IF(D1670="","","Срок сдачи"&amp;": ")</f>
        <v/>
      </c>
      <c r="E1673" s="64" t="str">
        <f>IFERROR(VLOOKUP(C$13&amp;$B1673,Aux!$B:$M,6,0),"")</f>
        <v/>
      </c>
      <c r="F1673" s="64"/>
      <c r="G1673" s="63"/>
      <c r="K1673" s="59"/>
      <c r="L1673" s="16" t="str">
        <f>IF(L1670="","","Срок сдачи"&amp;": ")</f>
        <v/>
      </c>
      <c r="M1673" s="64" t="str">
        <f>IFERROR(VLOOKUP(K$13&amp;$B1673,Aux!$B:$M,6,0),"")</f>
        <v/>
      </c>
      <c r="N1673" s="64"/>
      <c r="O1673" s="63"/>
      <c r="S1673" s="59"/>
      <c r="T1673" s="16" t="str">
        <f>IF(T1670="","","Срок сдачи"&amp;": ")</f>
        <v/>
      </c>
      <c r="U1673" s="64" t="str">
        <f>IFERROR(VLOOKUP(S$13&amp;$B1673,Aux!$B:$M,6,0),"")</f>
        <v/>
      </c>
      <c r="V1673" s="64"/>
      <c r="W1673" s="63"/>
      <c r="AA1673" s="59"/>
      <c r="AB1673" s="16" t="str">
        <f>IF(AB1670="","","Срок сдачи"&amp;": ")</f>
        <v/>
      </c>
      <c r="AC1673" s="64" t="str">
        <f>IFERROR(VLOOKUP(AA$13&amp;$B1673,Aux!$B:$M,6,0),"")</f>
        <v/>
      </c>
      <c r="AD1673" s="64"/>
      <c r="AE1673" s="63"/>
    </row>
    <row r="1674" spans="2:31" x14ac:dyDescent="0.25">
      <c r="B1674" s="53">
        <f t="shared" si="25"/>
        <v>332</v>
      </c>
      <c r="C1674" s="7"/>
      <c r="D1674" s="17"/>
      <c r="E1674" s="7"/>
      <c r="F1674" s="18"/>
      <c r="G1674" s="18"/>
      <c r="K1674" s="13"/>
      <c r="L1674" s="17"/>
      <c r="M1674" s="13"/>
      <c r="N1674" s="14"/>
      <c r="O1674" s="14"/>
      <c r="S1674" s="13"/>
      <c r="T1674" s="17"/>
      <c r="U1674" s="13"/>
      <c r="V1674" s="14"/>
      <c r="W1674" s="14"/>
      <c r="AA1674" s="13"/>
      <c r="AB1674" s="17"/>
      <c r="AC1674" s="13"/>
      <c r="AD1674" s="14"/>
      <c r="AE1674" s="30"/>
    </row>
    <row r="1675" spans="2:31" x14ac:dyDescent="0.25">
      <c r="B1675" s="53">
        <f t="shared" si="25"/>
        <v>333</v>
      </c>
      <c r="C1675" s="59" t="str">
        <f>IFERROR(VLOOKUP(C$13&amp;$B1679,Aux!$B:$M,5,0),"")</f>
        <v/>
      </c>
      <c r="D1675" s="60" t="str">
        <f>IFERROR(VLOOKUP(C$13&amp;$B1675,Aux!$B:$M,3,0),"")</f>
        <v/>
      </c>
      <c r="E1675" s="60"/>
      <c r="F1675" s="60"/>
      <c r="G1675" s="61" t="str">
        <f>IFERROR(VLOOKUP(C$13&amp;$B1675,Aux!$B:$M,9,0),"")</f>
        <v/>
      </c>
      <c r="K1675" s="59" t="str">
        <f>IFERROR(VLOOKUP(K$13&amp;$B1679,Aux!$B:$M,5,0),"")</f>
        <v/>
      </c>
      <c r="L1675" s="60" t="str">
        <f>IFERROR(VLOOKUP(K$13&amp;$B1675,Aux!$B:$M,3,0),"")</f>
        <v/>
      </c>
      <c r="M1675" s="60"/>
      <c r="N1675" s="60"/>
      <c r="O1675" s="61" t="str">
        <f>IFERROR(VLOOKUP(K$13&amp;$B1675,Aux!$B:$M,9,0),"")</f>
        <v/>
      </c>
      <c r="S1675" s="59" t="str">
        <f>IFERROR(VLOOKUP(S$13&amp;$B1679,Aux!$B:$M,5,0),"")</f>
        <v/>
      </c>
      <c r="T1675" s="60" t="str">
        <f>IFERROR(VLOOKUP(S$13&amp;$B1675,Aux!$B:$M,3,0),"")</f>
        <v/>
      </c>
      <c r="U1675" s="60"/>
      <c r="V1675" s="60"/>
      <c r="W1675" s="61" t="str">
        <f>IFERROR(VLOOKUP(S$13&amp;$B1675,Aux!$B:$M,9,0),"")</f>
        <v/>
      </c>
      <c r="AA1675" s="59" t="str">
        <f>IFERROR(VLOOKUP(AA$13&amp;$B1679,Aux!$B:$M,5,0),"")</f>
        <v/>
      </c>
      <c r="AB1675" s="60" t="str">
        <f>IFERROR(VLOOKUP(AA$13&amp;$B1675,Aux!$B:$M,3,0),"")</f>
        <v/>
      </c>
      <c r="AC1675" s="60"/>
      <c r="AD1675" s="60"/>
      <c r="AE1675" s="61" t="str">
        <f>IFERROR(VLOOKUP(AA$13&amp;$B1675,Aux!$B:$M,9,0),"")</f>
        <v/>
      </c>
    </row>
    <row r="1676" spans="2:31" x14ac:dyDescent="0.25">
      <c r="B1676" s="53">
        <f t="shared" si="25"/>
        <v>333</v>
      </c>
      <c r="C1676" s="59"/>
      <c r="D1676" s="60"/>
      <c r="E1676" s="60"/>
      <c r="F1676" s="60"/>
      <c r="G1676" s="61"/>
      <c r="K1676" s="59"/>
      <c r="L1676" s="60"/>
      <c r="M1676" s="60"/>
      <c r="N1676" s="60"/>
      <c r="O1676" s="61"/>
      <c r="S1676" s="59"/>
      <c r="T1676" s="60"/>
      <c r="U1676" s="60"/>
      <c r="V1676" s="60"/>
      <c r="W1676" s="61"/>
      <c r="AA1676" s="59"/>
      <c r="AB1676" s="60"/>
      <c r="AC1676" s="60"/>
      <c r="AD1676" s="60"/>
      <c r="AE1676" s="61"/>
    </row>
    <row r="1677" spans="2:31" x14ac:dyDescent="0.25">
      <c r="B1677" s="53">
        <f t="shared" si="25"/>
        <v>333</v>
      </c>
      <c r="C1677" s="59"/>
      <c r="D1677" s="15" t="str">
        <f>IF(D1675="","","Исполнитель"&amp;": ")</f>
        <v/>
      </c>
      <c r="E1677" s="62" t="str">
        <f>IFERROR(VLOOKUP(C$13&amp;$B1677,Aux!$B:$M,4,0),"")</f>
        <v/>
      </c>
      <c r="F1677" s="62"/>
      <c r="G1677" s="63" t="str">
        <f>IFERROR(IF(VLOOKUP(C$13&amp;$B1675,Aux!$B:$M,8,0)="Да","✔","🕓"),"")</f>
        <v/>
      </c>
      <c r="K1677" s="59"/>
      <c r="L1677" s="15" t="str">
        <f>IF(L1675="","","Исполнитель"&amp;": ")</f>
        <v/>
      </c>
      <c r="M1677" s="62" t="str">
        <f>IFERROR(VLOOKUP(K$13&amp;$B1677,Aux!$B:$M,4,0),"")</f>
        <v/>
      </c>
      <c r="N1677" s="62"/>
      <c r="O1677" s="63" t="str">
        <f>IFERROR(IF(VLOOKUP(K$13&amp;$B1675,Aux!$B:$M,8,0)="Да","✔","🕓"),"")</f>
        <v/>
      </c>
      <c r="S1677" s="59"/>
      <c r="T1677" s="15" t="str">
        <f>IF(T1675="","","Исполнитель"&amp;": ")</f>
        <v/>
      </c>
      <c r="U1677" s="62" t="str">
        <f>IFERROR(VLOOKUP(S$13&amp;$B1677,Aux!$B:$M,4,0),"")</f>
        <v/>
      </c>
      <c r="V1677" s="62"/>
      <c r="W1677" s="63" t="str">
        <f>IFERROR(IF(VLOOKUP(S$13&amp;$B1675,Aux!$B:$M,8,0)="Да","✔","🕓"),"")</f>
        <v/>
      </c>
      <c r="AA1677" s="59"/>
      <c r="AB1677" s="15" t="str">
        <f>IF(AB1675="","","Исполнитель"&amp;": ")</f>
        <v/>
      </c>
      <c r="AC1677" s="62" t="str">
        <f>IFERROR(VLOOKUP(AA$13&amp;$B1677,Aux!$B:$M,4,0),"")</f>
        <v/>
      </c>
      <c r="AD1677" s="62"/>
      <c r="AE1677" s="63" t="str">
        <f>IFERROR(IF(VLOOKUP(AA$13&amp;$B1675,Aux!$B:$M,8,0)="Да","✔","🕓"),"")</f>
        <v/>
      </c>
    </row>
    <row r="1678" spans="2:31" x14ac:dyDescent="0.25">
      <c r="B1678" s="53">
        <f t="shared" si="25"/>
        <v>333</v>
      </c>
      <c r="C1678" s="59"/>
      <c r="D1678" s="16" t="str">
        <f>IF(D1675="","","Срок сдачи"&amp;": ")</f>
        <v/>
      </c>
      <c r="E1678" s="64" t="str">
        <f>IFERROR(VLOOKUP(C$13&amp;$B1678,Aux!$B:$M,6,0),"")</f>
        <v/>
      </c>
      <c r="F1678" s="64"/>
      <c r="G1678" s="63"/>
      <c r="K1678" s="59"/>
      <c r="L1678" s="16" t="str">
        <f>IF(L1675="","","Срок сдачи"&amp;": ")</f>
        <v/>
      </c>
      <c r="M1678" s="64" t="str">
        <f>IFERROR(VLOOKUP(K$13&amp;$B1678,Aux!$B:$M,6,0),"")</f>
        <v/>
      </c>
      <c r="N1678" s="64"/>
      <c r="O1678" s="63"/>
      <c r="S1678" s="59"/>
      <c r="T1678" s="16" t="str">
        <f>IF(T1675="","","Срок сдачи"&amp;": ")</f>
        <v/>
      </c>
      <c r="U1678" s="64" t="str">
        <f>IFERROR(VLOOKUP(S$13&amp;$B1678,Aux!$B:$M,6,0),"")</f>
        <v/>
      </c>
      <c r="V1678" s="64"/>
      <c r="W1678" s="63"/>
      <c r="AA1678" s="59"/>
      <c r="AB1678" s="16" t="str">
        <f>IF(AB1675="","","Срок сдачи"&amp;": ")</f>
        <v/>
      </c>
      <c r="AC1678" s="64" t="str">
        <f>IFERROR(VLOOKUP(AA$13&amp;$B1678,Aux!$B:$M,6,0),"")</f>
        <v/>
      </c>
      <c r="AD1678" s="64"/>
      <c r="AE1678" s="63"/>
    </row>
    <row r="1679" spans="2:31" x14ac:dyDescent="0.25">
      <c r="B1679" s="53">
        <f t="shared" si="25"/>
        <v>333</v>
      </c>
      <c r="C1679" s="7"/>
      <c r="D1679" s="17"/>
      <c r="E1679" s="7"/>
      <c r="F1679" s="18"/>
      <c r="G1679" s="18"/>
      <c r="K1679" s="13"/>
      <c r="L1679" s="17"/>
      <c r="M1679" s="13"/>
      <c r="N1679" s="14"/>
      <c r="O1679" s="14"/>
      <c r="S1679" s="13"/>
      <c r="T1679" s="17"/>
      <c r="U1679" s="13"/>
      <c r="V1679" s="14"/>
      <c r="W1679" s="14"/>
      <c r="AA1679" s="13"/>
      <c r="AB1679" s="17"/>
      <c r="AC1679" s="13"/>
      <c r="AD1679" s="14"/>
      <c r="AE1679" s="30"/>
    </row>
    <row r="1680" spans="2:31" x14ac:dyDescent="0.25">
      <c r="B1680" s="53">
        <f t="shared" si="25"/>
        <v>334</v>
      </c>
      <c r="C1680" s="59" t="str">
        <f>IFERROR(VLOOKUP(C$13&amp;$B1684,Aux!$B:$M,5,0),"")</f>
        <v/>
      </c>
      <c r="D1680" s="60" t="str">
        <f>IFERROR(VLOOKUP(C$13&amp;$B1680,Aux!$B:$M,3,0),"")</f>
        <v/>
      </c>
      <c r="E1680" s="60"/>
      <c r="F1680" s="60"/>
      <c r="G1680" s="61" t="str">
        <f>IFERROR(VLOOKUP(C$13&amp;$B1680,Aux!$B:$M,9,0),"")</f>
        <v/>
      </c>
      <c r="K1680" s="59" t="str">
        <f>IFERROR(VLOOKUP(K$13&amp;$B1684,Aux!$B:$M,5,0),"")</f>
        <v/>
      </c>
      <c r="L1680" s="60" t="str">
        <f>IFERROR(VLOOKUP(K$13&amp;$B1680,Aux!$B:$M,3,0),"")</f>
        <v/>
      </c>
      <c r="M1680" s="60"/>
      <c r="N1680" s="60"/>
      <c r="O1680" s="61" t="str">
        <f>IFERROR(VLOOKUP(K$13&amp;$B1680,Aux!$B:$M,9,0),"")</f>
        <v/>
      </c>
      <c r="S1680" s="59" t="str">
        <f>IFERROR(VLOOKUP(S$13&amp;$B1684,Aux!$B:$M,5,0),"")</f>
        <v/>
      </c>
      <c r="T1680" s="60" t="str">
        <f>IFERROR(VLOOKUP(S$13&amp;$B1680,Aux!$B:$M,3,0),"")</f>
        <v/>
      </c>
      <c r="U1680" s="60"/>
      <c r="V1680" s="60"/>
      <c r="W1680" s="61" t="str">
        <f>IFERROR(VLOOKUP(S$13&amp;$B1680,Aux!$B:$M,9,0),"")</f>
        <v/>
      </c>
      <c r="AA1680" s="59" t="str">
        <f>IFERROR(VLOOKUP(AA$13&amp;$B1684,Aux!$B:$M,5,0),"")</f>
        <v/>
      </c>
      <c r="AB1680" s="60" t="str">
        <f>IFERROR(VLOOKUP(AA$13&amp;$B1680,Aux!$B:$M,3,0),"")</f>
        <v/>
      </c>
      <c r="AC1680" s="60"/>
      <c r="AD1680" s="60"/>
      <c r="AE1680" s="61" t="str">
        <f>IFERROR(VLOOKUP(AA$13&amp;$B1680,Aux!$B:$M,9,0),"")</f>
        <v/>
      </c>
    </row>
    <row r="1681" spans="2:31" x14ac:dyDescent="0.25">
      <c r="B1681" s="53">
        <f t="shared" si="25"/>
        <v>334</v>
      </c>
      <c r="C1681" s="59"/>
      <c r="D1681" s="60"/>
      <c r="E1681" s="60"/>
      <c r="F1681" s="60"/>
      <c r="G1681" s="61"/>
      <c r="K1681" s="59"/>
      <c r="L1681" s="60"/>
      <c r="M1681" s="60"/>
      <c r="N1681" s="60"/>
      <c r="O1681" s="61"/>
      <c r="S1681" s="59"/>
      <c r="T1681" s="60"/>
      <c r="U1681" s="60"/>
      <c r="V1681" s="60"/>
      <c r="W1681" s="61"/>
      <c r="AA1681" s="59"/>
      <c r="AB1681" s="60"/>
      <c r="AC1681" s="60"/>
      <c r="AD1681" s="60"/>
      <c r="AE1681" s="61"/>
    </row>
    <row r="1682" spans="2:31" x14ac:dyDescent="0.25">
      <c r="B1682" s="53">
        <f t="shared" si="25"/>
        <v>334</v>
      </c>
      <c r="C1682" s="59"/>
      <c r="D1682" s="15" t="str">
        <f>IF(D1680="","","Исполнитель"&amp;": ")</f>
        <v/>
      </c>
      <c r="E1682" s="62" t="str">
        <f>IFERROR(VLOOKUP(C$13&amp;$B1682,Aux!$B:$M,4,0),"")</f>
        <v/>
      </c>
      <c r="F1682" s="62"/>
      <c r="G1682" s="63" t="str">
        <f>IFERROR(IF(VLOOKUP(C$13&amp;$B1680,Aux!$B:$M,8,0)="Да","✔","🕓"),"")</f>
        <v/>
      </c>
      <c r="K1682" s="59"/>
      <c r="L1682" s="15" t="str">
        <f>IF(L1680="","","Исполнитель"&amp;": ")</f>
        <v/>
      </c>
      <c r="M1682" s="62" t="str">
        <f>IFERROR(VLOOKUP(K$13&amp;$B1682,Aux!$B:$M,4,0),"")</f>
        <v/>
      </c>
      <c r="N1682" s="62"/>
      <c r="O1682" s="63" t="str">
        <f>IFERROR(IF(VLOOKUP(K$13&amp;$B1680,Aux!$B:$M,8,0)="Да","✔","🕓"),"")</f>
        <v/>
      </c>
      <c r="S1682" s="59"/>
      <c r="T1682" s="15" t="str">
        <f>IF(T1680="","","Исполнитель"&amp;": ")</f>
        <v/>
      </c>
      <c r="U1682" s="62" t="str">
        <f>IFERROR(VLOOKUP(S$13&amp;$B1682,Aux!$B:$M,4,0),"")</f>
        <v/>
      </c>
      <c r="V1682" s="62"/>
      <c r="W1682" s="63" t="str">
        <f>IFERROR(IF(VLOOKUP(S$13&amp;$B1680,Aux!$B:$M,8,0)="Да","✔","🕓"),"")</f>
        <v/>
      </c>
      <c r="AA1682" s="59"/>
      <c r="AB1682" s="15" t="str">
        <f>IF(AB1680="","","Исполнитель"&amp;": ")</f>
        <v/>
      </c>
      <c r="AC1682" s="62" t="str">
        <f>IFERROR(VLOOKUP(AA$13&amp;$B1682,Aux!$B:$M,4,0),"")</f>
        <v/>
      </c>
      <c r="AD1682" s="62"/>
      <c r="AE1682" s="63" t="str">
        <f>IFERROR(IF(VLOOKUP(AA$13&amp;$B1680,Aux!$B:$M,8,0)="Да","✔","🕓"),"")</f>
        <v/>
      </c>
    </row>
    <row r="1683" spans="2:31" x14ac:dyDescent="0.25">
      <c r="B1683" s="53">
        <f t="shared" si="25"/>
        <v>334</v>
      </c>
      <c r="C1683" s="59"/>
      <c r="D1683" s="16" t="str">
        <f>IF(D1680="","","Срок сдачи"&amp;": ")</f>
        <v/>
      </c>
      <c r="E1683" s="64" t="str">
        <f>IFERROR(VLOOKUP(C$13&amp;$B1683,Aux!$B:$M,6,0),"")</f>
        <v/>
      </c>
      <c r="F1683" s="64"/>
      <c r="G1683" s="63"/>
      <c r="K1683" s="59"/>
      <c r="L1683" s="16" t="str">
        <f>IF(L1680="","","Срок сдачи"&amp;": ")</f>
        <v/>
      </c>
      <c r="M1683" s="64" t="str">
        <f>IFERROR(VLOOKUP(K$13&amp;$B1683,Aux!$B:$M,6,0),"")</f>
        <v/>
      </c>
      <c r="N1683" s="64"/>
      <c r="O1683" s="63"/>
      <c r="S1683" s="59"/>
      <c r="T1683" s="16" t="str">
        <f>IF(T1680="","","Срок сдачи"&amp;": ")</f>
        <v/>
      </c>
      <c r="U1683" s="64" t="str">
        <f>IFERROR(VLOOKUP(S$13&amp;$B1683,Aux!$B:$M,6,0),"")</f>
        <v/>
      </c>
      <c r="V1683" s="64"/>
      <c r="W1683" s="63"/>
      <c r="AA1683" s="59"/>
      <c r="AB1683" s="16" t="str">
        <f>IF(AB1680="","","Срок сдачи"&amp;": ")</f>
        <v/>
      </c>
      <c r="AC1683" s="64" t="str">
        <f>IFERROR(VLOOKUP(AA$13&amp;$B1683,Aux!$B:$M,6,0),"")</f>
        <v/>
      </c>
      <c r="AD1683" s="64"/>
      <c r="AE1683" s="63"/>
    </row>
    <row r="1684" spans="2:31" x14ac:dyDescent="0.25">
      <c r="B1684" s="53">
        <f t="shared" si="25"/>
        <v>334</v>
      </c>
      <c r="C1684" s="7"/>
      <c r="D1684" s="17"/>
      <c r="E1684" s="7"/>
      <c r="F1684" s="18"/>
      <c r="G1684" s="18"/>
      <c r="K1684" s="13"/>
      <c r="L1684" s="17"/>
      <c r="M1684" s="13"/>
      <c r="N1684" s="14"/>
      <c r="O1684" s="14"/>
      <c r="S1684" s="13"/>
      <c r="T1684" s="17"/>
      <c r="U1684" s="13"/>
      <c r="V1684" s="14"/>
      <c r="W1684" s="14"/>
      <c r="AA1684" s="13"/>
      <c r="AB1684" s="17"/>
      <c r="AC1684" s="13"/>
      <c r="AD1684" s="14"/>
      <c r="AE1684" s="30"/>
    </row>
    <row r="1685" spans="2:31" x14ac:dyDescent="0.25">
      <c r="B1685" s="53">
        <f t="shared" ref="B1685:B1748" si="26">B1680+1</f>
        <v>335</v>
      </c>
      <c r="C1685" s="59" t="str">
        <f>IFERROR(VLOOKUP(C$13&amp;$B1689,Aux!$B:$M,5,0),"")</f>
        <v/>
      </c>
      <c r="D1685" s="60" t="str">
        <f>IFERROR(VLOOKUP(C$13&amp;$B1685,Aux!$B:$M,3,0),"")</f>
        <v/>
      </c>
      <c r="E1685" s="60"/>
      <c r="F1685" s="60"/>
      <c r="G1685" s="61" t="str">
        <f>IFERROR(VLOOKUP(C$13&amp;$B1685,Aux!$B:$M,9,0),"")</f>
        <v/>
      </c>
      <c r="K1685" s="59" t="str">
        <f>IFERROR(VLOOKUP(K$13&amp;$B1689,Aux!$B:$M,5,0),"")</f>
        <v/>
      </c>
      <c r="L1685" s="60" t="str">
        <f>IFERROR(VLOOKUP(K$13&amp;$B1685,Aux!$B:$M,3,0),"")</f>
        <v/>
      </c>
      <c r="M1685" s="60"/>
      <c r="N1685" s="60"/>
      <c r="O1685" s="61" t="str">
        <f>IFERROR(VLOOKUP(K$13&amp;$B1685,Aux!$B:$M,9,0),"")</f>
        <v/>
      </c>
      <c r="S1685" s="59" t="str">
        <f>IFERROR(VLOOKUP(S$13&amp;$B1689,Aux!$B:$M,5,0),"")</f>
        <v/>
      </c>
      <c r="T1685" s="60" t="str">
        <f>IFERROR(VLOOKUP(S$13&amp;$B1685,Aux!$B:$M,3,0),"")</f>
        <v/>
      </c>
      <c r="U1685" s="60"/>
      <c r="V1685" s="60"/>
      <c r="W1685" s="61" t="str">
        <f>IFERROR(VLOOKUP(S$13&amp;$B1685,Aux!$B:$M,9,0),"")</f>
        <v/>
      </c>
      <c r="AA1685" s="59" t="str">
        <f>IFERROR(VLOOKUP(AA$13&amp;$B1689,Aux!$B:$M,5,0),"")</f>
        <v/>
      </c>
      <c r="AB1685" s="60" t="str">
        <f>IFERROR(VLOOKUP(AA$13&amp;$B1685,Aux!$B:$M,3,0),"")</f>
        <v/>
      </c>
      <c r="AC1685" s="60"/>
      <c r="AD1685" s="60"/>
      <c r="AE1685" s="61" t="str">
        <f>IFERROR(VLOOKUP(AA$13&amp;$B1685,Aux!$B:$M,9,0),"")</f>
        <v/>
      </c>
    </row>
    <row r="1686" spans="2:31" x14ac:dyDescent="0.25">
      <c r="B1686" s="53">
        <f t="shared" si="26"/>
        <v>335</v>
      </c>
      <c r="C1686" s="59"/>
      <c r="D1686" s="60"/>
      <c r="E1686" s="60"/>
      <c r="F1686" s="60"/>
      <c r="G1686" s="61"/>
      <c r="K1686" s="59"/>
      <c r="L1686" s="60"/>
      <c r="M1686" s="60"/>
      <c r="N1686" s="60"/>
      <c r="O1686" s="61"/>
      <c r="S1686" s="59"/>
      <c r="T1686" s="60"/>
      <c r="U1686" s="60"/>
      <c r="V1686" s="60"/>
      <c r="W1686" s="61"/>
      <c r="AA1686" s="59"/>
      <c r="AB1686" s="60"/>
      <c r="AC1686" s="60"/>
      <c r="AD1686" s="60"/>
      <c r="AE1686" s="61"/>
    </row>
    <row r="1687" spans="2:31" x14ac:dyDescent="0.25">
      <c r="B1687" s="53">
        <f t="shared" si="26"/>
        <v>335</v>
      </c>
      <c r="C1687" s="59"/>
      <c r="D1687" s="15" t="str">
        <f>IF(D1685="","","Исполнитель"&amp;": ")</f>
        <v/>
      </c>
      <c r="E1687" s="62" t="str">
        <f>IFERROR(VLOOKUP(C$13&amp;$B1687,Aux!$B:$M,4,0),"")</f>
        <v/>
      </c>
      <c r="F1687" s="62"/>
      <c r="G1687" s="63" t="str">
        <f>IFERROR(IF(VLOOKUP(C$13&amp;$B1685,Aux!$B:$M,8,0)="Да","✔","🕓"),"")</f>
        <v/>
      </c>
      <c r="K1687" s="59"/>
      <c r="L1687" s="15" t="str">
        <f>IF(L1685="","","Исполнитель"&amp;": ")</f>
        <v/>
      </c>
      <c r="M1687" s="62" t="str">
        <f>IFERROR(VLOOKUP(K$13&amp;$B1687,Aux!$B:$M,4,0),"")</f>
        <v/>
      </c>
      <c r="N1687" s="62"/>
      <c r="O1687" s="63" t="str">
        <f>IFERROR(IF(VLOOKUP(K$13&amp;$B1685,Aux!$B:$M,8,0)="Да","✔","🕓"),"")</f>
        <v/>
      </c>
      <c r="S1687" s="59"/>
      <c r="T1687" s="15" t="str">
        <f>IF(T1685="","","Исполнитель"&amp;": ")</f>
        <v/>
      </c>
      <c r="U1687" s="62" t="str">
        <f>IFERROR(VLOOKUP(S$13&amp;$B1687,Aux!$B:$M,4,0),"")</f>
        <v/>
      </c>
      <c r="V1687" s="62"/>
      <c r="W1687" s="63" t="str">
        <f>IFERROR(IF(VLOOKUP(S$13&amp;$B1685,Aux!$B:$M,8,0)="Да","✔","🕓"),"")</f>
        <v/>
      </c>
      <c r="AA1687" s="59"/>
      <c r="AB1687" s="15" t="str">
        <f>IF(AB1685="","","Исполнитель"&amp;": ")</f>
        <v/>
      </c>
      <c r="AC1687" s="62" t="str">
        <f>IFERROR(VLOOKUP(AA$13&amp;$B1687,Aux!$B:$M,4,0),"")</f>
        <v/>
      </c>
      <c r="AD1687" s="62"/>
      <c r="AE1687" s="63" t="str">
        <f>IFERROR(IF(VLOOKUP(AA$13&amp;$B1685,Aux!$B:$M,8,0)="Да","✔","🕓"),"")</f>
        <v/>
      </c>
    </row>
    <row r="1688" spans="2:31" x14ac:dyDescent="0.25">
      <c r="B1688" s="53">
        <f t="shared" si="26"/>
        <v>335</v>
      </c>
      <c r="C1688" s="59"/>
      <c r="D1688" s="16" t="str">
        <f>IF(D1685="","","Срок сдачи"&amp;": ")</f>
        <v/>
      </c>
      <c r="E1688" s="64" t="str">
        <f>IFERROR(VLOOKUP(C$13&amp;$B1688,Aux!$B:$M,6,0),"")</f>
        <v/>
      </c>
      <c r="F1688" s="64"/>
      <c r="G1688" s="63"/>
      <c r="K1688" s="59"/>
      <c r="L1688" s="16" t="str">
        <f>IF(L1685="","","Срок сдачи"&amp;": ")</f>
        <v/>
      </c>
      <c r="M1688" s="64" t="str">
        <f>IFERROR(VLOOKUP(K$13&amp;$B1688,Aux!$B:$M,6,0),"")</f>
        <v/>
      </c>
      <c r="N1688" s="64"/>
      <c r="O1688" s="63"/>
      <c r="S1688" s="59"/>
      <c r="T1688" s="16" t="str">
        <f>IF(T1685="","","Срок сдачи"&amp;": ")</f>
        <v/>
      </c>
      <c r="U1688" s="64" t="str">
        <f>IFERROR(VLOOKUP(S$13&amp;$B1688,Aux!$B:$M,6,0),"")</f>
        <v/>
      </c>
      <c r="V1688" s="64"/>
      <c r="W1688" s="63"/>
      <c r="AA1688" s="59"/>
      <c r="AB1688" s="16" t="str">
        <f>IF(AB1685="","","Срок сдачи"&amp;": ")</f>
        <v/>
      </c>
      <c r="AC1688" s="64" t="str">
        <f>IFERROR(VLOOKUP(AA$13&amp;$B1688,Aux!$B:$M,6,0),"")</f>
        <v/>
      </c>
      <c r="AD1688" s="64"/>
      <c r="AE1688" s="63"/>
    </row>
    <row r="1689" spans="2:31" x14ac:dyDescent="0.25">
      <c r="B1689" s="53">
        <f t="shared" si="26"/>
        <v>335</v>
      </c>
      <c r="C1689" s="7"/>
      <c r="D1689" s="17"/>
      <c r="E1689" s="7"/>
      <c r="F1689" s="18"/>
      <c r="G1689" s="18"/>
      <c r="K1689" s="13"/>
      <c r="L1689" s="17"/>
      <c r="M1689" s="13"/>
      <c r="N1689" s="14"/>
      <c r="O1689" s="14"/>
      <c r="S1689" s="13"/>
      <c r="T1689" s="17"/>
      <c r="U1689" s="13"/>
      <c r="V1689" s="14"/>
      <c r="W1689" s="14"/>
      <c r="AA1689" s="13"/>
      <c r="AB1689" s="17"/>
      <c r="AC1689" s="13"/>
      <c r="AD1689" s="14"/>
      <c r="AE1689" s="30"/>
    </row>
    <row r="1690" spans="2:31" x14ac:dyDescent="0.25">
      <c r="B1690" s="53">
        <f t="shared" si="26"/>
        <v>336</v>
      </c>
      <c r="C1690" s="59" t="str">
        <f>IFERROR(VLOOKUP(C$13&amp;$B1694,Aux!$B:$M,5,0),"")</f>
        <v/>
      </c>
      <c r="D1690" s="60" t="str">
        <f>IFERROR(VLOOKUP(C$13&amp;$B1690,Aux!$B:$M,3,0),"")</f>
        <v/>
      </c>
      <c r="E1690" s="60"/>
      <c r="F1690" s="60"/>
      <c r="G1690" s="61" t="str">
        <f>IFERROR(VLOOKUP(C$13&amp;$B1690,Aux!$B:$M,9,0),"")</f>
        <v/>
      </c>
      <c r="K1690" s="59" t="str">
        <f>IFERROR(VLOOKUP(K$13&amp;$B1694,Aux!$B:$M,5,0),"")</f>
        <v/>
      </c>
      <c r="L1690" s="60" t="str">
        <f>IFERROR(VLOOKUP(K$13&amp;$B1690,Aux!$B:$M,3,0),"")</f>
        <v/>
      </c>
      <c r="M1690" s="60"/>
      <c r="N1690" s="60"/>
      <c r="O1690" s="61" t="str">
        <f>IFERROR(VLOOKUP(K$13&amp;$B1690,Aux!$B:$M,9,0),"")</f>
        <v/>
      </c>
      <c r="S1690" s="59" t="str">
        <f>IFERROR(VLOOKUP(S$13&amp;$B1694,Aux!$B:$M,5,0),"")</f>
        <v/>
      </c>
      <c r="T1690" s="60" t="str">
        <f>IFERROR(VLOOKUP(S$13&amp;$B1690,Aux!$B:$M,3,0),"")</f>
        <v/>
      </c>
      <c r="U1690" s="60"/>
      <c r="V1690" s="60"/>
      <c r="W1690" s="61" t="str">
        <f>IFERROR(VLOOKUP(S$13&amp;$B1690,Aux!$B:$M,9,0),"")</f>
        <v/>
      </c>
      <c r="AA1690" s="59" t="str">
        <f>IFERROR(VLOOKUP(AA$13&amp;$B1694,Aux!$B:$M,5,0),"")</f>
        <v/>
      </c>
      <c r="AB1690" s="60" t="str">
        <f>IFERROR(VLOOKUP(AA$13&amp;$B1690,Aux!$B:$M,3,0),"")</f>
        <v/>
      </c>
      <c r="AC1690" s="60"/>
      <c r="AD1690" s="60"/>
      <c r="AE1690" s="61" t="str">
        <f>IFERROR(VLOOKUP(AA$13&amp;$B1690,Aux!$B:$M,9,0),"")</f>
        <v/>
      </c>
    </row>
    <row r="1691" spans="2:31" x14ac:dyDescent="0.25">
      <c r="B1691" s="53">
        <f t="shared" si="26"/>
        <v>336</v>
      </c>
      <c r="C1691" s="59"/>
      <c r="D1691" s="60"/>
      <c r="E1691" s="60"/>
      <c r="F1691" s="60"/>
      <c r="G1691" s="61"/>
      <c r="K1691" s="59"/>
      <c r="L1691" s="60"/>
      <c r="M1691" s="60"/>
      <c r="N1691" s="60"/>
      <c r="O1691" s="61"/>
      <c r="S1691" s="59"/>
      <c r="T1691" s="60"/>
      <c r="U1691" s="60"/>
      <c r="V1691" s="60"/>
      <c r="W1691" s="61"/>
      <c r="AA1691" s="59"/>
      <c r="AB1691" s="60"/>
      <c r="AC1691" s="60"/>
      <c r="AD1691" s="60"/>
      <c r="AE1691" s="61"/>
    </row>
    <row r="1692" spans="2:31" x14ac:dyDescent="0.25">
      <c r="B1692" s="53">
        <f t="shared" si="26"/>
        <v>336</v>
      </c>
      <c r="C1692" s="59"/>
      <c r="D1692" s="15" t="str">
        <f>IF(D1690="","","Исполнитель"&amp;": ")</f>
        <v/>
      </c>
      <c r="E1692" s="62" t="str">
        <f>IFERROR(VLOOKUP(C$13&amp;$B1692,Aux!$B:$M,4,0),"")</f>
        <v/>
      </c>
      <c r="F1692" s="62"/>
      <c r="G1692" s="63" t="str">
        <f>IFERROR(IF(VLOOKUP(C$13&amp;$B1690,Aux!$B:$M,8,0)="Да","✔","🕓"),"")</f>
        <v/>
      </c>
      <c r="K1692" s="59"/>
      <c r="L1692" s="15" t="str">
        <f>IF(L1690="","","Исполнитель"&amp;": ")</f>
        <v/>
      </c>
      <c r="M1692" s="62" t="str">
        <f>IFERROR(VLOOKUP(K$13&amp;$B1692,Aux!$B:$M,4,0),"")</f>
        <v/>
      </c>
      <c r="N1692" s="62"/>
      <c r="O1692" s="63" t="str">
        <f>IFERROR(IF(VLOOKUP(K$13&amp;$B1690,Aux!$B:$M,8,0)="Да","✔","🕓"),"")</f>
        <v/>
      </c>
      <c r="S1692" s="59"/>
      <c r="T1692" s="15" t="str">
        <f>IF(T1690="","","Исполнитель"&amp;": ")</f>
        <v/>
      </c>
      <c r="U1692" s="62" t="str">
        <f>IFERROR(VLOOKUP(S$13&amp;$B1692,Aux!$B:$M,4,0),"")</f>
        <v/>
      </c>
      <c r="V1692" s="62"/>
      <c r="W1692" s="63" t="str">
        <f>IFERROR(IF(VLOOKUP(S$13&amp;$B1690,Aux!$B:$M,8,0)="Да","✔","🕓"),"")</f>
        <v/>
      </c>
      <c r="AA1692" s="59"/>
      <c r="AB1692" s="15" t="str">
        <f>IF(AB1690="","","Исполнитель"&amp;": ")</f>
        <v/>
      </c>
      <c r="AC1692" s="62" t="str">
        <f>IFERROR(VLOOKUP(AA$13&amp;$B1692,Aux!$B:$M,4,0),"")</f>
        <v/>
      </c>
      <c r="AD1692" s="62"/>
      <c r="AE1692" s="63" t="str">
        <f>IFERROR(IF(VLOOKUP(AA$13&amp;$B1690,Aux!$B:$M,8,0)="Да","✔","🕓"),"")</f>
        <v/>
      </c>
    </row>
    <row r="1693" spans="2:31" x14ac:dyDescent="0.25">
      <c r="B1693" s="53">
        <f t="shared" si="26"/>
        <v>336</v>
      </c>
      <c r="C1693" s="59"/>
      <c r="D1693" s="16" t="str">
        <f>IF(D1690="","","Срок сдачи"&amp;": ")</f>
        <v/>
      </c>
      <c r="E1693" s="64" t="str">
        <f>IFERROR(VLOOKUP(C$13&amp;$B1693,Aux!$B:$M,6,0),"")</f>
        <v/>
      </c>
      <c r="F1693" s="64"/>
      <c r="G1693" s="63"/>
      <c r="K1693" s="59"/>
      <c r="L1693" s="16" t="str">
        <f>IF(L1690="","","Срок сдачи"&amp;": ")</f>
        <v/>
      </c>
      <c r="M1693" s="64" t="str">
        <f>IFERROR(VLOOKUP(K$13&amp;$B1693,Aux!$B:$M,6,0),"")</f>
        <v/>
      </c>
      <c r="N1693" s="64"/>
      <c r="O1693" s="63"/>
      <c r="S1693" s="59"/>
      <c r="T1693" s="16" t="str">
        <f>IF(T1690="","","Срок сдачи"&amp;": ")</f>
        <v/>
      </c>
      <c r="U1693" s="64" t="str">
        <f>IFERROR(VLOOKUP(S$13&amp;$B1693,Aux!$B:$M,6,0),"")</f>
        <v/>
      </c>
      <c r="V1693" s="64"/>
      <c r="W1693" s="63"/>
      <c r="AA1693" s="59"/>
      <c r="AB1693" s="16" t="str">
        <f>IF(AB1690="","","Срок сдачи"&amp;": ")</f>
        <v/>
      </c>
      <c r="AC1693" s="64" t="str">
        <f>IFERROR(VLOOKUP(AA$13&amp;$B1693,Aux!$B:$M,6,0),"")</f>
        <v/>
      </c>
      <c r="AD1693" s="64"/>
      <c r="AE1693" s="63"/>
    </row>
    <row r="1694" spans="2:31" x14ac:dyDescent="0.25">
      <c r="B1694" s="53">
        <f t="shared" si="26"/>
        <v>336</v>
      </c>
      <c r="C1694" s="7"/>
      <c r="D1694" s="17"/>
      <c r="E1694" s="7"/>
      <c r="F1694" s="18"/>
      <c r="G1694" s="18"/>
      <c r="K1694" s="13"/>
      <c r="L1694" s="17"/>
      <c r="M1694" s="13"/>
      <c r="N1694" s="14"/>
      <c r="O1694" s="14"/>
      <c r="S1694" s="13"/>
      <c r="T1694" s="17"/>
      <c r="U1694" s="13"/>
      <c r="V1694" s="14"/>
      <c r="W1694" s="14"/>
      <c r="AA1694" s="13"/>
      <c r="AB1694" s="17"/>
      <c r="AC1694" s="13"/>
      <c r="AD1694" s="14"/>
      <c r="AE1694" s="30"/>
    </row>
    <row r="1695" spans="2:31" x14ac:dyDescent="0.25">
      <c r="B1695" s="53">
        <f t="shared" si="26"/>
        <v>337</v>
      </c>
      <c r="C1695" s="59" t="str">
        <f>IFERROR(VLOOKUP(C$13&amp;$B1699,Aux!$B:$M,5,0),"")</f>
        <v/>
      </c>
      <c r="D1695" s="60" t="str">
        <f>IFERROR(VLOOKUP(C$13&amp;$B1695,Aux!$B:$M,3,0),"")</f>
        <v/>
      </c>
      <c r="E1695" s="60"/>
      <c r="F1695" s="60"/>
      <c r="G1695" s="61" t="str">
        <f>IFERROR(VLOOKUP(C$13&amp;$B1695,Aux!$B:$M,9,0),"")</f>
        <v/>
      </c>
      <c r="K1695" s="59" t="str">
        <f>IFERROR(VLOOKUP(K$13&amp;$B1699,Aux!$B:$M,5,0),"")</f>
        <v/>
      </c>
      <c r="L1695" s="60" t="str">
        <f>IFERROR(VLOOKUP(K$13&amp;$B1695,Aux!$B:$M,3,0),"")</f>
        <v/>
      </c>
      <c r="M1695" s="60"/>
      <c r="N1695" s="60"/>
      <c r="O1695" s="61" t="str">
        <f>IFERROR(VLOOKUP(K$13&amp;$B1695,Aux!$B:$M,9,0),"")</f>
        <v/>
      </c>
      <c r="S1695" s="59" t="str">
        <f>IFERROR(VLOOKUP(S$13&amp;$B1699,Aux!$B:$M,5,0),"")</f>
        <v/>
      </c>
      <c r="T1695" s="60" t="str">
        <f>IFERROR(VLOOKUP(S$13&amp;$B1695,Aux!$B:$M,3,0),"")</f>
        <v/>
      </c>
      <c r="U1695" s="60"/>
      <c r="V1695" s="60"/>
      <c r="W1695" s="61" t="str">
        <f>IFERROR(VLOOKUP(S$13&amp;$B1695,Aux!$B:$M,9,0),"")</f>
        <v/>
      </c>
      <c r="AA1695" s="59" t="str">
        <f>IFERROR(VLOOKUP(AA$13&amp;$B1699,Aux!$B:$M,5,0),"")</f>
        <v/>
      </c>
      <c r="AB1695" s="60" t="str">
        <f>IFERROR(VLOOKUP(AA$13&amp;$B1695,Aux!$B:$M,3,0),"")</f>
        <v/>
      </c>
      <c r="AC1695" s="60"/>
      <c r="AD1695" s="60"/>
      <c r="AE1695" s="61" t="str">
        <f>IFERROR(VLOOKUP(AA$13&amp;$B1695,Aux!$B:$M,9,0),"")</f>
        <v/>
      </c>
    </row>
    <row r="1696" spans="2:31" x14ac:dyDescent="0.25">
      <c r="B1696" s="53">
        <f t="shared" si="26"/>
        <v>337</v>
      </c>
      <c r="C1696" s="59"/>
      <c r="D1696" s="60"/>
      <c r="E1696" s="60"/>
      <c r="F1696" s="60"/>
      <c r="G1696" s="61"/>
      <c r="K1696" s="59"/>
      <c r="L1696" s="60"/>
      <c r="M1696" s="60"/>
      <c r="N1696" s="60"/>
      <c r="O1696" s="61"/>
      <c r="S1696" s="59"/>
      <c r="T1696" s="60"/>
      <c r="U1696" s="60"/>
      <c r="V1696" s="60"/>
      <c r="W1696" s="61"/>
      <c r="AA1696" s="59"/>
      <c r="AB1696" s="60"/>
      <c r="AC1696" s="60"/>
      <c r="AD1696" s="60"/>
      <c r="AE1696" s="61"/>
    </row>
    <row r="1697" spans="2:31" x14ac:dyDescent="0.25">
      <c r="B1697" s="53">
        <f t="shared" si="26"/>
        <v>337</v>
      </c>
      <c r="C1697" s="59"/>
      <c r="D1697" s="15" t="str">
        <f>IF(D1695="","","Исполнитель"&amp;": ")</f>
        <v/>
      </c>
      <c r="E1697" s="62" t="str">
        <f>IFERROR(VLOOKUP(C$13&amp;$B1697,Aux!$B:$M,4,0),"")</f>
        <v/>
      </c>
      <c r="F1697" s="62"/>
      <c r="G1697" s="63" t="str">
        <f>IFERROR(IF(VLOOKUP(C$13&amp;$B1695,Aux!$B:$M,8,0)="Да","✔","🕓"),"")</f>
        <v/>
      </c>
      <c r="K1697" s="59"/>
      <c r="L1697" s="15" t="str">
        <f>IF(L1695="","","Исполнитель"&amp;": ")</f>
        <v/>
      </c>
      <c r="M1697" s="62" t="str">
        <f>IFERROR(VLOOKUP(K$13&amp;$B1697,Aux!$B:$M,4,0),"")</f>
        <v/>
      </c>
      <c r="N1697" s="62"/>
      <c r="O1697" s="63" t="str">
        <f>IFERROR(IF(VLOOKUP(K$13&amp;$B1695,Aux!$B:$M,8,0)="Да","✔","🕓"),"")</f>
        <v/>
      </c>
      <c r="S1697" s="59"/>
      <c r="T1697" s="15" t="str">
        <f>IF(T1695="","","Исполнитель"&amp;": ")</f>
        <v/>
      </c>
      <c r="U1697" s="62" t="str">
        <f>IFERROR(VLOOKUP(S$13&amp;$B1697,Aux!$B:$M,4,0),"")</f>
        <v/>
      </c>
      <c r="V1697" s="62"/>
      <c r="W1697" s="63" t="str">
        <f>IFERROR(IF(VLOOKUP(S$13&amp;$B1695,Aux!$B:$M,8,0)="Да","✔","🕓"),"")</f>
        <v/>
      </c>
      <c r="AA1697" s="59"/>
      <c r="AB1697" s="15" t="str">
        <f>IF(AB1695="","","Исполнитель"&amp;": ")</f>
        <v/>
      </c>
      <c r="AC1697" s="62" t="str">
        <f>IFERROR(VLOOKUP(AA$13&amp;$B1697,Aux!$B:$M,4,0),"")</f>
        <v/>
      </c>
      <c r="AD1697" s="62"/>
      <c r="AE1697" s="63" t="str">
        <f>IFERROR(IF(VLOOKUP(AA$13&amp;$B1695,Aux!$B:$M,8,0)="Да","✔","🕓"),"")</f>
        <v/>
      </c>
    </row>
    <row r="1698" spans="2:31" x14ac:dyDescent="0.25">
      <c r="B1698" s="53">
        <f t="shared" si="26"/>
        <v>337</v>
      </c>
      <c r="C1698" s="59"/>
      <c r="D1698" s="16" t="str">
        <f>IF(D1695="","","Срок сдачи"&amp;": ")</f>
        <v/>
      </c>
      <c r="E1698" s="64" t="str">
        <f>IFERROR(VLOOKUP(C$13&amp;$B1698,Aux!$B:$M,6,0),"")</f>
        <v/>
      </c>
      <c r="F1698" s="64"/>
      <c r="G1698" s="63"/>
      <c r="K1698" s="59"/>
      <c r="L1698" s="16" t="str">
        <f>IF(L1695="","","Срок сдачи"&amp;": ")</f>
        <v/>
      </c>
      <c r="M1698" s="64" t="str">
        <f>IFERROR(VLOOKUP(K$13&amp;$B1698,Aux!$B:$M,6,0),"")</f>
        <v/>
      </c>
      <c r="N1698" s="64"/>
      <c r="O1698" s="63"/>
      <c r="S1698" s="59"/>
      <c r="T1698" s="16" t="str">
        <f>IF(T1695="","","Срок сдачи"&amp;": ")</f>
        <v/>
      </c>
      <c r="U1698" s="64" t="str">
        <f>IFERROR(VLOOKUP(S$13&amp;$B1698,Aux!$B:$M,6,0),"")</f>
        <v/>
      </c>
      <c r="V1698" s="64"/>
      <c r="W1698" s="63"/>
      <c r="AA1698" s="59"/>
      <c r="AB1698" s="16" t="str">
        <f>IF(AB1695="","","Срок сдачи"&amp;": ")</f>
        <v/>
      </c>
      <c r="AC1698" s="64" t="str">
        <f>IFERROR(VLOOKUP(AA$13&amp;$B1698,Aux!$B:$M,6,0),"")</f>
        <v/>
      </c>
      <c r="AD1698" s="64"/>
      <c r="AE1698" s="63"/>
    </row>
    <row r="1699" spans="2:31" x14ac:dyDescent="0.25">
      <c r="B1699" s="53">
        <f t="shared" si="26"/>
        <v>337</v>
      </c>
      <c r="C1699" s="7"/>
      <c r="D1699" s="17"/>
      <c r="E1699" s="7"/>
      <c r="F1699" s="18"/>
      <c r="G1699" s="18"/>
      <c r="K1699" s="13"/>
      <c r="L1699" s="17"/>
      <c r="M1699" s="13"/>
      <c r="N1699" s="14"/>
      <c r="O1699" s="14"/>
      <c r="S1699" s="13"/>
      <c r="T1699" s="17"/>
      <c r="U1699" s="13"/>
      <c r="V1699" s="14"/>
      <c r="W1699" s="14"/>
      <c r="AA1699" s="13"/>
      <c r="AB1699" s="17"/>
      <c r="AC1699" s="13"/>
      <c r="AD1699" s="14"/>
      <c r="AE1699" s="30"/>
    </row>
    <row r="1700" spans="2:31" x14ac:dyDescent="0.25">
      <c r="B1700" s="53">
        <f t="shared" si="26"/>
        <v>338</v>
      </c>
      <c r="C1700" s="59" t="str">
        <f>IFERROR(VLOOKUP(C$13&amp;$B1704,Aux!$B:$M,5,0),"")</f>
        <v/>
      </c>
      <c r="D1700" s="60" t="str">
        <f>IFERROR(VLOOKUP(C$13&amp;$B1700,Aux!$B:$M,3,0),"")</f>
        <v/>
      </c>
      <c r="E1700" s="60"/>
      <c r="F1700" s="60"/>
      <c r="G1700" s="61" t="str">
        <f>IFERROR(VLOOKUP(C$13&amp;$B1700,Aux!$B:$M,9,0),"")</f>
        <v/>
      </c>
      <c r="K1700" s="59" t="str">
        <f>IFERROR(VLOOKUP(K$13&amp;$B1704,Aux!$B:$M,5,0),"")</f>
        <v/>
      </c>
      <c r="L1700" s="60" t="str">
        <f>IFERROR(VLOOKUP(K$13&amp;$B1700,Aux!$B:$M,3,0),"")</f>
        <v/>
      </c>
      <c r="M1700" s="60"/>
      <c r="N1700" s="60"/>
      <c r="O1700" s="61" t="str">
        <f>IFERROR(VLOOKUP(K$13&amp;$B1700,Aux!$B:$M,9,0),"")</f>
        <v/>
      </c>
      <c r="S1700" s="59" t="str">
        <f>IFERROR(VLOOKUP(S$13&amp;$B1704,Aux!$B:$M,5,0),"")</f>
        <v/>
      </c>
      <c r="T1700" s="60" t="str">
        <f>IFERROR(VLOOKUP(S$13&amp;$B1700,Aux!$B:$M,3,0),"")</f>
        <v/>
      </c>
      <c r="U1700" s="60"/>
      <c r="V1700" s="60"/>
      <c r="W1700" s="61" t="str">
        <f>IFERROR(VLOOKUP(S$13&amp;$B1700,Aux!$B:$M,9,0),"")</f>
        <v/>
      </c>
      <c r="AA1700" s="59" t="str">
        <f>IFERROR(VLOOKUP(AA$13&amp;$B1704,Aux!$B:$M,5,0),"")</f>
        <v/>
      </c>
      <c r="AB1700" s="60" t="str">
        <f>IFERROR(VLOOKUP(AA$13&amp;$B1700,Aux!$B:$M,3,0),"")</f>
        <v/>
      </c>
      <c r="AC1700" s="60"/>
      <c r="AD1700" s="60"/>
      <c r="AE1700" s="61" t="str">
        <f>IFERROR(VLOOKUP(AA$13&amp;$B1700,Aux!$B:$M,9,0),"")</f>
        <v/>
      </c>
    </row>
    <row r="1701" spans="2:31" x14ac:dyDescent="0.25">
      <c r="B1701" s="53">
        <f t="shared" si="26"/>
        <v>338</v>
      </c>
      <c r="C1701" s="59"/>
      <c r="D1701" s="60"/>
      <c r="E1701" s="60"/>
      <c r="F1701" s="60"/>
      <c r="G1701" s="61"/>
      <c r="K1701" s="59"/>
      <c r="L1701" s="60"/>
      <c r="M1701" s="60"/>
      <c r="N1701" s="60"/>
      <c r="O1701" s="61"/>
      <c r="S1701" s="59"/>
      <c r="T1701" s="60"/>
      <c r="U1701" s="60"/>
      <c r="V1701" s="60"/>
      <c r="W1701" s="61"/>
      <c r="AA1701" s="59"/>
      <c r="AB1701" s="60"/>
      <c r="AC1701" s="60"/>
      <c r="AD1701" s="60"/>
      <c r="AE1701" s="61"/>
    </row>
    <row r="1702" spans="2:31" x14ac:dyDescent="0.25">
      <c r="B1702" s="53">
        <f t="shared" si="26"/>
        <v>338</v>
      </c>
      <c r="C1702" s="59"/>
      <c r="D1702" s="15" t="str">
        <f>IF(D1700="","","Исполнитель"&amp;": ")</f>
        <v/>
      </c>
      <c r="E1702" s="62" t="str">
        <f>IFERROR(VLOOKUP(C$13&amp;$B1702,Aux!$B:$M,4,0),"")</f>
        <v/>
      </c>
      <c r="F1702" s="62"/>
      <c r="G1702" s="63" t="str">
        <f>IFERROR(IF(VLOOKUP(C$13&amp;$B1700,Aux!$B:$M,8,0)="Да","✔","🕓"),"")</f>
        <v/>
      </c>
      <c r="K1702" s="59"/>
      <c r="L1702" s="15" t="str">
        <f>IF(L1700="","","Исполнитель"&amp;": ")</f>
        <v/>
      </c>
      <c r="M1702" s="62" t="str">
        <f>IFERROR(VLOOKUP(K$13&amp;$B1702,Aux!$B:$M,4,0),"")</f>
        <v/>
      </c>
      <c r="N1702" s="62"/>
      <c r="O1702" s="63" t="str">
        <f>IFERROR(IF(VLOOKUP(K$13&amp;$B1700,Aux!$B:$M,8,0)="Да","✔","🕓"),"")</f>
        <v/>
      </c>
      <c r="S1702" s="59"/>
      <c r="T1702" s="15" t="str">
        <f>IF(T1700="","","Исполнитель"&amp;": ")</f>
        <v/>
      </c>
      <c r="U1702" s="62" t="str">
        <f>IFERROR(VLOOKUP(S$13&amp;$B1702,Aux!$B:$M,4,0),"")</f>
        <v/>
      </c>
      <c r="V1702" s="62"/>
      <c r="W1702" s="63" t="str">
        <f>IFERROR(IF(VLOOKUP(S$13&amp;$B1700,Aux!$B:$M,8,0)="Да","✔","🕓"),"")</f>
        <v/>
      </c>
      <c r="AA1702" s="59"/>
      <c r="AB1702" s="15" t="str">
        <f>IF(AB1700="","","Исполнитель"&amp;": ")</f>
        <v/>
      </c>
      <c r="AC1702" s="62" t="str">
        <f>IFERROR(VLOOKUP(AA$13&amp;$B1702,Aux!$B:$M,4,0),"")</f>
        <v/>
      </c>
      <c r="AD1702" s="62"/>
      <c r="AE1702" s="63" t="str">
        <f>IFERROR(IF(VLOOKUP(AA$13&amp;$B1700,Aux!$B:$M,8,0)="Да","✔","🕓"),"")</f>
        <v/>
      </c>
    </row>
    <row r="1703" spans="2:31" x14ac:dyDescent="0.25">
      <c r="B1703" s="53">
        <f t="shared" si="26"/>
        <v>338</v>
      </c>
      <c r="C1703" s="59"/>
      <c r="D1703" s="16" t="str">
        <f>IF(D1700="","","Срок сдачи"&amp;": ")</f>
        <v/>
      </c>
      <c r="E1703" s="64" t="str">
        <f>IFERROR(VLOOKUP(C$13&amp;$B1703,Aux!$B:$M,6,0),"")</f>
        <v/>
      </c>
      <c r="F1703" s="64"/>
      <c r="G1703" s="63"/>
      <c r="K1703" s="59"/>
      <c r="L1703" s="16" t="str">
        <f>IF(L1700="","","Срок сдачи"&amp;": ")</f>
        <v/>
      </c>
      <c r="M1703" s="64" t="str">
        <f>IFERROR(VLOOKUP(K$13&amp;$B1703,Aux!$B:$M,6,0),"")</f>
        <v/>
      </c>
      <c r="N1703" s="64"/>
      <c r="O1703" s="63"/>
      <c r="S1703" s="59"/>
      <c r="T1703" s="16" t="str">
        <f>IF(T1700="","","Срок сдачи"&amp;": ")</f>
        <v/>
      </c>
      <c r="U1703" s="64" t="str">
        <f>IFERROR(VLOOKUP(S$13&amp;$B1703,Aux!$B:$M,6,0),"")</f>
        <v/>
      </c>
      <c r="V1703" s="64"/>
      <c r="W1703" s="63"/>
      <c r="AA1703" s="59"/>
      <c r="AB1703" s="16" t="str">
        <f>IF(AB1700="","","Срок сдачи"&amp;": ")</f>
        <v/>
      </c>
      <c r="AC1703" s="64" t="str">
        <f>IFERROR(VLOOKUP(AA$13&amp;$B1703,Aux!$B:$M,6,0),"")</f>
        <v/>
      </c>
      <c r="AD1703" s="64"/>
      <c r="AE1703" s="63"/>
    </row>
    <row r="1704" spans="2:31" x14ac:dyDescent="0.25">
      <c r="B1704" s="53">
        <f t="shared" si="26"/>
        <v>338</v>
      </c>
      <c r="C1704" s="7"/>
      <c r="D1704" s="17"/>
      <c r="E1704" s="7"/>
      <c r="F1704" s="18"/>
      <c r="G1704" s="18"/>
      <c r="K1704" s="13"/>
      <c r="L1704" s="17"/>
      <c r="M1704" s="13"/>
      <c r="N1704" s="14"/>
      <c r="O1704" s="14"/>
      <c r="S1704" s="13"/>
      <c r="T1704" s="17"/>
      <c r="U1704" s="13"/>
      <c r="V1704" s="14"/>
      <c r="W1704" s="14"/>
      <c r="AA1704" s="13"/>
      <c r="AB1704" s="17"/>
      <c r="AC1704" s="13"/>
      <c r="AD1704" s="14"/>
      <c r="AE1704" s="30"/>
    </row>
    <row r="1705" spans="2:31" x14ac:dyDescent="0.25">
      <c r="B1705" s="53">
        <f t="shared" si="26"/>
        <v>339</v>
      </c>
      <c r="C1705" s="59" t="str">
        <f>IFERROR(VLOOKUP(C$13&amp;$B1709,Aux!$B:$M,5,0),"")</f>
        <v/>
      </c>
      <c r="D1705" s="60" t="str">
        <f>IFERROR(VLOOKUP(C$13&amp;$B1705,Aux!$B:$M,3,0),"")</f>
        <v/>
      </c>
      <c r="E1705" s="60"/>
      <c r="F1705" s="60"/>
      <c r="G1705" s="61" t="str">
        <f>IFERROR(VLOOKUP(C$13&amp;$B1705,Aux!$B:$M,9,0),"")</f>
        <v/>
      </c>
      <c r="K1705" s="59" t="str">
        <f>IFERROR(VLOOKUP(K$13&amp;$B1709,Aux!$B:$M,5,0),"")</f>
        <v/>
      </c>
      <c r="L1705" s="60" t="str">
        <f>IFERROR(VLOOKUP(K$13&amp;$B1705,Aux!$B:$M,3,0),"")</f>
        <v/>
      </c>
      <c r="M1705" s="60"/>
      <c r="N1705" s="60"/>
      <c r="O1705" s="61" t="str">
        <f>IFERROR(VLOOKUP(K$13&amp;$B1705,Aux!$B:$M,9,0),"")</f>
        <v/>
      </c>
      <c r="S1705" s="59" t="str">
        <f>IFERROR(VLOOKUP(S$13&amp;$B1709,Aux!$B:$M,5,0),"")</f>
        <v/>
      </c>
      <c r="T1705" s="60" t="str">
        <f>IFERROR(VLOOKUP(S$13&amp;$B1705,Aux!$B:$M,3,0),"")</f>
        <v/>
      </c>
      <c r="U1705" s="60"/>
      <c r="V1705" s="60"/>
      <c r="W1705" s="61" t="str">
        <f>IFERROR(VLOOKUP(S$13&amp;$B1705,Aux!$B:$M,9,0),"")</f>
        <v/>
      </c>
      <c r="AA1705" s="59" t="str">
        <f>IFERROR(VLOOKUP(AA$13&amp;$B1709,Aux!$B:$M,5,0),"")</f>
        <v/>
      </c>
      <c r="AB1705" s="60" t="str">
        <f>IFERROR(VLOOKUP(AA$13&amp;$B1705,Aux!$B:$M,3,0),"")</f>
        <v/>
      </c>
      <c r="AC1705" s="60"/>
      <c r="AD1705" s="60"/>
      <c r="AE1705" s="61" t="str">
        <f>IFERROR(VLOOKUP(AA$13&amp;$B1705,Aux!$B:$M,9,0),"")</f>
        <v/>
      </c>
    </row>
    <row r="1706" spans="2:31" x14ac:dyDescent="0.25">
      <c r="B1706" s="53">
        <f t="shared" si="26"/>
        <v>339</v>
      </c>
      <c r="C1706" s="59"/>
      <c r="D1706" s="60"/>
      <c r="E1706" s="60"/>
      <c r="F1706" s="60"/>
      <c r="G1706" s="61"/>
      <c r="K1706" s="59"/>
      <c r="L1706" s="60"/>
      <c r="M1706" s="60"/>
      <c r="N1706" s="60"/>
      <c r="O1706" s="61"/>
      <c r="S1706" s="59"/>
      <c r="T1706" s="60"/>
      <c r="U1706" s="60"/>
      <c r="V1706" s="60"/>
      <c r="W1706" s="61"/>
      <c r="AA1706" s="59"/>
      <c r="AB1706" s="60"/>
      <c r="AC1706" s="60"/>
      <c r="AD1706" s="60"/>
      <c r="AE1706" s="61"/>
    </row>
    <row r="1707" spans="2:31" x14ac:dyDescent="0.25">
      <c r="B1707" s="53">
        <f t="shared" si="26"/>
        <v>339</v>
      </c>
      <c r="C1707" s="59"/>
      <c r="D1707" s="15" t="str">
        <f>IF(D1705="","","Исполнитель"&amp;": ")</f>
        <v/>
      </c>
      <c r="E1707" s="62" t="str">
        <f>IFERROR(VLOOKUP(C$13&amp;$B1707,Aux!$B:$M,4,0),"")</f>
        <v/>
      </c>
      <c r="F1707" s="62"/>
      <c r="G1707" s="63" t="str">
        <f>IFERROR(IF(VLOOKUP(C$13&amp;$B1705,Aux!$B:$M,8,0)="Да","✔","🕓"),"")</f>
        <v/>
      </c>
      <c r="K1707" s="59"/>
      <c r="L1707" s="15" t="str">
        <f>IF(L1705="","","Исполнитель"&amp;": ")</f>
        <v/>
      </c>
      <c r="M1707" s="62" t="str">
        <f>IFERROR(VLOOKUP(K$13&amp;$B1707,Aux!$B:$M,4,0),"")</f>
        <v/>
      </c>
      <c r="N1707" s="62"/>
      <c r="O1707" s="63" t="str">
        <f>IFERROR(IF(VLOOKUP(K$13&amp;$B1705,Aux!$B:$M,8,0)="Да","✔","🕓"),"")</f>
        <v/>
      </c>
      <c r="S1707" s="59"/>
      <c r="T1707" s="15" t="str">
        <f>IF(T1705="","","Исполнитель"&amp;": ")</f>
        <v/>
      </c>
      <c r="U1707" s="62" t="str">
        <f>IFERROR(VLOOKUP(S$13&amp;$B1707,Aux!$B:$M,4,0),"")</f>
        <v/>
      </c>
      <c r="V1707" s="62"/>
      <c r="W1707" s="63" t="str">
        <f>IFERROR(IF(VLOOKUP(S$13&amp;$B1705,Aux!$B:$M,8,0)="Да","✔","🕓"),"")</f>
        <v/>
      </c>
      <c r="AA1707" s="59"/>
      <c r="AB1707" s="15" t="str">
        <f>IF(AB1705="","","Исполнитель"&amp;": ")</f>
        <v/>
      </c>
      <c r="AC1707" s="62" t="str">
        <f>IFERROR(VLOOKUP(AA$13&amp;$B1707,Aux!$B:$M,4,0),"")</f>
        <v/>
      </c>
      <c r="AD1707" s="62"/>
      <c r="AE1707" s="63" t="str">
        <f>IFERROR(IF(VLOOKUP(AA$13&amp;$B1705,Aux!$B:$M,8,0)="Да","✔","🕓"),"")</f>
        <v/>
      </c>
    </row>
    <row r="1708" spans="2:31" x14ac:dyDescent="0.25">
      <c r="B1708" s="53">
        <f t="shared" si="26"/>
        <v>339</v>
      </c>
      <c r="C1708" s="59"/>
      <c r="D1708" s="16" t="str">
        <f>IF(D1705="","","Срок сдачи"&amp;": ")</f>
        <v/>
      </c>
      <c r="E1708" s="64" t="str">
        <f>IFERROR(VLOOKUP(C$13&amp;$B1708,Aux!$B:$M,6,0),"")</f>
        <v/>
      </c>
      <c r="F1708" s="64"/>
      <c r="G1708" s="63"/>
      <c r="K1708" s="59"/>
      <c r="L1708" s="16" t="str">
        <f>IF(L1705="","","Срок сдачи"&amp;": ")</f>
        <v/>
      </c>
      <c r="M1708" s="64" t="str">
        <f>IFERROR(VLOOKUP(K$13&amp;$B1708,Aux!$B:$M,6,0),"")</f>
        <v/>
      </c>
      <c r="N1708" s="64"/>
      <c r="O1708" s="63"/>
      <c r="S1708" s="59"/>
      <c r="T1708" s="16" t="str">
        <f>IF(T1705="","","Срок сдачи"&amp;": ")</f>
        <v/>
      </c>
      <c r="U1708" s="64" t="str">
        <f>IFERROR(VLOOKUP(S$13&amp;$B1708,Aux!$B:$M,6,0),"")</f>
        <v/>
      </c>
      <c r="V1708" s="64"/>
      <c r="W1708" s="63"/>
      <c r="AA1708" s="59"/>
      <c r="AB1708" s="16" t="str">
        <f>IF(AB1705="","","Срок сдачи"&amp;": ")</f>
        <v/>
      </c>
      <c r="AC1708" s="64" t="str">
        <f>IFERROR(VLOOKUP(AA$13&amp;$B1708,Aux!$B:$M,6,0),"")</f>
        <v/>
      </c>
      <c r="AD1708" s="64"/>
      <c r="AE1708" s="63"/>
    </row>
    <row r="1709" spans="2:31" x14ac:dyDescent="0.25">
      <c r="B1709" s="53">
        <f t="shared" si="26"/>
        <v>339</v>
      </c>
      <c r="C1709" s="7"/>
      <c r="D1709" s="17"/>
      <c r="E1709" s="7"/>
      <c r="F1709" s="18"/>
      <c r="G1709" s="18"/>
      <c r="K1709" s="13"/>
      <c r="L1709" s="17"/>
      <c r="M1709" s="13"/>
      <c r="N1709" s="14"/>
      <c r="O1709" s="14"/>
      <c r="S1709" s="13"/>
      <c r="T1709" s="17"/>
      <c r="U1709" s="13"/>
      <c r="V1709" s="14"/>
      <c r="W1709" s="14"/>
      <c r="AA1709" s="13"/>
      <c r="AB1709" s="17"/>
      <c r="AC1709" s="13"/>
      <c r="AD1709" s="14"/>
      <c r="AE1709" s="30"/>
    </row>
    <row r="1710" spans="2:31" x14ac:dyDescent="0.25">
      <c r="B1710" s="53">
        <f t="shared" si="26"/>
        <v>340</v>
      </c>
      <c r="C1710" s="59" t="str">
        <f>IFERROR(VLOOKUP(C$13&amp;$B1714,Aux!$B:$M,5,0),"")</f>
        <v/>
      </c>
      <c r="D1710" s="60" t="str">
        <f>IFERROR(VLOOKUP(C$13&amp;$B1710,Aux!$B:$M,3,0),"")</f>
        <v/>
      </c>
      <c r="E1710" s="60"/>
      <c r="F1710" s="60"/>
      <c r="G1710" s="61" t="str">
        <f>IFERROR(VLOOKUP(C$13&amp;$B1710,Aux!$B:$M,9,0),"")</f>
        <v/>
      </c>
      <c r="K1710" s="59" t="str">
        <f>IFERROR(VLOOKUP(K$13&amp;$B1714,Aux!$B:$M,5,0),"")</f>
        <v/>
      </c>
      <c r="L1710" s="60" t="str">
        <f>IFERROR(VLOOKUP(K$13&amp;$B1710,Aux!$B:$M,3,0),"")</f>
        <v/>
      </c>
      <c r="M1710" s="60"/>
      <c r="N1710" s="60"/>
      <c r="O1710" s="61" t="str">
        <f>IFERROR(VLOOKUP(K$13&amp;$B1710,Aux!$B:$M,9,0),"")</f>
        <v/>
      </c>
      <c r="S1710" s="59" t="str">
        <f>IFERROR(VLOOKUP(S$13&amp;$B1714,Aux!$B:$M,5,0),"")</f>
        <v/>
      </c>
      <c r="T1710" s="60" t="str">
        <f>IFERROR(VLOOKUP(S$13&amp;$B1710,Aux!$B:$M,3,0),"")</f>
        <v/>
      </c>
      <c r="U1710" s="60"/>
      <c r="V1710" s="60"/>
      <c r="W1710" s="61" t="str">
        <f>IFERROR(VLOOKUP(S$13&amp;$B1710,Aux!$B:$M,9,0),"")</f>
        <v/>
      </c>
      <c r="AA1710" s="59" t="str">
        <f>IFERROR(VLOOKUP(AA$13&amp;$B1714,Aux!$B:$M,5,0),"")</f>
        <v/>
      </c>
      <c r="AB1710" s="60" t="str">
        <f>IFERROR(VLOOKUP(AA$13&amp;$B1710,Aux!$B:$M,3,0),"")</f>
        <v/>
      </c>
      <c r="AC1710" s="60"/>
      <c r="AD1710" s="60"/>
      <c r="AE1710" s="61" t="str">
        <f>IFERROR(VLOOKUP(AA$13&amp;$B1710,Aux!$B:$M,9,0),"")</f>
        <v/>
      </c>
    </row>
    <row r="1711" spans="2:31" x14ac:dyDescent="0.25">
      <c r="B1711" s="53">
        <f t="shared" si="26"/>
        <v>340</v>
      </c>
      <c r="C1711" s="59"/>
      <c r="D1711" s="60"/>
      <c r="E1711" s="60"/>
      <c r="F1711" s="60"/>
      <c r="G1711" s="61"/>
      <c r="K1711" s="59"/>
      <c r="L1711" s="60"/>
      <c r="M1711" s="60"/>
      <c r="N1711" s="60"/>
      <c r="O1711" s="61"/>
      <c r="S1711" s="59"/>
      <c r="T1711" s="60"/>
      <c r="U1711" s="60"/>
      <c r="V1711" s="60"/>
      <c r="W1711" s="61"/>
      <c r="AA1711" s="59"/>
      <c r="AB1711" s="60"/>
      <c r="AC1711" s="60"/>
      <c r="AD1711" s="60"/>
      <c r="AE1711" s="61"/>
    </row>
    <row r="1712" spans="2:31" x14ac:dyDescent="0.25">
      <c r="B1712" s="53">
        <f t="shared" si="26"/>
        <v>340</v>
      </c>
      <c r="C1712" s="59"/>
      <c r="D1712" s="15" t="str">
        <f>IF(D1710="","","Исполнитель"&amp;": ")</f>
        <v/>
      </c>
      <c r="E1712" s="62" t="str">
        <f>IFERROR(VLOOKUP(C$13&amp;$B1712,Aux!$B:$M,4,0),"")</f>
        <v/>
      </c>
      <c r="F1712" s="62"/>
      <c r="G1712" s="63" t="str">
        <f>IFERROR(IF(VLOOKUP(C$13&amp;$B1710,Aux!$B:$M,8,0)="Да","✔","🕓"),"")</f>
        <v/>
      </c>
      <c r="K1712" s="59"/>
      <c r="L1712" s="15" t="str">
        <f>IF(L1710="","","Исполнитель"&amp;": ")</f>
        <v/>
      </c>
      <c r="M1712" s="62" t="str">
        <f>IFERROR(VLOOKUP(K$13&amp;$B1712,Aux!$B:$M,4,0),"")</f>
        <v/>
      </c>
      <c r="N1712" s="62"/>
      <c r="O1712" s="63" t="str">
        <f>IFERROR(IF(VLOOKUP(K$13&amp;$B1710,Aux!$B:$M,8,0)="Да","✔","🕓"),"")</f>
        <v/>
      </c>
      <c r="S1712" s="59"/>
      <c r="T1712" s="15" t="str">
        <f>IF(T1710="","","Исполнитель"&amp;": ")</f>
        <v/>
      </c>
      <c r="U1712" s="62" t="str">
        <f>IFERROR(VLOOKUP(S$13&amp;$B1712,Aux!$B:$M,4,0),"")</f>
        <v/>
      </c>
      <c r="V1712" s="62"/>
      <c r="W1712" s="63" t="str">
        <f>IFERROR(IF(VLOOKUP(S$13&amp;$B1710,Aux!$B:$M,8,0)="Да","✔","🕓"),"")</f>
        <v/>
      </c>
      <c r="AA1712" s="59"/>
      <c r="AB1712" s="15" t="str">
        <f>IF(AB1710="","","Исполнитель"&amp;": ")</f>
        <v/>
      </c>
      <c r="AC1712" s="62" t="str">
        <f>IFERROR(VLOOKUP(AA$13&amp;$B1712,Aux!$B:$M,4,0),"")</f>
        <v/>
      </c>
      <c r="AD1712" s="62"/>
      <c r="AE1712" s="63" t="str">
        <f>IFERROR(IF(VLOOKUP(AA$13&amp;$B1710,Aux!$B:$M,8,0)="Да","✔","🕓"),"")</f>
        <v/>
      </c>
    </row>
    <row r="1713" spans="2:31" x14ac:dyDescent="0.25">
      <c r="B1713" s="53">
        <f t="shared" si="26"/>
        <v>340</v>
      </c>
      <c r="C1713" s="59"/>
      <c r="D1713" s="16" t="str">
        <f>IF(D1710="","","Срок сдачи"&amp;": ")</f>
        <v/>
      </c>
      <c r="E1713" s="64" t="str">
        <f>IFERROR(VLOOKUP(C$13&amp;$B1713,Aux!$B:$M,6,0),"")</f>
        <v/>
      </c>
      <c r="F1713" s="64"/>
      <c r="G1713" s="63"/>
      <c r="K1713" s="59"/>
      <c r="L1713" s="16" t="str">
        <f>IF(L1710="","","Срок сдачи"&amp;": ")</f>
        <v/>
      </c>
      <c r="M1713" s="64" t="str">
        <f>IFERROR(VLOOKUP(K$13&amp;$B1713,Aux!$B:$M,6,0),"")</f>
        <v/>
      </c>
      <c r="N1713" s="64"/>
      <c r="O1713" s="63"/>
      <c r="S1713" s="59"/>
      <c r="T1713" s="16" t="str">
        <f>IF(T1710="","","Срок сдачи"&amp;": ")</f>
        <v/>
      </c>
      <c r="U1713" s="64" t="str">
        <f>IFERROR(VLOOKUP(S$13&amp;$B1713,Aux!$B:$M,6,0),"")</f>
        <v/>
      </c>
      <c r="V1713" s="64"/>
      <c r="W1713" s="63"/>
      <c r="AA1713" s="59"/>
      <c r="AB1713" s="16" t="str">
        <f>IF(AB1710="","","Срок сдачи"&amp;": ")</f>
        <v/>
      </c>
      <c r="AC1713" s="64" t="str">
        <f>IFERROR(VLOOKUP(AA$13&amp;$B1713,Aux!$B:$M,6,0),"")</f>
        <v/>
      </c>
      <c r="AD1713" s="64"/>
      <c r="AE1713" s="63"/>
    </row>
    <row r="1714" spans="2:31" x14ac:dyDescent="0.25">
      <c r="B1714" s="53">
        <f t="shared" si="26"/>
        <v>340</v>
      </c>
      <c r="C1714" s="7"/>
      <c r="D1714" s="17"/>
      <c r="E1714" s="7"/>
      <c r="F1714" s="18"/>
      <c r="G1714" s="18"/>
      <c r="K1714" s="13"/>
      <c r="L1714" s="17"/>
      <c r="M1714" s="13"/>
      <c r="N1714" s="14"/>
      <c r="O1714" s="14"/>
      <c r="S1714" s="13"/>
      <c r="T1714" s="17"/>
      <c r="U1714" s="13"/>
      <c r="V1714" s="14"/>
      <c r="W1714" s="14"/>
      <c r="AA1714" s="13"/>
      <c r="AB1714" s="17"/>
      <c r="AC1714" s="13"/>
      <c r="AD1714" s="14"/>
      <c r="AE1714" s="30"/>
    </row>
    <row r="1715" spans="2:31" x14ac:dyDescent="0.25">
      <c r="B1715" s="53">
        <f t="shared" si="26"/>
        <v>341</v>
      </c>
      <c r="C1715" s="59" t="str">
        <f>IFERROR(VLOOKUP(C$13&amp;$B1719,Aux!$B:$M,5,0),"")</f>
        <v/>
      </c>
      <c r="D1715" s="60" t="str">
        <f>IFERROR(VLOOKUP(C$13&amp;$B1715,Aux!$B:$M,3,0),"")</f>
        <v/>
      </c>
      <c r="E1715" s="60"/>
      <c r="F1715" s="60"/>
      <c r="G1715" s="61" t="str">
        <f>IFERROR(VLOOKUP(C$13&amp;$B1715,Aux!$B:$M,9,0),"")</f>
        <v/>
      </c>
      <c r="K1715" s="59" t="str">
        <f>IFERROR(VLOOKUP(K$13&amp;$B1719,Aux!$B:$M,5,0),"")</f>
        <v/>
      </c>
      <c r="L1715" s="60" t="str">
        <f>IFERROR(VLOOKUP(K$13&amp;$B1715,Aux!$B:$M,3,0),"")</f>
        <v/>
      </c>
      <c r="M1715" s="60"/>
      <c r="N1715" s="60"/>
      <c r="O1715" s="61" t="str">
        <f>IFERROR(VLOOKUP(K$13&amp;$B1715,Aux!$B:$M,9,0),"")</f>
        <v/>
      </c>
      <c r="S1715" s="59" t="str">
        <f>IFERROR(VLOOKUP(S$13&amp;$B1719,Aux!$B:$M,5,0),"")</f>
        <v/>
      </c>
      <c r="T1715" s="60" t="str">
        <f>IFERROR(VLOOKUP(S$13&amp;$B1715,Aux!$B:$M,3,0),"")</f>
        <v/>
      </c>
      <c r="U1715" s="60"/>
      <c r="V1715" s="60"/>
      <c r="W1715" s="61" t="str">
        <f>IFERROR(VLOOKUP(S$13&amp;$B1715,Aux!$B:$M,9,0),"")</f>
        <v/>
      </c>
      <c r="AA1715" s="59" t="str">
        <f>IFERROR(VLOOKUP(AA$13&amp;$B1719,Aux!$B:$M,5,0),"")</f>
        <v/>
      </c>
      <c r="AB1715" s="60" t="str">
        <f>IFERROR(VLOOKUP(AA$13&amp;$B1715,Aux!$B:$M,3,0),"")</f>
        <v/>
      </c>
      <c r="AC1715" s="60"/>
      <c r="AD1715" s="60"/>
      <c r="AE1715" s="61" t="str">
        <f>IFERROR(VLOOKUP(AA$13&amp;$B1715,Aux!$B:$M,9,0),"")</f>
        <v/>
      </c>
    </row>
    <row r="1716" spans="2:31" x14ac:dyDescent="0.25">
      <c r="B1716" s="53">
        <f t="shared" si="26"/>
        <v>341</v>
      </c>
      <c r="C1716" s="59"/>
      <c r="D1716" s="60"/>
      <c r="E1716" s="60"/>
      <c r="F1716" s="60"/>
      <c r="G1716" s="61"/>
      <c r="K1716" s="59"/>
      <c r="L1716" s="60"/>
      <c r="M1716" s="60"/>
      <c r="N1716" s="60"/>
      <c r="O1716" s="61"/>
      <c r="S1716" s="59"/>
      <c r="T1716" s="60"/>
      <c r="U1716" s="60"/>
      <c r="V1716" s="60"/>
      <c r="W1716" s="61"/>
      <c r="AA1716" s="59"/>
      <c r="AB1716" s="60"/>
      <c r="AC1716" s="60"/>
      <c r="AD1716" s="60"/>
      <c r="AE1716" s="61"/>
    </row>
    <row r="1717" spans="2:31" x14ac:dyDescent="0.25">
      <c r="B1717" s="53">
        <f t="shared" si="26"/>
        <v>341</v>
      </c>
      <c r="C1717" s="59"/>
      <c r="D1717" s="15" t="str">
        <f>IF(D1715="","","Исполнитель"&amp;": ")</f>
        <v/>
      </c>
      <c r="E1717" s="62" t="str">
        <f>IFERROR(VLOOKUP(C$13&amp;$B1717,Aux!$B:$M,4,0),"")</f>
        <v/>
      </c>
      <c r="F1717" s="62"/>
      <c r="G1717" s="63" t="str">
        <f>IFERROR(IF(VLOOKUP(C$13&amp;$B1715,Aux!$B:$M,8,0)="Да","✔","🕓"),"")</f>
        <v/>
      </c>
      <c r="K1717" s="59"/>
      <c r="L1717" s="15" t="str">
        <f>IF(L1715="","","Исполнитель"&amp;": ")</f>
        <v/>
      </c>
      <c r="M1717" s="62" t="str">
        <f>IFERROR(VLOOKUP(K$13&amp;$B1717,Aux!$B:$M,4,0),"")</f>
        <v/>
      </c>
      <c r="N1717" s="62"/>
      <c r="O1717" s="63" t="str">
        <f>IFERROR(IF(VLOOKUP(K$13&amp;$B1715,Aux!$B:$M,8,0)="Да","✔","🕓"),"")</f>
        <v/>
      </c>
      <c r="S1717" s="59"/>
      <c r="T1717" s="15" t="str">
        <f>IF(T1715="","","Исполнитель"&amp;": ")</f>
        <v/>
      </c>
      <c r="U1717" s="62" t="str">
        <f>IFERROR(VLOOKUP(S$13&amp;$B1717,Aux!$B:$M,4,0),"")</f>
        <v/>
      </c>
      <c r="V1717" s="62"/>
      <c r="W1717" s="63" t="str">
        <f>IFERROR(IF(VLOOKUP(S$13&amp;$B1715,Aux!$B:$M,8,0)="Да","✔","🕓"),"")</f>
        <v/>
      </c>
      <c r="AA1717" s="59"/>
      <c r="AB1717" s="15" t="str">
        <f>IF(AB1715="","","Исполнитель"&amp;": ")</f>
        <v/>
      </c>
      <c r="AC1717" s="62" t="str">
        <f>IFERROR(VLOOKUP(AA$13&amp;$B1717,Aux!$B:$M,4,0),"")</f>
        <v/>
      </c>
      <c r="AD1717" s="62"/>
      <c r="AE1717" s="63" t="str">
        <f>IFERROR(IF(VLOOKUP(AA$13&amp;$B1715,Aux!$B:$M,8,0)="Да","✔","🕓"),"")</f>
        <v/>
      </c>
    </row>
    <row r="1718" spans="2:31" x14ac:dyDescent="0.25">
      <c r="B1718" s="53">
        <f t="shared" si="26"/>
        <v>341</v>
      </c>
      <c r="C1718" s="59"/>
      <c r="D1718" s="16" t="str">
        <f>IF(D1715="","","Срок сдачи"&amp;": ")</f>
        <v/>
      </c>
      <c r="E1718" s="64" t="str">
        <f>IFERROR(VLOOKUP(C$13&amp;$B1718,Aux!$B:$M,6,0),"")</f>
        <v/>
      </c>
      <c r="F1718" s="64"/>
      <c r="G1718" s="63"/>
      <c r="K1718" s="59"/>
      <c r="L1718" s="16" t="str">
        <f>IF(L1715="","","Срок сдачи"&amp;": ")</f>
        <v/>
      </c>
      <c r="M1718" s="64" t="str">
        <f>IFERROR(VLOOKUP(K$13&amp;$B1718,Aux!$B:$M,6,0),"")</f>
        <v/>
      </c>
      <c r="N1718" s="64"/>
      <c r="O1718" s="63"/>
      <c r="S1718" s="59"/>
      <c r="T1718" s="16" t="str">
        <f>IF(T1715="","","Срок сдачи"&amp;": ")</f>
        <v/>
      </c>
      <c r="U1718" s="64" t="str">
        <f>IFERROR(VLOOKUP(S$13&amp;$B1718,Aux!$B:$M,6,0),"")</f>
        <v/>
      </c>
      <c r="V1718" s="64"/>
      <c r="W1718" s="63"/>
      <c r="AA1718" s="59"/>
      <c r="AB1718" s="16" t="str">
        <f>IF(AB1715="","","Срок сдачи"&amp;": ")</f>
        <v/>
      </c>
      <c r="AC1718" s="64" t="str">
        <f>IFERROR(VLOOKUP(AA$13&amp;$B1718,Aux!$B:$M,6,0),"")</f>
        <v/>
      </c>
      <c r="AD1718" s="64"/>
      <c r="AE1718" s="63"/>
    </row>
    <row r="1719" spans="2:31" x14ac:dyDescent="0.25">
      <c r="B1719" s="53">
        <f t="shared" si="26"/>
        <v>341</v>
      </c>
      <c r="C1719" s="7"/>
      <c r="D1719" s="17"/>
      <c r="E1719" s="7"/>
      <c r="F1719" s="18"/>
      <c r="G1719" s="18"/>
      <c r="K1719" s="13"/>
      <c r="L1719" s="17"/>
      <c r="M1719" s="13"/>
      <c r="N1719" s="14"/>
      <c r="O1719" s="14"/>
      <c r="S1719" s="13"/>
      <c r="T1719" s="17"/>
      <c r="U1719" s="13"/>
      <c r="V1719" s="14"/>
      <c r="W1719" s="14"/>
      <c r="AA1719" s="13"/>
      <c r="AB1719" s="17"/>
      <c r="AC1719" s="13"/>
      <c r="AD1719" s="14"/>
      <c r="AE1719" s="30"/>
    </row>
    <row r="1720" spans="2:31" x14ac:dyDescent="0.25">
      <c r="B1720" s="53">
        <f t="shared" si="26"/>
        <v>342</v>
      </c>
      <c r="C1720" s="59" t="str">
        <f>IFERROR(VLOOKUP(C$13&amp;$B1724,Aux!$B:$M,5,0),"")</f>
        <v/>
      </c>
      <c r="D1720" s="60" t="str">
        <f>IFERROR(VLOOKUP(C$13&amp;$B1720,Aux!$B:$M,3,0),"")</f>
        <v/>
      </c>
      <c r="E1720" s="60"/>
      <c r="F1720" s="60"/>
      <c r="G1720" s="61" t="str">
        <f>IFERROR(VLOOKUP(C$13&amp;$B1720,Aux!$B:$M,9,0),"")</f>
        <v/>
      </c>
      <c r="K1720" s="59" t="str">
        <f>IFERROR(VLOOKUP(K$13&amp;$B1724,Aux!$B:$M,5,0),"")</f>
        <v/>
      </c>
      <c r="L1720" s="60" t="str">
        <f>IFERROR(VLOOKUP(K$13&amp;$B1720,Aux!$B:$M,3,0),"")</f>
        <v/>
      </c>
      <c r="M1720" s="60"/>
      <c r="N1720" s="60"/>
      <c r="O1720" s="61" t="str">
        <f>IFERROR(VLOOKUP(K$13&amp;$B1720,Aux!$B:$M,9,0),"")</f>
        <v/>
      </c>
      <c r="S1720" s="59" t="str">
        <f>IFERROR(VLOOKUP(S$13&amp;$B1724,Aux!$B:$M,5,0),"")</f>
        <v/>
      </c>
      <c r="T1720" s="60" t="str">
        <f>IFERROR(VLOOKUP(S$13&amp;$B1720,Aux!$B:$M,3,0),"")</f>
        <v/>
      </c>
      <c r="U1720" s="60"/>
      <c r="V1720" s="60"/>
      <c r="W1720" s="61" t="str">
        <f>IFERROR(VLOOKUP(S$13&amp;$B1720,Aux!$B:$M,9,0),"")</f>
        <v/>
      </c>
      <c r="AA1720" s="59" t="str">
        <f>IFERROR(VLOOKUP(AA$13&amp;$B1724,Aux!$B:$M,5,0),"")</f>
        <v/>
      </c>
      <c r="AB1720" s="60" t="str">
        <f>IFERROR(VLOOKUP(AA$13&amp;$B1720,Aux!$B:$M,3,0),"")</f>
        <v/>
      </c>
      <c r="AC1720" s="60"/>
      <c r="AD1720" s="60"/>
      <c r="AE1720" s="61" t="str">
        <f>IFERROR(VLOOKUP(AA$13&amp;$B1720,Aux!$B:$M,9,0),"")</f>
        <v/>
      </c>
    </row>
    <row r="1721" spans="2:31" x14ac:dyDescent="0.25">
      <c r="B1721" s="53">
        <f t="shared" si="26"/>
        <v>342</v>
      </c>
      <c r="C1721" s="59"/>
      <c r="D1721" s="60"/>
      <c r="E1721" s="60"/>
      <c r="F1721" s="60"/>
      <c r="G1721" s="61"/>
      <c r="K1721" s="59"/>
      <c r="L1721" s="60"/>
      <c r="M1721" s="60"/>
      <c r="N1721" s="60"/>
      <c r="O1721" s="61"/>
      <c r="S1721" s="59"/>
      <c r="T1721" s="60"/>
      <c r="U1721" s="60"/>
      <c r="V1721" s="60"/>
      <c r="W1721" s="61"/>
      <c r="AA1721" s="59"/>
      <c r="AB1721" s="60"/>
      <c r="AC1721" s="60"/>
      <c r="AD1721" s="60"/>
      <c r="AE1721" s="61"/>
    </row>
    <row r="1722" spans="2:31" x14ac:dyDescent="0.25">
      <c r="B1722" s="53">
        <f t="shared" si="26"/>
        <v>342</v>
      </c>
      <c r="C1722" s="59"/>
      <c r="D1722" s="15" t="str">
        <f>IF(D1720="","","Исполнитель"&amp;": ")</f>
        <v/>
      </c>
      <c r="E1722" s="62" t="str">
        <f>IFERROR(VLOOKUP(C$13&amp;$B1722,Aux!$B:$M,4,0),"")</f>
        <v/>
      </c>
      <c r="F1722" s="62"/>
      <c r="G1722" s="63" t="str">
        <f>IFERROR(IF(VLOOKUP(C$13&amp;$B1720,Aux!$B:$M,8,0)="Да","✔","🕓"),"")</f>
        <v/>
      </c>
      <c r="K1722" s="59"/>
      <c r="L1722" s="15" t="str">
        <f>IF(L1720="","","Исполнитель"&amp;": ")</f>
        <v/>
      </c>
      <c r="M1722" s="62" t="str">
        <f>IFERROR(VLOOKUP(K$13&amp;$B1722,Aux!$B:$M,4,0),"")</f>
        <v/>
      </c>
      <c r="N1722" s="62"/>
      <c r="O1722" s="63" t="str">
        <f>IFERROR(IF(VLOOKUP(K$13&amp;$B1720,Aux!$B:$M,8,0)="Да","✔","🕓"),"")</f>
        <v/>
      </c>
      <c r="S1722" s="59"/>
      <c r="T1722" s="15" t="str">
        <f>IF(T1720="","","Исполнитель"&amp;": ")</f>
        <v/>
      </c>
      <c r="U1722" s="62" t="str">
        <f>IFERROR(VLOOKUP(S$13&amp;$B1722,Aux!$B:$M,4,0),"")</f>
        <v/>
      </c>
      <c r="V1722" s="62"/>
      <c r="W1722" s="63" t="str">
        <f>IFERROR(IF(VLOOKUP(S$13&amp;$B1720,Aux!$B:$M,8,0)="Да","✔","🕓"),"")</f>
        <v/>
      </c>
      <c r="AA1722" s="59"/>
      <c r="AB1722" s="15" t="str">
        <f>IF(AB1720="","","Исполнитель"&amp;": ")</f>
        <v/>
      </c>
      <c r="AC1722" s="62" t="str">
        <f>IFERROR(VLOOKUP(AA$13&amp;$B1722,Aux!$B:$M,4,0),"")</f>
        <v/>
      </c>
      <c r="AD1722" s="62"/>
      <c r="AE1722" s="63" t="str">
        <f>IFERROR(IF(VLOOKUP(AA$13&amp;$B1720,Aux!$B:$M,8,0)="Да","✔","🕓"),"")</f>
        <v/>
      </c>
    </row>
    <row r="1723" spans="2:31" x14ac:dyDescent="0.25">
      <c r="B1723" s="53">
        <f t="shared" si="26"/>
        <v>342</v>
      </c>
      <c r="C1723" s="59"/>
      <c r="D1723" s="16" t="str">
        <f>IF(D1720="","","Срок сдачи"&amp;": ")</f>
        <v/>
      </c>
      <c r="E1723" s="64" t="str">
        <f>IFERROR(VLOOKUP(C$13&amp;$B1723,Aux!$B:$M,6,0),"")</f>
        <v/>
      </c>
      <c r="F1723" s="64"/>
      <c r="G1723" s="63"/>
      <c r="K1723" s="59"/>
      <c r="L1723" s="16" t="str">
        <f>IF(L1720="","","Срок сдачи"&amp;": ")</f>
        <v/>
      </c>
      <c r="M1723" s="64" t="str">
        <f>IFERROR(VLOOKUP(K$13&amp;$B1723,Aux!$B:$M,6,0),"")</f>
        <v/>
      </c>
      <c r="N1723" s="64"/>
      <c r="O1723" s="63"/>
      <c r="S1723" s="59"/>
      <c r="T1723" s="16" t="str">
        <f>IF(T1720="","","Срок сдачи"&amp;": ")</f>
        <v/>
      </c>
      <c r="U1723" s="64" t="str">
        <f>IFERROR(VLOOKUP(S$13&amp;$B1723,Aux!$B:$M,6,0),"")</f>
        <v/>
      </c>
      <c r="V1723" s="64"/>
      <c r="W1723" s="63"/>
      <c r="AA1723" s="59"/>
      <c r="AB1723" s="16" t="str">
        <f>IF(AB1720="","","Срок сдачи"&amp;": ")</f>
        <v/>
      </c>
      <c r="AC1723" s="64" t="str">
        <f>IFERROR(VLOOKUP(AA$13&amp;$B1723,Aux!$B:$M,6,0),"")</f>
        <v/>
      </c>
      <c r="AD1723" s="64"/>
      <c r="AE1723" s="63"/>
    </row>
    <row r="1724" spans="2:31" x14ac:dyDescent="0.25">
      <c r="B1724" s="53">
        <f t="shared" si="26"/>
        <v>342</v>
      </c>
      <c r="C1724" s="7"/>
      <c r="D1724" s="17"/>
      <c r="E1724" s="7"/>
      <c r="F1724" s="18"/>
      <c r="G1724" s="18"/>
      <c r="K1724" s="13"/>
      <c r="L1724" s="17"/>
      <c r="M1724" s="13"/>
      <c r="N1724" s="14"/>
      <c r="O1724" s="14"/>
      <c r="S1724" s="13"/>
      <c r="T1724" s="17"/>
      <c r="U1724" s="13"/>
      <c r="V1724" s="14"/>
      <c r="W1724" s="14"/>
      <c r="AA1724" s="13"/>
      <c r="AB1724" s="17"/>
      <c r="AC1724" s="13"/>
      <c r="AD1724" s="14"/>
      <c r="AE1724" s="30"/>
    </row>
    <row r="1725" spans="2:31" x14ac:dyDescent="0.25">
      <c r="B1725" s="53">
        <f t="shared" si="26"/>
        <v>343</v>
      </c>
      <c r="C1725" s="59" t="str">
        <f>IFERROR(VLOOKUP(C$13&amp;$B1729,Aux!$B:$M,5,0),"")</f>
        <v/>
      </c>
      <c r="D1725" s="60" t="str">
        <f>IFERROR(VLOOKUP(C$13&amp;$B1725,Aux!$B:$M,3,0),"")</f>
        <v/>
      </c>
      <c r="E1725" s="60"/>
      <c r="F1725" s="60"/>
      <c r="G1725" s="61" t="str">
        <f>IFERROR(VLOOKUP(C$13&amp;$B1725,Aux!$B:$M,9,0),"")</f>
        <v/>
      </c>
      <c r="K1725" s="59" t="str">
        <f>IFERROR(VLOOKUP(K$13&amp;$B1729,Aux!$B:$M,5,0),"")</f>
        <v/>
      </c>
      <c r="L1725" s="60" t="str">
        <f>IFERROR(VLOOKUP(K$13&amp;$B1725,Aux!$B:$M,3,0),"")</f>
        <v/>
      </c>
      <c r="M1725" s="60"/>
      <c r="N1725" s="60"/>
      <c r="O1725" s="61" t="str">
        <f>IFERROR(VLOOKUP(K$13&amp;$B1725,Aux!$B:$M,9,0),"")</f>
        <v/>
      </c>
      <c r="S1725" s="59" t="str">
        <f>IFERROR(VLOOKUP(S$13&amp;$B1729,Aux!$B:$M,5,0),"")</f>
        <v/>
      </c>
      <c r="T1725" s="60" t="str">
        <f>IFERROR(VLOOKUP(S$13&amp;$B1725,Aux!$B:$M,3,0),"")</f>
        <v/>
      </c>
      <c r="U1725" s="60"/>
      <c r="V1725" s="60"/>
      <c r="W1725" s="61" t="str">
        <f>IFERROR(VLOOKUP(S$13&amp;$B1725,Aux!$B:$M,9,0),"")</f>
        <v/>
      </c>
      <c r="AA1725" s="59" t="str">
        <f>IFERROR(VLOOKUP(AA$13&amp;$B1729,Aux!$B:$M,5,0),"")</f>
        <v/>
      </c>
      <c r="AB1725" s="60" t="str">
        <f>IFERROR(VLOOKUP(AA$13&amp;$B1725,Aux!$B:$M,3,0),"")</f>
        <v/>
      </c>
      <c r="AC1725" s="60"/>
      <c r="AD1725" s="60"/>
      <c r="AE1725" s="61" t="str">
        <f>IFERROR(VLOOKUP(AA$13&amp;$B1725,Aux!$B:$M,9,0),"")</f>
        <v/>
      </c>
    </row>
    <row r="1726" spans="2:31" x14ac:dyDescent="0.25">
      <c r="B1726" s="53">
        <f t="shared" si="26"/>
        <v>343</v>
      </c>
      <c r="C1726" s="59"/>
      <c r="D1726" s="60"/>
      <c r="E1726" s="60"/>
      <c r="F1726" s="60"/>
      <c r="G1726" s="61"/>
      <c r="K1726" s="59"/>
      <c r="L1726" s="60"/>
      <c r="M1726" s="60"/>
      <c r="N1726" s="60"/>
      <c r="O1726" s="61"/>
      <c r="S1726" s="59"/>
      <c r="T1726" s="60"/>
      <c r="U1726" s="60"/>
      <c r="V1726" s="60"/>
      <c r="W1726" s="61"/>
      <c r="AA1726" s="59"/>
      <c r="AB1726" s="60"/>
      <c r="AC1726" s="60"/>
      <c r="AD1726" s="60"/>
      <c r="AE1726" s="61"/>
    </row>
    <row r="1727" spans="2:31" x14ac:dyDescent="0.25">
      <c r="B1727" s="53">
        <f t="shared" si="26"/>
        <v>343</v>
      </c>
      <c r="C1727" s="59"/>
      <c r="D1727" s="15" t="str">
        <f>IF(D1725="","","Исполнитель"&amp;": ")</f>
        <v/>
      </c>
      <c r="E1727" s="62" t="str">
        <f>IFERROR(VLOOKUP(C$13&amp;$B1727,Aux!$B:$M,4,0),"")</f>
        <v/>
      </c>
      <c r="F1727" s="62"/>
      <c r="G1727" s="63" t="str">
        <f>IFERROR(IF(VLOOKUP(C$13&amp;$B1725,Aux!$B:$M,8,0)="Да","✔","🕓"),"")</f>
        <v/>
      </c>
      <c r="K1727" s="59"/>
      <c r="L1727" s="15" t="str">
        <f>IF(L1725="","","Исполнитель"&amp;": ")</f>
        <v/>
      </c>
      <c r="M1727" s="62" t="str">
        <f>IFERROR(VLOOKUP(K$13&amp;$B1727,Aux!$B:$M,4,0),"")</f>
        <v/>
      </c>
      <c r="N1727" s="62"/>
      <c r="O1727" s="63" t="str">
        <f>IFERROR(IF(VLOOKUP(K$13&amp;$B1725,Aux!$B:$M,8,0)="Да","✔","🕓"),"")</f>
        <v/>
      </c>
      <c r="S1727" s="59"/>
      <c r="T1727" s="15" t="str">
        <f>IF(T1725="","","Исполнитель"&amp;": ")</f>
        <v/>
      </c>
      <c r="U1727" s="62" t="str">
        <f>IFERROR(VLOOKUP(S$13&amp;$B1727,Aux!$B:$M,4,0),"")</f>
        <v/>
      </c>
      <c r="V1727" s="62"/>
      <c r="W1727" s="63" t="str">
        <f>IFERROR(IF(VLOOKUP(S$13&amp;$B1725,Aux!$B:$M,8,0)="Да","✔","🕓"),"")</f>
        <v/>
      </c>
      <c r="AA1727" s="59"/>
      <c r="AB1727" s="15" t="str">
        <f>IF(AB1725="","","Исполнитель"&amp;": ")</f>
        <v/>
      </c>
      <c r="AC1727" s="62" t="str">
        <f>IFERROR(VLOOKUP(AA$13&amp;$B1727,Aux!$B:$M,4,0),"")</f>
        <v/>
      </c>
      <c r="AD1727" s="62"/>
      <c r="AE1727" s="63" t="str">
        <f>IFERROR(IF(VLOOKUP(AA$13&amp;$B1725,Aux!$B:$M,8,0)="Да","✔","🕓"),"")</f>
        <v/>
      </c>
    </row>
    <row r="1728" spans="2:31" x14ac:dyDescent="0.25">
      <c r="B1728" s="53">
        <f t="shared" si="26"/>
        <v>343</v>
      </c>
      <c r="C1728" s="59"/>
      <c r="D1728" s="16" t="str">
        <f>IF(D1725="","","Срок сдачи"&amp;": ")</f>
        <v/>
      </c>
      <c r="E1728" s="64" t="str">
        <f>IFERROR(VLOOKUP(C$13&amp;$B1728,Aux!$B:$M,6,0),"")</f>
        <v/>
      </c>
      <c r="F1728" s="64"/>
      <c r="G1728" s="63"/>
      <c r="K1728" s="59"/>
      <c r="L1728" s="16" t="str">
        <f>IF(L1725="","","Срок сдачи"&amp;": ")</f>
        <v/>
      </c>
      <c r="M1728" s="64" t="str">
        <f>IFERROR(VLOOKUP(K$13&amp;$B1728,Aux!$B:$M,6,0),"")</f>
        <v/>
      </c>
      <c r="N1728" s="64"/>
      <c r="O1728" s="63"/>
      <c r="S1728" s="59"/>
      <c r="T1728" s="16" t="str">
        <f>IF(T1725="","","Срок сдачи"&amp;": ")</f>
        <v/>
      </c>
      <c r="U1728" s="64" t="str">
        <f>IFERROR(VLOOKUP(S$13&amp;$B1728,Aux!$B:$M,6,0),"")</f>
        <v/>
      </c>
      <c r="V1728" s="64"/>
      <c r="W1728" s="63"/>
      <c r="AA1728" s="59"/>
      <c r="AB1728" s="16" t="str">
        <f>IF(AB1725="","","Срок сдачи"&amp;": ")</f>
        <v/>
      </c>
      <c r="AC1728" s="64" t="str">
        <f>IFERROR(VLOOKUP(AA$13&amp;$B1728,Aux!$B:$M,6,0),"")</f>
        <v/>
      </c>
      <c r="AD1728" s="64"/>
      <c r="AE1728" s="63"/>
    </row>
    <row r="1729" spans="2:31" x14ac:dyDescent="0.25">
      <c r="B1729" s="53">
        <f t="shared" si="26"/>
        <v>343</v>
      </c>
      <c r="C1729" s="7"/>
      <c r="D1729" s="17"/>
      <c r="E1729" s="7"/>
      <c r="F1729" s="18"/>
      <c r="G1729" s="18"/>
      <c r="K1729" s="13"/>
      <c r="L1729" s="17"/>
      <c r="M1729" s="13"/>
      <c r="N1729" s="14"/>
      <c r="O1729" s="14"/>
      <c r="S1729" s="13"/>
      <c r="T1729" s="17"/>
      <c r="U1729" s="13"/>
      <c r="V1729" s="14"/>
      <c r="W1729" s="14"/>
      <c r="AA1729" s="13"/>
      <c r="AB1729" s="17"/>
      <c r="AC1729" s="13"/>
      <c r="AD1729" s="14"/>
      <c r="AE1729" s="30"/>
    </row>
    <row r="1730" spans="2:31" x14ac:dyDescent="0.25">
      <c r="B1730" s="53">
        <f t="shared" si="26"/>
        <v>344</v>
      </c>
      <c r="C1730" s="59" t="str">
        <f>IFERROR(VLOOKUP(C$13&amp;$B1734,Aux!$B:$M,5,0),"")</f>
        <v/>
      </c>
      <c r="D1730" s="60" t="str">
        <f>IFERROR(VLOOKUP(C$13&amp;$B1730,Aux!$B:$M,3,0),"")</f>
        <v/>
      </c>
      <c r="E1730" s="60"/>
      <c r="F1730" s="60"/>
      <c r="G1730" s="61" t="str">
        <f>IFERROR(VLOOKUP(C$13&amp;$B1730,Aux!$B:$M,9,0),"")</f>
        <v/>
      </c>
      <c r="K1730" s="59" t="str">
        <f>IFERROR(VLOOKUP(K$13&amp;$B1734,Aux!$B:$M,5,0),"")</f>
        <v/>
      </c>
      <c r="L1730" s="60" t="str">
        <f>IFERROR(VLOOKUP(K$13&amp;$B1730,Aux!$B:$M,3,0),"")</f>
        <v/>
      </c>
      <c r="M1730" s="60"/>
      <c r="N1730" s="60"/>
      <c r="O1730" s="61" t="str">
        <f>IFERROR(VLOOKUP(K$13&amp;$B1730,Aux!$B:$M,9,0),"")</f>
        <v/>
      </c>
      <c r="S1730" s="59" t="str">
        <f>IFERROR(VLOOKUP(S$13&amp;$B1734,Aux!$B:$M,5,0),"")</f>
        <v/>
      </c>
      <c r="T1730" s="60" t="str">
        <f>IFERROR(VLOOKUP(S$13&amp;$B1730,Aux!$B:$M,3,0),"")</f>
        <v/>
      </c>
      <c r="U1730" s="60"/>
      <c r="V1730" s="60"/>
      <c r="W1730" s="61" t="str">
        <f>IFERROR(VLOOKUP(S$13&amp;$B1730,Aux!$B:$M,9,0),"")</f>
        <v/>
      </c>
      <c r="AA1730" s="59" t="str">
        <f>IFERROR(VLOOKUP(AA$13&amp;$B1734,Aux!$B:$M,5,0),"")</f>
        <v/>
      </c>
      <c r="AB1730" s="60" t="str">
        <f>IFERROR(VLOOKUP(AA$13&amp;$B1730,Aux!$B:$M,3,0),"")</f>
        <v/>
      </c>
      <c r="AC1730" s="60"/>
      <c r="AD1730" s="60"/>
      <c r="AE1730" s="61" t="str">
        <f>IFERROR(VLOOKUP(AA$13&amp;$B1730,Aux!$B:$M,9,0),"")</f>
        <v/>
      </c>
    </row>
    <row r="1731" spans="2:31" x14ac:dyDescent="0.25">
      <c r="B1731" s="53">
        <f t="shared" si="26"/>
        <v>344</v>
      </c>
      <c r="C1731" s="59"/>
      <c r="D1731" s="60"/>
      <c r="E1731" s="60"/>
      <c r="F1731" s="60"/>
      <c r="G1731" s="61"/>
      <c r="K1731" s="59"/>
      <c r="L1731" s="60"/>
      <c r="M1731" s="60"/>
      <c r="N1731" s="60"/>
      <c r="O1731" s="61"/>
      <c r="S1731" s="59"/>
      <c r="T1731" s="60"/>
      <c r="U1731" s="60"/>
      <c r="V1731" s="60"/>
      <c r="W1731" s="61"/>
      <c r="AA1731" s="59"/>
      <c r="AB1731" s="60"/>
      <c r="AC1731" s="60"/>
      <c r="AD1731" s="60"/>
      <c r="AE1731" s="61"/>
    </row>
    <row r="1732" spans="2:31" x14ac:dyDescent="0.25">
      <c r="B1732" s="53">
        <f t="shared" si="26"/>
        <v>344</v>
      </c>
      <c r="C1732" s="59"/>
      <c r="D1732" s="15" t="str">
        <f>IF(D1730="","","Исполнитель"&amp;": ")</f>
        <v/>
      </c>
      <c r="E1732" s="62" t="str">
        <f>IFERROR(VLOOKUP(C$13&amp;$B1732,Aux!$B:$M,4,0),"")</f>
        <v/>
      </c>
      <c r="F1732" s="62"/>
      <c r="G1732" s="63" t="str">
        <f>IFERROR(IF(VLOOKUP(C$13&amp;$B1730,Aux!$B:$M,8,0)="Да","✔","🕓"),"")</f>
        <v/>
      </c>
      <c r="K1732" s="59"/>
      <c r="L1732" s="15" t="str">
        <f>IF(L1730="","","Исполнитель"&amp;": ")</f>
        <v/>
      </c>
      <c r="M1732" s="62" t="str">
        <f>IFERROR(VLOOKUP(K$13&amp;$B1732,Aux!$B:$M,4,0),"")</f>
        <v/>
      </c>
      <c r="N1732" s="62"/>
      <c r="O1732" s="63" t="str">
        <f>IFERROR(IF(VLOOKUP(K$13&amp;$B1730,Aux!$B:$M,8,0)="Да","✔","🕓"),"")</f>
        <v/>
      </c>
      <c r="S1732" s="59"/>
      <c r="T1732" s="15" t="str">
        <f>IF(T1730="","","Исполнитель"&amp;": ")</f>
        <v/>
      </c>
      <c r="U1732" s="62" t="str">
        <f>IFERROR(VLOOKUP(S$13&amp;$B1732,Aux!$B:$M,4,0),"")</f>
        <v/>
      </c>
      <c r="V1732" s="62"/>
      <c r="W1732" s="63" t="str">
        <f>IFERROR(IF(VLOOKUP(S$13&amp;$B1730,Aux!$B:$M,8,0)="Да","✔","🕓"),"")</f>
        <v/>
      </c>
      <c r="AA1732" s="59"/>
      <c r="AB1732" s="15" t="str">
        <f>IF(AB1730="","","Исполнитель"&amp;": ")</f>
        <v/>
      </c>
      <c r="AC1732" s="62" t="str">
        <f>IFERROR(VLOOKUP(AA$13&amp;$B1732,Aux!$B:$M,4,0),"")</f>
        <v/>
      </c>
      <c r="AD1732" s="62"/>
      <c r="AE1732" s="63" t="str">
        <f>IFERROR(IF(VLOOKUP(AA$13&amp;$B1730,Aux!$B:$M,8,0)="Да","✔","🕓"),"")</f>
        <v/>
      </c>
    </row>
    <row r="1733" spans="2:31" x14ac:dyDescent="0.25">
      <c r="B1733" s="53">
        <f t="shared" si="26"/>
        <v>344</v>
      </c>
      <c r="C1733" s="59"/>
      <c r="D1733" s="16" t="str">
        <f>IF(D1730="","","Срок сдачи"&amp;": ")</f>
        <v/>
      </c>
      <c r="E1733" s="64" t="str">
        <f>IFERROR(VLOOKUP(C$13&amp;$B1733,Aux!$B:$M,6,0),"")</f>
        <v/>
      </c>
      <c r="F1733" s="64"/>
      <c r="G1733" s="63"/>
      <c r="K1733" s="59"/>
      <c r="L1733" s="16" t="str">
        <f>IF(L1730="","","Срок сдачи"&amp;": ")</f>
        <v/>
      </c>
      <c r="M1733" s="64" t="str">
        <f>IFERROR(VLOOKUP(K$13&amp;$B1733,Aux!$B:$M,6,0),"")</f>
        <v/>
      </c>
      <c r="N1733" s="64"/>
      <c r="O1733" s="63"/>
      <c r="S1733" s="59"/>
      <c r="T1733" s="16" t="str">
        <f>IF(T1730="","","Срок сдачи"&amp;": ")</f>
        <v/>
      </c>
      <c r="U1733" s="64" t="str">
        <f>IFERROR(VLOOKUP(S$13&amp;$B1733,Aux!$B:$M,6,0),"")</f>
        <v/>
      </c>
      <c r="V1733" s="64"/>
      <c r="W1733" s="63"/>
      <c r="AA1733" s="59"/>
      <c r="AB1733" s="16" t="str">
        <f>IF(AB1730="","","Срок сдачи"&amp;": ")</f>
        <v/>
      </c>
      <c r="AC1733" s="64" t="str">
        <f>IFERROR(VLOOKUP(AA$13&amp;$B1733,Aux!$B:$M,6,0),"")</f>
        <v/>
      </c>
      <c r="AD1733" s="64"/>
      <c r="AE1733" s="63"/>
    </row>
    <row r="1734" spans="2:31" x14ac:dyDescent="0.25">
      <c r="B1734" s="53">
        <f t="shared" si="26"/>
        <v>344</v>
      </c>
      <c r="C1734" s="7"/>
      <c r="D1734" s="17"/>
      <c r="E1734" s="7"/>
      <c r="F1734" s="18"/>
      <c r="G1734" s="18"/>
      <c r="K1734" s="13"/>
      <c r="L1734" s="17"/>
      <c r="M1734" s="13"/>
      <c r="N1734" s="14"/>
      <c r="O1734" s="14"/>
      <c r="S1734" s="13"/>
      <c r="T1734" s="17"/>
      <c r="U1734" s="13"/>
      <c r="V1734" s="14"/>
      <c r="W1734" s="14"/>
      <c r="AA1734" s="13"/>
      <c r="AB1734" s="17"/>
      <c r="AC1734" s="13"/>
      <c r="AD1734" s="14"/>
      <c r="AE1734" s="30"/>
    </row>
    <row r="1735" spans="2:31" x14ac:dyDescent="0.25">
      <c r="B1735" s="53">
        <f t="shared" si="26"/>
        <v>345</v>
      </c>
      <c r="C1735" s="59" t="str">
        <f>IFERROR(VLOOKUP(C$13&amp;$B1739,Aux!$B:$M,5,0),"")</f>
        <v/>
      </c>
      <c r="D1735" s="60" t="str">
        <f>IFERROR(VLOOKUP(C$13&amp;$B1735,Aux!$B:$M,3,0),"")</f>
        <v/>
      </c>
      <c r="E1735" s="60"/>
      <c r="F1735" s="60"/>
      <c r="G1735" s="61" t="str">
        <f>IFERROR(VLOOKUP(C$13&amp;$B1735,Aux!$B:$M,9,0),"")</f>
        <v/>
      </c>
      <c r="K1735" s="59" t="str">
        <f>IFERROR(VLOOKUP(K$13&amp;$B1739,Aux!$B:$M,5,0),"")</f>
        <v/>
      </c>
      <c r="L1735" s="60" t="str">
        <f>IFERROR(VLOOKUP(K$13&amp;$B1735,Aux!$B:$M,3,0),"")</f>
        <v/>
      </c>
      <c r="M1735" s="60"/>
      <c r="N1735" s="60"/>
      <c r="O1735" s="61" t="str">
        <f>IFERROR(VLOOKUP(K$13&amp;$B1735,Aux!$B:$M,9,0),"")</f>
        <v/>
      </c>
      <c r="S1735" s="59" t="str">
        <f>IFERROR(VLOOKUP(S$13&amp;$B1739,Aux!$B:$M,5,0),"")</f>
        <v/>
      </c>
      <c r="T1735" s="60" t="str">
        <f>IFERROR(VLOOKUP(S$13&amp;$B1735,Aux!$B:$M,3,0),"")</f>
        <v/>
      </c>
      <c r="U1735" s="60"/>
      <c r="V1735" s="60"/>
      <c r="W1735" s="61" t="str">
        <f>IFERROR(VLOOKUP(S$13&amp;$B1735,Aux!$B:$M,9,0),"")</f>
        <v/>
      </c>
      <c r="AA1735" s="59" t="str">
        <f>IFERROR(VLOOKUP(AA$13&amp;$B1739,Aux!$B:$M,5,0),"")</f>
        <v/>
      </c>
      <c r="AB1735" s="60" t="str">
        <f>IFERROR(VLOOKUP(AA$13&amp;$B1735,Aux!$B:$M,3,0),"")</f>
        <v/>
      </c>
      <c r="AC1735" s="60"/>
      <c r="AD1735" s="60"/>
      <c r="AE1735" s="61" t="str">
        <f>IFERROR(VLOOKUP(AA$13&amp;$B1735,Aux!$B:$M,9,0),"")</f>
        <v/>
      </c>
    </row>
    <row r="1736" spans="2:31" x14ac:dyDescent="0.25">
      <c r="B1736" s="53">
        <f t="shared" si="26"/>
        <v>345</v>
      </c>
      <c r="C1736" s="59"/>
      <c r="D1736" s="60"/>
      <c r="E1736" s="60"/>
      <c r="F1736" s="60"/>
      <c r="G1736" s="61"/>
      <c r="K1736" s="59"/>
      <c r="L1736" s="60"/>
      <c r="M1736" s="60"/>
      <c r="N1736" s="60"/>
      <c r="O1736" s="61"/>
      <c r="S1736" s="59"/>
      <c r="T1736" s="60"/>
      <c r="U1736" s="60"/>
      <c r="V1736" s="60"/>
      <c r="W1736" s="61"/>
      <c r="AA1736" s="59"/>
      <c r="AB1736" s="60"/>
      <c r="AC1736" s="60"/>
      <c r="AD1736" s="60"/>
      <c r="AE1736" s="61"/>
    </row>
    <row r="1737" spans="2:31" x14ac:dyDescent="0.25">
      <c r="B1737" s="53">
        <f t="shared" si="26"/>
        <v>345</v>
      </c>
      <c r="C1737" s="59"/>
      <c r="D1737" s="15" t="str">
        <f>IF(D1735="","","Исполнитель"&amp;": ")</f>
        <v/>
      </c>
      <c r="E1737" s="62" t="str">
        <f>IFERROR(VLOOKUP(C$13&amp;$B1737,Aux!$B:$M,4,0),"")</f>
        <v/>
      </c>
      <c r="F1737" s="62"/>
      <c r="G1737" s="63" t="str">
        <f>IFERROR(IF(VLOOKUP(C$13&amp;$B1735,Aux!$B:$M,8,0)="Да","✔","🕓"),"")</f>
        <v/>
      </c>
      <c r="K1737" s="59"/>
      <c r="L1737" s="15" t="str">
        <f>IF(L1735="","","Исполнитель"&amp;": ")</f>
        <v/>
      </c>
      <c r="M1737" s="62" t="str">
        <f>IFERROR(VLOOKUP(K$13&amp;$B1737,Aux!$B:$M,4,0),"")</f>
        <v/>
      </c>
      <c r="N1737" s="62"/>
      <c r="O1737" s="63" t="str">
        <f>IFERROR(IF(VLOOKUP(K$13&amp;$B1735,Aux!$B:$M,8,0)="Да","✔","🕓"),"")</f>
        <v/>
      </c>
      <c r="S1737" s="59"/>
      <c r="T1737" s="15" t="str">
        <f>IF(T1735="","","Исполнитель"&amp;": ")</f>
        <v/>
      </c>
      <c r="U1737" s="62" t="str">
        <f>IFERROR(VLOOKUP(S$13&amp;$B1737,Aux!$B:$M,4,0),"")</f>
        <v/>
      </c>
      <c r="V1737" s="62"/>
      <c r="W1737" s="63" t="str">
        <f>IFERROR(IF(VLOOKUP(S$13&amp;$B1735,Aux!$B:$M,8,0)="Да","✔","🕓"),"")</f>
        <v/>
      </c>
      <c r="AA1737" s="59"/>
      <c r="AB1737" s="15" t="str">
        <f>IF(AB1735="","","Исполнитель"&amp;": ")</f>
        <v/>
      </c>
      <c r="AC1737" s="62" t="str">
        <f>IFERROR(VLOOKUP(AA$13&amp;$B1737,Aux!$B:$M,4,0),"")</f>
        <v/>
      </c>
      <c r="AD1737" s="62"/>
      <c r="AE1737" s="63" t="str">
        <f>IFERROR(IF(VLOOKUP(AA$13&amp;$B1735,Aux!$B:$M,8,0)="Да","✔","🕓"),"")</f>
        <v/>
      </c>
    </row>
    <row r="1738" spans="2:31" x14ac:dyDescent="0.25">
      <c r="B1738" s="53">
        <f t="shared" si="26"/>
        <v>345</v>
      </c>
      <c r="C1738" s="59"/>
      <c r="D1738" s="16" t="str">
        <f>IF(D1735="","","Срок сдачи"&amp;": ")</f>
        <v/>
      </c>
      <c r="E1738" s="64" t="str">
        <f>IFERROR(VLOOKUP(C$13&amp;$B1738,Aux!$B:$M,6,0),"")</f>
        <v/>
      </c>
      <c r="F1738" s="64"/>
      <c r="G1738" s="63"/>
      <c r="K1738" s="59"/>
      <c r="L1738" s="16" t="str">
        <f>IF(L1735="","","Срок сдачи"&amp;": ")</f>
        <v/>
      </c>
      <c r="M1738" s="64" t="str">
        <f>IFERROR(VLOOKUP(K$13&amp;$B1738,Aux!$B:$M,6,0),"")</f>
        <v/>
      </c>
      <c r="N1738" s="64"/>
      <c r="O1738" s="63"/>
      <c r="S1738" s="59"/>
      <c r="T1738" s="16" t="str">
        <f>IF(T1735="","","Срок сдачи"&amp;": ")</f>
        <v/>
      </c>
      <c r="U1738" s="64" t="str">
        <f>IFERROR(VLOOKUP(S$13&amp;$B1738,Aux!$B:$M,6,0),"")</f>
        <v/>
      </c>
      <c r="V1738" s="64"/>
      <c r="W1738" s="63"/>
      <c r="AA1738" s="59"/>
      <c r="AB1738" s="16" t="str">
        <f>IF(AB1735="","","Срок сдачи"&amp;": ")</f>
        <v/>
      </c>
      <c r="AC1738" s="64" t="str">
        <f>IFERROR(VLOOKUP(AA$13&amp;$B1738,Aux!$B:$M,6,0),"")</f>
        <v/>
      </c>
      <c r="AD1738" s="64"/>
      <c r="AE1738" s="63"/>
    </row>
    <row r="1739" spans="2:31" x14ac:dyDescent="0.25">
      <c r="B1739" s="53">
        <f t="shared" si="26"/>
        <v>345</v>
      </c>
      <c r="C1739" s="7"/>
      <c r="D1739" s="17"/>
      <c r="E1739" s="7"/>
      <c r="F1739" s="18"/>
      <c r="G1739" s="18"/>
      <c r="K1739" s="13"/>
      <c r="L1739" s="17"/>
      <c r="M1739" s="13"/>
      <c r="N1739" s="14"/>
      <c r="O1739" s="14"/>
      <c r="S1739" s="13"/>
      <c r="T1739" s="17"/>
      <c r="U1739" s="13"/>
      <c r="V1739" s="14"/>
      <c r="W1739" s="14"/>
      <c r="AA1739" s="13"/>
      <c r="AB1739" s="17"/>
      <c r="AC1739" s="13"/>
      <c r="AD1739" s="14"/>
      <c r="AE1739" s="30"/>
    </row>
    <row r="1740" spans="2:31" x14ac:dyDescent="0.25">
      <c r="B1740" s="53">
        <f t="shared" si="26"/>
        <v>346</v>
      </c>
      <c r="C1740" s="59" t="str">
        <f>IFERROR(VLOOKUP(C$13&amp;$B1744,Aux!$B:$M,5,0),"")</f>
        <v/>
      </c>
      <c r="D1740" s="60" t="str">
        <f>IFERROR(VLOOKUP(C$13&amp;$B1740,Aux!$B:$M,3,0),"")</f>
        <v/>
      </c>
      <c r="E1740" s="60"/>
      <c r="F1740" s="60"/>
      <c r="G1740" s="61" t="str">
        <f>IFERROR(VLOOKUP(C$13&amp;$B1740,Aux!$B:$M,9,0),"")</f>
        <v/>
      </c>
      <c r="K1740" s="59" t="str">
        <f>IFERROR(VLOOKUP(K$13&amp;$B1744,Aux!$B:$M,5,0),"")</f>
        <v/>
      </c>
      <c r="L1740" s="60" t="str">
        <f>IFERROR(VLOOKUP(K$13&amp;$B1740,Aux!$B:$M,3,0),"")</f>
        <v/>
      </c>
      <c r="M1740" s="60"/>
      <c r="N1740" s="60"/>
      <c r="O1740" s="61" t="str">
        <f>IFERROR(VLOOKUP(K$13&amp;$B1740,Aux!$B:$M,9,0),"")</f>
        <v/>
      </c>
      <c r="S1740" s="59" t="str">
        <f>IFERROR(VLOOKUP(S$13&amp;$B1744,Aux!$B:$M,5,0),"")</f>
        <v/>
      </c>
      <c r="T1740" s="60" t="str">
        <f>IFERROR(VLOOKUP(S$13&amp;$B1740,Aux!$B:$M,3,0),"")</f>
        <v/>
      </c>
      <c r="U1740" s="60"/>
      <c r="V1740" s="60"/>
      <c r="W1740" s="61" t="str">
        <f>IFERROR(VLOOKUP(S$13&amp;$B1740,Aux!$B:$M,9,0),"")</f>
        <v/>
      </c>
      <c r="AA1740" s="59" t="str">
        <f>IFERROR(VLOOKUP(AA$13&amp;$B1744,Aux!$B:$M,5,0),"")</f>
        <v/>
      </c>
      <c r="AB1740" s="60" t="str">
        <f>IFERROR(VLOOKUP(AA$13&amp;$B1740,Aux!$B:$M,3,0),"")</f>
        <v/>
      </c>
      <c r="AC1740" s="60"/>
      <c r="AD1740" s="60"/>
      <c r="AE1740" s="61" t="str">
        <f>IFERROR(VLOOKUP(AA$13&amp;$B1740,Aux!$B:$M,9,0),"")</f>
        <v/>
      </c>
    </row>
    <row r="1741" spans="2:31" x14ac:dyDescent="0.25">
      <c r="B1741" s="53">
        <f t="shared" si="26"/>
        <v>346</v>
      </c>
      <c r="C1741" s="59"/>
      <c r="D1741" s="60"/>
      <c r="E1741" s="60"/>
      <c r="F1741" s="60"/>
      <c r="G1741" s="61"/>
      <c r="K1741" s="59"/>
      <c r="L1741" s="60"/>
      <c r="M1741" s="60"/>
      <c r="N1741" s="60"/>
      <c r="O1741" s="61"/>
      <c r="S1741" s="59"/>
      <c r="T1741" s="60"/>
      <c r="U1741" s="60"/>
      <c r="V1741" s="60"/>
      <c r="W1741" s="61"/>
      <c r="AA1741" s="59"/>
      <c r="AB1741" s="60"/>
      <c r="AC1741" s="60"/>
      <c r="AD1741" s="60"/>
      <c r="AE1741" s="61"/>
    </row>
    <row r="1742" spans="2:31" x14ac:dyDescent="0.25">
      <c r="B1742" s="53">
        <f t="shared" si="26"/>
        <v>346</v>
      </c>
      <c r="C1742" s="59"/>
      <c r="D1742" s="15" t="str">
        <f>IF(D1740="","","Исполнитель"&amp;": ")</f>
        <v/>
      </c>
      <c r="E1742" s="62" t="str">
        <f>IFERROR(VLOOKUP(C$13&amp;$B1742,Aux!$B:$M,4,0),"")</f>
        <v/>
      </c>
      <c r="F1742" s="62"/>
      <c r="G1742" s="63" t="str">
        <f>IFERROR(IF(VLOOKUP(C$13&amp;$B1740,Aux!$B:$M,8,0)="Да","✔","🕓"),"")</f>
        <v/>
      </c>
      <c r="K1742" s="59"/>
      <c r="L1742" s="15" t="str">
        <f>IF(L1740="","","Исполнитель"&amp;": ")</f>
        <v/>
      </c>
      <c r="M1742" s="62" t="str">
        <f>IFERROR(VLOOKUP(K$13&amp;$B1742,Aux!$B:$M,4,0),"")</f>
        <v/>
      </c>
      <c r="N1742" s="62"/>
      <c r="O1742" s="63" t="str">
        <f>IFERROR(IF(VLOOKUP(K$13&amp;$B1740,Aux!$B:$M,8,0)="Да","✔","🕓"),"")</f>
        <v/>
      </c>
      <c r="S1742" s="59"/>
      <c r="T1742" s="15" t="str">
        <f>IF(T1740="","","Исполнитель"&amp;": ")</f>
        <v/>
      </c>
      <c r="U1742" s="62" t="str">
        <f>IFERROR(VLOOKUP(S$13&amp;$B1742,Aux!$B:$M,4,0),"")</f>
        <v/>
      </c>
      <c r="V1742" s="62"/>
      <c r="W1742" s="63" t="str">
        <f>IFERROR(IF(VLOOKUP(S$13&amp;$B1740,Aux!$B:$M,8,0)="Да","✔","🕓"),"")</f>
        <v/>
      </c>
      <c r="AA1742" s="59"/>
      <c r="AB1742" s="15" t="str">
        <f>IF(AB1740="","","Исполнитель"&amp;": ")</f>
        <v/>
      </c>
      <c r="AC1742" s="62" t="str">
        <f>IFERROR(VLOOKUP(AA$13&amp;$B1742,Aux!$B:$M,4,0),"")</f>
        <v/>
      </c>
      <c r="AD1742" s="62"/>
      <c r="AE1742" s="63" t="str">
        <f>IFERROR(IF(VLOOKUP(AA$13&amp;$B1740,Aux!$B:$M,8,0)="Да","✔","🕓"),"")</f>
        <v/>
      </c>
    </row>
    <row r="1743" spans="2:31" x14ac:dyDescent="0.25">
      <c r="B1743" s="53">
        <f t="shared" si="26"/>
        <v>346</v>
      </c>
      <c r="C1743" s="59"/>
      <c r="D1743" s="16" t="str">
        <f>IF(D1740="","","Срок сдачи"&amp;": ")</f>
        <v/>
      </c>
      <c r="E1743" s="64" t="str">
        <f>IFERROR(VLOOKUP(C$13&amp;$B1743,Aux!$B:$M,6,0),"")</f>
        <v/>
      </c>
      <c r="F1743" s="64"/>
      <c r="G1743" s="63"/>
      <c r="K1743" s="59"/>
      <c r="L1743" s="16" t="str">
        <f>IF(L1740="","","Срок сдачи"&amp;": ")</f>
        <v/>
      </c>
      <c r="M1743" s="64" t="str">
        <f>IFERROR(VLOOKUP(K$13&amp;$B1743,Aux!$B:$M,6,0),"")</f>
        <v/>
      </c>
      <c r="N1743" s="64"/>
      <c r="O1743" s="63"/>
      <c r="S1743" s="59"/>
      <c r="T1743" s="16" t="str">
        <f>IF(T1740="","","Срок сдачи"&amp;": ")</f>
        <v/>
      </c>
      <c r="U1743" s="64" t="str">
        <f>IFERROR(VLOOKUP(S$13&amp;$B1743,Aux!$B:$M,6,0),"")</f>
        <v/>
      </c>
      <c r="V1743" s="64"/>
      <c r="W1743" s="63"/>
      <c r="AA1743" s="59"/>
      <c r="AB1743" s="16" t="str">
        <f>IF(AB1740="","","Срок сдачи"&amp;": ")</f>
        <v/>
      </c>
      <c r="AC1743" s="64" t="str">
        <f>IFERROR(VLOOKUP(AA$13&amp;$B1743,Aux!$B:$M,6,0),"")</f>
        <v/>
      </c>
      <c r="AD1743" s="64"/>
      <c r="AE1743" s="63"/>
    </row>
    <row r="1744" spans="2:31" x14ac:dyDescent="0.25">
      <c r="B1744" s="53">
        <f t="shared" si="26"/>
        <v>346</v>
      </c>
      <c r="C1744" s="7"/>
      <c r="D1744" s="17"/>
      <c r="E1744" s="7"/>
      <c r="F1744" s="18"/>
      <c r="G1744" s="18"/>
      <c r="K1744" s="13"/>
      <c r="L1744" s="17"/>
      <c r="M1744" s="13"/>
      <c r="N1744" s="14"/>
      <c r="O1744" s="14"/>
      <c r="S1744" s="13"/>
      <c r="T1744" s="17"/>
      <c r="U1744" s="13"/>
      <c r="V1744" s="14"/>
      <c r="W1744" s="14"/>
      <c r="AA1744" s="13"/>
      <c r="AB1744" s="17"/>
      <c r="AC1744" s="13"/>
      <c r="AD1744" s="14"/>
      <c r="AE1744" s="30"/>
    </row>
    <row r="1745" spans="2:31" x14ac:dyDescent="0.25">
      <c r="B1745" s="53">
        <f t="shared" si="26"/>
        <v>347</v>
      </c>
      <c r="C1745" s="59" t="str">
        <f>IFERROR(VLOOKUP(C$13&amp;$B1749,Aux!$B:$M,5,0),"")</f>
        <v/>
      </c>
      <c r="D1745" s="60" t="str">
        <f>IFERROR(VLOOKUP(C$13&amp;$B1745,Aux!$B:$M,3,0),"")</f>
        <v/>
      </c>
      <c r="E1745" s="60"/>
      <c r="F1745" s="60"/>
      <c r="G1745" s="61" t="str">
        <f>IFERROR(VLOOKUP(C$13&amp;$B1745,Aux!$B:$M,9,0),"")</f>
        <v/>
      </c>
      <c r="K1745" s="59" t="str">
        <f>IFERROR(VLOOKUP(K$13&amp;$B1749,Aux!$B:$M,5,0),"")</f>
        <v/>
      </c>
      <c r="L1745" s="60" t="str">
        <f>IFERROR(VLOOKUP(K$13&amp;$B1745,Aux!$B:$M,3,0),"")</f>
        <v/>
      </c>
      <c r="M1745" s="60"/>
      <c r="N1745" s="60"/>
      <c r="O1745" s="61" t="str">
        <f>IFERROR(VLOOKUP(K$13&amp;$B1745,Aux!$B:$M,9,0),"")</f>
        <v/>
      </c>
      <c r="S1745" s="59" t="str">
        <f>IFERROR(VLOOKUP(S$13&amp;$B1749,Aux!$B:$M,5,0),"")</f>
        <v/>
      </c>
      <c r="T1745" s="60" t="str">
        <f>IFERROR(VLOOKUP(S$13&amp;$B1745,Aux!$B:$M,3,0),"")</f>
        <v/>
      </c>
      <c r="U1745" s="60"/>
      <c r="V1745" s="60"/>
      <c r="W1745" s="61" t="str">
        <f>IFERROR(VLOOKUP(S$13&amp;$B1745,Aux!$B:$M,9,0),"")</f>
        <v/>
      </c>
      <c r="AA1745" s="59" t="str">
        <f>IFERROR(VLOOKUP(AA$13&amp;$B1749,Aux!$B:$M,5,0),"")</f>
        <v/>
      </c>
      <c r="AB1745" s="60" t="str">
        <f>IFERROR(VLOOKUP(AA$13&amp;$B1745,Aux!$B:$M,3,0),"")</f>
        <v/>
      </c>
      <c r="AC1745" s="60"/>
      <c r="AD1745" s="60"/>
      <c r="AE1745" s="61" t="str">
        <f>IFERROR(VLOOKUP(AA$13&amp;$B1745,Aux!$B:$M,9,0),"")</f>
        <v/>
      </c>
    </row>
    <row r="1746" spans="2:31" x14ac:dyDescent="0.25">
      <c r="B1746" s="53">
        <f t="shared" si="26"/>
        <v>347</v>
      </c>
      <c r="C1746" s="59"/>
      <c r="D1746" s="60"/>
      <c r="E1746" s="60"/>
      <c r="F1746" s="60"/>
      <c r="G1746" s="61"/>
      <c r="K1746" s="59"/>
      <c r="L1746" s="60"/>
      <c r="M1746" s="60"/>
      <c r="N1746" s="60"/>
      <c r="O1746" s="61"/>
      <c r="S1746" s="59"/>
      <c r="T1746" s="60"/>
      <c r="U1746" s="60"/>
      <c r="V1746" s="60"/>
      <c r="W1746" s="61"/>
      <c r="AA1746" s="59"/>
      <c r="AB1746" s="60"/>
      <c r="AC1746" s="60"/>
      <c r="AD1746" s="60"/>
      <c r="AE1746" s="61"/>
    </row>
    <row r="1747" spans="2:31" x14ac:dyDescent="0.25">
      <c r="B1747" s="53">
        <f t="shared" si="26"/>
        <v>347</v>
      </c>
      <c r="C1747" s="59"/>
      <c r="D1747" s="15" t="str">
        <f>IF(D1745="","","Исполнитель"&amp;": ")</f>
        <v/>
      </c>
      <c r="E1747" s="62" t="str">
        <f>IFERROR(VLOOKUP(C$13&amp;$B1747,Aux!$B:$M,4,0),"")</f>
        <v/>
      </c>
      <c r="F1747" s="62"/>
      <c r="G1747" s="63" t="str">
        <f>IFERROR(IF(VLOOKUP(C$13&amp;$B1745,Aux!$B:$M,8,0)="Да","✔","🕓"),"")</f>
        <v/>
      </c>
      <c r="K1747" s="59"/>
      <c r="L1747" s="15" t="str">
        <f>IF(L1745="","","Исполнитель"&amp;": ")</f>
        <v/>
      </c>
      <c r="M1747" s="62" t="str">
        <f>IFERROR(VLOOKUP(K$13&amp;$B1747,Aux!$B:$M,4,0),"")</f>
        <v/>
      </c>
      <c r="N1747" s="62"/>
      <c r="O1747" s="63" t="str">
        <f>IFERROR(IF(VLOOKUP(K$13&amp;$B1745,Aux!$B:$M,8,0)="Да","✔","🕓"),"")</f>
        <v/>
      </c>
      <c r="S1747" s="59"/>
      <c r="T1747" s="15" t="str">
        <f>IF(T1745="","","Исполнитель"&amp;": ")</f>
        <v/>
      </c>
      <c r="U1747" s="62" t="str">
        <f>IFERROR(VLOOKUP(S$13&amp;$B1747,Aux!$B:$M,4,0),"")</f>
        <v/>
      </c>
      <c r="V1747" s="62"/>
      <c r="W1747" s="63" t="str">
        <f>IFERROR(IF(VLOOKUP(S$13&amp;$B1745,Aux!$B:$M,8,0)="Да","✔","🕓"),"")</f>
        <v/>
      </c>
      <c r="AA1747" s="59"/>
      <c r="AB1747" s="15" t="str">
        <f>IF(AB1745="","","Исполнитель"&amp;": ")</f>
        <v/>
      </c>
      <c r="AC1747" s="62" t="str">
        <f>IFERROR(VLOOKUP(AA$13&amp;$B1747,Aux!$B:$M,4,0),"")</f>
        <v/>
      </c>
      <c r="AD1747" s="62"/>
      <c r="AE1747" s="63" t="str">
        <f>IFERROR(IF(VLOOKUP(AA$13&amp;$B1745,Aux!$B:$M,8,0)="Да","✔","🕓"),"")</f>
        <v/>
      </c>
    </row>
    <row r="1748" spans="2:31" x14ac:dyDescent="0.25">
      <c r="B1748" s="53">
        <f t="shared" si="26"/>
        <v>347</v>
      </c>
      <c r="C1748" s="59"/>
      <c r="D1748" s="16" t="str">
        <f>IF(D1745="","","Срок сдачи"&amp;": ")</f>
        <v/>
      </c>
      <c r="E1748" s="64" t="str">
        <f>IFERROR(VLOOKUP(C$13&amp;$B1748,Aux!$B:$M,6,0),"")</f>
        <v/>
      </c>
      <c r="F1748" s="64"/>
      <c r="G1748" s="63"/>
      <c r="K1748" s="59"/>
      <c r="L1748" s="16" t="str">
        <f>IF(L1745="","","Срок сдачи"&amp;": ")</f>
        <v/>
      </c>
      <c r="M1748" s="64" t="str">
        <f>IFERROR(VLOOKUP(K$13&amp;$B1748,Aux!$B:$M,6,0),"")</f>
        <v/>
      </c>
      <c r="N1748" s="64"/>
      <c r="O1748" s="63"/>
      <c r="S1748" s="59"/>
      <c r="T1748" s="16" t="str">
        <f>IF(T1745="","","Срок сдачи"&amp;": ")</f>
        <v/>
      </c>
      <c r="U1748" s="64" t="str">
        <f>IFERROR(VLOOKUP(S$13&amp;$B1748,Aux!$B:$M,6,0),"")</f>
        <v/>
      </c>
      <c r="V1748" s="64"/>
      <c r="W1748" s="63"/>
      <c r="AA1748" s="59"/>
      <c r="AB1748" s="16" t="str">
        <f>IF(AB1745="","","Срок сдачи"&amp;": ")</f>
        <v/>
      </c>
      <c r="AC1748" s="64" t="str">
        <f>IFERROR(VLOOKUP(AA$13&amp;$B1748,Aux!$B:$M,6,0),"")</f>
        <v/>
      </c>
      <c r="AD1748" s="64"/>
      <c r="AE1748" s="63"/>
    </row>
    <row r="1749" spans="2:31" x14ac:dyDescent="0.25">
      <c r="B1749" s="53">
        <f t="shared" ref="B1749:B1812" si="27">B1744+1</f>
        <v>347</v>
      </c>
      <c r="C1749" s="7"/>
      <c r="D1749" s="17"/>
      <c r="E1749" s="7"/>
      <c r="F1749" s="18"/>
      <c r="G1749" s="18"/>
      <c r="K1749" s="13"/>
      <c r="L1749" s="17"/>
      <c r="M1749" s="13"/>
      <c r="N1749" s="14"/>
      <c r="O1749" s="14"/>
      <c r="S1749" s="13"/>
      <c r="T1749" s="17"/>
      <c r="U1749" s="13"/>
      <c r="V1749" s="14"/>
      <c r="W1749" s="14"/>
      <c r="AA1749" s="13"/>
      <c r="AB1749" s="17"/>
      <c r="AC1749" s="13"/>
      <c r="AD1749" s="14"/>
      <c r="AE1749" s="30"/>
    </row>
    <row r="1750" spans="2:31" x14ac:dyDescent="0.25">
      <c r="B1750" s="53">
        <f t="shared" si="27"/>
        <v>348</v>
      </c>
      <c r="C1750" s="59" t="str">
        <f>IFERROR(VLOOKUP(C$13&amp;$B1754,Aux!$B:$M,5,0),"")</f>
        <v/>
      </c>
      <c r="D1750" s="60" t="str">
        <f>IFERROR(VLOOKUP(C$13&amp;$B1750,Aux!$B:$M,3,0),"")</f>
        <v/>
      </c>
      <c r="E1750" s="60"/>
      <c r="F1750" s="60"/>
      <c r="G1750" s="61" t="str">
        <f>IFERROR(VLOOKUP(C$13&amp;$B1750,Aux!$B:$M,9,0),"")</f>
        <v/>
      </c>
      <c r="K1750" s="59" t="str">
        <f>IFERROR(VLOOKUP(K$13&amp;$B1754,Aux!$B:$M,5,0),"")</f>
        <v/>
      </c>
      <c r="L1750" s="60" t="str">
        <f>IFERROR(VLOOKUP(K$13&amp;$B1750,Aux!$B:$M,3,0),"")</f>
        <v/>
      </c>
      <c r="M1750" s="60"/>
      <c r="N1750" s="60"/>
      <c r="O1750" s="61" t="str">
        <f>IFERROR(VLOOKUP(K$13&amp;$B1750,Aux!$B:$M,9,0),"")</f>
        <v/>
      </c>
      <c r="S1750" s="59" t="str">
        <f>IFERROR(VLOOKUP(S$13&amp;$B1754,Aux!$B:$M,5,0),"")</f>
        <v/>
      </c>
      <c r="T1750" s="60" t="str">
        <f>IFERROR(VLOOKUP(S$13&amp;$B1750,Aux!$B:$M,3,0),"")</f>
        <v/>
      </c>
      <c r="U1750" s="60"/>
      <c r="V1750" s="60"/>
      <c r="W1750" s="61" t="str">
        <f>IFERROR(VLOOKUP(S$13&amp;$B1750,Aux!$B:$M,9,0),"")</f>
        <v/>
      </c>
      <c r="AA1750" s="59" t="str">
        <f>IFERROR(VLOOKUP(AA$13&amp;$B1754,Aux!$B:$M,5,0),"")</f>
        <v/>
      </c>
      <c r="AB1750" s="60" t="str">
        <f>IFERROR(VLOOKUP(AA$13&amp;$B1750,Aux!$B:$M,3,0),"")</f>
        <v/>
      </c>
      <c r="AC1750" s="60"/>
      <c r="AD1750" s="60"/>
      <c r="AE1750" s="61" t="str">
        <f>IFERROR(VLOOKUP(AA$13&amp;$B1750,Aux!$B:$M,9,0),"")</f>
        <v/>
      </c>
    </row>
    <row r="1751" spans="2:31" x14ac:dyDescent="0.25">
      <c r="B1751" s="53">
        <f t="shared" si="27"/>
        <v>348</v>
      </c>
      <c r="C1751" s="59"/>
      <c r="D1751" s="60"/>
      <c r="E1751" s="60"/>
      <c r="F1751" s="60"/>
      <c r="G1751" s="61"/>
      <c r="K1751" s="59"/>
      <c r="L1751" s="60"/>
      <c r="M1751" s="60"/>
      <c r="N1751" s="60"/>
      <c r="O1751" s="61"/>
      <c r="S1751" s="59"/>
      <c r="T1751" s="60"/>
      <c r="U1751" s="60"/>
      <c r="V1751" s="60"/>
      <c r="W1751" s="61"/>
      <c r="AA1751" s="59"/>
      <c r="AB1751" s="60"/>
      <c r="AC1751" s="60"/>
      <c r="AD1751" s="60"/>
      <c r="AE1751" s="61"/>
    </row>
    <row r="1752" spans="2:31" x14ac:dyDescent="0.25">
      <c r="B1752" s="53">
        <f t="shared" si="27"/>
        <v>348</v>
      </c>
      <c r="C1752" s="59"/>
      <c r="D1752" s="15" t="str">
        <f>IF(D1750="","","Исполнитель"&amp;": ")</f>
        <v/>
      </c>
      <c r="E1752" s="62" t="str">
        <f>IFERROR(VLOOKUP(C$13&amp;$B1752,Aux!$B:$M,4,0),"")</f>
        <v/>
      </c>
      <c r="F1752" s="62"/>
      <c r="G1752" s="63" t="str">
        <f>IFERROR(IF(VLOOKUP(C$13&amp;$B1750,Aux!$B:$M,8,0)="Да","✔","🕓"),"")</f>
        <v/>
      </c>
      <c r="K1752" s="59"/>
      <c r="L1752" s="15" t="str">
        <f>IF(L1750="","","Исполнитель"&amp;": ")</f>
        <v/>
      </c>
      <c r="M1752" s="62" t="str">
        <f>IFERROR(VLOOKUP(K$13&amp;$B1752,Aux!$B:$M,4,0),"")</f>
        <v/>
      </c>
      <c r="N1752" s="62"/>
      <c r="O1752" s="63" t="str">
        <f>IFERROR(IF(VLOOKUP(K$13&amp;$B1750,Aux!$B:$M,8,0)="Да","✔","🕓"),"")</f>
        <v/>
      </c>
      <c r="S1752" s="59"/>
      <c r="T1752" s="15" t="str">
        <f>IF(T1750="","","Исполнитель"&amp;": ")</f>
        <v/>
      </c>
      <c r="U1752" s="62" t="str">
        <f>IFERROR(VLOOKUP(S$13&amp;$B1752,Aux!$B:$M,4,0),"")</f>
        <v/>
      </c>
      <c r="V1752" s="62"/>
      <c r="W1752" s="63" t="str">
        <f>IFERROR(IF(VLOOKUP(S$13&amp;$B1750,Aux!$B:$M,8,0)="Да","✔","🕓"),"")</f>
        <v/>
      </c>
      <c r="AA1752" s="59"/>
      <c r="AB1752" s="15" t="str">
        <f>IF(AB1750="","","Исполнитель"&amp;": ")</f>
        <v/>
      </c>
      <c r="AC1752" s="62" t="str">
        <f>IFERROR(VLOOKUP(AA$13&amp;$B1752,Aux!$B:$M,4,0),"")</f>
        <v/>
      </c>
      <c r="AD1752" s="62"/>
      <c r="AE1752" s="63" t="str">
        <f>IFERROR(IF(VLOOKUP(AA$13&amp;$B1750,Aux!$B:$M,8,0)="Да","✔","🕓"),"")</f>
        <v/>
      </c>
    </row>
    <row r="1753" spans="2:31" x14ac:dyDescent="0.25">
      <c r="B1753" s="53">
        <f t="shared" si="27"/>
        <v>348</v>
      </c>
      <c r="C1753" s="59"/>
      <c r="D1753" s="16" t="str">
        <f>IF(D1750="","","Срок сдачи"&amp;": ")</f>
        <v/>
      </c>
      <c r="E1753" s="64" t="str">
        <f>IFERROR(VLOOKUP(C$13&amp;$B1753,Aux!$B:$M,6,0),"")</f>
        <v/>
      </c>
      <c r="F1753" s="64"/>
      <c r="G1753" s="63"/>
      <c r="K1753" s="59"/>
      <c r="L1753" s="16" t="str">
        <f>IF(L1750="","","Срок сдачи"&amp;": ")</f>
        <v/>
      </c>
      <c r="M1753" s="64" t="str">
        <f>IFERROR(VLOOKUP(K$13&amp;$B1753,Aux!$B:$M,6,0),"")</f>
        <v/>
      </c>
      <c r="N1753" s="64"/>
      <c r="O1753" s="63"/>
      <c r="S1753" s="59"/>
      <c r="T1753" s="16" t="str">
        <f>IF(T1750="","","Срок сдачи"&amp;": ")</f>
        <v/>
      </c>
      <c r="U1753" s="64" t="str">
        <f>IFERROR(VLOOKUP(S$13&amp;$B1753,Aux!$B:$M,6,0),"")</f>
        <v/>
      </c>
      <c r="V1753" s="64"/>
      <c r="W1753" s="63"/>
      <c r="AA1753" s="59"/>
      <c r="AB1753" s="16" t="str">
        <f>IF(AB1750="","","Срок сдачи"&amp;": ")</f>
        <v/>
      </c>
      <c r="AC1753" s="64" t="str">
        <f>IFERROR(VLOOKUP(AA$13&amp;$B1753,Aux!$B:$M,6,0),"")</f>
        <v/>
      </c>
      <c r="AD1753" s="64"/>
      <c r="AE1753" s="63"/>
    </row>
    <row r="1754" spans="2:31" x14ac:dyDescent="0.25">
      <c r="B1754" s="53">
        <f t="shared" si="27"/>
        <v>348</v>
      </c>
      <c r="C1754" s="7"/>
      <c r="D1754" s="17"/>
      <c r="E1754" s="7"/>
      <c r="F1754" s="18"/>
      <c r="G1754" s="18"/>
      <c r="K1754" s="13"/>
      <c r="L1754" s="17"/>
      <c r="M1754" s="13"/>
      <c r="N1754" s="14"/>
      <c r="O1754" s="14"/>
      <c r="S1754" s="13"/>
      <c r="T1754" s="17"/>
      <c r="U1754" s="13"/>
      <c r="V1754" s="14"/>
      <c r="W1754" s="14"/>
      <c r="AA1754" s="13"/>
      <c r="AB1754" s="17"/>
      <c r="AC1754" s="13"/>
      <c r="AD1754" s="14"/>
      <c r="AE1754" s="30"/>
    </row>
    <row r="1755" spans="2:31" x14ac:dyDescent="0.25">
      <c r="B1755" s="53">
        <f t="shared" si="27"/>
        <v>349</v>
      </c>
      <c r="C1755" s="59" t="str">
        <f>IFERROR(VLOOKUP(C$13&amp;$B1759,Aux!$B:$M,5,0),"")</f>
        <v/>
      </c>
      <c r="D1755" s="60" t="str">
        <f>IFERROR(VLOOKUP(C$13&amp;$B1755,Aux!$B:$M,3,0),"")</f>
        <v/>
      </c>
      <c r="E1755" s="60"/>
      <c r="F1755" s="60"/>
      <c r="G1755" s="61" t="str">
        <f>IFERROR(VLOOKUP(C$13&amp;$B1755,Aux!$B:$M,9,0),"")</f>
        <v/>
      </c>
      <c r="K1755" s="59" t="str">
        <f>IFERROR(VLOOKUP(K$13&amp;$B1759,Aux!$B:$M,5,0),"")</f>
        <v/>
      </c>
      <c r="L1755" s="60" t="str">
        <f>IFERROR(VLOOKUP(K$13&amp;$B1755,Aux!$B:$M,3,0),"")</f>
        <v/>
      </c>
      <c r="M1755" s="60"/>
      <c r="N1755" s="60"/>
      <c r="O1755" s="61" t="str">
        <f>IFERROR(VLOOKUP(K$13&amp;$B1755,Aux!$B:$M,9,0),"")</f>
        <v/>
      </c>
      <c r="S1755" s="59" t="str">
        <f>IFERROR(VLOOKUP(S$13&amp;$B1759,Aux!$B:$M,5,0),"")</f>
        <v/>
      </c>
      <c r="T1755" s="60" t="str">
        <f>IFERROR(VLOOKUP(S$13&amp;$B1755,Aux!$B:$M,3,0),"")</f>
        <v/>
      </c>
      <c r="U1755" s="60"/>
      <c r="V1755" s="60"/>
      <c r="W1755" s="61" t="str">
        <f>IFERROR(VLOOKUP(S$13&amp;$B1755,Aux!$B:$M,9,0),"")</f>
        <v/>
      </c>
      <c r="AA1755" s="59" t="str">
        <f>IFERROR(VLOOKUP(AA$13&amp;$B1759,Aux!$B:$M,5,0),"")</f>
        <v/>
      </c>
      <c r="AB1755" s="60" t="str">
        <f>IFERROR(VLOOKUP(AA$13&amp;$B1755,Aux!$B:$M,3,0),"")</f>
        <v/>
      </c>
      <c r="AC1755" s="60"/>
      <c r="AD1755" s="60"/>
      <c r="AE1755" s="61" t="str">
        <f>IFERROR(VLOOKUP(AA$13&amp;$B1755,Aux!$B:$M,9,0),"")</f>
        <v/>
      </c>
    </row>
    <row r="1756" spans="2:31" x14ac:dyDescent="0.25">
      <c r="B1756" s="53">
        <f t="shared" si="27"/>
        <v>349</v>
      </c>
      <c r="C1756" s="59"/>
      <c r="D1756" s="60"/>
      <c r="E1756" s="60"/>
      <c r="F1756" s="60"/>
      <c r="G1756" s="61"/>
      <c r="K1756" s="59"/>
      <c r="L1756" s="60"/>
      <c r="M1756" s="60"/>
      <c r="N1756" s="60"/>
      <c r="O1756" s="61"/>
      <c r="S1756" s="59"/>
      <c r="T1756" s="60"/>
      <c r="U1756" s="60"/>
      <c r="V1756" s="60"/>
      <c r="W1756" s="61"/>
      <c r="AA1756" s="59"/>
      <c r="AB1756" s="60"/>
      <c r="AC1756" s="60"/>
      <c r="AD1756" s="60"/>
      <c r="AE1756" s="61"/>
    </row>
    <row r="1757" spans="2:31" x14ac:dyDescent="0.25">
      <c r="B1757" s="53">
        <f t="shared" si="27"/>
        <v>349</v>
      </c>
      <c r="C1757" s="59"/>
      <c r="D1757" s="15" t="str">
        <f>IF(D1755="","","Исполнитель"&amp;": ")</f>
        <v/>
      </c>
      <c r="E1757" s="62" t="str">
        <f>IFERROR(VLOOKUP(C$13&amp;$B1757,Aux!$B:$M,4,0),"")</f>
        <v/>
      </c>
      <c r="F1757" s="62"/>
      <c r="G1757" s="63" t="str">
        <f>IFERROR(IF(VLOOKUP(C$13&amp;$B1755,Aux!$B:$M,8,0)="Да","✔","🕓"),"")</f>
        <v/>
      </c>
      <c r="K1757" s="59"/>
      <c r="L1757" s="15" t="str">
        <f>IF(L1755="","","Исполнитель"&amp;": ")</f>
        <v/>
      </c>
      <c r="M1757" s="62" t="str">
        <f>IFERROR(VLOOKUP(K$13&amp;$B1757,Aux!$B:$M,4,0),"")</f>
        <v/>
      </c>
      <c r="N1757" s="62"/>
      <c r="O1757" s="63" t="str">
        <f>IFERROR(IF(VLOOKUP(K$13&amp;$B1755,Aux!$B:$M,8,0)="Да","✔","🕓"),"")</f>
        <v/>
      </c>
      <c r="S1757" s="59"/>
      <c r="T1757" s="15" t="str">
        <f>IF(T1755="","","Исполнитель"&amp;": ")</f>
        <v/>
      </c>
      <c r="U1757" s="62" t="str">
        <f>IFERROR(VLOOKUP(S$13&amp;$B1757,Aux!$B:$M,4,0),"")</f>
        <v/>
      </c>
      <c r="V1757" s="62"/>
      <c r="W1757" s="63" t="str">
        <f>IFERROR(IF(VLOOKUP(S$13&amp;$B1755,Aux!$B:$M,8,0)="Да","✔","🕓"),"")</f>
        <v/>
      </c>
      <c r="AA1757" s="59"/>
      <c r="AB1757" s="15" t="str">
        <f>IF(AB1755="","","Исполнитель"&amp;": ")</f>
        <v/>
      </c>
      <c r="AC1757" s="62" t="str">
        <f>IFERROR(VLOOKUP(AA$13&amp;$B1757,Aux!$B:$M,4,0),"")</f>
        <v/>
      </c>
      <c r="AD1757" s="62"/>
      <c r="AE1757" s="63" t="str">
        <f>IFERROR(IF(VLOOKUP(AA$13&amp;$B1755,Aux!$B:$M,8,0)="Да","✔","🕓"),"")</f>
        <v/>
      </c>
    </row>
    <row r="1758" spans="2:31" x14ac:dyDescent="0.25">
      <c r="B1758" s="53">
        <f t="shared" si="27"/>
        <v>349</v>
      </c>
      <c r="C1758" s="59"/>
      <c r="D1758" s="16" t="str">
        <f>IF(D1755="","","Срок сдачи"&amp;": ")</f>
        <v/>
      </c>
      <c r="E1758" s="64" t="str">
        <f>IFERROR(VLOOKUP(C$13&amp;$B1758,Aux!$B:$M,6,0),"")</f>
        <v/>
      </c>
      <c r="F1758" s="64"/>
      <c r="G1758" s="63"/>
      <c r="K1758" s="59"/>
      <c r="L1758" s="16" t="str">
        <f>IF(L1755="","","Срок сдачи"&amp;": ")</f>
        <v/>
      </c>
      <c r="M1758" s="64" t="str">
        <f>IFERROR(VLOOKUP(K$13&amp;$B1758,Aux!$B:$M,6,0),"")</f>
        <v/>
      </c>
      <c r="N1758" s="64"/>
      <c r="O1758" s="63"/>
      <c r="S1758" s="59"/>
      <c r="T1758" s="16" t="str">
        <f>IF(T1755="","","Срок сдачи"&amp;": ")</f>
        <v/>
      </c>
      <c r="U1758" s="64" t="str">
        <f>IFERROR(VLOOKUP(S$13&amp;$B1758,Aux!$B:$M,6,0),"")</f>
        <v/>
      </c>
      <c r="V1758" s="64"/>
      <c r="W1758" s="63"/>
      <c r="AA1758" s="59"/>
      <c r="AB1758" s="16" t="str">
        <f>IF(AB1755="","","Срок сдачи"&amp;": ")</f>
        <v/>
      </c>
      <c r="AC1758" s="64" t="str">
        <f>IFERROR(VLOOKUP(AA$13&amp;$B1758,Aux!$B:$M,6,0),"")</f>
        <v/>
      </c>
      <c r="AD1758" s="64"/>
      <c r="AE1758" s="63"/>
    </row>
    <row r="1759" spans="2:31" x14ac:dyDescent="0.25">
      <c r="B1759" s="53">
        <f t="shared" si="27"/>
        <v>349</v>
      </c>
      <c r="C1759" s="7"/>
      <c r="D1759" s="17"/>
      <c r="E1759" s="7"/>
      <c r="F1759" s="18"/>
      <c r="G1759" s="18"/>
      <c r="K1759" s="13"/>
      <c r="L1759" s="17"/>
      <c r="M1759" s="13"/>
      <c r="N1759" s="14"/>
      <c r="O1759" s="14"/>
      <c r="S1759" s="13"/>
      <c r="T1759" s="17"/>
      <c r="U1759" s="13"/>
      <c r="V1759" s="14"/>
      <c r="W1759" s="14"/>
      <c r="AA1759" s="13"/>
      <c r="AB1759" s="17"/>
      <c r="AC1759" s="13"/>
      <c r="AD1759" s="14"/>
      <c r="AE1759" s="30"/>
    </row>
    <row r="1760" spans="2:31" x14ac:dyDescent="0.25">
      <c r="B1760" s="53">
        <f t="shared" si="27"/>
        <v>350</v>
      </c>
      <c r="C1760" s="59" t="str">
        <f>IFERROR(VLOOKUP(C$13&amp;$B1764,Aux!$B:$M,5,0),"")</f>
        <v/>
      </c>
      <c r="D1760" s="60" t="str">
        <f>IFERROR(VLOOKUP(C$13&amp;$B1760,Aux!$B:$M,3,0),"")</f>
        <v/>
      </c>
      <c r="E1760" s="60"/>
      <c r="F1760" s="60"/>
      <c r="G1760" s="61" t="str">
        <f>IFERROR(VLOOKUP(C$13&amp;$B1760,Aux!$B:$M,9,0),"")</f>
        <v/>
      </c>
      <c r="K1760" s="59" t="str">
        <f>IFERROR(VLOOKUP(K$13&amp;$B1764,Aux!$B:$M,5,0),"")</f>
        <v/>
      </c>
      <c r="L1760" s="60" t="str">
        <f>IFERROR(VLOOKUP(K$13&amp;$B1760,Aux!$B:$M,3,0),"")</f>
        <v/>
      </c>
      <c r="M1760" s="60"/>
      <c r="N1760" s="60"/>
      <c r="O1760" s="61" t="str">
        <f>IFERROR(VLOOKUP(K$13&amp;$B1760,Aux!$B:$M,9,0),"")</f>
        <v/>
      </c>
      <c r="S1760" s="59" t="str">
        <f>IFERROR(VLOOKUP(S$13&amp;$B1764,Aux!$B:$M,5,0),"")</f>
        <v/>
      </c>
      <c r="T1760" s="60" t="str">
        <f>IFERROR(VLOOKUP(S$13&amp;$B1760,Aux!$B:$M,3,0),"")</f>
        <v/>
      </c>
      <c r="U1760" s="60"/>
      <c r="V1760" s="60"/>
      <c r="W1760" s="61" t="str">
        <f>IFERROR(VLOOKUP(S$13&amp;$B1760,Aux!$B:$M,9,0),"")</f>
        <v/>
      </c>
      <c r="AA1760" s="59" t="str">
        <f>IFERROR(VLOOKUP(AA$13&amp;$B1764,Aux!$B:$M,5,0),"")</f>
        <v/>
      </c>
      <c r="AB1760" s="60" t="str">
        <f>IFERROR(VLOOKUP(AA$13&amp;$B1760,Aux!$B:$M,3,0),"")</f>
        <v/>
      </c>
      <c r="AC1760" s="60"/>
      <c r="AD1760" s="60"/>
      <c r="AE1760" s="61" t="str">
        <f>IFERROR(VLOOKUP(AA$13&amp;$B1760,Aux!$B:$M,9,0),"")</f>
        <v/>
      </c>
    </row>
    <row r="1761" spans="2:31" x14ac:dyDescent="0.25">
      <c r="B1761" s="53">
        <f t="shared" si="27"/>
        <v>350</v>
      </c>
      <c r="C1761" s="59"/>
      <c r="D1761" s="60"/>
      <c r="E1761" s="60"/>
      <c r="F1761" s="60"/>
      <c r="G1761" s="61"/>
      <c r="K1761" s="59"/>
      <c r="L1761" s="60"/>
      <c r="M1761" s="60"/>
      <c r="N1761" s="60"/>
      <c r="O1761" s="61"/>
      <c r="S1761" s="59"/>
      <c r="T1761" s="60"/>
      <c r="U1761" s="60"/>
      <c r="V1761" s="60"/>
      <c r="W1761" s="61"/>
      <c r="AA1761" s="59"/>
      <c r="AB1761" s="60"/>
      <c r="AC1761" s="60"/>
      <c r="AD1761" s="60"/>
      <c r="AE1761" s="61"/>
    </row>
    <row r="1762" spans="2:31" x14ac:dyDescent="0.25">
      <c r="B1762" s="53">
        <f t="shared" si="27"/>
        <v>350</v>
      </c>
      <c r="C1762" s="59"/>
      <c r="D1762" s="15" t="str">
        <f>IF(D1760="","","Исполнитель"&amp;": ")</f>
        <v/>
      </c>
      <c r="E1762" s="62" t="str">
        <f>IFERROR(VLOOKUP(C$13&amp;$B1762,Aux!$B:$M,4,0),"")</f>
        <v/>
      </c>
      <c r="F1762" s="62"/>
      <c r="G1762" s="63" t="str">
        <f>IFERROR(IF(VLOOKUP(C$13&amp;$B1760,Aux!$B:$M,8,0)="Да","✔","🕓"),"")</f>
        <v/>
      </c>
      <c r="K1762" s="59"/>
      <c r="L1762" s="15" t="str">
        <f>IF(L1760="","","Исполнитель"&amp;": ")</f>
        <v/>
      </c>
      <c r="M1762" s="62" t="str">
        <f>IFERROR(VLOOKUP(K$13&amp;$B1762,Aux!$B:$M,4,0),"")</f>
        <v/>
      </c>
      <c r="N1762" s="62"/>
      <c r="O1762" s="63" t="str">
        <f>IFERROR(IF(VLOOKUP(K$13&amp;$B1760,Aux!$B:$M,8,0)="Да","✔","🕓"),"")</f>
        <v/>
      </c>
      <c r="S1762" s="59"/>
      <c r="T1762" s="15" t="str">
        <f>IF(T1760="","","Исполнитель"&amp;": ")</f>
        <v/>
      </c>
      <c r="U1762" s="62" t="str">
        <f>IFERROR(VLOOKUP(S$13&amp;$B1762,Aux!$B:$M,4,0),"")</f>
        <v/>
      </c>
      <c r="V1762" s="62"/>
      <c r="W1762" s="63" t="str">
        <f>IFERROR(IF(VLOOKUP(S$13&amp;$B1760,Aux!$B:$M,8,0)="Да","✔","🕓"),"")</f>
        <v/>
      </c>
      <c r="AA1762" s="59"/>
      <c r="AB1762" s="15" t="str">
        <f>IF(AB1760="","","Исполнитель"&amp;": ")</f>
        <v/>
      </c>
      <c r="AC1762" s="62" t="str">
        <f>IFERROR(VLOOKUP(AA$13&amp;$B1762,Aux!$B:$M,4,0),"")</f>
        <v/>
      </c>
      <c r="AD1762" s="62"/>
      <c r="AE1762" s="63" t="str">
        <f>IFERROR(IF(VLOOKUP(AA$13&amp;$B1760,Aux!$B:$M,8,0)="Да","✔","🕓"),"")</f>
        <v/>
      </c>
    </row>
    <row r="1763" spans="2:31" x14ac:dyDescent="0.25">
      <c r="B1763" s="53">
        <f t="shared" si="27"/>
        <v>350</v>
      </c>
      <c r="C1763" s="59"/>
      <c r="D1763" s="16" t="str">
        <f>IF(D1760="","","Срок сдачи"&amp;": ")</f>
        <v/>
      </c>
      <c r="E1763" s="64" t="str">
        <f>IFERROR(VLOOKUP(C$13&amp;$B1763,Aux!$B:$M,6,0),"")</f>
        <v/>
      </c>
      <c r="F1763" s="64"/>
      <c r="G1763" s="63"/>
      <c r="K1763" s="59"/>
      <c r="L1763" s="16" t="str">
        <f>IF(L1760="","","Срок сдачи"&amp;": ")</f>
        <v/>
      </c>
      <c r="M1763" s="64" t="str">
        <f>IFERROR(VLOOKUP(K$13&amp;$B1763,Aux!$B:$M,6,0),"")</f>
        <v/>
      </c>
      <c r="N1763" s="64"/>
      <c r="O1763" s="63"/>
      <c r="S1763" s="59"/>
      <c r="T1763" s="16" t="str">
        <f>IF(T1760="","","Срок сдачи"&amp;": ")</f>
        <v/>
      </c>
      <c r="U1763" s="64" t="str">
        <f>IFERROR(VLOOKUP(S$13&amp;$B1763,Aux!$B:$M,6,0),"")</f>
        <v/>
      </c>
      <c r="V1763" s="64"/>
      <c r="W1763" s="63"/>
      <c r="AA1763" s="59"/>
      <c r="AB1763" s="16" t="str">
        <f>IF(AB1760="","","Срок сдачи"&amp;": ")</f>
        <v/>
      </c>
      <c r="AC1763" s="64" t="str">
        <f>IFERROR(VLOOKUP(AA$13&amp;$B1763,Aux!$B:$M,6,0),"")</f>
        <v/>
      </c>
      <c r="AD1763" s="64"/>
      <c r="AE1763" s="63"/>
    </row>
    <row r="1764" spans="2:31" x14ac:dyDescent="0.25">
      <c r="B1764" s="53">
        <f t="shared" si="27"/>
        <v>350</v>
      </c>
      <c r="C1764" s="7"/>
      <c r="D1764" s="17"/>
      <c r="E1764" s="7"/>
      <c r="F1764" s="18"/>
      <c r="G1764" s="18"/>
      <c r="K1764" s="13"/>
      <c r="L1764" s="17"/>
      <c r="M1764" s="13"/>
      <c r="N1764" s="14"/>
      <c r="O1764" s="14"/>
      <c r="S1764" s="13"/>
      <c r="T1764" s="17"/>
      <c r="U1764" s="13"/>
      <c r="V1764" s="14"/>
      <c r="W1764" s="14"/>
      <c r="AA1764" s="13"/>
      <c r="AB1764" s="17"/>
      <c r="AC1764" s="13"/>
      <c r="AD1764" s="14"/>
      <c r="AE1764" s="30"/>
    </row>
    <row r="1765" spans="2:31" x14ac:dyDescent="0.25">
      <c r="B1765" s="53">
        <f t="shared" si="27"/>
        <v>351</v>
      </c>
      <c r="C1765" s="59" t="str">
        <f>IFERROR(VLOOKUP(C$13&amp;$B1769,Aux!$B:$M,5,0),"")</f>
        <v/>
      </c>
      <c r="D1765" s="60" t="str">
        <f>IFERROR(VLOOKUP(C$13&amp;$B1765,Aux!$B:$M,3,0),"")</f>
        <v/>
      </c>
      <c r="E1765" s="60"/>
      <c r="F1765" s="60"/>
      <c r="G1765" s="61" t="str">
        <f>IFERROR(VLOOKUP(C$13&amp;$B1765,Aux!$B:$M,9,0),"")</f>
        <v/>
      </c>
      <c r="K1765" s="59" t="str">
        <f>IFERROR(VLOOKUP(K$13&amp;$B1769,Aux!$B:$M,5,0),"")</f>
        <v/>
      </c>
      <c r="L1765" s="60" t="str">
        <f>IFERROR(VLOOKUP(K$13&amp;$B1765,Aux!$B:$M,3,0),"")</f>
        <v/>
      </c>
      <c r="M1765" s="60"/>
      <c r="N1765" s="60"/>
      <c r="O1765" s="61" t="str">
        <f>IFERROR(VLOOKUP(K$13&amp;$B1765,Aux!$B:$M,9,0),"")</f>
        <v/>
      </c>
      <c r="S1765" s="59" t="str">
        <f>IFERROR(VLOOKUP(S$13&amp;$B1769,Aux!$B:$M,5,0),"")</f>
        <v/>
      </c>
      <c r="T1765" s="60" t="str">
        <f>IFERROR(VLOOKUP(S$13&amp;$B1765,Aux!$B:$M,3,0),"")</f>
        <v/>
      </c>
      <c r="U1765" s="60"/>
      <c r="V1765" s="60"/>
      <c r="W1765" s="61" t="str">
        <f>IFERROR(VLOOKUP(S$13&amp;$B1765,Aux!$B:$M,9,0),"")</f>
        <v/>
      </c>
      <c r="AA1765" s="59" t="str">
        <f>IFERROR(VLOOKUP(AA$13&amp;$B1769,Aux!$B:$M,5,0),"")</f>
        <v/>
      </c>
      <c r="AB1765" s="60" t="str">
        <f>IFERROR(VLOOKUP(AA$13&amp;$B1765,Aux!$B:$M,3,0),"")</f>
        <v/>
      </c>
      <c r="AC1765" s="60"/>
      <c r="AD1765" s="60"/>
      <c r="AE1765" s="61" t="str">
        <f>IFERROR(VLOOKUP(AA$13&amp;$B1765,Aux!$B:$M,9,0),"")</f>
        <v/>
      </c>
    </row>
    <row r="1766" spans="2:31" x14ac:dyDescent="0.25">
      <c r="B1766" s="53">
        <f t="shared" si="27"/>
        <v>351</v>
      </c>
      <c r="C1766" s="59"/>
      <c r="D1766" s="60"/>
      <c r="E1766" s="60"/>
      <c r="F1766" s="60"/>
      <c r="G1766" s="61"/>
      <c r="K1766" s="59"/>
      <c r="L1766" s="60"/>
      <c r="M1766" s="60"/>
      <c r="N1766" s="60"/>
      <c r="O1766" s="61"/>
      <c r="S1766" s="59"/>
      <c r="T1766" s="60"/>
      <c r="U1766" s="60"/>
      <c r="V1766" s="60"/>
      <c r="W1766" s="61"/>
      <c r="AA1766" s="59"/>
      <c r="AB1766" s="60"/>
      <c r="AC1766" s="60"/>
      <c r="AD1766" s="60"/>
      <c r="AE1766" s="61"/>
    </row>
    <row r="1767" spans="2:31" x14ac:dyDescent="0.25">
      <c r="B1767" s="53">
        <f t="shared" si="27"/>
        <v>351</v>
      </c>
      <c r="C1767" s="59"/>
      <c r="D1767" s="15" t="str">
        <f>IF(D1765="","","Исполнитель"&amp;": ")</f>
        <v/>
      </c>
      <c r="E1767" s="62" t="str">
        <f>IFERROR(VLOOKUP(C$13&amp;$B1767,Aux!$B:$M,4,0),"")</f>
        <v/>
      </c>
      <c r="F1767" s="62"/>
      <c r="G1767" s="63" t="str">
        <f>IFERROR(IF(VLOOKUP(C$13&amp;$B1765,Aux!$B:$M,8,0)="Да","✔","🕓"),"")</f>
        <v/>
      </c>
      <c r="K1767" s="59"/>
      <c r="L1767" s="15" t="str">
        <f>IF(L1765="","","Исполнитель"&amp;": ")</f>
        <v/>
      </c>
      <c r="M1767" s="62" t="str">
        <f>IFERROR(VLOOKUP(K$13&amp;$B1767,Aux!$B:$M,4,0),"")</f>
        <v/>
      </c>
      <c r="N1767" s="62"/>
      <c r="O1767" s="63" t="str">
        <f>IFERROR(IF(VLOOKUP(K$13&amp;$B1765,Aux!$B:$M,8,0)="Да","✔","🕓"),"")</f>
        <v/>
      </c>
      <c r="S1767" s="59"/>
      <c r="T1767" s="15" t="str">
        <f>IF(T1765="","","Исполнитель"&amp;": ")</f>
        <v/>
      </c>
      <c r="U1767" s="62" t="str">
        <f>IFERROR(VLOOKUP(S$13&amp;$B1767,Aux!$B:$M,4,0),"")</f>
        <v/>
      </c>
      <c r="V1767" s="62"/>
      <c r="W1767" s="63" t="str">
        <f>IFERROR(IF(VLOOKUP(S$13&amp;$B1765,Aux!$B:$M,8,0)="Да","✔","🕓"),"")</f>
        <v/>
      </c>
      <c r="AA1767" s="59"/>
      <c r="AB1767" s="15" t="str">
        <f>IF(AB1765="","","Исполнитель"&amp;": ")</f>
        <v/>
      </c>
      <c r="AC1767" s="62" t="str">
        <f>IFERROR(VLOOKUP(AA$13&amp;$B1767,Aux!$B:$M,4,0),"")</f>
        <v/>
      </c>
      <c r="AD1767" s="62"/>
      <c r="AE1767" s="63" t="str">
        <f>IFERROR(IF(VLOOKUP(AA$13&amp;$B1765,Aux!$B:$M,8,0)="Да","✔","🕓"),"")</f>
        <v/>
      </c>
    </row>
    <row r="1768" spans="2:31" x14ac:dyDescent="0.25">
      <c r="B1768" s="53">
        <f t="shared" si="27"/>
        <v>351</v>
      </c>
      <c r="C1768" s="59"/>
      <c r="D1768" s="16" t="str">
        <f>IF(D1765="","","Срок сдачи"&amp;": ")</f>
        <v/>
      </c>
      <c r="E1768" s="64" t="str">
        <f>IFERROR(VLOOKUP(C$13&amp;$B1768,Aux!$B:$M,6,0),"")</f>
        <v/>
      </c>
      <c r="F1768" s="64"/>
      <c r="G1768" s="63"/>
      <c r="K1768" s="59"/>
      <c r="L1768" s="16" t="str">
        <f>IF(L1765="","","Срок сдачи"&amp;": ")</f>
        <v/>
      </c>
      <c r="M1768" s="64" t="str">
        <f>IFERROR(VLOOKUP(K$13&amp;$B1768,Aux!$B:$M,6,0),"")</f>
        <v/>
      </c>
      <c r="N1768" s="64"/>
      <c r="O1768" s="63"/>
      <c r="S1768" s="59"/>
      <c r="T1768" s="16" t="str">
        <f>IF(T1765="","","Срок сдачи"&amp;": ")</f>
        <v/>
      </c>
      <c r="U1768" s="64" t="str">
        <f>IFERROR(VLOOKUP(S$13&amp;$B1768,Aux!$B:$M,6,0),"")</f>
        <v/>
      </c>
      <c r="V1768" s="64"/>
      <c r="W1768" s="63"/>
      <c r="AA1768" s="59"/>
      <c r="AB1768" s="16" t="str">
        <f>IF(AB1765="","","Срок сдачи"&amp;": ")</f>
        <v/>
      </c>
      <c r="AC1768" s="64" t="str">
        <f>IFERROR(VLOOKUP(AA$13&amp;$B1768,Aux!$B:$M,6,0),"")</f>
        <v/>
      </c>
      <c r="AD1768" s="64"/>
      <c r="AE1768" s="63"/>
    </row>
    <row r="1769" spans="2:31" x14ac:dyDescent="0.25">
      <c r="B1769" s="53">
        <f t="shared" si="27"/>
        <v>351</v>
      </c>
      <c r="C1769" s="7"/>
      <c r="D1769" s="17"/>
      <c r="E1769" s="7"/>
      <c r="F1769" s="18"/>
      <c r="G1769" s="18"/>
      <c r="K1769" s="13"/>
      <c r="L1769" s="17"/>
      <c r="M1769" s="13"/>
      <c r="N1769" s="14"/>
      <c r="O1769" s="14"/>
      <c r="S1769" s="13"/>
      <c r="T1769" s="17"/>
      <c r="U1769" s="13"/>
      <c r="V1769" s="14"/>
      <c r="W1769" s="14"/>
      <c r="AA1769" s="13"/>
      <c r="AB1769" s="17"/>
      <c r="AC1769" s="13"/>
      <c r="AD1769" s="14"/>
      <c r="AE1769" s="30"/>
    </row>
    <row r="1770" spans="2:31" x14ac:dyDescent="0.25">
      <c r="B1770" s="53">
        <f t="shared" si="27"/>
        <v>352</v>
      </c>
      <c r="C1770" s="59" t="str">
        <f>IFERROR(VLOOKUP(C$13&amp;$B1774,Aux!$B:$M,5,0),"")</f>
        <v/>
      </c>
      <c r="D1770" s="60" t="str">
        <f>IFERROR(VLOOKUP(C$13&amp;$B1770,Aux!$B:$M,3,0),"")</f>
        <v/>
      </c>
      <c r="E1770" s="60"/>
      <c r="F1770" s="60"/>
      <c r="G1770" s="61" t="str">
        <f>IFERROR(VLOOKUP(C$13&amp;$B1770,Aux!$B:$M,9,0),"")</f>
        <v/>
      </c>
      <c r="K1770" s="59" t="str">
        <f>IFERROR(VLOOKUP(K$13&amp;$B1774,Aux!$B:$M,5,0),"")</f>
        <v/>
      </c>
      <c r="L1770" s="60" t="str">
        <f>IFERROR(VLOOKUP(K$13&amp;$B1770,Aux!$B:$M,3,0),"")</f>
        <v/>
      </c>
      <c r="M1770" s="60"/>
      <c r="N1770" s="60"/>
      <c r="O1770" s="61" t="str">
        <f>IFERROR(VLOOKUP(K$13&amp;$B1770,Aux!$B:$M,9,0),"")</f>
        <v/>
      </c>
      <c r="S1770" s="59" t="str">
        <f>IFERROR(VLOOKUP(S$13&amp;$B1774,Aux!$B:$M,5,0),"")</f>
        <v/>
      </c>
      <c r="T1770" s="60" t="str">
        <f>IFERROR(VLOOKUP(S$13&amp;$B1770,Aux!$B:$M,3,0),"")</f>
        <v/>
      </c>
      <c r="U1770" s="60"/>
      <c r="V1770" s="60"/>
      <c r="W1770" s="61" t="str">
        <f>IFERROR(VLOOKUP(S$13&amp;$B1770,Aux!$B:$M,9,0),"")</f>
        <v/>
      </c>
      <c r="AA1770" s="59" t="str">
        <f>IFERROR(VLOOKUP(AA$13&amp;$B1774,Aux!$B:$M,5,0),"")</f>
        <v/>
      </c>
      <c r="AB1770" s="60" t="str">
        <f>IFERROR(VLOOKUP(AA$13&amp;$B1770,Aux!$B:$M,3,0),"")</f>
        <v/>
      </c>
      <c r="AC1770" s="60"/>
      <c r="AD1770" s="60"/>
      <c r="AE1770" s="61" t="str">
        <f>IFERROR(VLOOKUP(AA$13&amp;$B1770,Aux!$B:$M,9,0),"")</f>
        <v/>
      </c>
    </row>
    <row r="1771" spans="2:31" x14ac:dyDescent="0.25">
      <c r="B1771" s="53">
        <f t="shared" si="27"/>
        <v>352</v>
      </c>
      <c r="C1771" s="59"/>
      <c r="D1771" s="60"/>
      <c r="E1771" s="60"/>
      <c r="F1771" s="60"/>
      <c r="G1771" s="61"/>
      <c r="K1771" s="59"/>
      <c r="L1771" s="60"/>
      <c r="M1771" s="60"/>
      <c r="N1771" s="60"/>
      <c r="O1771" s="61"/>
      <c r="S1771" s="59"/>
      <c r="T1771" s="60"/>
      <c r="U1771" s="60"/>
      <c r="V1771" s="60"/>
      <c r="W1771" s="61"/>
      <c r="AA1771" s="59"/>
      <c r="AB1771" s="60"/>
      <c r="AC1771" s="60"/>
      <c r="AD1771" s="60"/>
      <c r="AE1771" s="61"/>
    </row>
    <row r="1772" spans="2:31" x14ac:dyDescent="0.25">
      <c r="B1772" s="53">
        <f t="shared" si="27"/>
        <v>352</v>
      </c>
      <c r="C1772" s="59"/>
      <c r="D1772" s="15" t="str">
        <f>IF(D1770="","","Исполнитель"&amp;": ")</f>
        <v/>
      </c>
      <c r="E1772" s="62" t="str">
        <f>IFERROR(VLOOKUP(C$13&amp;$B1772,Aux!$B:$M,4,0),"")</f>
        <v/>
      </c>
      <c r="F1772" s="62"/>
      <c r="G1772" s="63" t="str">
        <f>IFERROR(IF(VLOOKUP(C$13&amp;$B1770,Aux!$B:$M,8,0)="Да","✔","🕓"),"")</f>
        <v/>
      </c>
      <c r="K1772" s="59"/>
      <c r="L1772" s="15" t="str">
        <f>IF(L1770="","","Исполнитель"&amp;": ")</f>
        <v/>
      </c>
      <c r="M1772" s="62" t="str">
        <f>IFERROR(VLOOKUP(K$13&amp;$B1772,Aux!$B:$M,4,0),"")</f>
        <v/>
      </c>
      <c r="N1772" s="62"/>
      <c r="O1772" s="63" t="str">
        <f>IFERROR(IF(VLOOKUP(K$13&amp;$B1770,Aux!$B:$M,8,0)="Да","✔","🕓"),"")</f>
        <v/>
      </c>
      <c r="S1772" s="59"/>
      <c r="T1772" s="15" t="str">
        <f>IF(T1770="","","Исполнитель"&amp;": ")</f>
        <v/>
      </c>
      <c r="U1772" s="62" t="str">
        <f>IFERROR(VLOOKUP(S$13&amp;$B1772,Aux!$B:$M,4,0),"")</f>
        <v/>
      </c>
      <c r="V1772" s="62"/>
      <c r="W1772" s="63" t="str">
        <f>IFERROR(IF(VLOOKUP(S$13&amp;$B1770,Aux!$B:$M,8,0)="Да","✔","🕓"),"")</f>
        <v/>
      </c>
      <c r="AA1772" s="59"/>
      <c r="AB1772" s="15" t="str">
        <f>IF(AB1770="","","Исполнитель"&amp;": ")</f>
        <v/>
      </c>
      <c r="AC1772" s="62" t="str">
        <f>IFERROR(VLOOKUP(AA$13&amp;$B1772,Aux!$B:$M,4,0),"")</f>
        <v/>
      </c>
      <c r="AD1772" s="62"/>
      <c r="AE1772" s="63" t="str">
        <f>IFERROR(IF(VLOOKUP(AA$13&amp;$B1770,Aux!$B:$M,8,0)="Да","✔","🕓"),"")</f>
        <v/>
      </c>
    </row>
    <row r="1773" spans="2:31" x14ac:dyDescent="0.25">
      <c r="B1773" s="53">
        <f t="shared" si="27"/>
        <v>352</v>
      </c>
      <c r="C1773" s="59"/>
      <c r="D1773" s="16" t="str">
        <f>IF(D1770="","","Срок сдачи"&amp;": ")</f>
        <v/>
      </c>
      <c r="E1773" s="64" t="str">
        <f>IFERROR(VLOOKUP(C$13&amp;$B1773,Aux!$B:$M,6,0),"")</f>
        <v/>
      </c>
      <c r="F1773" s="64"/>
      <c r="G1773" s="63"/>
      <c r="K1773" s="59"/>
      <c r="L1773" s="16" t="str">
        <f>IF(L1770="","","Срок сдачи"&amp;": ")</f>
        <v/>
      </c>
      <c r="M1773" s="64" t="str">
        <f>IFERROR(VLOOKUP(K$13&amp;$B1773,Aux!$B:$M,6,0),"")</f>
        <v/>
      </c>
      <c r="N1773" s="64"/>
      <c r="O1773" s="63"/>
      <c r="S1773" s="59"/>
      <c r="T1773" s="16" t="str">
        <f>IF(T1770="","","Срок сдачи"&amp;": ")</f>
        <v/>
      </c>
      <c r="U1773" s="64" t="str">
        <f>IFERROR(VLOOKUP(S$13&amp;$B1773,Aux!$B:$M,6,0),"")</f>
        <v/>
      </c>
      <c r="V1773" s="64"/>
      <c r="W1773" s="63"/>
      <c r="AA1773" s="59"/>
      <c r="AB1773" s="16" t="str">
        <f>IF(AB1770="","","Срок сдачи"&amp;": ")</f>
        <v/>
      </c>
      <c r="AC1773" s="64" t="str">
        <f>IFERROR(VLOOKUP(AA$13&amp;$B1773,Aux!$B:$M,6,0),"")</f>
        <v/>
      </c>
      <c r="AD1773" s="64"/>
      <c r="AE1773" s="63"/>
    </row>
    <row r="1774" spans="2:31" x14ac:dyDescent="0.25">
      <c r="B1774" s="53">
        <f t="shared" si="27"/>
        <v>352</v>
      </c>
      <c r="C1774" s="7"/>
      <c r="D1774" s="17"/>
      <c r="E1774" s="7"/>
      <c r="F1774" s="18"/>
      <c r="G1774" s="18"/>
      <c r="K1774" s="13"/>
      <c r="L1774" s="17"/>
      <c r="M1774" s="13"/>
      <c r="N1774" s="14"/>
      <c r="O1774" s="14"/>
      <c r="S1774" s="13"/>
      <c r="T1774" s="17"/>
      <c r="U1774" s="13"/>
      <c r="V1774" s="14"/>
      <c r="W1774" s="14"/>
      <c r="AA1774" s="13"/>
      <c r="AB1774" s="17"/>
      <c r="AC1774" s="13"/>
      <c r="AD1774" s="14"/>
      <c r="AE1774" s="30"/>
    </row>
    <row r="1775" spans="2:31" x14ac:dyDescent="0.25">
      <c r="B1775" s="53">
        <f t="shared" si="27"/>
        <v>353</v>
      </c>
      <c r="C1775" s="59" t="str">
        <f>IFERROR(VLOOKUP(C$13&amp;$B1779,Aux!$B:$M,5,0),"")</f>
        <v/>
      </c>
      <c r="D1775" s="60" t="str">
        <f>IFERROR(VLOOKUP(C$13&amp;$B1775,Aux!$B:$M,3,0),"")</f>
        <v/>
      </c>
      <c r="E1775" s="60"/>
      <c r="F1775" s="60"/>
      <c r="G1775" s="61" t="str">
        <f>IFERROR(VLOOKUP(C$13&amp;$B1775,Aux!$B:$M,9,0),"")</f>
        <v/>
      </c>
      <c r="K1775" s="59" t="str">
        <f>IFERROR(VLOOKUP(K$13&amp;$B1779,Aux!$B:$M,5,0),"")</f>
        <v/>
      </c>
      <c r="L1775" s="60" t="str">
        <f>IFERROR(VLOOKUP(K$13&amp;$B1775,Aux!$B:$M,3,0),"")</f>
        <v/>
      </c>
      <c r="M1775" s="60"/>
      <c r="N1775" s="60"/>
      <c r="O1775" s="61" t="str">
        <f>IFERROR(VLOOKUP(K$13&amp;$B1775,Aux!$B:$M,9,0),"")</f>
        <v/>
      </c>
      <c r="S1775" s="59" t="str">
        <f>IFERROR(VLOOKUP(S$13&amp;$B1779,Aux!$B:$M,5,0),"")</f>
        <v/>
      </c>
      <c r="T1775" s="60" t="str">
        <f>IFERROR(VLOOKUP(S$13&amp;$B1775,Aux!$B:$M,3,0),"")</f>
        <v/>
      </c>
      <c r="U1775" s="60"/>
      <c r="V1775" s="60"/>
      <c r="W1775" s="61" t="str">
        <f>IFERROR(VLOOKUP(S$13&amp;$B1775,Aux!$B:$M,9,0),"")</f>
        <v/>
      </c>
      <c r="AA1775" s="59" t="str">
        <f>IFERROR(VLOOKUP(AA$13&amp;$B1779,Aux!$B:$M,5,0),"")</f>
        <v/>
      </c>
      <c r="AB1775" s="60" t="str">
        <f>IFERROR(VLOOKUP(AA$13&amp;$B1775,Aux!$B:$M,3,0),"")</f>
        <v/>
      </c>
      <c r="AC1775" s="60"/>
      <c r="AD1775" s="60"/>
      <c r="AE1775" s="61" t="str">
        <f>IFERROR(VLOOKUP(AA$13&amp;$B1775,Aux!$B:$M,9,0),"")</f>
        <v/>
      </c>
    </row>
    <row r="1776" spans="2:31" x14ac:dyDescent="0.25">
      <c r="B1776" s="53">
        <f t="shared" si="27"/>
        <v>353</v>
      </c>
      <c r="C1776" s="59"/>
      <c r="D1776" s="60"/>
      <c r="E1776" s="60"/>
      <c r="F1776" s="60"/>
      <c r="G1776" s="61"/>
      <c r="K1776" s="59"/>
      <c r="L1776" s="60"/>
      <c r="M1776" s="60"/>
      <c r="N1776" s="60"/>
      <c r="O1776" s="61"/>
      <c r="S1776" s="59"/>
      <c r="T1776" s="60"/>
      <c r="U1776" s="60"/>
      <c r="V1776" s="60"/>
      <c r="W1776" s="61"/>
      <c r="AA1776" s="59"/>
      <c r="AB1776" s="60"/>
      <c r="AC1776" s="60"/>
      <c r="AD1776" s="60"/>
      <c r="AE1776" s="61"/>
    </row>
    <row r="1777" spans="2:31" x14ac:dyDescent="0.25">
      <c r="B1777" s="53">
        <f t="shared" si="27"/>
        <v>353</v>
      </c>
      <c r="C1777" s="59"/>
      <c r="D1777" s="15" t="str">
        <f>IF(D1775="","","Исполнитель"&amp;": ")</f>
        <v/>
      </c>
      <c r="E1777" s="62" t="str">
        <f>IFERROR(VLOOKUP(C$13&amp;$B1777,Aux!$B:$M,4,0),"")</f>
        <v/>
      </c>
      <c r="F1777" s="62"/>
      <c r="G1777" s="63" t="str">
        <f>IFERROR(IF(VLOOKUP(C$13&amp;$B1775,Aux!$B:$M,8,0)="Да","✔","🕓"),"")</f>
        <v/>
      </c>
      <c r="K1777" s="59"/>
      <c r="L1777" s="15" t="str">
        <f>IF(L1775="","","Исполнитель"&amp;": ")</f>
        <v/>
      </c>
      <c r="M1777" s="62" t="str">
        <f>IFERROR(VLOOKUP(K$13&amp;$B1777,Aux!$B:$M,4,0),"")</f>
        <v/>
      </c>
      <c r="N1777" s="62"/>
      <c r="O1777" s="63" t="str">
        <f>IFERROR(IF(VLOOKUP(K$13&amp;$B1775,Aux!$B:$M,8,0)="Да","✔","🕓"),"")</f>
        <v/>
      </c>
      <c r="S1777" s="59"/>
      <c r="T1777" s="15" t="str">
        <f>IF(T1775="","","Исполнитель"&amp;": ")</f>
        <v/>
      </c>
      <c r="U1777" s="62" t="str">
        <f>IFERROR(VLOOKUP(S$13&amp;$B1777,Aux!$B:$M,4,0),"")</f>
        <v/>
      </c>
      <c r="V1777" s="62"/>
      <c r="W1777" s="63" t="str">
        <f>IFERROR(IF(VLOOKUP(S$13&amp;$B1775,Aux!$B:$M,8,0)="Да","✔","🕓"),"")</f>
        <v/>
      </c>
      <c r="AA1777" s="59"/>
      <c r="AB1777" s="15" t="str">
        <f>IF(AB1775="","","Исполнитель"&amp;": ")</f>
        <v/>
      </c>
      <c r="AC1777" s="62" t="str">
        <f>IFERROR(VLOOKUP(AA$13&amp;$B1777,Aux!$B:$M,4,0),"")</f>
        <v/>
      </c>
      <c r="AD1777" s="62"/>
      <c r="AE1777" s="63" t="str">
        <f>IFERROR(IF(VLOOKUP(AA$13&amp;$B1775,Aux!$B:$M,8,0)="Да","✔","🕓"),"")</f>
        <v/>
      </c>
    </row>
    <row r="1778" spans="2:31" x14ac:dyDescent="0.25">
      <c r="B1778" s="53">
        <f t="shared" si="27"/>
        <v>353</v>
      </c>
      <c r="C1778" s="59"/>
      <c r="D1778" s="16" t="str">
        <f>IF(D1775="","","Срок сдачи"&amp;": ")</f>
        <v/>
      </c>
      <c r="E1778" s="64" t="str">
        <f>IFERROR(VLOOKUP(C$13&amp;$B1778,Aux!$B:$M,6,0),"")</f>
        <v/>
      </c>
      <c r="F1778" s="64"/>
      <c r="G1778" s="63"/>
      <c r="K1778" s="59"/>
      <c r="L1778" s="16" t="str">
        <f>IF(L1775="","","Срок сдачи"&amp;": ")</f>
        <v/>
      </c>
      <c r="M1778" s="64" t="str">
        <f>IFERROR(VLOOKUP(K$13&amp;$B1778,Aux!$B:$M,6,0),"")</f>
        <v/>
      </c>
      <c r="N1778" s="64"/>
      <c r="O1778" s="63"/>
      <c r="S1778" s="59"/>
      <c r="T1778" s="16" t="str">
        <f>IF(T1775="","","Срок сдачи"&amp;": ")</f>
        <v/>
      </c>
      <c r="U1778" s="64" t="str">
        <f>IFERROR(VLOOKUP(S$13&amp;$B1778,Aux!$B:$M,6,0),"")</f>
        <v/>
      </c>
      <c r="V1778" s="64"/>
      <c r="W1778" s="63"/>
      <c r="AA1778" s="59"/>
      <c r="AB1778" s="16" t="str">
        <f>IF(AB1775="","","Срок сдачи"&amp;": ")</f>
        <v/>
      </c>
      <c r="AC1778" s="64" t="str">
        <f>IFERROR(VLOOKUP(AA$13&amp;$B1778,Aux!$B:$M,6,0),"")</f>
        <v/>
      </c>
      <c r="AD1778" s="64"/>
      <c r="AE1778" s="63"/>
    </row>
    <row r="1779" spans="2:31" x14ac:dyDescent="0.25">
      <c r="B1779" s="53">
        <f t="shared" si="27"/>
        <v>353</v>
      </c>
      <c r="C1779" s="7"/>
      <c r="D1779" s="17"/>
      <c r="E1779" s="7"/>
      <c r="F1779" s="18"/>
      <c r="G1779" s="18"/>
      <c r="K1779" s="13"/>
      <c r="L1779" s="17"/>
      <c r="M1779" s="13"/>
      <c r="N1779" s="14"/>
      <c r="O1779" s="14"/>
      <c r="S1779" s="13"/>
      <c r="T1779" s="17"/>
      <c r="U1779" s="13"/>
      <c r="V1779" s="14"/>
      <c r="W1779" s="14"/>
      <c r="AA1779" s="13"/>
      <c r="AB1779" s="17"/>
      <c r="AC1779" s="13"/>
      <c r="AD1779" s="14"/>
      <c r="AE1779" s="30"/>
    </row>
    <row r="1780" spans="2:31" x14ac:dyDescent="0.25">
      <c r="B1780" s="53">
        <f t="shared" si="27"/>
        <v>354</v>
      </c>
      <c r="C1780" s="59" t="str">
        <f>IFERROR(VLOOKUP(C$13&amp;$B1784,Aux!$B:$M,5,0),"")</f>
        <v/>
      </c>
      <c r="D1780" s="60" t="str">
        <f>IFERROR(VLOOKUP(C$13&amp;$B1780,Aux!$B:$M,3,0),"")</f>
        <v/>
      </c>
      <c r="E1780" s="60"/>
      <c r="F1780" s="60"/>
      <c r="G1780" s="61" t="str">
        <f>IFERROR(VLOOKUP(C$13&amp;$B1780,Aux!$B:$M,9,0),"")</f>
        <v/>
      </c>
      <c r="K1780" s="59" t="str">
        <f>IFERROR(VLOOKUP(K$13&amp;$B1784,Aux!$B:$M,5,0),"")</f>
        <v/>
      </c>
      <c r="L1780" s="60" t="str">
        <f>IFERROR(VLOOKUP(K$13&amp;$B1780,Aux!$B:$M,3,0),"")</f>
        <v/>
      </c>
      <c r="M1780" s="60"/>
      <c r="N1780" s="60"/>
      <c r="O1780" s="61" t="str">
        <f>IFERROR(VLOOKUP(K$13&amp;$B1780,Aux!$B:$M,9,0),"")</f>
        <v/>
      </c>
      <c r="S1780" s="59" t="str">
        <f>IFERROR(VLOOKUP(S$13&amp;$B1784,Aux!$B:$M,5,0),"")</f>
        <v/>
      </c>
      <c r="T1780" s="60" t="str">
        <f>IFERROR(VLOOKUP(S$13&amp;$B1780,Aux!$B:$M,3,0),"")</f>
        <v/>
      </c>
      <c r="U1780" s="60"/>
      <c r="V1780" s="60"/>
      <c r="W1780" s="61" t="str">
        <f>IFERROR(VLOOKUP(S$13&amp;$B1780,Aux!$B:$M,9,0),"")</f>
        <v/>
      </c>
      <c r="AA1780" s="59" t="str">
        <f>IFERROR(VLOOKUP(AA$13&amp;$B1784,Aux!$B:$M,5,0),"")</f>
        <v/>
      </c>
      <c r="AB1780" s="60" t="str">
        <f>IFERROR(VLOOKUP(AA$13&amp;$B1780,Aux!$B:$M,3,0),"")</f>
        <v/>
      </c>
      <c r="AC1780" s="60"/>
      <c r="AD1780" s="60"/>
      <c r="AE1780" s="61" t="str">
        <f>IFERROR(VLOOKUP(AA$13&amp;$B1780,Aux!$B:$M,9,0),"")</f>
        <v/>
      </c>
    </row>
    <row r="1781" spans="2:31" x14ac:dyDescent="0.25">
      <c r="B1781" s="53">
        <f t="shared" si="27"/>
        <v>354</v>
      </c>
      <c r="C1781" s="59"/>
      <c r="D1781" s="60"/>
      <c r="E1781" s="60"/>
      <c r="F1781" s="60"/>
      <c r="G1781" s="61"/>
      <c r="K1781" s="59"/>
      <c r="L1781" s="60"/>
      <c r="M1781" s="60"/>
      <c r="N1781" s="60"/>
      <c r="O1781" s="61"/>
      <c r="S1781" s="59"/>
      <c r="T1781" s="60"/>
      <c r="U1781" s="60"/>
      <c r="V1781" s="60"/>
      <c r="W1781" s="61"/>
      <c r="AA1781" s="59"/>
      <c r="AB1781" s="60"/>
      <c r="AC1781" s="60"/>
      <c r="AD1781" s="60"/>
      <c r="AE1781" s="61"/>
    </row>
    <row r="1782" spans="2:31" x14ac:dyDescent="0.25">
      <c r="B1782" s="53">
        <f t="shared" si="27"/>
        <v>354</v>
      </c>
      <c r="C1782" s="59"/>
      <c r="D1782" s="15" t="str">
        <f>IF(D1780="","","Исполнитель"&amp;": ")</f>
        <v/>
      </c>
      <c r="E1782" s="62" t="str">
        <f>IFERROR(VLOOKUP(C$13&amp;$B1782,Aux!$B:$M,4,0),"")</f>
        <v/>
      </c>
      <c r="F1782" s="62"/>
      <c r="G1782" s="63" t="str">
        <f>IFERROR(IF(VLOOKUP(C$13&amp;$B1780,Aux!$B:$M,8,0)="Да","✔","🕓"),"")</f>
        <v/>
      </c>
      <c r="K1782" s="59"/>
      <c r="L1782" s="15" t="str">
        <f>IF(L1780="","","Исполнитель"&amp;": ")</f>
        <v/>
      </c>
      <c r="M1782" s="62" t="str">
        <f>IFERROR(VLOOKUP(K$13&amp;$B1782,Aux!$B:$M,4,0),"")</f>
        <v/>
      </c>
      <c r="N1782" s="62"/>
      <c r="O1782" s="63" t="str">
        <f>IFERROR(IF(VLOOKUP(K$13&amp;$B1780,Aux!$B:$M,8,0)="Да","✔","🕓"),"")</f>
        <v/>
      </c>
      <c r="S1782" s="59"/>
      <c r="T1782" s="15" t="str">
        <f>IF(T1780="","","Исполнитель"&amp;": ")</f>
        <v/>
      </c>
      <c r="U1782" s="62" t="str">
        <f>IFERROR(VLOOKUP(S$13&amp;$B1782,Aux!$B:$M,4,0),"")</f>
        <v/>
      </c>
      <c r="V1782" s="62"/>
      <c r="W1782" s="63" t="str">
        <f>IFERROR(IF(VLOOKUP(S$13&amp;$B1780,Aux!$B:$M,8,0)="Да","✔","🕓"),"")</f>
        <v/>
      </c>
      <c r="AA1782" s="59"/>
      <c r="AB1782" s="15" t="str">
        <f>IF(AB1780="","","Исполнитель"&amp;": ")</f>
        <v/>
      </c>
      <c r="AC1782" s="62" t="str">
        <f>IFERROR(VLOOKUP(AA$13&amp;$B1782,Aux!$B:$M,4,0),"")</f>
        <v/>
      </c>
      <c r="AD1782" s="62"/>
      <c r="AE1782" s="63" t="str">
        <f>IFERROR(IF(VLOOKUP(AA$13&amp;$B1780,Aux!$B:$M,8,0)="Да","✔","🕓"),"")</f>
        <v/>
      </c>
    </row>
    <row r="1783" spans="2:31" x14ac:dyDescent="0.25">
      <c r="B1783" s="53">
        <f t="shared" si="27"/>
        <v>354</v>
      </c>
      <c r="C1783" s="59"/>
      <c r="D1783" s="16" t="str">
        <f>IF(D1780="","","Срок сдачи"&amp;": ")</f>
        <v/>
      </c>
      <c r="E1783" s="64" t="str">
        <f>IFERROR(VLOOKUP(C$13&amp;$B1783,Aux!$B:$M,6,0),"")</f>
        <v/>
      </c>
      <c r="F1783" s="64"/>
      <c r="G1783" s="63"/>
      <c r="K1783" s="59"/>
      <c r="L1783" s="16" t="str">
        <f>IF(L1780="","","Срок сдачи"&amp;": ")</f>
        <v/>
      </c>
      <c r="M1783" s="64" t="str">
        <f>IFERROR(VLOOKUP(K$13&amp;$B1783,Aux!$B:$M,6,0),"")</f>
        <v/>
      </c>
      <c r="N1783" s="64"/>
      <c r="O1783" s="63"/>
      <c r="S1783" s="59"/>
      <c r="T1783" s="16" t="str">
        <f>IF(T1780="","","Срок сдачи"&amp;": ")</f>
        <v/>
      </c>
      <c r="U1783" s="64" t="str">
        <f>IFERROR(VLOOKUP(S$13&amp;$B1783,Aux!$B:$M,6,0),"")</f>
        <v/>
      </c>
      <c r="V1783" s="64"/>
      <c r="W1783" s="63"/>
      <c r="AA1783" s="59"/>
      <c r="AB1783" s="16" t="str">
        <f>IF(AB1780="","","Срок сдачи"&amp;": ")</f>
        <v/>
      </c>
      <c r="AC1783" s="64" t="str">
        <f>IFERROR(VLOOKUP(AA$13&amp;$B1783,Aux!$B:$M,6,0),"")</f>
        <v/>
      </c>
      <c r="AD1783" s="64"/>
      <c r="AE1783" s="63"/>
    </row>
    <row r="1784" spans="2:31" x14ac:dyDescent="0.25">
      <c r="B1784" s="53">
        <f t="shared" si="27"/>
        <v>354</v>
      </c>
      <c r="C1784" s="7"/>
      <c r="D1784" s="17"/>
      <c r="E1784" s="7"/>
      <c r="F1784" s="18"/>
      <c r="G1784" s="18"/>
      <c r="K1784" s="13"/>
      <c r="L1784" s="17"/>
      <c r="M1784" s="13"/>
      <c r="N1784" s="14"/>
      <c r="O1784" s="14"/>
      <c r="S1784" s="13"/>
      <c r="T1784" s="17"/>
      <c r="U1784" s="13"/>
      <c r="V1784" s="14"/>
      <c r="W1784" s="14"/>
      <c r="AA1784" s="13"/>
      <c r="AB1784" s="17"/>
      <c r="AC1784" s="13"/>
      <c r="AD1784" s="14"/>
      <c r="AE1784" s="30"/>
    </row>
    <row r="1785" spans="2:31" x14ac:dyDescent="0.25">
      <c r="B1785" s="53">
        <f t="shared" si="27"/>
        <v>355</v>
      </c>
      <c r="C1785" s="59" t="str">
        <f>IFERROR(VLOOKUP(C$13&amp;$B1789,Aux!$B:$M,5,0),"")</f>
        <v/>
      </c>
      <c r="D1785" s="60" t="str">
        <f>IFERROR(VLOOKUP(C$13&amp;$B1785,Aux!$B:$M,3,0),"")</f>
        <v/>
      </c>
      <c r="E1785" s="60"/>
      <c r="F1785" s="60"/>
      <c r="G1785" s="61" t="str">
        <f>IFERROR(VLOOKUP(C$13&amp;$B1785,Aux!$B:$M,9,0),"")</f>
        <v/>
      </c>
      <c r="K1785" s="59" t="str">
        <f>IFERROR(VLOOKUP(K$13&amp;$B1789,Aux!$B:$M,5,0),"")</f>
        <v/>
      </c>
      <c r="L1785" s="60" t="str">
        <f>IFERROR(VLOOKUP(K$13&amp;$B1785,Aux!$B:$M,3,0),"")</f>
        <v/>
      </c>
      <c r="M1785" s="60"/>
      <c r="N1785" s="60"/>
      <c r="O1785" s="61" t="str">
        <f>IFERROR(VLOOKUP(K$13&amp;$B1785,Aux!$B:$M,9,0),"")</f>
        <v/>
      </c>
      <c r="S1785" s="59" t="str">
        <f>IFERROR(VLOOKUP(S$13&amp;$B1789,Aux!$B:$M,5,0),"")</f>
        <v/>
      </c>
      <c r="T1785" s="60" t="str">
        <f>IFERROR(VLOOKUP(S$13&amp;$B1785,Aux!$B:$M,3,0),"")</f>
        <v/>
      </c>
      <c r="U1785" s="60"/>
      <c r="V1785" s="60"/>
      <c r="W1785" s="61" t="str">
        <f>IFERROR(VLOOKUP(S$13&amp;$B1785,Aux!$B:$M,9,0),"")</f>
        <v/>
      </c>
      <c r="AA1785" s="59" t="str">
        <f>IFERROR(VLOOKUP(AA$13&amp;$B1789,Aux!$B:$M,5,0),"")</f>
        <v/>
      </c>
      <c r="AB1785" s="60" t="str">
        <f>IFERROR(VLOOKUP(AA$13&amp;$B1785,Aux!$B:$M,3,0),"")</f>
        <v/>
      </c>
      <c r="AC1785" s="60"/>
      <c r="AD1785" s="60"/>
      <c r="AE1785" s="61" t="str">
        <f>IFERROR(VLOOKUP(AA$13&amp;$B1785,Aux!$B:$M,9,0),"")</f>
        <v/>
      </c>
    </row>
    <row r="1786" spans="2:31" x14ac:dyDescent="0.25">
      <c r="B1786" s="53">
        <f t="shared" si="27"/>
        <v>355</v>
      </c>
      <c r="C1786" s="59"/>
      <c r="D1786" s="60"/>
      <c r="E1786" s="60"/>
      <c r="F1786" s="60"/>
      <c r="G1786" s="61"/>
      <c r="K1786" s="59"/>
      <c r="L1786" s="60"/>
      <c r="M1786" s="60"/>
      <c r="N1786" s="60"/>
      <c r="O1786" s="61"/>
      <c r="S1786" s="59"/>
      <c r="T1786" s="60"/>
      <c r="U1786" s="60"/>
      <c r="V1786" s="60"/>
      <c r="W1786" s="61"/>
      <c r="AA1786" s="59"/>
      <c r="AB1786" s="60"/>
      <c r="AC1786" s="60"/>
      <c r="AD1786" s="60"/>
      <c r="AE1786" s="61"/>
    </row>
    <row r="1787" spans="2:31" x14ac:dyDescent="0.25">
      <c r="B1787" s="53">
        <f t="shared" si="27"/>
        <v>355</v>
      </c>
      <c r="C1787" s="59"/>
      <c r="D1787" s="15" t="str">
        <f>IF(D1785="","","Исполнитель"&amp;": ")</f>
        <v/>
      </c>
      <c r="E1787" s="62" t="str">
        <f>IFERROR(VLOOKUP(C$13&amp;$B1787,Aux!$B:$M,4,0),"")</f>
        <v/>
      </c>
      <c r="F1787" s="62"/>
      <c r="G1787" s="63" t="str">
        <f>IFERROR(IF(VLOOKUP(C$13&amp;$B1785,Aux!$B:$M,8,0)="Да","✔","🕓"),"")</f>
        <v/>
      </c>
      <c r="K1787" s="59"/>
      <c r="L1787" s="15" t="str">
        <f>IF(L1785="","","Исполнитель"&amp;": ")</f>
        <v/>
      </c>
      <c r="M1787" s="62" t="str">
        <f>IFERROR(VLOOKUP(K$13&amp;$B1787,Aux!$B:$M,4,0),"")</f>
        <v/>
      </c>
      <c r="N1787" s="62"/>
      <c r="O1787" s="63" t="str">
        <f>IFERROR(IF(VLOOKUP(K$13&amp;$B1785,Aux!$B:$M,8,0)="Да","✔","🕓"),"")</f>
        <v/>
      </c>
      <c r="S1787" s="59"/>
      <c r="T1787" s="15" t="str">
        <f>IF(T1785="","","Исполнитель"&amp;": ")</f>
        <v/>
      </c>
      <c r="U1787" s="62" t="str">
        <f>IFERROR(VLOOKUP(S$13&amp;$B1787,Aux!$B:$M,4,0),"")</f>
        <v/>
      </c>
      <c r="V1787" s="62"/>
      <c r="W1787" s="63" t="str">
        <f>IFERROR(IF(VLOOKUP(S$13&amp;$B1785,Aux!$B:$M,8,0)="Да","✔","🕓"),"")</f>
        <v/>
      </c>
      <c r="AA1787" s="59"/>
      <c r="AB1787" s="15" t="str">
        <f>IF(AB1785="","","Исполнитель"&amp;": ")</f>
        <v/>
      </c>
      <c r="AC1787" s="62" t="str">
        <f>IFERROR(VLOOKUP(AA$13&amp;$B1787,Aux!$B:$M,4,0),"")</f>
        <v/>
      </c>
      <c r="AD1787" s="62"/>
      <c r="AE1787" s="63" t="str">
        <f>IFERROR(IF(VLOOKUP(AA$13&amp;$B1785,Aux!$B:$M,8,0)="Да","✔","🕓"),"")</f>
        <v/>
      </c>
    </row>
    <row r="1788" spans="2:31" x14ac:dyDescent="0.25">
      <c r="B1788" s="53">
        <f t="shared" si="27"/>
        <v>355</v>
      </c>
      <c r="C1788" s="59"/>
      <c r="D1788" s="16" t="str">
        <f>IF(D1785="","","Срок сдачи"&amp;": ")</f>
        <v/>
      </c>
      <c r="E1788" s="64" t="str">
        <f>IFERROR(VLOOKUP(C$13&amp;$B1788,Aux!$B:$M,6,0),"")</f>
        <v/>
      </c>
      <c r="F1788" s="64"/>
      <c r="G1788" s="63"/>
      <c r="K1788" s="59"/>
      <c r="L1788" s="16" t="str">
        <f>IF(L1785="","","Срок сдачи"&amp;": ")</f>
        <v/>
      </c>
      <c r="M1788" s="64" t="str">
        <f>IFERROR(VLOOKUP(K$13&amp;$B1788,Aux!$B:$M,6,0),"")</f>
        <v/>
      </c>
      <c r="N1788" s="64"/>
      <c r="O1788" s="63"/>
      <c r="S1788" s="59"/>
      <c r="T1788" s="16" t="str">
        <f>IF(T1785="","","Срок сдачи"&amp;": ")</f>
        <v/>
      </c>
      <c r="U1788" s="64" t="str">
        <f>IFERROR(VLOOKUP(S$13&amp;$B1788,Aux!$B:$M,6,0),"")</f>
        <v/>
      </c>
      <c r="V1788" s="64"/>
      <c r="W1788" s="63"/>
      <c r="AA1788" s="59"/>
      <c r="AB1788" s="16" t="str">
        <f>IF(AB1785="","","Срок сдачи"&amp;": ")</f>
        <v/>
      </c>
      <c r="AC1788" s="64" t="str">
        <f>IFERROR(VLOOKUP(AA$13&amp;$B1788,Aux!$B:$M,6,0),"")</f>
        <v/>
      </c>
      <c r="AD1788" s="64"/>
      <c r="AE1788" s="63"/>
    </row>
    <row r="1789" spans="2:31" x14ac:dyDescent="0.25">
      <c r="B1789" s="53">
        <f t="shared" si="27"/>
        <v>355</v>
      </c>
      <c r="C1789" s="7"/>
      <c r="D1789" s="17"/>
      <c r="E1789" s="7"/>
      <c r="F1789" s="18"/>
      <c r="G1789" s="18"/>
      <c r="K1789" s="13"/>
      <c r="L1789" s="17"/>
      <c r="M1789" s="13"/>
      <c r="N1789" s="14"/>
      <c r="O1789" s="14"/>
      <c r="S1789" s="13"/>
      <c r="T1789" s="17"/>
      <c r="U1789" s="13"/>
      <c r="V1789" s="14"/>
      <c r="W1789" s="14"/>
      <c r="AA1789" s="13"/>
      <c r="AB1789" s="17"/>
      <c r="AC1789" s="13"/>
      <c r="AD1789" s="14"/>
      <c r="AE1789" s="30"/>
    </row>
    <row r="1790" spans="2:31" x14ac:dyDescent="0.25">
      <c r="B1790" s="53">
        <f t="shared" si="27"/>
        <v>356</v>
      </c>
      <c r="C1790" s="59" t="str">
        <f>IFERROR(VLOOKUP(C$13&amp;$B1794,Aux!$B:$M,5,0),"")</f>
        <v/>
      </c>
      <c r="D1790" s="60" t="str">
        <f>IFERROR(VLOOKUP(C$13&amp;$B1790,Aux!$B:$M,3,0),"")</f>
        <v/>
      </c>
      <c r="E1790" s="60"/>
      <c r="F1790" s="60"/>
      <c r="G1790" s="61" t="str">
        <f>IFERROR(VLOOKUP(C$13&amp;$B1790,Aux!$B:$M,9,0),"")</f>
        <v/>
      </c>
      <c r="K1790" s="59" t="str">
        <f>IFERROR(VLOOKUP(K$13&amp;$B1794,Aux!$B:$M,5,0),"")</f>
        <v/>
      </c>
      <c r="L1790" s="60" t="str">
        <f>IFERROR(VLOOKUP(K$13&amp;$B1790,Aux!$B:$M,3,0),"")</f>
        <v/>
      </c>
      <c r="M1790" s="60"/>
      <c r="N1790" s="60"/>
      <c r="O1790" s="61" t="str">
        <f>IFERROR(VLOOKUP(K$13&amp;$B1790,Aux!$B:$M,9,0),"")</f>
        <v/>
      </c>
      <c r="S1790" s="59" t="str">
        <f>IFERROR(VLOOKUP(S$13&amp;$B1794,Aux!$B:$M,5,0),"")</f>
        <v/>
      </c>
      <c r="T1790" s="60" t="str">
        <f>IFERROR(VLOOKUP(S$13&amp;$B1790,Aux!$B:$M,3,0),"")</f>
        <v/>
      </c>
      <c r="U1790" s="60"/>
      <c r="V1790" s="60"/>
      <c r="W1790" s="61" t="str">
        <f>IFERROR(VLOOKUP(S$13&amp;$B1790,Aux!$B:$M,9,0),"")</f>
        <v/>
      </c>
      <c r="AA1790" s="59" t="str">
        <f>IFERROR(VLOOKUP(AA$13&amp;$B1794,Aux!$B:$M,5,0),"")</f>
        <v/>
      </c>
      <c r="AB1790" s="60" t="str">
        <f>IFERROR(VLOOKUP(AA$13&amp;$B1790,Aux!$B:$M,3,0),"")</f>
        <v/>
      </c>
      <c r="AC1790" s="60"/>
      <c r="AD1790" s="60"/>
      <c r="AE1790" s="61" t="str">
        <f>IFERROR(VLOOKUP(AA$13&amp;$B1790,Aux!$B:$M,9,0),"")</f>
        <v/>
      </c>
    </row>
    <row r="1791" spans="2:31" x14ac:dyDescent="0.25">
      <c r="B1791" s="53">
        <f t="shared" si="27"/>
        <v>356</v>
      </c>
      <c r="C1791" s="59"/>
      <c r="D1791" s="60"/>
      <c r="E1791" s="60"/>
      <c r="F1791" s="60"/>
      <c r="G1791" s="61"/>
      <c r="K1791" s="59"/>
      <c r="L1791" s="60"/>
      <c r="M1791" s="60"/>
      <c r="N1791" s="60"/>
      <c r="O1791" s="61"/>
      <c r="S1791" s="59"/>
      <c r="T1791" s="60"/>
      <c r="U1791" s="60"/>
      <c r="V1791" s="60"/>
      <c r="W1791" s="61"/>
      <c r="AA1791" s="59"/>
      <c r="AB1791" s="60"/>
      <c r="AC1791" s="60"/>
      <c r="AD1791" s="60"/>
      <c r="AE1791" s="61"/>
    </row>
    <row r="1792" spans="2:31" x14ac:dyDescent="0.25">
      <c r="B1792" s="53">
        <f t="shared" si="27"/>
        <v>356</v>
      </c>
      <c r="C1792" s="59"/>
      <c r="D1792" s="15" t="str">
        <f>IF(D1790="","","Исполнитель"&amp;": ")</f>
        <v/>
      </c>
      <c r="E1792" s="62" t="str">
        <f>IFERROR(VLOOKUP(C$13&amp;$B1792,Aux!$B:$M,4,0),"")</f>
        <v/>
      </c>
      <c r="F1792" s="62"/>
      <c r="G1792" s="63" t="str">
        <f>IFERROR(IF(VLOOKUP(C$13&amp;$B1790,Aux!$B:$M,8,0)="Да","✔","🕓"),"")</f>
        <v/>
      </c>
      <c r="K1792" s="59"/>
      <c r="L1792" s="15" t="str">
        <f>IF(L1790="","","Исполнитель"&amp;": ")</f>
        <v/>
      </c>
      <c r="M1792" s="62" t="str">
        <f>IFERROR(VLOOKUP(K$13&amp;$B1792,Aux!$B:$M,4,0),"")</f>
        <v/>
      </c>
      <c r="N1792" s="62"/>
      <c r="O1792" s="63" t="str">
        <f>IFERROR(IF(VLOOKUP(K$13&amp;$B1790,Aux!$B:$M,8,0)="Да","✔","🕓"),"")</f>
        <v/>
      </c>
      <c r="S1792" s="59"/>
      <c r="T1792" s="15" t="str">
        <f>IF(T1790="","","Исполнитель"&amp;": ")</f>
        <v/>
      </c>
      <c r="U1792" s="62" t="str">
        <f>IFERROR(VLOOKUP(S$13&amp;$B1792,Aux!$B:$M,4,0),"")</f>
        <v/>
      </c>
      <c r="V1792" s="62"/>
      <c r="W1792" s="63" t="str">
        <f>IFERROR(IF(VLOOKUP(S$13&amp;$B1790,Aux!$B:$M,8,0)="Да","✔","🕓"),"")</f>
        <v/>
      </c>
      <c r="AA1792" s="59"/>
      <c r="AB1792" s="15" t="str">
        <f>IF(AB1790="","","Исполнитель"&amp;": ")</f>
        <v/>
      </c>
      <c r="AC1792" s="62" t="str">
        <f>IFERROR(VLOOKUP(AA$13&amp;$B1792,Aux!$B:$M,4,0),"")</f>
        <v/>
      </c>
      <c r="AD1792" s="62"/>
      <c r="AE1792" s="63" t="str">
        <f>IFERROR(IF(VLOOKUP(AA$13&amp;$B1790,Aux!$B:$M,8,0)="Да","✔","🕓"),"")</f>
        <v/>
      </c>
    </row>
    <row r="1793" spans="2:31" x14ac:dyDescent="0.25">
      <c r="B1793" s="53">
        <f t="shared" si="27"/>
        <v>356</v>
      </c>
      <c r="C1793" s="59"/>
      <c r="D1793" s="16" t="str">
        <f>IF(D1790="","","Срок сдачи"&amp;": ")</f>
        <v/>
      </c>
      <c r="E1793" s="64" t="str">
        <f>IFERROR(VLOOKUP(C$13&amp;$B1793,Aux!$B:$M,6,0),"")</f>
        <v/>
      </c>
      <c r="F1793" s="64"/>
      <c r="G1793" s="63"/>
      <c r="K1793" s="59"/>
      <c r="L1793" s="16" t="str">
        <f>IF(L1790="","","Срок сдачи"&amp;": ")</f>
        <v/>
      </c>
      <c r="M1793" s="64" t="str">
        <f>IFERROR(VLOOKUP(K$13&amp;$B1793,Aux!$B:$M,6,0),"")</f>
        <v/>
      </c>
      <c r="N1793" s="64"/>
      <c r="O1793" s="63"/>
      <c r="S1793" s="59"/>
      <c r="T1793" s="16" t="str">
        <f>IF(T1790="","","Срок сдачи"&amp;": ")</f>
        <v/>
      </c>
      <c r="U1793" s="64" t="str">
        <f>IFERROR(VLOOKUP(S$13&amp;$B1793,Aux!$B:$M,6,0),"")</f>
        <v/>
      </c>
      <c r="V1793" s="64"/>
      <c r="W1793" s="63"/>
      <c r="AA1793" s="59"/>
      <c r="AB1793" s="16" t="str">
        <f>IF(AB1790="","","Срок сдачи"&amp;": ")</f>
        <v/>
      </c>
      <c r="AC1793" s="64" t="str">
        <f>IFERROR(VLOOKUP(AA$13&amp;$B1793,Aux!$B:$M,6,0),"")</f>
        <v/>
      </c>
      <c r="AD1793" s="64"/>
      <c r="AE1793" s="63"/>
    </row>
    <row r="1794" spans="2:31" x14ac:dyDescent="0.25">
      <c r="B1794" s="53">
        <f t="shared" si="27"/>
        <v>356</v>
      </c>
      <c r="C1794" s="7"/>
      <c r="D1794" s="17"/>
      <c r="E1794" s="7"/>
      <c r="F1794" s="18"/>
      <c r="G1794" s="18"/>
      <c r="K1794" s="13"/>
      <c r="L1794" s="17"/>
      <c r="M1794" s="13"/>
      <c r="N1794" s="14"/>
      <c r="O1794" s="14"/>
      <c r="S1794" s="13"/>
      <c r="T1794" s="17"/>
      <c r="U1794" s="13"/>
      <c r="V1794" s="14"/>
      <c r="W1794" s="14"/>
      <c r="AA1794" s="13"/>
      <c r="AB1794" s="17"/>
      <c r="AC1794" s="13"/>
      <c r="AD1794" s="14"/>
      <c r="AE1794" s="30"/>
    </row>
    <row r="1795" spans="2:31" x14ac:dyDescent="0.25">
      <c r="B1795" s="53">
        <f t="shared" si="27"/>
        <v>357</v>
      </c>
      <c r="C1795" s="59" t="str">
        <f>IFERROR(VLOOKUP(C$13&amp;$B1799,Aux!$B:$M,5,0),"")</f>
        <v/>
      </c>
      <c r="D1795" s="60" t="str">
        <f>IFERROR(VLOOKUP(C$13&amp;$B1795,Aux!$B:$M,3,0),"")</f>
        <v/>
      </c>
      <c r="E1795" s="60"/>
      <c r="F1795" s="60"/>
      <c r="G1795" s="61" t="str">
        <f>IFERROR(VLOOKUP(C$13&amp;$B1795,Aux!$B:$M,9,0),"")</f>
        <v/>
      </c>
      <c r="K1795" s="59" t="str">
        <f>IFERROR(VLOOKUP(K$13&amp;$B1799,Aux!$B:$M,5,0),"")</f>
        <v/>
      </c>
      <c r="L1795" s="60" t="str">
        <f>IFERROR(VLOOKUP(K$13&amp;$B1795,Aux!$B:$M,3,0),"")</f>
        <v/>
      </c>
      <c r="M1795" s="60"/>
      <c r="N1795" s="60"/>
      <c r="O1795" s="61" t="str">
        <f>IFERROR(VLOOKUP(K$13&amp;$B1795,Aux!$B:$M,9,0),"")</f>
        <v/>
      </c>
      <c r="S1795" s="59" t="str">
        <f>IFERROR(VLOOKUP(S$13&amp;$B1799,Aux!$B:$M,5,0),"")</f>
        <v/>
      </c>
      <c r="T1795" s="60" t="str">
        <f>IFERROR(VLOOKUP(S$13&amp;$B1795,Aux!$B:$M,3,0),"")</f>
        <v/>
      </c>
      <c r="U1795" s="60"/>
      <c r="V1795" s="60"/>
      <c r="W1795" s="61" t="str">
        <f>IFERROR(VLOOKUP(S$13&amp;$B1795,Aux!$B:$M,9,0),"")</f>
        <v/>
      </c>
      <c r="AA1795" s="59" t="str">
        <f>IFERROR(VLOOKUP(AA$13&amp;$B1799,Aux!$B:$M,5,0),"")</f>
        <v/>
      </c>
      <c r="AB1795" s="60" t="str">
        <f>IFERROR(VLOOKUP(AA$13&amp;$B1795,Aux!$B:$M,3,0),"")</f>
        <v/>
      </c>
      <c r="AC1795" s="60"/>
      <c r="AD1795" s="60"/>
      <c r="AE1795" s="61" t="str">
        <f>IFERROR(VLOOKUP(AA$13&amp;$B1795,Aux!$B:$M,9,0),"")</f>
        <v/>
      </c>
    </row>
    <row r="1796" spans="2:31" x14ac:dyDescent="0.25">
      <c r="B1796" s="53">
        <f t="shared" si="27"/>
        <v>357</v>
      </c>
      <c r="C1796" s="59"/>
      <c r="D1796" s="60"/>
      <c r="E1796" s="60"/>
      <c r="F1796" s="60"/>
      <c r="G1796" s="61"/>
      <c r="K1796" s="59"/>
      <c r="L1796" s="60"/>
      <c r="M1796" s="60"/>
      <c r="N1796" s="60"/>
      <c r="O1796" s="61"/>
      <c r="S1796" s="59"/>
      <c r="T1796" s="60"/>
      <c r="U1796" s="60"/>
      <c r="V1796" s="60"/>
      <c r="W1796" s="61"/>
      <c r="AA1796" s="59"/>
      <c r="AB1796" s="60"/>
      <c r="AC1796" s="60"/>
      <c r="AD1796" s="60"/>
      <c r="AE1796" s="61"/>
    </row>
    <row r="1797" spans="2:31" x14ac:dyDescent="0.25">
      <c r="B1797" s="53">
        <f t="shared" si="27"/>
        <v>357</v>
      </c>
      <c r="C1797" s="59"/>
      <c r="D1797" s="15" t="str">
        <f>IF(D1795="","","Исполнитель"&amp;": ")</f>
        <v/>
      </c>
      <c r="E1797" s="62" t="str">
        <f>IFERROR(VLOOKUP(C$13&amp;$B1797,Aux!$B:$M,4,0),"")</f>
        <v/>
      </c>
      <c r="F1797" s="62"/>
      <c r="G1797" s="63" t="str">
        <f>IFERROR(IF(VLOOKUP(C$13&amp;$B1795,Aux!$B:$M,8,0)="Да","✔","🕓"),"")</f>
        <v/>
      </c>
      <c r="K1797" s="59"/>
      <c r="L1797" s="15" t="str">
        <f>IF(L1795="","","Исполнитель"&amp;": ")</f>
        <v/>
      </c>
      <c r="M1797" s="62" t="str">
        <f>IFERROR(VLOOKUP(K$13&amp;$B1797,Aux!$B:$M,4,0),"")</f>
        <v/>
      </c>
      <c r="N1797" s="62"/>
      <c r="O1797" s="63" t="str">
        <f>IFERROR(IF(VLOOKUP(K$13&amp;$B1795,Aux!$B:$M,8,0)="Да","✔","🕓"),"")</f>
        <v/>
      </c>
      <c r="S1797" s="59"/>
      <c r="T1797" s="15" t="str">
        <f>IF(T1795="","","Исполнитель"&amp;": ")</f>
        <v/>
      </c>
      <c r="U1797" s="62" t="str">
        <f>IFERROR(VLOOKUP(S$13&amp;$B1797,Aux!$B:$M,4,0),"")</f>
        <v/>
      </c>
      <c r="V1797" s="62"/>
      <c r="W1797" s="63" t="str">
        <f>IFERROR(IF(VLOOKUP(S$13&amp;$B1795,Aux!$B:$M,8,0)="Да","✔","🕓"),"")</f>
        <v/>
      </c>
      <c r="AA1797" s="59"/>
      <c r="AB1797" s="15" t="str">
        <f>IF(AB1795="","","Исполнитель"&amp;": ")</f>
        <v/>
      </c>
      <c r="AC1797" s="62" t="str">
        <f>IFERROR(VLOOKUP(AA$13&amp;$B1797,Aux!$B:$M,4,0),"")</f>
        <v/>
      </c>
      <c r="AD1797" s="62"/>
      <c r="AE1797" s="63" t="str">
        <f>IFERROR(IF(VLOOKUP(AA$13&amp;$B1795,Aux!$B:$M,8,0)="Да","✔","🕓"),"")</f>
        <v/>
      </c>
    </row>
    <row r="1798" spans="2:31" x14ac:dyDescent="0.25">
      <c r="B1798" s="53">
        <f t="shared" si="27"/>
        <v>357</v>
      </c>
      <c r="C1798" s="59"/>
      <c r="D1798" s="16" t="str">
        <f>IF(D1795="","","Срок сдачи"&amp;": ")</f>
        <v/>
      </c>
      <c r="E1798" s="64" t="str">
        <f>IFERROR(VLOOKUP(C$13&amp;$B1798,Aux!$B:$M,6,0),"")</f>
        <v/>
      </c>
      <c r="F1798" s="64"/>
      <c r="G1798" s="63"/>
      <c r="K1798" s="59"/>
      <c r="L1798" s="16" t="str">
        <f>IF(L1795="","","Срок сдачи"&amp;": ")</f>
        <v/>
      </c>
      <c r="M1798" s="64" t="str">
        <f>IFERROR(VLOOKUP(K$13&amp;$B1798,Aux!$B:$M,6,0),"")</f>
        <v/>
      </c>
      <c r="N1798" s="64"/>
      <c r="O1798" s="63"/>
      <c r="S1798" s="59"/>
      <c r="T1798" s="16" t="str">
        <f>IF(T1795="","","Срок сдачи"&amp;": ")</f>
        <v/>
      </c>
      <c r="U1798" s="64" t="str">
        <f>IFERROR(VLOOKUP(S$13&amp;$B1798,Aux!$B:$M,6,0),"")</f>
        <v/>
      </c>
      <c r="V1798" s="64"/>
      <c r="W1798" s="63"/>
      <c r="AA1798" s="59"/>
      <c r="AB1798" s="16" t="str">
        <f>IF(AB1795="","","Срок сдачи"&amp;": ")</f>
        <v/>
      </c>
      <c r="AC1798" s="64" t="str">
        <f>IFERROR(VLOOKUP(AA$13&amp;$B1798,Aux!$B:$M,6,0),"")</f>
        <v/>
      </c>
      <c r="AD1798" s="64"/>
      <c r="AE1798" s="63"/>
    </row>
    <row r="1799" spans="2:31" x14ac:dyDescent="0.25">
      <c r="B1799" s="53">
        <f t="shared" si="27"/>
        <v>357</v>
      </c>
      <c r="C1799" s="7"/>
      <c r="D1799" s="17"/>
      <c r="E1799" s="7"/>
      <c r="F1799" s="18"/>
      <c r="G1799" s="18"/>
      <c r="K1799" s="13"/>
      <c r="L1799" s="17"/>
      <c r="M1799" s="13"/>
      <c r="N1799" s="14"/>
      <c r="O1799" s="14"/>
      <c r="S1799" s="13"/>
      <c r="T1799" s="17"/>
      <c r="U1799" s="13"/>
      <c r="V1799" s="14"/>
      <c r="W1799" s="14"/>
      <c r="AA1799" s="13"/>
      <c r="AB1799" s="17"/>
      <c r="AC1799" s="13"/>
      <c r="AD1799" s="14"/>
      <c r="AE1799" s="30"/>
    </row>
    <row r="1800" spans="2:31" x14ac:dyDescent="0.25">
      <c r="B1800" s="53">
        <f t="shared" si="27"/>
        <v>358</v>
      </c>
      <c r="C1800" s="59" t="str">
        <f>IFERROR(VLOOKUP(C$13&amp;$B1804,Aux!$B:$M,5,0),"")</f>
        <v/>
      </c>
      <c r="D1800" s="60" t="str">
        <f>IFERROR(VLOOKUP(C$13&amp;$B1800,Aux!$B:$M,3,0),"")</f>
        <v/>
      </c>
      <c r="E1800" s="60"/>
      <c r="F1800" s="60"/>
      <c r="G1800" s="61" t="str">
        <f>IFERROR(VLOOKUP(C$13&amp;$B1800,Aux!$B:$M,9,0),"")</f>
        <v/>
      </c>
      <c r="K1800" s="59" t="str">
        <f>IFERROR(VLOOKUP(K$13&amp;$B1804,Aux!$B:$M,5,0),"")</f>
        <v/>
      </c>
      <c r="L1800" s="60" t="str">
        <f>IFERROR(VLOOKUP(K$13&amp;$B1800,Aux!$B:$M,3,0),"")</f>
        <v/>
      </c>
      <c r="M1800" s="60"/>
      <c r="N1800" s="60"/>
      <c r="O1800" s="61" t="str">
        <f>IFERROR(VLOOKUP(K$13&amp;$B1800,Aux!$B:$M,9,0),"")</f>
        <v/>
      </c>
      <c r="S1800" s="59" t="str">
        <f>IFERROR(VLOOKUP(S$13&amp;$B1804,Aux!$B:$M,5,0),"")</f>
        <v/>
      </c>
      <c r="T1800" s="60" t="str">
        <f>IFERROR(VLOOKUP(S$13&amp;$B1800,Aux!$B:$M,3,0),"")</f>
        <v/>
      </c>
      <c r="U1800" s="60"/>
      <c r="V1800" s="60"/>
      <c r="W1800" s="61" t="str">
        <f>IFERROR(VLOOKUP(S$13&amp;$B1800,Aux!$B:$M,9,0),"")</f>
        <v/>
      </c>
      <c r="AA1800" s="59" t="str">
        <f>IFERROR(VLOOKUP(AA$13&amp;$B1804,Aux!$B:$M,5,0),"")</f>
        <v/>
      </c>
      <c r="AB1800" s="60" t="str">
        <f>IFERROR(VLOOKUP(AA$13&amp;$B1800,Aux!$B:$M,3,0),"")</f>
        <v/>
      </c>
      <c r="AC1800" s="60"/>
      <c r="AD1800" s="60"/>
      <c r="AE1800" s="61" t="str">
        <f>IFERROR(VLOOKUP(AA$13&amp;$B1800,Aux!$B:$M,9,0),"")</f>
        <v/>
      </c>
    </row>
    <row r="1801" spans="2:31" x14ac:dyDescent="0.25">
      <c r="B1801" s="53">
        <f t="shared" si="27"/>
        <v>358</v>
      </c>
      <c r="C1801" s="59"/>
      <c r="D1801" s="60"/>
      <c r="E1801" s="60"/>
      <c r="F1801" s="60"/>
      <c r="G1801" s="61"/>
      <c r="K1801" s="59"/>
      <c r="L1801" s="60"/>
      <c r="M1801" s="60"/>
      <c r="N1801" s="60"/>
      <c r="O1801" s="61"/>
      <c r="S1801" s="59"/>
      <c r="T1801" s="60"/>
      <c r="U1801" s="60"/>
      <c r="V1801" s="60"/>
      <c r="W1801" s="61"/>
      <c r="AA1801" s="59"/>
      <c r="AB1801" s="60"/>
      <c r="AC1801" s="60"/>
      <c r="AD1801" s="60"/>
      <c r="AE1801" s="61"/>
    </row>
    <row r="1802" spans="2:31" x14ac:dyDescent="0.25">
      <c r="B1802" s="53">
        <f t="shared" si="27"/>
        <v>358</v>
      </c>
      <c r="C1802" s="59"/>
      <c r="D1802" s="15" t="str">
        <f>IF(D1800="","","Исполнитель"&amp;": ")</f>
        <v/>
      </c>
      <c r="E1802" s="62" t="str">
        <f>IFERROR(VLOOKUP(C$13&amp;$B1802,Aux!$B:$M,4,0),"")</f>
        <v/>
      </c>
      <c r="F1802" s="62"/>
      <c r="G1802" s="63" t="str">
        <f>IFERROR(IF(VLOOKUP(C$13&amp;$B1800,Aux!$B:$M,8,0)="Да","✔","🕓"),"")</f>
        <v/>
      </c>
      <c r="K1802" s="59"/>
      <c r="L1802" s="15" t="str">
        <f>IF(L1800="","","Исполнитель"&amp;": ")</f>
        <v/>
      </c>
      <c r="M1802" s="62" t="str">
        <f>IFERROR(VLOOKUP(K$13&amp;$B1802,Aux!$B:$M,4,0),"")</f>
        <v/>
      </c>
      <c r="N1802" s="62"/>
      <c r="O1802" s="63" t="str">
        <f>IFERROR(IF(VLOOKUP(K$13&amp;$B1800,Aux!$B:$M,8,0)="Да","✔","🕓"),"")</f>
        <v/>
      </c>
      <c r="S1802" s="59"/>
      <c r="T1802" s="15" t="str">
        <f>IF(T1800="","","Исполнитель"&amp;": ")</f>
        <v/>
      </c>
      <c r="U1802" s="62" t="str">
        <f>IFERROR(VLOOKUP(S$13&amp;$B1802,Aux!$B:$M,4,0),"")</f>
        <v/>
      </c>
      <c r="V1802" s="62"/>
      <c r="W1802" s="63" t="str">
        <f>IFERROR(IF(VLOOKUP(S$13&amp;$B1800,Aux!$B:$M,8,0)="Да","✔","🕓"),"")</f>
        <v/>
      </c>
      <c r="AA1802" s="59"/>
      <c r="AB1802" s="15" t="str">
        <f>IF(AB1800="","","Исполнитель"&amp;": ")</f>
        <v/>
      </c>
      <c r="AC1802" s="62" t="str">
        <f>IFERROR(VLOOKUP(AA$13&amp;$B1802,Aux!$B:$M,4,0),"")</f>
        <v/>
      </c>
      <c r="AD1802" s="62"/>
      <c r="AE1802" s="63" t="str">
        <f>IFERROR(IF(VLOOKUP(AA$13&amp;$B1800,Aux!$B:$M,8,0)="Да","✔","🕓"),"")</f>
        <v/>
      </c>
    </row>
    <row r="1803" spans="2:31" x14ac:dyDescent="0.25">
      <c r="B1803" s="53">
        <f t="shared" si="27"/>
        <v>358</v>
      </c>
      <c r="C1803" s="59"/>
      <c r="D1803" s="16" t="str">
        <f>IF(D1800="","","Срок сдачи"&amp;": ")</f>
        <v/>
      </c>
      <c r="E1803" s="64" t="str">
        <f>IFERROR(VLOOKUP(C$13&amp;$B1803,Aux!$B:$M,6,0),"")</f>
        <v/>
      </c>
      <c r="F1803" s="64"/>
      <c r="G1803" s="63"/>
      <c r="K1803" s="59"/>
      <c r="L1803" s="16" t="str">
        <f>IF(L1800="","","Срок сдачи"&amp;": ")</f>
        <v/>
      </c>
      <c r="M1803" s="64" t="str">
        <f>IFERROR(VLOOKUP(K$13&amp;$B1803,Aux!$B:$M,6,0),"")</f>
        <v/>
      </c>
      <c r="N1803" s="64"/>
      <c r="O1803" s="63"/>
      <c r="S1803" s="59"/>
      <c r="T1803" s="16" t="str">
        <f>IF(T1800="","","Срок сдачи"&amp;": ")</f>
        <v/>
      </c>
      <c r="U1803" s="64" t="str">
        <f>IFERROR(VLOOKUP(S$13&amp;$B1803,Aux!$B:$M,6,0),"")</f>
        <v/>
      </c>
      <c r="V1803" s="64"/>
      <c r="W1803" s="63"/>
      <c r="AA1803" s="59"/>
      <c r="AB1803" s="16" t="str">
        <f>IF(AB1800="","","Срок сдачи"&amp;": ")</f>
        <v/>
      </c>
      <c r="AC1803" s="64" t="str">
        <f>IFERROR(VLOOKUP(AA$13&amp;$B1803,Aux!$B:$M,6,0),"")</f>
        <v/>
      </c>
      <c r="AD1803" s="64"/>
      <c r="AE1803" s="63"/>
    </row>
    <row r="1804" spans="2:31" x14ac:dyDescent="0.25">
      <c r="B1804" s="53">
        <f t="shared" si="27"/>
        <v>358</v>
      </c>
      <c r="C1804" s="7"/>
      <c r="D1804" s="17"/>
      <c r="E1804" s="7"/>
      <c r="F1804" s="18"/>
      <c r="G1804" s="18"/>
      <c r="K1804" s="13"/>
      <c r="L1804" s="17"/>
      <c r="M1804" s="13"/>
      <c r="N1804" s="14"/>
      <c r="O1804" s="14"/>
      <c r="S1804" s="13"/>
      <c r="T1804" s="17"/>
      <c r="U1804" s="13"/>
      <c r="V1804" s="14"/>
      <c r="W1804" s="14"/>
      <c r="AA1804" s="13"/>
      <c r="AB1804" s="17"/>
      <c r="AC1804" s="13"/>
      <c r="AD1804" s="14"/>
      <c r="AE1804" s="30"/>
    </row>
    <row r="1805" spans="2:31" x14ac:dyDescent="0.25">
      <c r="B1805" s="53">
        <f t="shared" si="27"/>
        <v>359</v>
      </c>
      <c r="C1805" s="59" t="str">
        <f>IFERROR(VLOOKUP(C$13&amp;$B1809,Aux!$B:$M,5,0),"")</f>
        <v/>
      </c>
      <c r="D1805" s="60" t="str">
        <f>IFERROR(VLOOKUP(C$13&amp;$B1805,Aux!$B:$M,3,0),"")</f>
        <v/>
      </c>
      <c r="E1805" s="60"/>
      <c r="F1805" s="60"/>
      <c r="G1805" s="61" t="str">
        <f>IFERROR(VLOOKUP(C$13&amp;$B1805,Aux!$B:$M,9,0),"")</f>
        <v/>
      </c>
      <c r="K1805" s="59" t="str">
        <f>IFERROR(VLOOKUP(K$13&amp;$B1809,Aux!$B:$M,5,0),"")</f>
        <v/>
      </c>
      <c r="L1805" s="60" t="str">
        <f>IFERROR(VLOOKUP(K$13&amp;$B1805,Aux!$B:$M,3,0),"")</f>
        <v/>
      </c>
      <c r="M1805" s="60"/>
      <c r="N1805" s="60"/>
      <c r="O1805" s="61" t="str">
        <f>IFERROR(VLOOKUP(K$13&amp;$B1805,Aux!$B:$M,9,0),"")</f>
        <v/>
      </c>
      <c r="S1805" s="59" t="str">
        <f>IFERROR(VLOOKUP(S$13&amp;$B1809,Aux!$B:$M,5,0),"")</f>
        <v/>
      </c>
      <c r="T1805" s="60" t="str">
        <f>IFERROR(VLOOKUP(S$13&amp;$B1805,Aux!$B:$M,3,0),"")</f>
        <v/>
      </c>
      <c r="U1805" s="60"/>
      <c r="V1805" s="60"/>
      <c r="W1805" s="61" t="str">
        <f>IFERROR(VLOOKUP(S$13&amp;$B1805,Aux!$B:$M,9,0),"")</f>
        <v/>
      </c>
      <c r="AA1805" s="59" t="str">
        <f>IFERROR(VLOOKUP(AA$13&amp;$B1809,Aux!$B:$M,5,0),"")</f>
        <v/>
      </c>
      <c r="AB1805" s="60" t="str">
        <f>IFERROR(VLOOKUP(AA$13&amp;$B1805,Aux!$B:$M,3,0),"")</f>
        <v/>
      </c>
      <c r="AC1805" s="60"/>
      <c r="AD1805" s="60"/>
      <c r="AE1805" s="61" t="str">
        <f>IFERROR(VLOOKUP(AA$13&amp;$B1805,Aux!$B:$M,9,0),"")</f>
        <v/>
      </c>
    </row>
    <row r="1806" spans="2:31" x14ac:dyDescent="0.25">
      <c r="B1806" s="53">
        <f t="shared" si="27"/>
        <v>359</v>
      </c>
      <c r="C1806" s="59"/>
      <c r="D1806" s="60"/>
      <c r="E1806" s="60"/>
      <c r="F1806" s="60"/>
      <c r="G1806" s="61"/>
      <c r="K1806" s="59"/>
      <c r="L1806" s="60"/>
      <c r="M1806" s="60"/>
      <c r="N1806" s="60"/>
      <c r="O1806" s="61"/>
      <c r="S1806" s="59"/>
      <c r="T1806" s="60"/>
      <c r="U1806" s="60"/>
      <c r="V1806" s="60"/>
      <c r="W1806" s="61"/>
      <c r="AA1806" s="59"/>
      <c r="AB1806" s="60"/>
      <c r="AC1806" s="60"/>
      <c r="AD1806" s="60"/>
      <c r="AE1806" s="61"/>
    </row>
    <row r="1807" spans="2:31" x14ac:dyDescent="0.25">
      <c r="B1807" s="53">
        <f t="shared" si="27"/>
        <v>359</v>
      </c>
      <c r="C1807" s="59"/>
      <c r="D1807" s="15" t="str">
        <f>IF(D1805="","","Исполнитель"&amp;": ")</f>
        <v/>
      </c>
      <c r="E1807" s="62" t="str">
        <f>IFERROR(VLOOKUP(C$13&amp;$B1807,Aux!$B:$M,4,0),"")</f>
        <v/>
      </c>
      <c r="F1807" s="62"/>
      <c r="G1807" s="63" t="str">
        <f>IFERROR(IF(VLOOKUP(C$13&amp;$B1805,Aux!$B:$M,8,0)="Да","✔","🕓"),"")</f>
        <v/>
      </c>
      <c r="K1807" s="59"/>
      <c r="L1807" s="15" t="str">
        <f>IF(L1805="","","Исполнитель"&amp;": ")</f>
        <v/>
      </c>
      <c r="M1807" s="62" t="str">
        <f>IFERROR(VLOOKUP(K$13&amp;$B1807,Aux!$B:$M,4,0),"")</f>
        <v/>
      </c>
      <c r="N1807" s="62"/>
      <c r="O1807" s="63" t="str">
        <f>IFERROR(IF(VLOOKUP(K$13&amp;$B1805,Aux!$B:$M,8,0)="Да","✔","🕓"),"")</f>
        <v/>
      </c>
      <c r="S1807" s="59"/>
      <c r="T1807" s="15" t="str">
        <f>IF(T1805="","","Исполнитель"&amp;": ")</f>
        <v/>
      </c>
      <c r="U1807" s="62" t="str">
        <f>IFERROR(VLOOKUP(S$13&amp;$B1807,Aux!$B:$M,4,0),"")</f>
        <v/>
      </c>
      <c r="V1807" s="62"/>
      <c r="W1807" s="63" t="str">
        <f>IFERROR(IF(VLOOKUP(S$13&amp;$B1805,Aux!$B:$M,8,0)="Да","✔","🕓"),"")</f>
        <v/>
      </c>
      <c r="AA1807" s="59"/>
      <c r="AB1807" s="15" t="str">
        <f>IF(AB1805="","","Исполнитель"&amp;": ")</f>
        <v/>
      </c>
      <c r="AC1807" s="62" t="str">
        <f>IFERROR(VLOOKUP(AA$13&amp;$B1807,Aux!$B:$M,4,0),"")</f>
        <v/>
      </c>
      <c r="AD1807" s="62"/>
      <c r="AE1807" s="63" t="str">
        <f>IFERROR(IF(VLOOKUP(AA$13&amp;$B1805,Aux!$B:$M,8,0)="Да","✔","🕓"),"")</f>
        <v/>
      </c>
    </row>
    <row r="1808" spans="2:31" x14ac:dyDescent="0.25">
      <c r="B1808" s="53">
        <f t="shared" si="27"/>
        <v>359</v>
      </c>
      <c r="C1808" s="59"/>
      <c r="D1808" s="16" t="str">
        <f>IF(D1805="","","Срок сдачи"&amp;": ")</f>
        <v/>
      </c>
      <c r="E1808" s="64" t="str">
        <f>IFERROR(VLOOKUP(C$13&amp;$B1808,Aux!$B:$M,6,0),"")</f>
        <v/>
      </c>
      <c r="F1808" s="64"/>
      <c r="G1808" s="63"/>
      <c r="K1808" s="59"/>
      <c r="L1808" s="16" t="str">
        <f>IF(L1805="","","Срок сдачи"&amp;": ")</f>
        <v/>
      </c>
      <c r="M1808" s="64" t="str">
        <f>IFERROR(VLOOKUP(K$13&amp;$B1808,Aux!$B:$M,6,0),"")</f>
        <v/>
      </c>
      <c r="N1808" s="64"/>
      <c r="O1808" s="63"/>
      <c r="S1808" s="59"/>
      <c r="T1808" s="16" t="str">
        <f>IF(T1805="","","Срок сдачи"&amp;": ")</f>
        <v/>
      </c>
      <c r="U1808" s="64" t="str">
        <f>IFERROR(VLOOKUP(S$13&amp;$B1808,Aux!$B:$M,6,0),"")</f>
        <v/>
      </c>
      <c r="V1808" s="64"/>
      <c r="W1808" s="63"/>
      <c r="AA1808" s="59"/>
      <c r="AB1808" s="16" t="str">
        <f>IF(AB1805="","","Срок сдачи"&amp;": ")</f>
        <v/>
      </c>
      <c r="AC1808" s="64" t="str">
        <f>IFERROR(VLOOKUP(AA$13&amp;$B1808,Aux!$B:$M,6,0),"")</f>
        <v/>
      </c>
      <c r="AD1808" s="64"/>
      <c r="AE1808" s="63"/>
    </row>
    <row r="1809" spans="2:31" x14ac:dyDescent="0.25">
      <c r="B1809" s="53">
        <f t="shared" si="27"/>
        <v>359</v>
      </c>
      <c r="C1809" s="7"/>
      <c r="D1809" s="17"/>
      <c r="E1809" s="7"/>
      <c r="F1809" s="18"/>
      <c r="G1809" s="18"/>
      <c r="K1809" s="13"/>
      <c r="L1809" s="17"/>
      <c r="M1809" s="13"/>
      <c r="N1809" s="14"/>
      <c r="O1809" s="14"/>
      <c r="S1809" s="13"/>
      <c r="T1809" s="17"/>
      <c r="U1809" s="13"/>
      <c r="V1809" s="14"/>
      <c r="W1809" s="14"/>
      <c r="AA1809" s="13"/>
      <c r="AB1809" s="17"/>
      <c r="AC1809" s="13"/>
      <c r="AD1809" s="14"/>
      <c r="AE1809" s="30"/>
    </row>
    <row r="1810" spans="2:31" x14ac:dyDescent="0.25">
      <c r="B1810" s="53">
        <f t="shared" si="27"/>
        <v>360</v>
      </c>
      <c r="C1810" s="59" t="str">
        <f>IFERROR(VLOOKUP(C$13&amp;$B1814,Aux!$B:$M,5,0),"")</f>
        <v/>
      </c>
      <c r="D1810" s="60" t="str">
        <f>IFERROR(VLOOKUP(C$13&amp;$B1810,Aux!$B:$M,3,0),"")</f>
        <v/>
      </c>
      <c r="E1810" s="60"/>
      <c r="F1810" s="60"/>
      <c r="G1810" s="61" t="str">
        <f>IFERROR(VLOOKUP(C$13&amp;$B1810,Aux!$B:$M,9,0),"")</f>
        <v/>
      </c>
      <c r="K1810" s="59" t="str">
        <f>IFERROR(VLOOKUP(K$13&amp;$B1814,Aux!$B:$M,5,0),"")</f>
        <v/>
      </c>
      <c r="L1810" s="60" t="str">
        <f>IFERROR(VLOOKUP(K$13&amp;$B1810,Aux!$B:$M,3,0),"")</f>
        <v/>
      </c>
      <c r="M1810" s="60"/>
      <c r="N1810" s="60"/>
      <c r="O1810" s="61" t="str">
        <f>IFERROR(VLOOKUP(K$13&amp;$B1810,Aux!$B:$M,9,0),"")</f>
        <v/>
      </c>
      <c r="S1810" s="59" t="str">
        <f>IFERROR(VLOOKUP(S$13&amp;$B1814,Aux!$B:$M,5,0),"")</f>
        <v/>
      </c>
      <c r="T1810" s="60" t="str">
        <f>IFERROR(VLOOKUP(S$13&amp;$B1810,Aux!$B:$M,3,0),"")</f>
        <v/>
      </c>
      <c r="U1810" s="60"/>
      <c r="V1810" s="60"/>
      <c r="W1810" s="61" t="str">
        <f>IFERROR(VLOOKUP(S$13&amp;$B1810,Aux!$B:$M,9,0),"")</f>
        <v/>
      </c>
      <c r="AA1810" s="59" t="str">
        <f>IFERROR(VLOOKUP(AA$13&amp;$B1814,Aux!$B:$M,5,0),"")</f>
        <v/>
      </c>
      <c r="AB1810" s="60" t="str">
        <f>IFERROR(VLOOKUP(AA$13&amp;$B1810,Aux!$B:$M,3,0),"")</f>
        <v/>
      </c>
      <c r="AC1810" s="60"/>
      <c r="AD1810" s="60"/>
      <c r="AE1810" s="61" t="str">
        <f>IFERROR(VLOOKUP(AA$13&amp;$B1810,Aux!$B:$M,9,0),"")</f>
        <v/>
      </c>
    </row>
    <row r="1811" spans="2:31" x14ac:dyDescent="0.25">
      <c r="B1811" s="53">
        <f t="shared" si="27"/>
        <v>360</v>
      </c>
      <c r="C1811" s="59"/>
      <c r="D1811" s="60"/>
      <c r="E1811" s="60"/>
      <c r="F1811" s="60"/>
      <c r="G1811" s="61"/>
      <c r="K1811" s="59"/>
      <c r="L1811" s="60"/>
      <c r="M1811" s="60"/>
      <c r="N1811" s="60"/>
      <c r="O1811" s="61"/>
      <c r="S1811" s="59"/>
      <c r="T1811" s="60"/>
      <c r="U1811" s="60"/>
      <c r="V1811" s="60"/>
      <c r="W1811" s="61"/>
      <c r="AA1811" s="59"/>
      <c r="AB1811" s="60"/>
      <c r="AC1811" s="60"/>
      <c r="AD1811" s="60"/>
      <c r="AE1811" s="61"/>
    </row>
    <row r="1812" spans="2:31" x14ac:dyDescent="0.25">
      <c r="B1812" s="53">
        <f t="shared" si="27"/>
        <v>360</v>
      </c>
      <c r="C1812" s="59"/>
      <c r="D1812" s="15" t="str">
        <f>IF(D1810="","","Исполнитель"&amp;": ")</f>
        <v/>
      </c>
      <c r="E1812" s="62" t="str">
        <f>IFERROR(VLOOKUP(C$13&amp;$B1812,Aux!$B:$M,4,0),"")</f>
        <v/>
      </c>
      <c r="F1812" s="62"/>
      <c r="G1812" s="63" t="str">
        <f>IFERROR(IF(VLOOKUP(C$13&amp;$B1810,Aux!$B:$M,8,0)="Да","✔","🕓"),"")</f>
        <v/>
      </c>
      <c r="K1812" s="59"/>
      <c r="L1812" s="15" t="str">
        <f>IF(L1810="","","Исполнитель"&amp;": ")</f>
        <v/>
      </c>
      <c r="M1812" s="62" t="str">
        <f>IFERROR(VLOOKUP(K$13&amp;$B1812,Aux!$B:$M,4,0),"")</f>
        <v/>
      </c>
      <c r="N1812" s="62"/>
      <c r="O1812" s="63" t="str">
        <f>IFERROR(IF(VLOOKUP(K$13&amp;$B1810,Aux!$B:$M,8,0)="Да","✔","🕓"),"")</f>
        <v/>
      </c>
      <c r="S1812" s="59"/>
      <c r="T1812" s="15" t="str">
        <f>IF(T1810="","","Исполнитель"&amp;": ")</f>
        <v/>
      </c>
      <c r="U1812" s="62" t="str">
        <f>IFERROR(VLOOKUP(S$13&amp;$B1812,Aux!$B:$M,4,0),"")</f>
        <v/>
      </c>
      <c r="V1812" s="62"/>
      <c r="W1812" s="63" t="str">
        <f>IFERROR(IF(VLOOKUP(S$13&amp;$B1810,Aux!$B:$M,8,0)="Да","✔","🕓"),"")</f>
        <v/>
      </c>
      <c r="AA1812" s="59"/>
      <c r="AB1812" s="15" t="str">
        <f>IF(AB1810="","","Исполнитель"&amp;": ")</f>
        <v/>
      </c>
      <c r="AC1812" s="62" t="str">
        <f>IFERROR(VLOOKUP(AA$13&amp;$B1812,Aux!$B:$M,4,0),"")</f>
        <v/>
      </c>
      <c r="AD1812" s="62"/>
      <c r="AE1812" s="63" t="str">
        <f>IFERROR(IF(VLOOKUP(AA$13&amp;$B1810,Aux!$B:$M,8,0)="Да","✔","🕓"),"")</f>
        <v/>
      </c>
    </row>
    <row r="1813" spans="2:31" x14ac:dyDescent="0.25">
      <c r="B1813" s="53">
        <f t="shared" ref="B1813:B1876" si="28">B1808+1</f>
        <v>360</v>
      </c>
      <c r="C1813" s="59"/>
      <c r="D1813" s="16" t="str">
        <f>IF(D1810="","","Срок сдачи"&amp;": ")</f>
        <v/>
      </c>
      <c r="E1813" s="64" t="str">
        <f>IFERROR(VLOOKUP(C$13&amp;$B1813,Aux!$B:$M,6,0),"")</f>
        <v/>
      </c>
      <c r="F1813" s="64"/>
      <c r="G1813" s="63"/>
      <c r="K1813" s="59"/>
      <c r="L1813" s="16" t="str">
        <f>IF(L1810="","","Срок сдачи"&amp;": ")</f>
        <v/>
      </c>
      <c r="M1813" s="64" t="str">
        <f>IFERROR(VLOOKUP(K$13&amp;$B1813,Aux!$B:$M,6,0),"")</f>
        <v/>
      </c>
      <c r="N1813" s="64"/>
      <c r="O1813" s="63"/>
      <c r="S1813" s="59"/>
      <c r="T1813" s="16" t="str">
        <f>IF(T1810="","","Срок сдачи"&amp;": ")</f>
        <v/>
      </c>
      <c r="U1813" s="64" t="str">
        <f>IFERROR(VLOOKUP(S$13&amp;$B1813,Aux!$B:$M,6,0),"")</f>
        <v/>
      </c>
      <c r="V1813" s="64"/>
      <c r="W1813" s="63"/>
      <c r="AA1813" s="59"/>
      <c r="AB1813" s="16" t="str">
        <f>IF(AB1810="","","Срок сдачи"&amp;": ")</f>
        <v/>
      </c>
      <c r="AC1813" s="64" t="str">
        <f>IFERROR(VLOOKUP(AA$13&amp;$B1813,Aux!$B:$M,6,0),"")</f>
        <v/>
      </c>
      <c r="AD1813" s="64"/>
      <c r="AE1813" s="63"/>
    </row>
    <row r="1814" spans="2:31" x14ac:dyDescent="0.25">
      <c r="B1814" s="53">
        <f t="shared" si="28"/>
        <v>360</v>
      </c>
      <c r="C1814" s="7"/>
      <c r="D1814" s="17"/>
      <c r="E1814" s="7"/>
      <c r="F1814" s="18"/>
      <c r="G1814" s="18"/>
      <c r="K1814" s="13"/>
      <c r="L1814" s="17"/>
      <c r="M1814" s="13"/>
      <c r="N1814" s="14"/>
      <c r="O1814" s="14"/>
      <c r="S1814" s="13"/>
      <c r="T1814" s="17"/>
      <c r="U1814" s="13"/>
      <c r="V1814" s="14"/>
      <c r="W1814" s="14"/>
      <c r="AA1814" s="13"/>
      <c r="AB1814" s="17"/>
      <c r="AC1814" s="13"/>
      <c r="AD1814" s="14"/>
      <c r="AE1814" s="30"/>
    </row>
    <row r="1815" spans="2:31" x14ac:dyDescent="0.25">
      <c r="B1815" s="53">
        <f t="shared" si="28"/>
        <v>361</v>
      </c>
      <c r="C1815" s="59" t="str">
        <f>IFERROR(VLOOKUP(C$13&amp;$B1819,Aux!$B:$M,5,0),"")</f>
        <v/>
      </c>
      <c r="D1815" s="60" t="str">
        <f>IFERROR(VLOOKUP(C$13&amp;$B1815,Aux!$B:$M,3,0),"")</f>
        <v/>
      </c>
      <c r="E1815" s="60"/>
      <c r="F1815" s="60"/>
      <c r="G1815" s="61" t="str">
        <f>IFERROR(VLOOKUP(C$13&amp;$B1815,Aux!$B:$M,9,0),"")</f>
        <v/>
      </c>
      <c r="K1815" s="59" t="str">
        <f>IFERROR(VLOOKUP(K$13&amp;$B1819,Aux!$B:$M,5,0),"")</f>
        <v/>
      </c>
      <c r="L1815" s="60" t="str">
        <f>IFERROR(VLOOKUP(K$13&amp;$B1815,Aux!$B:$M,3,0),"")</f>
        <v/>
      </c>
      <c r="M1815" s="60"/>
      <c r="N1815" s="60"/>
      <c r="O1815" s="61" t="str">
        <f>IFERROR(VLOOKUP(K$13&amp;$B1815,Aux!$B:$M,9,0),"")</f>
        <v/>
      </c>
      <c r="S1815" s="59" t="str">
        <f>IFERROR(VLOOKUP(S$13&amp;$B1819,Aux!$B:$M,5,0),"")</f>
        <v/>
      </c>
      <c r="T1815" s="60" t="str">
        <f>IFERROR(VLOOKUP(S$13&amp;$B1815,Aux!$B:$M,3,0),"")</f>
        <v/>
      </c>
      <c r="U1815" s="60"/>
      <c r="V1815" s="60"/>
      <c r="W1815" s="61" t="str">
        <f>IFERROR(VLOOKUP(S$13&amp;$B1815,Aux!$B:$M,9,0),"")</f>
        <v/>
      </c>
      <c r="AA1815" s="59" t="str">
        <f>IFERROR(VLOOKUP(AA$13&amp;$B1819,Aux!$B:$M,5,0),"")</f>
        <v/>
      </c>
      <c r="AB1815" s="60" t="str">
        <f>IFERROR(VLOOKUP(AA$13&amp;$B1815,Aux!$B:$M,3,0),"")</f>
        <v/>
      </c>
      <c r="AC1815" s="60"/>
      <c r="AD1815" s="60"/>
      <c r="AE1815" s="61" t="str">
        <f>IFERROR(VLOOKUP(AA$13&amp;$B1815,Aux!$B:$M,9,0),"")</f>
        <v/>
      </c>
    </row>
    <row r="1816" spans="2:31" x14ac:dyDescent="0.25">
      <c r="B1816" s="53">
        <f t="shared" si="28"/>
        <v>361</v>
      </c>
      <c r="C1816" s="59"/>
      <c r="D1816" s="60"/>
      <c r="E1816" s="60"/>
      <c r="F1816" s="60"/>
      <c r="G1816" s="61"/>
      <c r="K1816" s="59"/>
      <c r="L1816" s="60"/>
      <c r="M1816" s="60"/>
      <c r="N1816" s="60"/>
      <c r="O1816" s="61"/>
      <c r="S1816" s="59"/>
      <c r="T1816" s="60"/>
      <c r="U1816" s="60"/>
      <c r="V1816" s="60"/>
      <c r="W1816" s="61"/>
      <c r="AA1816" s="59"/>
      <c r="AB1816" s="60"/>
      <c r="AC1816" s="60"/>
      <c r="AD1816" s="60"/>
      <c r="AE1816" s="61"/>
    </row>
    <row r="1817" spans="2:31" x14ac:dyDescent="0.25">
      <c r="B1817" s="53">
        <f t="shared" si="28"/>
        <v>361</v>
      </c>
      <c r="C1817" s="59"/>
      <c r="D1817" s="15" t="str">
        <f>IF(D1815="","","Исполнитель"&amp;": ")</f>
        <v/>
      </c>
      <c r="E1817" s="62" t="str">
        <f>IFERROR(VLOOKUP(C$13&amp;$B1817,Aux!$B:$M,4,0),"")</f>
        <v/>
      </c>
      <c r="F1817" s="62"/>
      <c r="G1817" s="63" t="str">
        <f>IFERROR(IF(VLOOKUP(C$13&amp;$B1815,Aux!$B:$M,8,0)="Да","✔","🕓"),"")</f>
        <v/>
      </c>
      <c r="K1817" s="59"/>
      <c r="L1817" s="15" t="str">
        <f>IF(L1815="","","Исполнитель"&amp;": ")</f>
        <v/>
      </c>
      <c r="M1817" s="62" t="str">
        <f>IFERROR(VLOOKUP(K$13&amp;$B1817,Aux!$B:$M,4,0),"")</f>
        <v/>
      </c>
      <c r="N1817" s="62"/>
      <c r="O1817" s="63" t="str">
        <f>IFERROR(IF(VLOOKUP(K$13&amp;$B1815,Aux!$B:$M,8,0)="Да","✔","🕓"),"")</f>
        <v/>
      </c>
      <c r="S1817" s="59"/>
      <c r="T1817" s="15" t="str">
        <f>IF(T1815="","","Исполнитель"&amp;": ")</f>
        <v/>
      </c>
      <c r="U1817" s="62" t="str">
        <f>IFERROR(VLOOKUP(S$13&amp;$B1817,Aux!$B:$M,4,0),"")</f>
        <v/>
      </c>
      <c r="V1817" s="62"/>
      <c r="W1817" s="63" t="str">
        <f>IFERROR(IF(VLOOKUP(S$13&amp;$B1815,Aux!$B:$M,8,0)="Да","✔","🕓"),"")</f>
        <v/>
      </c>
      <c r="AA1817" s="59"/>
      <c r="AB1817" s="15" t="str">
        <f>IF(AB1815="","","Исполнитель"&amp;": ")</f>
        <v/>
      </c>
      <c r="AC1817" s="62" t="str">
        <f>IFERROR(VLOOKUP(AA$13&amp;$B1817,Aux!$B:$M,4,0),"")</f>
        <v/>
      </c>
      <c r="AD1817" s="62"/>
      <c r="AE1817" s="63" t="str">
        <f>IFERROR(IF(VLOOKUP(AA$13&amp;$B1815,Aux!$B:$M,8,0)="Да","✔","🕓"),"")</f>
        <v/>
      </c>
    </row>
    <row r="1818" spans="2:31" x14ac:dyDescent="0.25">
      <c r="B1818" s="53">
        <f t="shared" si="28"/>
        <v>361</v>
      </c>
      <c r="C1818" s="59"/>
      <c r="D1818" s="16" t="str">
        <f>IF(D1815="","","Срок сдачи"&amp;": ")</f>
        <v/>
      </c>
      <c r="E1818" s="64" t="str">
        <f>IFERROR(VLOOKUP(C$13&amp;$B1818,Aux!$B:$M,6,0),"")</f>
        <v/>
      </c>
      <c r="F1818" s="64"/>
      <c r="G1818" s="63"/>
      <c r="K1818" s="59"/>
      <c r="L1818" s="16" t="str">
        <f>IF(L1815="","","Срок сдачи"&amp;": ")</f>
        <v/>
      </c>
      <c r="M1818" s="64" t="str">
        <f>IFERROR(VLOOKUP(K$13&amp;$B1818,Aux!$B:$M,6,0),"")</f>
        <v/>
      </c>
      <c r="N1818" s="64"/>
      <c r="O1818" s="63"/>
      <c r="S1818" s="59"/>
      <c r="T1818" s="16" t="str">
        <f>IF(T1815="","","Срок сдачи"&amp;": ")</f>
        <v/>
      </c>
      <c r="U1818" s="64" t="str">
        <f>IFERROR(VLOOKUP(S$13&amp;$B1818,Aux!$B:$M,6,0),"")</f>
        <v/>
      </c>
      <c r="V1818" s="64"/>
      <c r="W1818" s="63"/>
      <c r="AA1818" s="59"/>
      <c r="AB1818" s="16" t="str">
        <f>IF(AB1815="","","Срок сдачи"&amp;": ")</f>
        <v/>
      </c>
      <c r="AC1818" s="64" t="str">
        <f>IFERROR(VLOOKUP(AA$13&amp;$B1818,Aux!$B:$M,6,0),"")</f>
        <v/>
      </c>
      <c r="AD1818" s="64"/>
      <c r="AE1818" s="63"/>
    </row>
    <row r="1819" spans="2:31" x14ac:dyDescent="0.25">
      <c r="B1819" s="53">
        <f t="shared" si="28"/>
        <v>361</v>
      </c>
      <c r="C1819" s="7"/>
      <c r="D1819" s="17"/>
      <c r="E1819" s="7"/>
      <c r="F1819" s="18"/>
      <c r="G1819" s="18"/>
      <c r="K1819" s="13"/>
      <c r="L1819" s="17"/>
      <c r="M1819" s="13"/>
      <c r="N1819" s="14"/>
      <c r="O1819" s="14"/>
      <c r="S1819" s="13"/>
      <c r="T1819" s="17"/>
      <c r="U1819" s="13"/>
      <c r="V1819" s="14"/>
      <c r="W1819" s="14"/>
      <c r="AA1819" s="13"/>
      <c r="AB1819" s="17"/>
      <c r="AC1819" s="13"/>
      <c r="AD1819" s="14"/>
      <c r="AE1819" s="30"/>
    </row>
    <row r="1820" spans="2:31" x14ac:dyDescent="0.25">
      <c r="B1820" s="53">
        <f t="shared" si="28"/>
        <v>362</v>
      </c>
      <c r="C1820" s="59" t="str">
        <f>IFERROR(VLOOKUP(C$13&amp;$B1824,Aux!$B:$M,5,0),"")</f>
        <v/>
      </c>
      <c r="D1820" s="60" t="str">
        <f>IFERROR(VLOOKUP(C$13&amp;$B1820,Aux!$B:$M,3,0),"")</f>
        <v/>
      </c>
      <c r="E1820" s="60"/>
      <c r="F1820" s="60"/>
      <c r="G1820" s="61" t="str">
        <f>IFERROR(VLOOKUP(C$13&amp;$B1820,Aux!$B:$M,9,0),"")</f>
        <v/>
      </c>
      <c r="K1820" s="59" t="str">
        <f>IFERROR(VLOOKUP(K$13&amp;$B1824,Aux!$B:$M,5,0),"")</f>
        <v/>
      </c>
      <c r="L1820" s="60" t="str">
        <f>IFERROR(VLOOKUP(K$13&amp;$B1820,Aux!$B:$M,3,0),"")</f>
        <v/>
      </c>
      <c r="M1820" s="60"/>
      <c r="N1820" s="60"/>
      <c r="O1820" s="61" t="str">
        <f>IFERROR(VLOOKUP(K$13&amp;$B1820,Aux!$B:$M,9,0),"")</f>
        <v/>
      </c>
      <c r="S1820" s="59" t="str">
        <f>IFERROR(VLOOKUP(S$13&amp;$B1824,Aux!$B:$M,5,0),"")</f>
        <v/>
      </c>
      <c r="T1820" s="60" t="str">
        <f>IFERROR(VLOOKUP(S$13&amp;$B1820,Aux!$B:$M,3,0),"")</f>
        <v/>
      </c>
      <c r="U1820" s="60"/>
      <c r="V1820" s="60"/>
      <c r="W1820" s="61" t="str">
        <f>IFERROR(VLOOKUP(S$13&amp;$B1820,Aux!$B:$M,9,0),"")</f>
        <v/>
      </c>
      <c r="AA1820" s="59" t="str">
        <f>IFERROR(VLOOKUP(AA$13&amp;$B1824,Aux!$B:$M,5,0),"")</f>
        <v/>
      </c>
      <c r="AB1820" s="60" t="str">
        <f>IFERROR(VLOOKUP(AA$13&amp;$B1820,Aux!$B:$M,3,0),"")</f>
        <v/>
      </c>
      <c r="AC1820" s="60"/>
      <c r="AD1820" s="60"/>
      <c r="AE1820" s="61" t="str">
        <f>IFERROR(VLOOKUP(AA$13&amp;$B1820,Aux!$B:$M,9,0),"")</f>
        <v/>
      </c>
    </row>
    <row r="1821" spans="2:31" x14ac:dyDescent="0.25">
      <c r="B1821" s="53">
        <f t="shared" si="28"/>
        <v>362</v>
      </c>
      <c r="C1821" s="59"/>
      <c r="D1821" s="60"/>
      <c r="E1821" s="60"/>
      <c r="F1821" s="60"/>
      <c r="G1821" s="61"/>
      <c r="K1821" s="59"/>
      <c r="L1821" s="60"/>
      <c r="M1821" s="60"/>
      <c r="N1821" s="60"/>
      <c r="O1821" s="61"/>
      <c r="S1821" s="59"/>
      <c r="T1821" s="60"/>
      <c r="U1821" s="60"/>
      <c r="V1821" s="60"/>
      <c r="W1821" s="61"/>
      <c r="AA1821" s="59"/>
      <c r="AB1821" s="60"/>
      <c r="AC1821" s="60"/>
      <c r="AD1821" s="60"/>
      <c r="AE1821" s="61"/>
    </row>
    <row r="1822" spans="2:31" x14ac:dyDescent="0.25">
      <c r="B1822" s="53">
        <f t="shared" si="28"/>
        <v>362</v>
      </c>
      <c r="C1822" s="59"/>
      <c r="D1822" s="15" t="str">
        <f>IF(D1820="","","Исполнитель"&amp;": ")</f>
        <v/>
      </c>
      <c r="E1822" s="62" t="str">
        <f>IFERROR(VLOOKUP(C$13&amp;$B1822,Aux!$B:$M,4,0),"")</f>
        <v/>
      </c>
      <c r="F1822" s="62"/>
      <c r="G1822" s="63" t="str">
        <f>IFERROR(IF(VLOOKUP(C$13&amp;$B1820,Aux!$B:$M,8,0)="Да","✔","🕓"),"")</f>
        <v/>
      </c>
      <c r="K1822" s="59"/>
      <c r="L1822" s="15" t="str">
        <f>IF(L1820="","","Исполнитель"&amp;": ")</f>
        <v/>
      </c>
      <c r="M1822" s="62" t="str">
        <f>IFERROR(VLOOKUP(K$13&amp;$B1822,Aux!$B:$M,4,0),"")</f>
        <v/>
      </c>
      <c r="N1822" s="62"/>
      <c r="O1822" s="63" t="str">
        <f>IFERROR(IF(VLOOKUP(K$13&amp;$B1820,Aux!$B:$M,8,0)="Да","✔","🕓"),"")</f>
        <v/>
      </c>
      <c r="S1822" s="59"/>
      <c r="T1822" s="15" t="str">
        <f>IF(T1820="","","Исполнитель"&amp;": ")</f>
        <v/>
      </c>
      <c r="U1822" s="62" t="str">
        <f>IFERROR(VLOOKUP(S$13&amp;$B1822,Aux!$B:$M,4,0),"")</f>
        <v/>
      </c>
      <c r="V1822" s="62"/>
      <c r="W1822" s="63" t="str">
        <f>IFERROR(IF(VLOOKUP(S$13&amp;$B1820,Aux!$B:$M,8,0)="Да","✔","🕓"),"")</f>
        <v/>
      </c>
      <c r="AA1822" s="59"/>
      <c r="AB1822" s="15" t="str">
        <f>IF(AB1820="","","Исполнитель"&amp;": ")</f>
        <v/>
      </c>
      <c r="AC1822" s="62" t="str">
        <f>IFERROR(VLOOKUP(AA$13&amp;$B1822,Aux!$B:$M,4,0),"")</f>
        <v/>
      </c>
      <c r="AD1822" s="62"/>
      <c r="AE1822" s="63" t="str">
        <f>IFERROR(IF(VLOOKUP(AA$13&amp;$B1820,Aux!$B:$M,8,0)="Да","✔","🕓"),"")</f>
        <v/>
      </c>
    </row>
    <row r="1823" spans="2:31" x14ac:dyDescent="0.25">
      <c r="B1823" s="53">
        <f t="shared" si="28"/>
        <v>362</v>
      </c>
      <c r="C1823" s="59"/>
      <c r="D1823" s="16" t="str">
        <f>IF(D1820="","","Срок сдачи"&amp;": ")</f>
        <v/>
      </c>
      <c r="E1823" s="64" t="str">
        <f>IFERROR(VLOOKUP(C$13&amp;$B1823,Aux!$B:$M,6,0),"")</f>
        <v/>
      </c>
      <c r="F1823" s="64"/>
      <c r="G1823" s="63"/>
      <c r="K1823" s="59"/>
      <c r="L1823" s="16" t="str">
        <f>IF(L1820="","","Срок сдачи"&amp;": ")</f>
        <v/>
      </c>
      <c r="M1823" s="64" t="str">
        <f>IFERROR(VLOOKUP(K$13&amp;$B1823,Aux!$B:$M,6,0),"")</f>
        <v/>
      </c>
      <c r="N1823" s="64"/>
      <c r="O1823" s="63"/>
      <c r="S1823" s="59"/>
      <c r="T1823" s="16" t="str">
        <f>IF(T1820="","","Срок сдачи"&amp;": ")</f>
        <v/>
      </c>
      <c r="U1823" s="64" t="str">
        <f>IFERROR(VLOOKUP(S$13&amp;$B1823,Aux!$B:$M,6,0),"")</f>
        <v/>
      </c>
      <c r="V1823" s="64"/>
      <c r="W1823" s="63"/>
      <c r="AA1823" s="59"/>
      <c r="AB1823" s="16" t="str">
        <f>IF(AB1820="","","Срок сдачи"&amp;": ")</f>
        <v/>
      </c>
      <c r="AC1823" s="64" t="str">
        <f>IFERROR(VLOOKUP(AA$13&amp;$B1823,Aux!$B:$M,6,0),"")</f>
        <v/>
      </c>
      <c r="AD1823" s="64"/>
      <c r="AE1823" s="63"/>
    </row>
    <row r="1824" spans="2:31" x14ac:dyDescent="0.25">
      <c r="B1824" s="53">
        <f t="shared" si="28"/>
        <v>362</v>
      </c>
      <c r="C1824" s="7"/>
      <c r="D1824" s="17"/>
      <c r="E1824" s="7"/>
      <c r="F1824" s="18"/>
      <c r="G1824" s="18"/>
      <c r="K1824" s="13"/>
      <c r="L1824" s="17"/>
      <c r="M1824" s="13"/>
      <c r="N1824" s="14"/>
      <c r="O1824" s="14"/>
      <c r="S1824" s="13"/>
      <c r="T1824" s="17"/>
      <c r="U1824" s="13"/>
      <c r="V1824" s="14"/>
      <c r="W1824" s="14"/>
      <c r="AA1824" s="13"/>
      <c r="AB1824" s="17"/>
      <c r="AC1824" s="13"/>
      <c r="AD1824" s="14"/>
      <c r="AE1824" s="30"/>
    </row>
    <row r="1825" spans="2:31" x14ac:dyDescent="0.25">
      <c r="B1825" s="53">
        <f t="shared" si="28"/>
        <v>363</v>
      </c>
      <c r="C1825" s="59" t="str">
        <f>IFERROR(VLOOKUP(C$13&amp;$B1829,Aux!$B:$M,5,0),"")</f>
        <v/>
      </c>
      <c r="D1825" s="60" t="str">
        <f>IFERROR(VLOOKUP(C$13&amp;$B1825,Aux!$B:$M,3,0),"")</f>
        <v/>
      </c>
      <c r="E1825" s="60"/>
      <c r="F1825" s="60"/>
      <c r="G1825" s="61" t="str">
        <f>IFERROR(VLOOKUP(C$13&amp;$B1825,Aux!$B:$M,9,0),"")</f>
        <v/>
      </c>
      <c r="K1825" s="59" t="str">
        <f>IFERROR(VLOOKUP(K$13&amp;$B1829,Aux!$B:$M,5,0),"")</f>
        <v/>
      </c>
      <c r="L1825" s="60" t="str">
        <f>IFERROR(VLOOKUP(K$13&amp;$B1825,Aux!$B:$M,3,0),"")</f>
        <v/>
      </c>
      <c r="M1825" s="60"/>
      <c r="N1825" s="60"/>
      <c r="O1825" s="61" t="str">
        <f>IFERROR(VLOOKUP(K$13&amp;$B1825,Aux!$B:$M,9,0),"")</f>
        <v/>
      </c>
      <c r="S1825" s="59" t="str">
        <f>IFERROR(VLOOKUP(S$13&amp;$B1829,Aux!$B:$M,5,0),"")</f>
        <v/>
      </c>
      <c r="T1825" s="60" t="str">
        <f>IFERROR(VLOOKUP(S$13&amp;$B1825,Aux!$B:$M,3,0),"")</f>
        <v/>
      </c>
      <c r="U1825" s="60"/>
      <c r="V1825" s="60"/>
      <c r="W1825" s="61" t="str">
        <f>IFERROR(VLOOKUP(S$13&amp;$B1825,Aux!$B:$M,9,0),"")</f>
        <v/>
      </c>
      <c r="AA1825" s="59" t="str">
        <f>IFERROR(VLOOKUP(AA$13&amp;$B1829,Aux!$B:$M,5,0),"")</f>
        <v/>
      </c>
      <c r="AB1825" s="60" t="str">
        <f>IFERROR(VLOOKUP(AA$13&amp;$B1825,Aux!$B:$M,3,0),"")</f>
        <v/>
      </c>
      <c r="AC1825" s="60"/>
      <c r="AD1825" s="60"/>
      <c r="AE1825" s="61" t="str">
        <f>IFERROR(VLOOKUP(AA$13&amp;$B1825,Aux!$B:$M,9,0),"")</f>
        <v/>
      </c>
    </row>
    <row r="1826" spans="2:31" x14ac:dyDescent="0.25">
      <c r="B1826" s="53">
        <f t="shared" si="28"/>
        <v>363</v>
      </c>
      <c r="C1826" s="59"/>
      <c r="D1826" s="60"/>
      <c r="E1826" s="60"/>
      <c r="F1826" s="60"/>
      <c r="G1826" s="61"/>
      <c r="K1826" s="59"/>
      <c r="L1826" s="60"/>
      <c r="M1826" s="60"/>
      <c r="N1826" s="60"/>
      <c r="O1826" s="61"/>
      <c r="S1826" s="59"/>
      <c r="T1826" s="60"/>
      <c r="U1826" s="60"/>
      <c r="V1826" s="60"/>
      <c r="W1826" s="61"/>
      <c r="AA1826" s="59"/>
      <c r="AB1826" s="60"/>
      <c r="AC1826" s="60"/>
      <c r="AD1826" s="60"/>
      <c r="AE1826" s="61"/>
    </row>
    <row r="1827" spans="2:31" x14ac:dyDescent="0.25">
      <c r="B1827" s="53">
        <f t="shared" si="28"/>
        <v>363</v>
      </c>
      <c r="C1827" s="59"/>
      <c r="D1827" s="15" t="str">
        <f>IF(D1825="","","Исполнитель"&amp;": ")</f>
        <v/>
      </c>
      <c r="E1827" s="62" t="str">
        <f>IFERROR(VLOOKUP(C$13&amp;$B1827,Aux!$B:$M,4,0),"")</f>
        <v/>
      </c>
      <c r="F1827" s="62"/>
      <c r="G1827" s="63" t="str">
        <f>IFERROR(IF(VLOOKUP(C$13&amp;$B1825,Aux!$B:$M,8,0)="Да","✔","🕓"),"")</f>
        <v/>
      </c>
      <c r="K1827" s="59"/>
      <c r="L1827" s="15" t="str">
        <f>IF(L1825="","","Исполнитель"&amp;": ")</f>
        <v/>
      </c>
      <c r="M1827" s="62" t="str">
        <f>IFERROR(VLOOKUP(K$13&amp;$B1827,Aux!$B:$M,4,0),"")</f>
        <v/>
      </c>
      <c r="N1827" s="62"/>
      <c r="O1827" s="63" t="str">
        <f>IFERROR(IF(VLOOKUP(K$13&amp;$B1825,Aux!$B:$M,8,0)="Да","✔","🕓"),"")</f>
        <v/>
      </c>
      <c r="S1827" s="59"/>
      <c r="T1827" s="15" t="str">
        <f>IF(T1825="","","Исполнитель"&amp;": ")</f>
        <v/>
      </c>
      <c r="U1827" s="62" t="str">
        <f>IFERROR(VLOOKUP(S$13&amp;$B1827,Aux!$B:$M,4,0),"")</f>
        <v/>
      </c>
      <c r="V1827" s="62"/>
      <c r="W1827" s="63" t="str">
        <f>IFERROR(IF(VLOOKUP(S$13&amp;$B1825,Aux!$B:$M,8,0)="Да","✔","🕓"),"")</f>
        <v/>
      </c>
      <c r="AA1827" s="59"/>
      <c r="AB1827" s="15" t="str">
        <f>IF(AB1825="","","Исполнитель"&amp;": ")</f>
        <v/>
      </c>
      <c r="AC1827" s="62" t="str">
        <f>IFERROR(VLOOKUP(AA$13&amp;$B1827,Aux!$B:$M,4,0),"")</f>
        <v/>
      </c>
      <c r="AD1827" s="62"/>
      <c r="AE1827" s="63" t="str">
        <f>IFERROR(IF(VLOOKUP(AA$13&amp;$B1825,Aux!$B:$M,8,0)="Да","✔","🕓"),"")</f>
        <v/>
      </c>
    </row>
    <row r="1828" spans="2:31" x14ac:dyDescent="0.25">
      <c r="B1828" s="53">
        <f t="shared" si="28"/>
        <v>363</v>
      </c>
      <c r="C1828" s="59"/>
      <c r="D1828" s="16" t="str">
        <f>IF(D1825="","","Срок сдачи"&amp;": ")</f>
        <v/>
      </c>
      <c r="E1828" s="64" t="str">
        <f>IFERROR(VLOOKUP(C$13&amp;$B1828,Aux!$B:$M,6,0),"")</f>
        <v/>
      </c>
      <c r="F1828" s="64"/>
      <c r="G1828" s="63"/>
      <c r="K1828" s="59"/>
      <c r="L1828" s="16" t="str">
        <f>IF(L1825="","","Срок сдачи"&amp;": ")</f>
        <v/>
      </c>
      <c r="M1828" s="64" t="str">
        <f>IFERROR(VLOOKUP(K$13&amp;$B1828,Aux!$B:$M,6,0),"")</f>
        <v/>
      </c>
      <c r="N1828" s="64"/>
      <c r="O1828" s="63"/>
      <c r="S1828" s="59"/>
      <c r="T1828" s="16" t="str">
        <f>IF(T1825="","","Срок сдачи"&amp;": ")</f>
        <v/>
      </c>
      <c r="U1828" s="64" t="str">
        <f>IFERROR(VLOOKUP(S$13&amp;$B1828,Aux!$B:$M,6,0),"")</f>
        <v/>
      </c>
      <c r="V1828" s="64"/>
      <c r="W1828" s="63"/>
      <c r="AA1828" s="59"/>
      <c r="AB1828" s="16" t="str">
        <f>IF(AB1825="","","Срок сдачи"&amp;": ")</f>
        <v/>
      </c>
      <c r="AC1828" s="64" t="str">
        <f>IFERROR(VLOOKUP(AA$13&amp;$B1828,Aux!$B:$M,6,0),"")</f>
        <v/>
      </c>
      <c r="AD1828" s="64"/>
      <c r="AE1828" s="63"/>
    </row>
    <row r="1829" spans="2:31" x14ac:dyDescent="0.25">
      <c r="B1829" s="53">
        <f t="shared" si="28"/>
        <v>363</v>
      </c>
      <c r="C1829" s="7"/>
      <c r="D1829" s="17"/>
      <c r="E1829" s="7"/>
      <c r="F1829" s="18"/>
      <c r="G1829" s="18"/>
      <c r="K1829" s="13"/>
      <c r="L1829" s="17"/>
      <c r="M1829" s="13"/>
      <c r="N1829" s="14"/>
      <c r="O1829" s="14"/>
      <c r="S1829" s="13"/>
      <c r="T1829" s="17"/>
      <c r="U1829" s="13"/>
      <c r="V1829" s="14"/>
      <c r="W1829" s="14"/>
      <c r="AA1829" s="13"/>
      <c r="AB1829" s="17"/>
      <c r="AC1829" s="13"/>
      <c r="AD1829" s="14"/>
      <c r="AE1829" s="30"/>
    </row>
    <row r="1830" spans="2:31" x14ac:dyDescent="0.25">
      <c r="B1830" s="53">
        <f t="shared" si="28"/>
        <v>364</v>
      </c>
      <c r="C1830" s="59" t="str">
        <f>IFERROR(VLOOKUP(C$13&amp;$B1834,Aux!$B:$M,5,0),"")</f>
        <v/>
      </c>
      <c r="D1830" s="60" t="str">
        <f>IFERROR(VLOOKUP(C$13&amp;$B1830,Aux!$B:$M,3,0),"")</f>
        <v/>
      </c>
      <c r="E1830" s="60"/>
      <c r="F1830" s="60"/>
      <c r="G1830" s="61" t="str">
        <f>IFERROR(VLOOKUP(C$13&amp;$B1830,Aux!$B:$M,9,0),"")</f>
        <v/>
      </c>
      <c r="K1830" s="59" t="str">
        <f>IFERROR(VLOOKUP(K$13&amp;$B1834,Aux!$B:$M,5,0),"")</f>
        <v/>
      </c>
      <c r="L1830" s="60" t="str">
        <f>IFERROR(VLOOKUP(K$13&amp;$B1830,Aux!$B:$M,3,0),"")</f>
        <v/>
      </c>
      <c r="M1830" s="60"/>
      <c r="N1830" s="60"/>
      <c r="O1830" s="61" t="str">
        <f>IFERROR(VLOOKUP(K$13&amp;$B1830,Aux!$B:$M,9,0),"")</f>
        <v/>
      </c>
      <c r="S1830" s="59" t="str">
        <f>IFERROR(VLOOKUP(S$13&amp;$B1834,Aux!$B:$M,5,0),"")</f>
        <v/>
      </c>
      <c r="T1830" s="60" t="str">
        <f>IFERROR(VLOOKUP(S$13&amp;$B1830,Aux!$B:$M,3,0),"")</f>
        <v/>
      </c>
      <c r="U1830" s="60"/>
      <c r="V1830" s="60"/>
      <c r="W1830" s="61" t="str">
        <f>IFERROR(VLOOKUP(S$13&amp;$B1830,Aux!$B:$M,9,0),"")</f>
        <v/>
      </c>
      <c r="AA1830" s="59" t="str">
        <f>IFERROR(VLOOKUP(AA$13&amp;$B1834,Aux!$B:$M,5,0),"")</f>
        <v/>
      </c>
      <c r="AB1830" s="60" t="str">
        <f>IFERROR(VLOOKUP(AA$13&amp;$B1830,Aux!$B:$M,3,0),"")</f>
        <v/>
      </c>
      <c r="AC1830" s="60"/>
      <c r="AD1830" s="60"/>
      <c r="AE1830" s="61" t="str">
        <f>IFERROR(VLOOKUP(AA$13&amp;$B1830,Aux!$B:$M,9,0),"")</f>
        <v/>
      </c>
    </row>
    <row r="1831" spans="2:31" x14ac:dyDescent="0.25">
      <c r="B1831" s="53">
        <f t="shared" si="28"/>
        <v>364</v>
      </c>
      <c r="C1831" s="59"/>
      <c r="D1831" s="60"/>
      <c r="E1831" s="60"/>
      <c r="F1831" s="60"/>
      <c r="G1831" s="61"/>
      <c r="K1831" s="59"/>
      <c r="L1831" s="60"/>
      <c r="M1831" s="60"/>
      <c r="N1831" s="60"/>
      <c r="O1831" s="61"/>
      <c r="S1831" s="59"/>
      <c r="T1831" s="60"/>
      <c r="U1831" s="60"/>
      <c r="V1831" s="60"/>
      <c r="W1831" s="61"/>
      <c r="AA1831" s="59"/>
      <c r="AB1831" s="60"/>
      <c r="AC1831" s="60"/>
      <c r="AD1831" s="60"/>
      <c r="AE1831" s="61"/>
    </row>
    <row r="1832" spans="2:31" x14ac:dyDescent="0.25">
      <c r="B1832" s="53">
        <f t="shared" si="28"/>
        <v>364</v>
      </c>
      <c r="C1832" s="59"/>
      <c r="D1832" s="15" t="str">
        <f>IF(D1830="","","Исполнитель"&amp;": ")</f>
        <v/>
      </c>
      <c r="E1832" s="62" t="str">
        <f>IFERROR(VLOOKUP(C$13&amp;$B1832,Aux!$B:$M,4,0),"")</f>
        <v/>
      </c>
      <c r="F1832" s="62"/>
      <c r="G1832" s="63" t="str">
        <f>IFERROR(IF(VLOOKUP(C$13&amp;$B1830,Aux!$B:$M,8,0)="Да","✔","🕓"),"")</f>
        <v/>
      </c>
      <c r="K1832" s="59"/>
      <c r="L1832" s="15" t="str">
        <f>IF(L1830="","","Исполнитель"&amp;": ")</f>
        <v/>
      </c>
      <c r="M1832" s="62" t="str">
        <f>IFERROR(VLOOKUP(K$13&amp;$B1832,Aux!$B:$M,4,0),"")</f>
        <v/>
      </c>
      <c r="N1832" s="62"/>
      <c r="O1832" s="63" t="str">
        <f>IFERROR(IF(VLOOKUP(K$13&amp;$B1830,Aux!$B:$M,8,0)="Да","✔","🕓"),"")</f>
        <v/>
      </c>
      <c r="S1832" s="59"/>
      <c r="T1832" s="15" t="str">
        <f>IF(T1830="","","Исполнитель"&amp;": ")</f>
        <v/>
      </c>
      <c r="U1832" s="62" t="str">
        <f>IFERROR(VLOOKUP(S$13&amp;$B1832,Aux!$B:$M,4,0),"")</f>
        <v/>
      </c>
      <c r="V1832" s="62"/>
      <c r="W1832" s="63" t="str">
        <f>IFERROR(IF(VLOOKUP(S$13&amp;$B1830,Aux!$B:$M,8,0)="Да","✔","🕓"),"")</f>
        <v/>
      </c>
      <c r="AA1832" s="59"/>
      <c r="AB1832" s="15" t="str">
        <f>IF(AB1830="","","Исполнитель"&amp;": ")</f>
        <v/>
      </c>
      <c r="AC1832" s="62" t="str">
        <f>IFERROR(VLOOKUP(AA$13&amp;$B1832,Aux!$B:$M,4,0),"")</f>
        <v/>
      </c>
      <c r="AD1832" s="62"/>
      <c r="AE1832" s="63" t="str">
        <f>IFERROR(IF(VLOOKUP(AA$13&amp;$B1830,Aux!$B:$M,8,0)="Да","✔","🕓"),"")</f>
        <v/>
      </c>
    </row>
    <row r="1833" spans="2:31" x14ac:dyDescent="0.25">
      <c r="B1833" s="53">
        <f t="shared" si="28"/>
        <v>364</v>
      </c>
      <c r="C1833" s="59"/>
      <c r="D1833" s="16" t="str">
        <f>IF(D1830="","","Срок сдачи"&amp;": ")</f>
        <v/>
      </c>
      <c r="E1833" s="64" t="str">
        <f>IFERROR(VLOOKUP(C$13&amp;$B1833,Aux!$B:$M,6,0),"")</f>
        <v/>
      </c>
      <c r="F1833" s="64"/>
      <c r="G1833" s="63"/>
      <c r="K1833" s="59"/>
      <c r="L1833" s="16" t="str">
        <f>IF(L1830="","","Срок сдачи"&amp;": ")</f>
        <v/>
      </c>
      <c r="M1833" s="64" t="str">
        <f>IFERROR(VLOOKUP(K$13&amp;$B1833,Aux!$B:$M,6,0),"")</f>
        <v/>
      </c>
      <c r="N1833" s="64"/>
      <c r="O1833" s="63"/>
      <c r="S1833" s="59"/>
      <c r="T1833" s="16" t="str">
        <f>IF(T1830="","","Срок сдачи"&amp;": ")</f>
        <v/>
      </c>
      <c r="U1833" s="64" t="str">
        <f>IFERROR(VLOOKUP(S$13&amp;$B1833,Aux!$B:$M,6,0),"")</f>
        <v/>
      </c>
      <c r="V1833" s="64"/>
      <c r="W1833" s="63"/>
      <c r="AA1833" s="59"/>
      <c r="AB1833" s="16" t="str">
        <f>IF(AB1830="","","Срок сдачи"&amp;": ")</f>
        <v/>
      </c>
      <c r="AC1833" s="64" t="str">
        <f>IFERROR(VLOOKUP(AA$13&amp;$B1833,Aux!$B:$M,6,0),"")</f>
        <v/>
      </c>
      <c r="AD1833" s="64"/>
      <c r="AE1833" s="63"/>
    </row>
    <row r="1834" spans="2:31" x14ac:dyDescent="0.25">
      <c r="B1834" s="53">
        <f t="shared" si="28"/>
        <v>364</v>
      </c>
      <c r="C1834" s="7"/>
      <c r="D1834" s="17"/>
      <c r="E1834" s="7"/>
      <c r="F1834" s="18"/>
      <c r="G1834" s="18"/>
      <c r="K1834" s="13"/>
      <c r="L1834" s="17"/>
      <c r="M1834" s="13"/>
      <c r="N1834" s="14"/>
      <c r="O1834" s="14"/>
      <c r="S1834" s="13"/>
      <c r="T1834" s="17"/>
      <c r="U1834" s="13"/>
      <c r="V1834" s="14"/>
      <c r="W1834" s="14"/>
      <c r="AA1834" s="13"/>
      <c r="AB1834" s="17"/>
      <c r="AC1834" s="13"/>
      <c r="AD1834" s="14"/>
      <c r="AE1834" s="30"/>
    </row>
    <row r="1835" spans="2:31" x14ac:dyDescent="0.25">
      <c r="B1835" s="53">
        <f t="shared" si="28"/>
        <v>365</v>
      </c>
      <c r="C1835" s="59" t="str">
        <f>IFERROR(VLOOKUP(C$13&amp;$B1839,Aux!$B:$M,5,0),"")</f>
        <v/>
      </c>
      <c r="D1835" s="60" t="str">
        <f>IFERROR(VLOOKUP(C$13&amp;$B1835,Aux!$B:$M,3,0),"")</f>
        <v/>
      </c>
      <c r="E1835" s="60"/>
      <c r="F1835" s="60"/>
      <c r="G1835" s="61" t="str">
        <f>IFERROR(VLOOKUP(C$13&amp;$B1835,Aux!$B:$M,9,0),"")</f>
        <v/>
      </c>
      <c r="K1835" s="59" t="str">
        <f>IFERROR(VLOOKUP(K$13&amp;$B1839,Aux!$B:$M,5,0),"")</f>
        <v/>
      </c>
      <c r="L1835" s="60" t="str">
        <f>IFERROR(VLOOKUP(K$13&amp;$B1835,Aux!$B:$M,3,0),"")</f>
        <v/>
      </c>
      <c r="M1835" s="60"/>
      <c r="N1835" s="60"/>
      <c r="O1835" s="61" t="str">
        <f>IFERROR(VLOOKUP(K$13&amp;$B1835,Aux!$B:$M,9,0),"")</f>
        <v/>
      </c>
      <c r="S1835" s="59" t="str">
        <f>IFERROR(VLOOKUP(S$13&amp;$B1839,Aux!$B:$M,5,0),"")</f>
        <v/>
      </c>
      <c r="T1835" s="60" t="str">
        <f>IFERROR(VLOOKUP(S$13&amp;$B1835,Aux!$B:$M,3,0),"")</f>
        <v/>
      </c>
      <c r="U1835" s="60"/>
      <c r="V1835" s="60"/>
      <c r="W1835" s="61" t="str">
        <f>IFERROR(VLOOKUP(S$13&amp;$B1835,Aux!$B:$M,9,0),"")</f>
        <v/>
      </c>
      <c r="AA1835" s="59" t="str">
        <f>IFERROR(VLOOKUP(AA$13&amp;$B1839,Aux!$B:$M,5,0),"")</f>
        <v/>
      </c>
      <c r="AB1835" s="60" t="str">
        <f>IFERROR(VLOOKUP(AA$13&amp;$B1835,Aux!$B:$M,3,0),"")</f>
        <v/>
      </c>
      <c r="AC1835" s="60"/>
      <c r="AD1835" s="60"/>
      <c r="AE1835" s="61" t="str">
        <f>IFERROR(VLOOKUP(AA$13&amp;$B1835,Aux!$B:$M,9,0),"")</f>
        <v/>
      </c>
    </row>
    <row r="1836" spans="2:31" x14ac:dyDescent="0.25">
      <c r="B1836" s="53">
        <f t="shared" si="28"/>
        <v>365</v>
      </c>
      <c r="C1836" s="59"/>
      <c r="D1836" s="60"/>
      <c r="E1836" s="60"/>
      <c r="F1836" s="60"/>
      <c r="G1836" s="61"/>
      <c r="K1836" s="59"/>
      <c r="L1836" s="60"/>
      <c r="M1836" s="60"/>
      <c r="N1836" s="60"/>
      <c r="O1836" s="61"/>
      <c r="S1836" s="59"/>
      <c r="T1836" s="60"/>
      <c r="U1836" s="60"/>
      <c r="V1836" s="60"/>
      <c r="W1836" s="61"/>
      <c r="AA1836" s="59"/>
      <c r="AB1836" s="60"/>
      <c r="AC1836" s="60"/>
      <c r="AD1836" s="60"/>
      <c r="AE1836" s="61"/>
    </row>
    <row r="1837" spans="2:31" x14ac:dyDescent="0.25">
      <c r="B1837" s="53">
        <f t="shared" si="28"/>
        <v>365</v>
      </c>
      <c r="C1837" s="59"/>
      <c r="D1837" s="15" t="str">
        <f>IF(D1835="","","Исполнитель"&amp;": ")</f>
        <v/>
      </c>
      <c r="E1837" s="62" t="str">
        <f>IFERROR(VLOOKUP(C$13&amp;$B1837,Aux!$B:$M,4,0),"")</f>
        <v/>
      </c>
      <c r="F1837" s="62"/>
      <c r="G1837" s="63" t="str">
        <f>IFERROR(IF(VLOOKUP(C$13&amp;$B1835,Aux!$B:$M,8,0)="Да","✔","🕓"),"")</f>
        <v/>
      </c>
      <c r="K1837" s="59"/>
      <c r="L1837" s="15" t="str">
        <f>IF(L1835="","","Исполнитель"&amp;": ")</f>
        <v/>
      </c>
      <c r="M1837" s="62" t="str">
        <f>IFERROR(VLOOKUP(K$13&amp;$B1837,Aux!$B:$M,4,0),"")</f>
        <v/>
      </c>
      <c r="N1837" s="62"/>
      <c r="O1837" s="63" t="str">
        <f>IFERROR(IF(VLOOKUP(K$13&amp;$B1835,Aux!$B:$M,8,0)="Да","✔","🕓"),"")</f>
        <v/>
      </c>
      <c r="S1837" s="59"/>
      <c r="T1837" s="15" t="str">
        <f>IF(T1835="","","Исполнитель"&amp;": ")</f>
        <v/>
      </c>
      <c r="U1837" s="62" t="str">
        <f>IFERROR(VLOOKUP(S$13&amp;$B1837,Aux!$B:$M,4,0),"")</f>
        <v/>
      </c>
      <c r="V1837" s="62"/>
      <c r="W1837" s="63" t="str">
        <f>IFERROR(IF(VLOOKUP(S$13&amp;$B1835,Aux!$B:$M,8,0)="Да","✔","🕓"),"")</f>
        <v/>
      </c>
      <c r="AA1837" s="59"/>
      <c r="AB1837" s="15" t="str">
        <f>IF(AB1835="","","Исполнитель"&amp;": ")</f>
        <v/>
      </c>
      <c r="AC1837" s="62" t="str">
        <f>IFERROR(VLOOKUP(AA$13&amp;$B1837,Aux!$B:$M,4,0),"")</f>
        <v/>
      </c>
      <c r="AD1837" s="62"/>
      <c r="AE1837" s="63" t="str">
        <f>IFERROR(IF(VLOOKUP(AA$13&amp;$B1835,Aux!$B:$M,8,0)="Да","✔","🕓"),"")</f>
        <v/>
      </c>
    </row>
    <row r="1838" spans="2:31" x14ac:dyDescent="0.25">
      <c r="B1838" s="53">
        <f t="shared" si="28"/>
        <v>365</v>
      </c>
      <c r="C1838" s="59"/>
      <c r="D1838" s="16" t="str">
        <f>IF(D1835="","","Срок сдачи"&amp;": ")</f>
        <v/>
      </c>
      <c r="E1838" s="64" t="str">
        <f>IFERROR(VLOOKUP(C$13&amp;$B1838,Aux!$B:$M,6,0),"")</f>
        <v/>
      </c>
      <c r="F1838" s="64"/>
      <c r="G1838" s="63"/>
      <c r="K1838" s="59"/>
      <c r="L1838" s="16" t="str">
        <f>IF(L1835="","","Срок сдачи"&amp;": ")</f>
        <v/>
      </c>
      <c r="M1838" s="64" t="str">
        <f>IFERROR(VLOOKUP(K$13&amp;$B1838,Aux!$B:$M,6,0),"")</f>
        <v/>
      </c>
      <c r="N1838" s="64"/>
      <c r="O1838" s="63"/>
      <c r="S1838" s="59"/>
      <c r="T1838" s="16" t="str">
        <f>IF(T1835="","","Срок сдачи"&amp;": ")</f>
        <v/>
      </c>
      <c r="U1838" s="64" t="str">
        <f>IFERROR(VLOOKUP(S$13&amp;$B1838,Aux!$B:$M,6,0),"")</f>
        <v/>
      </c>
      <c r="V1838" s="64"/>
      <c r="W1838" s="63"/>
      <c r="AA1838" s="59"/>
      <c r="AB1838" s="16" t="str">
        <f>IF(AB1835="","","Срок сдачи"&amp;": ")</f>
        <v/>
      </c>
      <c r="AC1838" s="64" t="str">
        <f>IFERROR(VLOOKUP(AA$13&amp;$B1838,Aux!$B:$M,6,0),"")</f>
        <v/>
      </c>
      <c r="AD1838" s="64"/>
      <c r="AE1838" s="63"/>
    </row>
    <row r="1839" spans="2:31" x14ac:dyDescent="0.25">
      <c r="B1839" s="53">
        <f t="shared" si="28"/>
        <v>365</v>
      </c>
      <c r="C1839" s="7"/>
      <c r="D1839" s="17"/>
      <c r="E1839" s="7"/>
      <c r="F1839" s="18"/>
      <c r="G1839" s="18"/>
      <c r="K1839" s="13"/>
      <c r="L1839" s="17"/>
      <c r="M1839" s="13"/>
      <c r="N1839" s="14"/>
      <c r="O1839" s="14"/>
      <c r="S1839" s="13"/>
      <c r="T1839" s="17"/>
      <c r="U1839" s="13"/>
      <c r="V1839" s="14"/>
      <c r="W1839" s="14"/>
      <c r="AA1839" s="13"/>
      <c r="AB1839" s="17"/>
      <c r="AC1839" s="13"/>
      <c r="AD1839" s="14"/>
      <c r="AE1839" s="30"/>
    </row>
    <row r="1840" spans="2:31" x14ac:dyDescent="0.25">
      <c r="B1840" s="53">
        <f t="shared" si="28"/>
        <v>366</v>
      </c>
      <c r="C1840" s="59" t="str">
        <f>IFERROR(VLOOKUP(C$13&amp;$B1844,Aux!$B:$M,5,0),"")</f>
        <v/>
      </c>
      <c r="D1840" s="60" t="str">
        <f>IFERROR(VLOOKUP(C$13&amp;$B1840,Aux!$B:$M,3,0),"")</f>
        <v/>
      </c>
      <c r="E1840" s="60"/>
      <c r="F1840" s="60"/>
      <c r="G1840" s="61" t="str">
        <f>IFERROR(VLOOKUP(C$13&amp;$B1840,Aux!$B:$M,9,0),"")</f>
        <v/>
      </c>
      <c r="K1840" s="59" t="str">
        <f>IFERROR(VLOOKUP(K$13&amp;$B1844,Aux!$B:$M,5,0),"")</f>
        <v/>
      </c>
      <c r="L1840" s="60" t="str">
        <f>IFERROR(VLOOKUP(K$13&amp;$B1840,Aux!$B:$M,3,0),"")</f>
        <v/>
      </c>
      <c r="M1840" s="60"/>
      <c r="N1840" s="60"/>
      <c r="O1840" s="61" t="str">
        <f>IFERROR(VLOOKUP(K$13&amp;$B1840,Aux!$B:$M,9,0),"")</f>
        <v/>
      </c>
      <c r="S1840" s="59" t="str">
        <f>IFERROR(VLOOKUP(S$13&amp;$B1844,Aux!$B:$M,5,0),"")</f>
        <v/>
      </c>
      <c r="T1840" s="60" t="str">
        <f>IFERROR(VLOOKUP(S$13&amp;$B1840,Aux!$B:$M,3,0),"")</f>
        <v/>
      </c>
      <c r="U1840" s="60"/>
      <c r="V1840" s="60"/>
      <c r="W1840" s="61" t="str">
        <f>IFERROR(VLOOKUP(S$13&amp;$B1840,Aux!$B:$M,9,0),"")</f>
        <v/>
      </c>
      <c r="AA1840" s="59" t="str">
        <f>IFERROR(VLOOKUP(AA$13&amp;$B1844,Aux!$B:$M,5,0),"")</f>
        <v/>
      </c>
      <c r="AB1840" s="60" t="str">
        <f>IFERROR(VLOOKUP(AA$13&amp;$B1840,Aux!$B:$M,3,0),"")</f>
        <v/>
      </c>
      <c r="AC1840" s="60"/>
      <c r="AD1840" s="60"/>
      <c r="AE1840" s="61" t="str">
        <f>IFERROR(VLOOKUP(AA$13&amp;$B1840,Aux!$B:$M,9,0),"")</f>
        <v/>
      </c>
    </row>
    <row r="1841" spans="2:31" x14ac:dyDescent="0.25">
      <c r="B1841" s="53">
        <f t="shared" si="28"/>
        <v>366</v>
      </c>
      <c r="C1841" s="59"/>
      <c r="D1841" s="60"/>
      <c r="E1841" s="60"/>
      <c r="F1841" s="60"/>
      <c r="G1841" s="61"/>
      <c r="K1841" s="59"/>
      <c r="L1841" s="60"/>
      <c r="M1841" s="60"/>
      <c r="N1841" s="60"/>
      <c r="O1841" s="61"/>
      <c r="S1841" s="59"/>
      <c r="T1841" s="60"/>
      <c r="U1841" s="60"/>
      <c r="V1841" s="60"/>
      <c r="W1841" s="61"/>
      <c r="AA1841" s="59"/>
      <c r="AB1841" s="60"/>
      <c r="AC1841" s="60"/>
      <c r="AD1841" s="60"/>
      <c r="AE1841" s="61"/>
    </row>
    <row r="1842" spans="2:31" x14ac:dyDescent="0.25">
      <c r="B1842" s="53">
        <f t="shared" si="28"/>
        <v>366</v>
      </c>
      <c r="C1842" s="59"/>
      <c r="D1842" s="15" t="str">
        <f>IF(D1840="","","Исполнитель"&amp;": ")</f>
        <v/>
      </c>
      <c r="E1842" s="62" t="str">
        <f>IFERROR(VLOOKUP(C$13&amp;$B1842,Aux!$B:$M,4,0),"")</f>
        <v/>
      </c>
      <c r="F1842" s="62"/>
      <c r="G1842" s="63" t="str">
        <f>IFERROR(IF(VLOOKUP(C$13&amp;$B1840,Aux!$B:$M,8,0)="Да","✔","🕓"),"")</f>
        <v/>
      </c>
      <c r="K1842" s="59"/>
      <c r="L1842" s="15" t="str">
        <f>IF(L1840="","","Исполнитель"&amp;": ")</f>
        <v/>
      </c>
      <c r="M1842" s="62" t="str">
        <f>IFERROR(VLOOKUP(K$13&amp;$B1842,Aux!$B:$M,4,0),"")</f>
        <v/>
      </c>
      <c r="N1842" s="62"/>
      <c r="O1842" s="63" t="str">
        <f>IFERROR(IF(VLOOKUP(K$13&amp;$B1840,Aux!$B:$M,8,0)="Да","✔","🕓"),"")</f>
        <v/>
      </c>
      <c r="S1842" s="59"/>
      <c r="T1842" s="15" t="str">
        <f>IF(T1840="","","Исполнитель"&amp;": ")</f>
        <v/>
      </c>
      <c r="U1842" s="62" t="str">
        <f>IFERROR(VLOOKUP(S$13&amp;$B1842,Aux!$B:$M,4,0),"")</f>
        <v/>
      </c>
      <c r="V1842" s="62"/>
      <c r="W1842" s="63" t="str">
        <f>IFERROR(IF(VLOOKUP(S$13&amp;$B1840,Aux!$B:$M,8,0)="Да","✔","🕓"),"")</f>
        <v/>
      </c>
      <c r="AA1842" s="59"/>
      <c r="AB1842" s="15" t="str">
        <f>IF(AB1840="","","Исполнитель"&amp;": ")</f>
        <v/>
      </c>
      <c r="AC1842" s="62" t="str">
        <f>IFERROR(VLOOKUP(AA$13&amp;$B1842,Aux!$B:$M,4,0),"")</f>
        <v/>
      </c>
      <c r="AD1842" s="62"/>
      <c r="AE1842" s="63" t="str">
        <f>IFERROR(IF(VLOOKUP(AA$13&amp;$B1840,Aux!$B:$M,8,0)="Да","✔","🕓"),"")</f>
        <v/>
      </c>
    </row>
    <row r="1843" spans="2:31" x14ac:dyDescent="0.25">
      <c r="B1843" s="53">
        <f t="shared" si="28"/>
        <v>366</v>
      </c>
      <c r="C1843" s="59"/>
      <c r="D1843" s="16" t="str">
        <f>IF(D1840="","","Срок сдачи"&amp;": ")</f>
        <v/>
      </c>
      <c r="E1843" s="64" t="str">
        <f>IFERROR(VLOOKUP(C$13&amp;$B1843,Aux!$B:$M,6,0),"")</f>
        <v/>
      </c>
      <c r="F1843" s="64"/>
      <c r="G1843" s="63"/>
      <c r="K1843" s="59"/>
      <c r="L1843" s="16" t="str">
        <f>IF(L1840="","","Срок сдачи"&amp;": ")</f>
        <v/>
      </c>
      <c r="M1843" s="64" t="str">
        <f>IFERROR(VLOOKUP(K$13&amp;$B1843,Aux!$B:$M,6,0),"")</f>
        <v/>
      </c>
      <c r="N1843" s="64"/>
      <c r="O1843" s="63"/>
      <c r="S1843" s="59"/>
      <c r="T1843" s="16" t="str">
        <f>IF(T1840="","","Срок сдачи"&amp;": ")</f>
        <v/>
      </c>
      <c r="U1843" s="64" t="str">
        <f>IFERROR(VLOOKUP(S$13&amp;$B1843,Aux!$B:$M,6,0),"")</f>
        <v/>
      </c>
      <c r="V1843" s="64"/>
      <c r="W1843" s="63"/>
      <c r="AA1843" s="59"/>
      <c r="AB1843" s="16" t="str">
        <f>IF(AB1840="","","Срок сдачи"&amp;": ")</f>
        <v/>
      </c>
      <c r="AC1843" s="64" t="str">
        <f>IFERROR(VLOOKUP(AA$13&amp;$B1843,Aux!$B:$M,6,0),"")</f>
        <v/>
      </c>
      <c r="AD1843" s="64"/>
      <c r="AE1843" s="63"/>
    </row>
    <row r="1844" spans="2:31" x14ac:dyDescent="0.25">
      <c r="B1844" s="53">
        <f t="shared" si="28"/>
        <v>366</v>
      </c>
      <c r="C1844" s="7"/>
      <c r="D1844" s="17"/>
      <c r="E1844" s="7"/>
      <c r="F1844" s="18"/>
      <c r="G1844" s="18"/>
      <c r="K1844" s="13"/>
      <c r="L1844" s="17"/>
      <c r="M1844" s="13"/>
      <c r="N1844" s="14"/>
      <c r="O1844" s="14"/>
      <c r="S1844" s="13"/>
      <c r="T1844" s="17"/>
      <c r="U1844" s="13"/>
      <c r="V1844" s="14"/>
      <c r="W1844" s="14"/>
      <c r="AA1844" s="13"/>
      <c r="AB1844" s="17"/>
      <c r="AC1844" s="13"/>
      <c r="AD1844" s="14"/>
      <c r="AE1844" s="30"/>
    </row>
    <row r="1845" spans="2:31" x14ac:dyDescent="0.25">
      <c r="B1845" s="53">
        <f t="shared" si="28"/>
        <v>367</v>
      </c>
      <c r="C1845" s="59" t="str">
        <f>IFERROR(VLOOKUP(C$13&amp;$B1849,Aux!$B:$M,5,0),"")</f>
        <v/>
      </c>
      <c r="D1845" s="60" t="str">
        <f>IFERROR(VLOOKUP(C$13&amp;$B1845,Aux!$B:$M,3,0),"")</f>
        <v/>
      </c>
      <c r="E1845" s="60"/>
      <c r="F1845" s="60"/>
      <c r="G1845" s="61" t="str">
        <f>IFERROR(VLOOKUP(C$13&amp;$B1845,Aux!$B:$M,9,0),"")</f>
        <v/>
      </c>
      <c r="K1845" s="59" t="str">
        <f>IFERROR(VLOOKUP(K$13&amp;$B1849,Aux!$B:$M,5,0),"")</f>
        <v/>
      </c>
      <c r="L1845" s="60" t="str">
        <f>IFERROR(VLOOKUP(K$13&amp;$B1845,Aux!$B:$M,3,0),"")</f>
        <v/>
      </c>
      <c r="M1845" s="60"/>
      <c r="N1845" s="60"/>
      <c r="O1845" s="61" t="str">
        <f>IFERROR(VLOOKUP(K$13&amp;$B1845,Aux!$B:$M,9,0),"")</f>
        <v/>
      </c>
      <c r="S1845" s="59" t="str">
        <f>IFERROR(VLOOKUP(S$13&amp;$B1849,Aux!$B:$M,5,0),"")</f>
        <v/>
      </c>
      <c r="T1845" s="60" t="str">
        <f>IFERROR(VLOOKUP(S$13&amp;$B1845,Aux!$B:$M,3,0),"")</f>
        <v/>
      </c>
      <c r="U1845" s="60"/>
      <c r="V1845" s="60"/>
      <c r="W1845" s="61" t="str">
        <f>IFERROR(VLOOKUP(S$13&amp;$B1845,Aux!$B:$M,9,0),"")</f>
        <v/>
      </c>
      <c r="AA1845" s="59" t="str">
        <f>IFERROR(VLOOKUP(AA$13&amp;$B1849,Aux!$B:$M,5,0),"")</f>
        <v/>
      </c>
      <c r="AB1845" s="60" t="str">
        <f>IFERROR(VLOOKUP(AA$13&amp;$B1845,Aux!$B:$M,3,0),"")</f>
        <v/>
      </c>
      <c r="AC1845" s="60"/>
      <c r="AD1845" s="60"/>
      <c r="AE1845" s="61" t="str">
        <f>IFERROR(VLOOKUP(AA$13&amp;$B1845,Aux!$B:$M,9,0),"")</f>
        <v/>
      </c>
    </row>
    <row r="1846" spans="2:31" x14ac:dyDescent="0.25">
      <c r="B1846" s="53">
        <f t="shared" si="28"/>
        <v>367</v>
      </c>
      <c r="C1846" s="59"/>
      <c r="D1846" s="60"/>
      <c r="E1846" s="60"/>
      <c r="F1846" s="60"/>
      <c r="G1846" s="61"/>
      <c r="K1846" s="59"/>
      <c r="L1846" s="60"/>
      <c r="M1846" s="60"/>
      <c r="N1846" s="60"/>
      <c r="O1846" s="61"/>
      <c r="S1846" s="59"/>
      <c r="T1846" s="60"/>
      <c r="U1846" s="60"/>
      <c r="V1846" s="60"/>
      <c r="W1846" s="61"/>
      <c r="AA1846" s="59"/>
      <c r="AB1846" s="60"/>
      <c r="AC1846" s="60"/>
      <c r="AD1846" s="60"/>
      <c r="AE1846" s="61"/>
    </row>
    <row r="1847" spans="2:31" x14ac:dyDescent="0.25">
      <c r="B1847" s="53">
        <f t="shared" si="28"/>
        <v>367</v>
      </c>
      <c r="C1847" s="59"/>
      <c r="D1847" s="15" t="str">
        <f>IF(D1845="","","Исполнитель"&amp;": ")</f>
        <v/>
      </c>
      <c r="E1847" s="62" t="str">
        <f>IFERROR(VLOOKUP(C$13&amp;$B1847,Aux!$B:$M,4,0),"")</f>
        <v/>
      </c>
      <c r="F1847" s="62"/>
      <c r="G1847" s="63" t="str">
        <f>IFERROR(IF(VLOOKUP(C$13&amp;$B1845,Aux!$B:$M,8,0)="Да","✔","🕓"),"")</f>
        <v/>
      </c>
      <c r="K1847" s="59"/>
      <c r="L1847" s="15" t="str">
        <f>IF(L1845="","","Исполнитель"&amp;": ")</f>
        <v/>
      </c>
      <c r="M1847" s="62" t="str">
        <f>IFERROR(VLOOKUP(K$13&amp;$B1847,Aux!$B:$M,4,0),"")</f>
        <v/>
      </c>
      <c r="N1847" s="62"/>
      <c r="O1847" s="63" t="str">
        <f>IFERROR(IF(VLOOKUP(K$13&amp;$B1845,Aux!$B:$M,8,0)="Да","✔","🕓"),"")</f>
        <v/>
      </c>
      <c r="S1847" s="59"/>
      <c r="T1847" s="15" t="str">
        <f>IF(T1845="","","Исполнитель"&amp;": ")</f>
        <v/>
      </c>
      <c r="U1847" s="62" t="str">
        <f>IFERROR(VLOOKUP(S$13&amp;$B1847,Aux!$B:$M,4,0),"")</f>
        <v/>
      </c>
      <c r="V1847" s="62"/>
      <c r="W1847" s="63" t="str">
        <f>IFERROR(IF(VLOOKUP(S$13&amp;$B1845,Aux!$B:$M,8,0)="Да","✔","🕓"),"")</f>
        <v/>
      </c>
      <c r="AA1847" s="59"/>
      <c r="AB1847" s="15" t="str">
        <f>IF(AB1845="","","Исполнитель"&amp;": ")</f>
        <v/>
      </c>
      <c r="AC1847" s="62" t="str">
        <f>IFERROR(VLOOKUP(AA$13&amp;$B1847,Aux!$B:$M,4,0),"")</f>
        <v/>
      </c>
      <c r="AD1847" s="62"/>
      <c r="AE1847" s="63" t="str">
        <f>IFERROR(IF(VLOOKUP(AA$13&amp;$B1845,Aux!$B:$M,8,0)="Да","✔","🕓"),"")</f>
        <v/>
      </c>
    </row>
    <row r="1848" spans="2:31" x14ac:dyDescent="0.25">
      <c r="B1848" s="53">
        <f t="shared" si="28"/>
        <v>367</v>
      </c>
      <c r="C1848" s="59"/>
      <c r="D1848" s="16" t="str">
        <f>IF(D1845="","","Срок сдачи"&amp;": ")</f>
        <v/>
      </c>
      <c r="E1848" s="64" t="str">
        <f>IFERROR(VLOOKUP(C$13&amp;$B1848,Aux!$B:$M,6,0),"")</f>
        <v/>
      </c>
      <c r="F1848" s="64"/>
      <c r="G1848" s="63"/>
      <c r="K1848" s="59"/>
      <c r="L1848" s="16" t="str">
        <f>IF(L1845="","","Срок сдачи"&amp;": ")</f>
        <v/>
      </c>
      <c r="M1848" s="64" t="str">
        <f>IFERROR(VLOOKUP(K$13&amp;$B1848,Aux!$B:$M,6,0),"")</f>
        <v/>
      </c>
      <c r="N1848" s="64"/>
      <c r="O1848" s="63"/>
      <c r="S1848" s="59"/>
      <c r="T1848" s="16" t="str">
        <f>IF(T1845="","","Срок сдачи"&amp;": ")</f>
        <v/>
      </c>
      <c r="U1848" s="64" t="str">
        <f>IFERROR(VLOOKUP(S$13&amp;$B1848,Aux!$B:$M,6,0),"")</f>
        <v/>
      </c>
      <c r="V1848" s="64"/>
      <c r="W1848" s="63"/>
      <c r="AA1848" s="59"/>
      <c r="AB1848" s="16" t="str">
        <f>IF(AB1845="","","Срок сдачи"&amp;": ")</f>
        <v/>
      </c>
      <c r="AC1848" s="64" t="str">
        <f>IFERROR(VLOOKUP(AA$13&amp;$B1848,Aux!$B:$M,6,0),"")</f>
        <v/>
      </c>
      <c r="AD1848" s="64"/>
      <c r="AE1848" s="63"/>
    </row>
    <row r="1849" spans="2:31" x14ac:dyDescent="0.25">
      <c r="B1849" s="53">
        <f t="shared" si="28"/>
        <v>367</v>
      </c>
      <c r="C1849" s="7"/>
      <c r="D1849" s="17"/>
      <c r="E1849" s="7"/>
      <c r="F1849" s="18"/>
      <c r="G1849" s="18"/>
      <c r="K1849" s="13"/>
      <c r="L1849" s="17"/>
      <c r="M1849" s="13"/>
      <c r="N1849" s="14"/>
      <c r="O1849" s="14"/>
      <c r="S1849" s="13"/>
      <c r="T1849" s="17"/>
      <c r="U1849" s="13"/>
      <c r="V1849" s="14"/>
      <c r="W1849" s="14"/>
      <c r="AA1849" s="13"/>
      <c r="AB1849" s="17"/>
      <c r="AC1849" s="13"/>
      <c r="AD1849" s="14"/>
      <c r="AE1849" s="30"/>
    </row>
    <row r="1850" spans="2:31" x14ac:dyDescent="0.25">
      <c r="B1850" s="53">
        <f t="shared" si="28"/>
        <v>368</v>
      </c>
      <c r="C1850" s="59" t="str">
        <f>IFERROR(VLOOKUP(C$13&amp;$B1854,Aux!$B:$M,5,0),"")</f>
        <v/>
      </c>
      <c r="D1850" s="60" t="str">
        <f>IFERROR(VLOOKUP(C$13&amp;$B1850,Aux!$B:$M,3,0),"")</f>
        <v/>
      </c>
      <c r="E1850" s="60"/>
      <c r="F1850" s="60"/>
      <c r="G1850" s="61" t="str">
        <f>IFERROR(VLOOKUP(C$13&amp;$B1850,Aux!$B:$M,9,0),"")</f>
        <v/>
      </c>
      <c r="K1850" s="59" t="str">
        <f>IFERROR(VLOOKUP(K$13&amp;$B1854,Aux!$B:$M,5,0),"")</f>
        <v/>
      </c>
      <c r="L1850" s="60" t="str">
        <f>IFERROR(VLOOKUP(K$13&amp;$B1850,Aux!$B:$M,3,0),"")</f>
        <v/>
      </c>
      <c r="M1850" s="60"/>
      <c r="N1850" s="60"/>
      <c r="O1850" s="61" t="str">
        <f>IFERROR(VLOOKUP(K$13&amp;$B1850,Aux!$B:$M,9,0),"")</f>
        <v/>
      </c>
      <c r="S1850" s="59" t="str">
        <f>IFERROR(VLOOKUP(S$13&amp;$B1854,Aux!$B:$M,5,0),"")</f>
        <v/>
      </c>
      <c r="T1850" s="60" t="str">
        <f>IFERROR(VLOOKUP(S$13&amp;$B1850,Aux!$B:$M,3,0),"")</f>
        <v/>
      </c>
      <c r="U1850" s="60"/>
      <c r="V1850" s="60"/>
      <c r="W1850" s="61" t="str">
        <f>IFERROR(VLOOKUP(S$13&amp;$B1850,Aux!$B:$M,9,0),"")</f>
        <v/>
      </c>
      <c r="AA1850" s="59" t="str">
        <f>IFERROR(VLOOKUP(AA$13&amp;$B1854,Aux!$B:$M,5,0),"")</f>
        <v/>
      </c>
      <c r="AB1850" s="60" t="str">
        <f>IFERROR(VLOOKUP(AA$13&amp;$B1850,Aux!$B:$M,3,0),"")</f>
        <v/>
      </c>
      <c r="AC1850" s="60"/>
      <c r="AD1850" s="60"/>
      <c r="AE1850" s="61" t="str">
        <f>IFERROR(VLOOKUP(AA$13&amp;$B1850,Aux!$B:$M,9,0),"")</f>
        <v/>
      </c>
    </row>
    <row r="1851" spans="2:31" x14ac:dyDescent="0.25">
      <c r="B1851" s="53">
        <f t="shared" si="28"/>
        <v>368</v>
      </c>
      <c r="C1851" s="59"/>
      <c r="D1851" s="60"/>
      <c r="E1851" s="60"/>
      <c r="F1851" s="60"/>
      <c r="G1851" s="61"/>
      <c r="K1851" s="59"/>
      <c r="L1851" s="60"/>
      <c r="M1851" s="60"/>
      <c r="N1851" s="60"/>
      <c r="O1851" s="61"/>
      <c r="S1851" s="59"/>
      <c r="T1851" s="60"/>
      <c r="U1851" s="60"/>
      <c r="V1851" s="60"/>
      <c r="W1851" s="61"/>
      <c r="AA1851" s="59"/>
      <c r="AB1851" s="60"/>
      <c r="AC1851" s="60"/>
      <c r="AD1851" s="60"/>
      <c r="AE1851" s="61"/>
    </row>
    <row r="1852" spans="2:31" x14ac:dyDescent="0.25">
      <c r="B1852" s="53">
        <f t="shared" si="28"/>
        <v>368</v>
      </c>
      <c r="C1852" s="59"/>
      <c r="D1852" s="15" t="str">
        <f>IF(D1850="","","Исполнитель"&amp;": ")</f>
        <v/>
      </c>
      <c r="E1852" s="62" t="str">
        <f>IFERROR(VLOOKUP(C$13&amp;$B1852,Aux!$B:$M,4,0),"")</f>
        <v/>
      </c>
      <c r="F1852" s="62"/>
      <c r="G1852" s="63" t="str">
        <f>IFERROR(IF(VLOOKUP(C$13&amp;$B1850,Aux!$B:$M,8,0)="Да","✔","🕓"),"")</f>
        <v/>
      </c>
      <c r="K1852" s="59"/>
      <c r="L1852" s="15" t="str">
        <f>IF(L1850="","","Исполнитель"&amp;": ")</f>
        <v/>
      </c>
      <c r="M1852" s="62" t="str">
        <f>IFERROR(VLOOKUP(K$13&amp;$B1852,Aux!$B:$M,4,0),"")</f>
        <v/>
      </c>
      <c r="N1852" s="62"/>
      <c r="O1852" s="63" t="str">
        <f>IFERROR(IF(VLOOKUP(K$13&amp;$B1850,Aux!$B:$M,8,0)="Да","✔","🕓"),"")</f>
        <v/>
      </c>
      <c r="S1852" s="59"/>
      <c r="T1852" s="15" t="str">
        <f>IF(T1850="","","Исполнитель"&amp;": ")</f>
        <v/>
      </c>
      <c r="U1852" s="62" t="str">
        <f>IFERROR(VLOOKUP(S$13&amp;$B1852,Aux!$B:$M,4,0),"")</f>
        <v/>
      </c>
      <c r="V1852" s="62"/>
      <c r="W1852" s="63" t="str">
        <f>IFERROR(IF(VLOOKUP(S$13&amp;$B1850,Aux!$B:$M,8,0)="Да","✔","🕓"),"")</f>
        <v/>
      </c>
      <c r="AA1852" s="59"/>
      <c r="AB1852" s="15" t="str">
        <f>IF(AB1850="","","Исполнитель"&amp;": ")</f>
        <v/>
      </c>
      <c r="AC1852" s="62" t="str">
        <f>IFERROR(VLOOKUP(AA$13&amp;$B1852,Aux!$B:$M,4,0),"")</f>
        <v/>
      </c>
      <c r="AD1852" s="62"/>
      <c r="AE1852" s="63" t="str">
        <f>IFERROR(IF(VLOOKUP(AA$13&amp;$B1850,Aux!$B:$M,8,0)="Да","✔","🕓"),"")</f>
        <v/>
      </c>
    </row>
    <row r="1853" spans="2:31" x14ac:dyDescent="0.25">
      <c r="B1853" s="53">
        <f t="shared" si="28"/>
        <v>368</v>
      </c>
      <c r="C1853" s="59"/>
      <c r="D1853" s="16" t="str">
        <f>IF(D1850="","","Срок сдачи"&amp;": ")</f>
        <v/>
      </c>
      <c r="E1853" s="64" t="str">
        <f>IFERROR(VLOOKUP(C$13&amp;$B1853,Aux!$B:$M,6,0),"")</f>
        <v/>
      </c>
      <c r="F1853" s="64"/>
      <c r="G1853" s="63"/>
      <c r="K1853" s="59"/>
      <c r="L1853" s="16" t="str">
        <f>IF(L1850="","","Срок сдачи"&amp;": ")</f>
        <v/>
      </c>
      <c r="M1853" s="64" t="str">
        <f>IFERROR(VLOOKUP(K$13&amp;$B1853,Aux!$B:$M,6,0),"")</f>
        <v/>
      </c>
      <c r="N1853" s="64"/>
      <c r="O1853" s="63"/>
      <c r="S1853" s="59"/>
      <c r="T1853" s="16" t="str">
        <f>IF(T1850="","","Срок сдачи"&amp;": ")</f>
        <v/>
      </c>
      <c r="U1853" s="64" t="str">
        <f>IFERROR(VLOOKUP(S$13&amp;$B1853,Aux!$B:$M,6,0),"")</f>
        <v/>
      </c>
      <c r="V1853" s="64"/>
      <c r="W1853" s="63"/>
      <c r="AA1853" s="59"/>
      <c r="AB1853" s="16" t="str">
        <f>IF(AB1850="","","Срок сдачи"&amp;": ")</f>
        <v/>
      </c>
      <c r="AC1853" s="64" t="str">
        <f>IFERROR(VLOOKUP(AA$13&amp;$B1853,Aux!$B:$M,6,0),"")</f>
        <v/>
      </c>
      <c r="AD1853" s="64"/>
      <c r="AE1853" s="63"/>
    </row>
    <row r="1854" spans="2:31" x14ac:dyDescent="0.25">
      <c r="B1854" s="53">
        <f t="shared" si="28"/>
        <v>368</v>
      </c>
      <c r="C1854" s="7"/>
      <c r="D1854" s="17"/>
      <c r="E1854" s="7"/>
      <c r="F1854" s="18"/>
      <c r="G1854" s="18"/>
      <c r="K1854" s="13"/>
      <c r="L1854" s="17"/>
      <c r="M1854" s="13"/>
      <c r="N1854" s="14"/>
      <c r="O1854" s="14"/>
      <c r="S1854" s="13"/>
      <c r="T1854" s="17"/>
      <c r="U1854" s="13"/>
      <c r="V1854" s="14"/>
      <c r="W1854" s="14"/>
      <c r="AA1854" s="13"/>
      <c r="AB1854" s="17"/>
      <c r="AC1854" s="13"/>
      <c r="AD1854" s="14"/>
      <c r="AE1854" s="30"/>
    </row>
    <row r="1855" spans="2:31" x14ac:dyDescent="0.25">
      <c r="B1855" s="53">
        <f t="shared" si="28"/>
        <v>369</v>
      </c>
      <c r="C1855" s="59" t="str">
        <f>IFERROR(VLOOKUP(C$13&amp;$B1859,Aux!$B:$M,5,0),"")</f>
        <v/>
      </c>
      <c r="D1855" s="60" t="str">
        <f>IFERROR(VLOOKUP(C$13&amp;$B1855,Aux!$B:$M,3,0),"")</f>
        <v/>
      </c>
      <c r="E1855" s="60"/>
      <c r="F1855" s="60"/>
      <c r="G1855" s="61" t="str">
        <f>IFERROR(VLOOKUP(C$13&amp;$B1855,Aux!$B:$M,9,0),"")</f>
        <v/>
      </c>
      <c r="K1855" s="59" t="str">
        <f>IFERROR(VLOOKUP(K$13&amp;$B1859,Aux!$B:$M,5,0),"")</f>
        <v/>
      </c>
      <c r="L1855" s="60" t="str">
        <f>IFERROR(VLOOKUP(K$13&amp;$B1855,Aux!$B:$M,3,0),"")</f>
        <v/>
      </c>
      <c r="M1855" s="60"/>
      <c r="N1855" s="60"/>
      <c r="O1855" s="61" t="str">
        <f>IFERROR(VLOOKUP(K$13&amp;$B1855,Aux!$B:$M,9,0),"")</f>
        <v/>
      </c>
      <c r="S1855" s="59" t="str">
        <f>IFERROR(VLOOKUP(S$13&amp;$B1859,Aux!$B:$M,5,0),"")</f>
        <v/>
      </c>
      <c r="T1855" s="60" t="str">
        <f>IFERROR(VLOOKUP(S$13&amp;$B1855,Aux!$B:$M,3,0),"")</f>
        <v/>
      </c>
      <c r="U1855" s="60"/>
      <c r="V1855" s="60"/>
      <c r="W1855" s="61" t="str">
        <f>IFERROR(VLOOKUP(S$13&amp;$B1855,Aux!$B:$M,9,0),"")</f>
        <v/>
      </c>
      <c r="AA1855" s="59" t="str">
        <f>IFERROR(VLOOKUP(AA$13&amp;$B1859,Aux!$B:$M,5,0),"")</f>
        <v/>
      </c>
      <c r="AB1855" s="60" t="str">
        <f>IFERROR(VLOOKUP(AA$13&amp;$B1855,Aux!$B:$M,3,0),"")</f>
        <v/>
      </c>
      <c r="AC1855" s="60"/>
      <c r="AD1855" s="60"/>
      <c r="AE1855" s="61" t="str">
        <f>IFERROR(VLOOKUP(AA$13&amp;$B1855,Aux!$B:$M,9,0),"")</f>
        <v/>
      </c>
    </row>
    <row r="1856" spans="2:31" x14ac:dyDescent="0.25">
      <c r="B1856" s="53">
        <f t="shared" si="28"/>
        <v>369</v>
      </c>
      <c r="C1856" s="59"/>
      <c r="D1856" s="60"/>
      <c r="E1856" s="60"/>
      <c r="F1856" s="60"/>
      <c r="G1856" s="61"/>
      <c r="K1856" s="59"/>
      <c r="L1856" s="60"/>
      <c r="M1856" s="60"/>
      <c r="N1856" s="60"/>
      <c r="O1856" s="61"/>
      <c r="S1856" s="59"/>
      <c r="T1856" s="60"/>
      <c r="U1856" s="60"/>
      <c r="V1856" s="60"/>
      <c r="W1856" s="61"/>
      <c r="AA1856" s="59"/>
      <c r="AB1856" s="60"/>
      <c r="AC1856" s="60"/>
      <c r="AD1856" s="60"/>
      <c r="AE1856" s="61"/>
    </row>
    <row r="1857" spans="2:31" x14ac:dyDescent="0.25">
      <c r="B1857" s="53">
        <f t="shared" si="28"/>
        <v>369</v>
      </c>
      <c r="C1857" s="59"/>
      <c r="D1857" s="15" t="str">
        <f>IF(D1855="","","Исполнитель"&amp;": ")</f>
        <v/>
      </c>
      <c r="E1857" s="62" t="str">
        <f>IFERROR(VLOOKUP(C$13&amp;$B1857,Aux!$B:$M,4,0),"")</f>
        <v/>
      </c>
      <c r="F1857" s="62"/>
      <c r="G1857" s="63" t="str">
        <f>IFERROR(IF(VLOOKUP(C$13&amp;$B1855,Aux!$B:$M,8,0)="Да","✔","🕓"),"")</f>
        <v/>
      </c>
      <c r="K1857" s="59"/>
      <c r="L1857" s="15" t="str">
        <f>IF(L1855="","","Исполнитель"&amp;": ")</f>
        <v/>
      </c>
      <c r="M1857" s="62" t="str">
        <f>IFERROR(VLOOKUP(K$13&amp;$B1857,Aux!$B:$M,4,0),"")</f>
        <v/>
      </c>
      <c r="N1857" s="62"/>
      <c r="O1857" s="63" t="str">
        <f>IFERROR(IF(VLOOKUP(K$13&amp;$B1855,Aux!$B:$M,8,0)="Да","✔","🕓"),"")</f>
        <v/>
      </c>
      <c r="S1857" s="59"/>
      <c r="T1857" s="15" t="str">
        <f>IF(T1855="","","Исполнитель"&amp;": ")</f>
        <v/>
      </c>
      <c r="U1857" s="62" t="str">
        <f>IFERROR(VLOOKUP(S$13&amp;$B1857,Aux!$B:$M,4,0),"")</f>
        <v/>
      </c>
      <c r="V1857" s="62"/>
      <c r="W1857" s="63" t="str">
        <f>IFERROR(IF(VLOOKUP(S$13&amp;$B1855,Aux!$B:$M,8,0)="Да","✔","🕓"),"")</f>
        <v/>
      </c>
      <c r="AA1857" s="59"/>
      <c r="AB1857" s="15" t="str">
        <f>IF(AB1855="","","Исполнитель"&amp;": ")</f>
        <v/>
      </c>
      <c r="AC1857" s="62" t="str">
        <f>IFERROR(VLOOKUP(AA$13&amp;$B1857,Aux!$B:$M,4,0),"")</f>
        <v/>
      </c>
      <c r="AD1857" s="62"/>
      <c r="AE1857" s="63" t="str">
        <f>IFERROR(IF(VLOOKUP(AA$13&amp;$B1855,Aux!$B:$M,8,0)="Да","✔","🕓"),"")</f>
        <v/>
      </c>
    </row>
    <row r="1858" spans="2:31" x14ac:dyDescent="0.25">
      <c r="B1858" s="53">
        <f t="shared" si="28"/>
        <v>369</v>
      </c>
      <c r="C1858" s="59"/>
      <c r="D1858" s="16" t="str">
        <f>IF(D1855="","","Срок сдачи"&amp;": ")</f>
        <v/>
      </c>
      <c r="E1858" s="64" t="str">
        <f>IFERROR(VLOOKUP(C$13&amp;$B1858,Aux!$B:$M,6,0),"")</f>
        <v/>
      </c>
      <c r="F1858" s="64"/>
      <c r="G1858" s="63"/>
      <c r="K1858" s="59"/>
      <c r="L1858" s="16" t="str">
        <f>IF(L1855="","","Срок сдачи"&amp;": ")</f>
        <v/>
      </c>
      <c r="M1858" s="64" t="str">
        <f>IFERROR(VLOOKUP(K$13&amp;$B1858,Aux!$B:$M,6,0),"")</f>
        <v/>
      </c>
      <c r="N1858" s="64"/>
      <c r="O1858" s="63"/>
      <c r="S1858" s="59"/>
      <c r="T1858" s="16" t="str">
        <f>IF(T1855="","","Срок сдачи"&amp;": ")</f>
        <v/>
      </c>
      <c r="U1858" s="64" t="str">
        <f>IFERROR(VLOOKUP(S$13&amp;$B1858,Aux!$B:$M,6,0),"")</f>
        <v/>
      </c>
      <c r="V1858" s="64"/>
      <c r="W1858" s="63"/>
      <c r="AA1858" s="59"/>
      <c r="AB1858" s="16" t="str">
        <f>IF(AB1855="","","Срок сдачи"&amp;": ")</f>
        <v/>
      </c>
      <c r="AC1858" s="64" t="str">
        <f>IFERROR(VLOOKUP(AA$13&amp;$B1858,Aux!$B:$M,6,0),"")</f>
        <v/>
      </c>
      <c r="AD1858" s="64"/>
      <c r="AE1858" s="63"/>
    </row>
    <row r="1859" spans="2:31" x14ac:dyDescent="0.25">
      <c r="B1859" s="53">
        <f t="shared" si="28"/>
        <v>369</v>
      </c>
      <c r="C1859" s="7"/>
      <c r="D1859" s="17"/>
      <c r="E1859" s="7"/>
      <c r="F1859" s="18"/>
      <c r="G1859" s="18"/>
      <c r="K1859" s="13"/>
      <c r="L1859" s="17"/>
      <c r="M1859" s="13"/>
      <c r="N1859" s="14"/>
      <c r="O1859" s="14"/>
      <c r="S1859" s="13"/>
      <c r="T1859" s="17"/>
      <c r="U1859" s="13"/>
      <c r="V1859" s="14"/>
      <c r="W1859" s="14"/>
      <c r="AA1859" s="13"/>
      <c r="AB1859" s="17"/>
      <c r="AC1859" s="13"/>
      <c r="AD1859" s="14"/>
      <c r="AE1859" s="30"/>
    </row>
    <row r="1860" spans="2:31" x14ac:dyDescent="0.25">
      <c r="B1860" s="53">
        <f t="shared" si="28"/>
        <v>370</v>
      </c>
      <c r="C1860" s="59" t="str">
        <f>IFERROR(VLOOKUP(C$13&amp;$B1864,Aux!$B:$M,5,0),"")</f>
        <v/>
      </c>
      <c r="D1860" s="60" t="str">
        <f>IFERROR(VLOOKUP(C$13&amp;$B1860,Aux!$B:$M,3,0),"")</f>
        <v/>
      </c>
      <c r="E1860" s="60"/>
      <c r="F1860" s="60"/>
      <c r="G1860" s="61" t="str">
        <f>IFERROR(VLOOKUP(C$13&amp;$B1860,Aux!$B:$M,9,0),"")</f>
        <v/>
      </c>
      <c r="K1860" s="59" t="str">
        <f>IFERROR(VLOOKUP(K$13&amp;$B1864,Aux!$B:$M,5,0),"")</f>
        <v/>
      </c>
      <c r="L1860" s="60" t="str">
        <f>IFERROR(VLOOKUP(K$13&amp;$B1860,Aux!$B:$M,3,0),"")</f>
        <v/>
      </c>
      <c r="M1860" s="60"/>
      <c r="N1860" s="60"/>
      <c r="O1860" s="61" t="str">
        <f>IFERROR(VLOOKUP(K$13&amp;$B1860,Aux!$B:$M,9,0),"")</f>
        <v/>
      </c>
      <c r="S1860" s="59" t="str">
        <f>IFERROR(VLOOKUP(S$13&amp;$B1864,Aux!$B:$M,5,0),"")</f>
        <v/>
      </c>
      <c r="T1860" s="60" t="str">
        <f>IFERROR(VLOOKUP(S$13&amp;$B1860,Aux!$B:$M,3,0),"")</f>
        <v/>
      </c>
      <c r="U1860" s="60"/>
      <c r="V1860" s="60"/>
      <c r="W1860" s="61" t="str">
        <f>IFERROR(VLOOKUP(S$13&amp;$B1860,Aux!$B:$M,9,0),"")</f>
        <v/>
      </c>
      <c r="AA1860" s="59" t="str">
        <f>IFERROR(VLOOKUP(AA$13&amp;$B1864,Aux!$B:$M,5,0),"")</f>
        <v/>
      </c>
      <c r="AB1860" s="60" t="str">
        <f>IFERROR(VLOOKUP(AA$13&amp;$B1860,Aux!$B:$M,3,0),"")</f>
        <v/>
      </c>
      <c r="AC1860" s="60"/>
      <c r="AD1860" s="60"/>
      <c r="AE1860" s="61" t="str">
        <f>IFERROR(VLOOKUP(AA$13&amp;$B1860,Aux!$B:$M,9,0),"")</f>
        <v/>
      </c>
    </row>
    <row r="1861" spans="2:31" x14ac:dyDescent="0.25">
      <c r="B1861" s="53">
        <f t="shared" si="28"/>
        <v>370</v>
      </c>
      <c r="C1861" s="59"/>
      <c r="D1861" s="60"/>
      <c r="E1861" s="60"/>
      <c r="F1861" s="60"/>
      <c r="G1861" s="61"/>
      <c r="K1861" s="59"/>
      <c r="L1861" s="60"/>
      <c r="M1861" s="60"/>
      <c r="N1861" s="60"/>
      <c r="O1861" s="61"/>
      <c r="S1861" s="59"/>
      <c r="T1861" s="60"/>
      <c r="U1861" s="60"/>
      <c r="V1861" s="60"/>
      <c r="W1861" s="61"/>
      <c r="AA1861" s="59"/>
      <c r="AB1861" s="60"/>
      <c r="AC1861" s="60"/>
      <c r="AD1861" s="60"/>
      <c r="AE1861" s="61"/>
    </row>
    <row r="1862" spans="2:31" x14ac:dyDescent="0.25">
      <c r="B1862" s="53">
        <f t="shared" si="28"/>
        <v>370</v>
      </c>
      <c r="C1862" s="59"/>
      <c r="D1862" s="15" t="str">
        <f>IF(D1860="","","Исполнитель"&amp;": ")</f>
        <v/>
      </c>
      <c r="E1862" s="62" t="str">
        <f>IFERROR(VLOOKUP(C$13&amp;$B1862,Aux!$B:$M,4,0),"")</f>
        <v/>
      </c>
      <c r="F1862" s="62"/>
      <c r="G1862" s="63" t="str">
        <f>IFERROR(IF(VLOOKUP(C$13&amp;$B1860,Aux!$B:$M,8,0)="Да","✔","🕓"),"")</f>
        <v/>
      </c>
      <c r="K1862" s="59"/>
      <c r="L1862" s="15" t="str">
        <f>IF(L1860="","","Исполнитель"&amp;": ")</f>
        <v/>
      </c>
      <c r="M1862" s="62" t="str">
        <f>IFERROR(VLOOKUP(K$13&amp;$B1862,Aux!$B:$M,4,0),"")</f>
        <v/>
      </c>
      <c r="N1862" s="62"/>
      <c r="O1862" s="63" t="str">
        <f>IFERROR(IF(VLOOKUP(K$13&amp;$B1860,Aux!$B:$M,8,0)="Да","✔","🕓"),"")</f>
        <v/>
      </c>
      <c r="S1862" s="59"/>
      <c r="T1862" s="15" t="str">
        <f>IF(T1860="","","Исполнитель"&amp;": ")</f>
        <v/>
      </c>
      <c r="U1862" s="62" t="str">
        <f>IFERROR(VLOOKUP(S$13&amp;$B1862,Aux!$B:$M,4,0),"")</f>
        <v/>
      </c>
      <c r="V1862" s="62"/>
      <c r="W1862" s="63" t="str">
        <f>IFERROR(IF(VLOOKUP(S$13&amp;$B1860,Aux!$B:$M,8,0)="Да","✔","🕓"),"")</f>
        <v/>
      </c>
      <c r="AA1862" s="59"/>
      <c r="AB1862" s="15" t="str">
        <f>IF(AB1860="","","Исполнитель"&amp;": ")</f>
        <v/>
      </c>
      <c r="AC1862" s="62" t="str">
        <f>IFERROR(VLOOKUP(AA$13&amp;$B1862,Aux!$B:$M,4,0),"")</f>
        <v/>
      </c>
      <c r="AD1862" s="62"/>
      <c r="AE1862" s="63" t="str">
        <f>IFERROR(IF(VLOOKUP(AA$13&amp;$B1860,Aux!$B:$M,8,0)="Да","✔","🕓"),"")</f>
        <v/>
      </c>
    </row>
    <row r="1863" spans="2:31" x14ac:dyDescent="0.25">
      <c r="B1863" s="53">
        <f t="shared" si="28"/>
        <v>370</v>
      </c>
      <c r="C1863" s="59"/>
      <c r="D1863" s="16" t="str">
        <f>IF(D1860="","","Срок сдачи"&amp;": ")</f>
        <v/>
      </c>
      <c r="E1863" s="64" t="str">
        <f>IFERROR(VLOOKUP(C$13&amp;$B1863,Aux!$B:$M,6,0),"")</f>
        <v/>
      </c>
      <c r="F1863" s="64"/>
      <c r="G1863" s="63"/>
      <c r="K1863" s="59"/>
      <c r="L1863" s="16" t="str">
        <f>IF(L1860="","","Срок сдачи"&amp;": ")</f>
        <v/>
      </c>
      <c r="M1863" s="64" t="str">
        <f>IFERROR(VLOOKUP(K$13&amp;$B1863,Aux!$B:$M,6,0),"")</f>
        <v/>
      </c>
      <c r="N1863" s="64"/>
      <c r="O1863" s="63"/>
      <c r="S1863" s="59"/>
      <c r="T1863" s="16" t="str">
        <f>IF(T1860="","","Срок сдачи"&amp;": ")</f>
        <v/>
      </c>
      <c r="U1863" s="64" t="str">
        <f>IFERROR(VLOOKUP(S$13&amp;$B1863,Aux!$B:$M,6,0),"")</f>
        <v/>
      </c>
      <c r="V1863" s="64"/>
      <c r="W1863" s="63"/>
      <c r="AA1863" s="59"/>
      <c r="AB1863" s="16" t="str">
        <f>IF(AB1860="","","Срок сдачи"&amp;": ")</f>
        <v/>
      </c>
      <c r="AC1863" s="64" t="str">
        <f>IFERROR(VLOOKUP(AA$13&amp;$B1863,Aux!$B:$M,6,0),"")</f>
        <v/>
      </c>
      <c r="AD1863" s="64"/>
      <c r="AE1863" s="63"/>
    </row>
    <row r="1864" spans="2:31" x14ac:dyDescent="0.25">
      <c r="B1864" s="53">
        <f t="shared" si="28"/>
        <v>370</v>
      </c>
      <c r="C1864" s="7"/>
      <c r="D1864" s="17"/>
      <c r="E1864" s="7"/>
      <c r="F1864" s="18"/>
      <c r="G1864" s="18"/>
      <c r="K1864" s="13"/>
      <c r="L1864" s="17"/>
      <c r="M1864" s="13"/>
      <c r="N1864" s="14"/>
      <c r="O1864" s="14"/>
      <c r="S1864" s="13"/>
      <c r="T1864" s="17"/>
      <c r="U1864" s="13"/>
      <c r="V1864" s="14"/>
      <c r="W1864" s="14"/>
      <c r="AA1864" s="13"/>
      <c r="AB1864" s="17"/>
      <c r="AC1864" s="13"/>
      <c r="AD1864" s="14"/>
      <c r="AE1864" s="30"/>
    </row>
    <row r="1865" spans="2:31" x14ac:dyDescent="0.25">
      <c r="B1865" s="53">
        <f t="shared" si="28"/>
        <v>371</v>
      </c>
      <c r="C1865" s="59" t="str">
        <f>IFERROR(VLOOKUP(C$13&amp;$B1869,Aux!$B:$M,5,0),"")</f>
        <v/>
      </c>
      <c r="D1865" s="60" t="str">
        <f>IFERROR(VLOOKUP(C$13&amp;$B1865,Aux!$B:$M,3,0),"")</f>
        <v/>
      </c>
      <c r="E1865" s="60"/>
      <c r="F1865" s="60"/>
      <c r="G1865" s="61" t="str">
        <f>IFERROR(VLOOKUP(C$13&amp;$B1865,Aux!$B:$M,9,0),"")</f>
        <v/>
      </c>
      <c r="K1865" s="59" t="str">
        <f>IFERROR(VLOOKUP(K$13&amp;$B1869,Aux!$B:$M,5,0),"")</f>
        <v/>
      </c>
      <c r="L1865" s="60" t="str">
        <f>IFERROR(VLOOKUP(K$13&amp;$B1865,Aux!$B:$M,3,0),"")</f>
        <v/>
      </c>
      <c r="M1865" s="60"/>
      <c r="N1865" s="60"/>
      <c r="O1865" s="61" t="str">
        <f>IFERROR(VLOOKUP(K$13&amp;$B1865,Aux!$B:$M,9,0),"")</f>
        <v/>
      </c>
      <c r="S1865" s="59" t="str">
        <f>IFERROR(VLOOKUP(S$13&amp;$B1869,Aux!$B:$M,5,0),"")</f>
        <v/>
      </c>
      <c r="T1865" s="60" t="str">
        <f>IFERROR(VLOOKUP(S$13&amp;$B1865,Aux!$B:$M,3,0),"")</f>
        <v/>
      </c>
      <c r="U1865" s="60"/>
      <c r="V1865" s="60"/>
      <c r="W1865" s="61" t="str">
        <f>IFERROR(VLOOKUP(S$13&amp;$B1865,Aux!$B:$M,9,0),"")</f>
        <v/>
      </c>
      <c r="AA1865" s="59" t="str">
        <f>IFERROR(VLOOKUP(AA$13&amp;$B1869,Aux!$B:$M,5,0),"")</f>
        <v/>
      </c>
      <c r="AB1865" s="60" t="str">
        <f>IFERROR(VLOOKUP(AA$13&amp;$B1865,Aux!$B:$M,3,0),"")</f>
        <v/>
      </c>
      <c r="AC1865" s="60"/>
      <c r="AD1865" s="60"/>
      <c r="AE1865" s="61" t="str">
        <f>IFERROR(VLOOKUP(AA$13&amp;$B1865,Aux!$B:$M,9,0),"")</f>
        <v/>
      </c>
    </row>
    <row r="1866" spans="2:31" x14ac:dyDescent="0.25">
      <c r="B1866" s="53">
        <f t="shared" si="28"/>
        <v>371</v>
      </c>
      <c r="C1866" s="59"/>
      <c r="D1866" s="60"/>
      <c r="E1866" s="60"/>
      <c r="F1866" s="60"/>
      <c r="G1866" s="61"/>
      <c r="K1866" s="59"/>
      <c r="L1866" s="60"/>
      <c r="M1866" s="60"/>
      <c r="N1866" s="60"/>
      <c r="O1866" s="61"/>
      <c r="S1866" s="59"/>
      <c r="T1866" s="60"/>
      <c r="U1866" s="60"/>
      <c r="V1866" s="60"/>
      <c r="W1866" s="61"/>
      <c r="AA1866" s="59"/>
      <c r="AB1866" s="60"/>
      <c r="AC1866" s="60"/>
      <c r="AD1866" s="60"/>
      <c r="AE1866" s="61"/>
    </row>
    <row r="1867" spans="2:31" x14ac:dyDescent="0.25">
      <c r="B1867" s="53">
        <f t="shared" si="28"/>
        <v>371</v>
      </c>
      <c r="C1867" s="59"/>
      <c r="D1867" s="15" t="str">
        <f>IF(D1865="","","Исполнитель"&amp;": ")</f>
        <v/>
      </c>
      <c r="E1867" s="62" t="str">
        <f>IFERROR(VLOOKUP(C$13&amp;$B1867,Aux!$B:$M,4,0),"")</f>
        <v/>
      </c>
      <c r="F1867" s="62"/>
      <c r="G1867" s="63" t="str">
        <f>IFERROR(IF(VLOOKUP(C$13&amp;$B1865,Aux!$B:$M,8,0)="Да","✔","🕓"),"")</f>
        <v/>
      </c>
      <c r="K1867" s="59"/>
      <c r="L1867" s="15" t="str">
        <f>IF(L1865="","","Исполнитель"&amp;": ")</f>
        <v/>
      </c>
      <c r="M1867" s="62" t="str">
        <f>IFERROR(VLOOKUP(K$13&amp;$B1867,Aux!$B:$M,4,0),"")</f>
        <v/>
      </c>
      <c r="N1867" s="62"/>
      <c r="O1867" s="63" t="str">
        <f>IFERROR(IF(VLOOKUP(K$13&amp;$B1865,Aux!$B:$M,8,0)="Да","✔","🕓"),"")</f>
        <v/>
      </c>
      <c r="S1867" s="59"/>
      <c r="T1867" s="15" t="str">
        <f>IF(T1865="","","Исполнитель"&amp;": ")</f>
        <v/>
      </c>
      <c r="U1867" s="62" t="str">
        <f>IFERROR(VLOOKUP(S$13&amp;$B1867,Aux!$B:$M,4,0),"")</f>
        <v/>
      </c>
      <c r="V1867" s="62"/>
      <c r="W1867" s="63" t="str">
        <f>IFERROR(IF(VLOOKUP(S$13&amp;$B1865,Aux!$B:$M,8,0)="Да","✔","🕓"),"")</f>
        <v/>
      </c>
      <c r="AA1867" s="59"/>
      <c r="AB1867" s="15" t="str">
        <f>IF(AB1865="","","Исполнитель"&amp;": ")</f>
        <v/>
      </c>
      <c r="AC1867" s="62" t="str">
        <f>IFERROR(VLOOKUP(AA$13&amp;$B1867,Aux!$B:$M,4,0),"")</f>
        <v/>
      </c>
      <c r="AD1867" s="62"/>
      <c r="AE1867" s="63" t="str">
        <f>IFERROR(IF(VLOOKUP(AA$13&amp;$B1865,Aux!$B:$M,8,0)="Да","✔","🕓"),"")</f>
        <v/>
      </c>
    </row>
    <row r="1868" spans="2:31" x14ac:dyDescent="0.25">
      <c r="B1868" s="53">
        <f t="shared" si="28"/>
        <v>371</v>
      </c>
      <c r="C1868" s="59"/>
      <c r="D1868" s="16" t="str">
        <f>IF(D1865="","","Срок сдачи"&amp;": ")</f>
        <v/>
      </c>
      <c r="E1868" s="64" t="str">
        <f>IFERROR(VLOOKUP(C$13&amp;$B1868,Aux!$B:$M,6,0),"")</f>
        <v/>
      </c>
      <c r="F1868" s="64"/>
      <c r="G1868" s="63"/>
      <c r="K1868" s="59"/>
      <c r="L1868" s="16" t="str">
        <f>IF(L1865="","","Срок сдачи"&amp;": ")</f>
        <v/>
      </c>
      <c r="M1868" s="64" t="str">
        <f>IFERROR(VLOOKUP(K$13&amp;$B1868,Aux!$B:$M,6,0),"")</f>
        <v/>
      </c>
      <c r="N1868" s="64"/>
      <c r="O1868" s="63"/>
      <c r="S1868" s="59"/>
      <c r="T1868" s="16" t="str">
        <f>IF(T1865="","","Срок сдачи"&amp;": ")</f>
        <v/>
      </c>
      <c r="U1868" s="64" t="str">
        <f>IFERROR(VLOOKUP(S$13&amp;$B1868,Aux!$B:$M,6,0),"")</f>
        <v/>
      </c>
      <c r="V1868" s="64"/>
      <c r="W1868" s="63"/>
      <c r="AA1868" s="59"/>
      <c r="AB1868" s="16" t="str">
        <f>IF(AB1865="","","Срок сдачи"&amp;": ")</f>
        <v/>
      </c>
      <c r="AC1868" s="64" t="str">
        <f>IFERROR(VLOOKUP(AA$13&amp;$B1868,Aux!$B:$M,6,0),"")</f>
        <v/>
      </c>
      <c r="AD1868" s="64"/>
      <c r="AE1868" s="63"/>
    </row>
    <row r="1869" spans="2:31" x14ac:dyDescent="0.25">
      <c r="B1869" s="53">
        <f t="shared" si="28"/>
        <v>371</v>
      </c>
      <c r="C1869" s="7"/>
      <c r="D1869" s="17"/>
      <c r="E1869" s="7"/>
      <c r="F1869" s="18"/>
      <c r="G1869" s="18"/>
      <c r="K1869" s="13"/>
      <c r="L1869" s="17"/>
      <c r="M1869" s="13"/>
      <c r="N1869" s="14"/>
      <c r="O1869" s="14"/>
      <c r="S1869" s="13"/>
      <c r="T1869" s="17"/>
      <c r="U1869" s="13"/>
      <c r="V1869" s="14"/>
      <c r="W1869" s="14"/>
      <c r="AA1869" s="13"/>
      <c r="AB1869" s="17"/>
      <c r="AC1869" s="13"/>
      <c r="AD1869" s="14"/>
      <c r="AE1869" s="30"/>
    </row>
    <row r="1870" spans="2:31" x14ac:dyDescent="0.25">
      <c r="B1870" s="53">
        <f t="shared" si="28"/>
        <v>372</v>
      </c>
      <c r="C1870" s="59" t="str">
        <f>IFERROR(VLOOKUP(C$13&amp;$B1874,Aux!$B:$M,5,0),"")</f>
        <v/>
      </c>
      <c r="D1870" s="60" t="str">
        <f>IFERROR(VLOOKUP(C$13&amp;$B1870,Aux!$B:$M,3,0),"")</f>
        <v/>
      </c>
      <c r="E1870" s="60"/>
      <c r="F1870" s="60"/>
      <c r="G1870" s="61" t="str">
        <f>IFERROR(VLOOKUP(C$13&amp;$B1870,Aux!$B:$M,9,0),"")</f>
        <v/>
      </c>
      <c r="K1870" s="59" t="str">
        <f>IFERROR(VLOOKUP(K$13&amp;$B1874,Aux!$B:$M,5,0),"")</f>
        <v/>
      </c>
      <c r="L1870" s="60" t="str">
        <f>IFERROR(VLOOKUP(K$13&amp;$B1870,Aux!$B:$M,3,0),"")</f>
        <v/>
      </c>
      <c r="M1870" s="60"/>
      <c r="N1870" s="60"/>
      <c r="O1870" s="61" t="str">
        <f>IFERROR(VLOOKUP(K$13&amp;$B1870,Aux!$B:$M,9,0),"")</f>
        <v/>
      </c>
      <c r="S1870" s="59" t="str">
        <f>IFERROR(VLOOKUP(S$13&amp;$B1874,Aux!$B:$M,5,0),"")</f>
        <v/>
      </c>
      <c r="T1870" s="60" t="str">
        <f>IFERROR(VLOOKUP(S$13&amp;$B1870,Aux!$B:$M,3,0),"")</f>
        <v/>
      </c>
      <c r="U1870" s="60"/>
      <c r="V1870" s="60"/>
      <c r="W1870" s="61" t="str">
        <f>IFERROR(VLOOKUP(S$13&amp;$B1870,Aux!$B:$M,9,0),"")</f>
        <v/>
      </c>
      <c r="AA1870" s="59" t="str">
        <f>IFERROR(VLOOKUP(AA$13&amp;$B1874,Aux!$B:$M,5,0),"")</f>
        <v/>
      </c>
      <c r="AB1870" s="60" t="str">
        <f>IFERROR(VLOOKUP(AA$13&amp;$B1870,Aux!$B:$M,3,0),"")</f>
        <v/>
      </c>
      <c r="AC1870" s="60"/>
      <c r="AD1870" s="60"/>
      <c r="AE1870" s="61" t="str">
        <f>IFERROR(VLOOKUP(AA$13&amp;$B1870,Aux!$B:$M,9,0),"")</f>
        <v/>
      </c>
    </row>
    <row r="1871" spans="2:31" x14ac:dyDescent="0.25">
      <c r="B1871" s="53">
        <f t="shared" si="28"/>
        <v>372</v>
      </c>
      <c r="C1871" s="59"/>
      <c r="D1871" s="60"/>
      <c r="E1871" s="60"/>
      <c r="F1871" s="60"/>
      <c r="G1871" s="61"/>
      <c r="K1871" s="59"/>
      <c r="L1871" s="60"/>
      <c r="M1871" s="60"/>
      <c r="N1871" s="60"/>
      <c r="O1871" s="61"/>
      <c r="S1871" s="59"/>
      <c r="T1871" s="60"/>
      <c r="U1871" s="60"/>
      <c r="V1871" s="60"/>
      <c r="W1871" s="61"/>
      <c r="AA1871" s="59"/>
      <c r="AB1871" s="60"/>
      <c r="AC1871" s="60"/>
      <c r="AD1871" s="60"/>
      <c r="AE1871" s="61"/>
    </row>
    <row r="1872" spans="2:31" x14ac:dyDescent="0.25">
      <c r="B1872" s="53">
        <f t="shared" si="28"/>
        <v>372</v>
      </c>
      <c r="C1872" s="59"/>
      <c r="D1872" s="15" t="str">
        <f>IF(D1870="","","Исполнитель"&amp;": ")</f>
        <v/>
      </c>
      <c r="E1872" s="62" t="str">
        <f>IFERROR(VLOOKUP(C$13&amp;$B1872,Aux!$B:$M,4,0),"")</f>
        <v/>
      </c>
      <c r="F1872" s="62"/>
      <c r="G1872" s="63" t="str">
        <f>IFERROR(IF(VLOOKUP(C$13&amp;$B1870,Aux!$B:$M,8,0)="Да","✔","🕓"),"")</f>
        <v/>
      </c>
      <c r="K1872" s="59"/>
      <c r="L1872" s="15" t="str">
        <f>IF(L1870="","","Исполнитель"&amp;": ")</f>
        <v/>
      </c>
      <c r="M1872" s="62" t="str">
        <f>IFERROR(VLOOKUP(K$13&amp;$B1872,Aux!$B:$M,4,0),"")</f>
        <v/>
      </c>
      <c r="N1872" s="62"/>
      <c r="O1872" s="63" t="str">
        <f>IFERROR(IF(VLOOKUP(K$13&amp;$B1870,Aux!$B:$M,8,0)="Да","✔","🕓"),"")</f>
        <v/>
      </c>
      <c r="S1872" s="59"/>
      <c r="T1872" s="15" t="str">
        <f>IF(T1870="","","Исполнитель"&amp;": ")</f>
        <v/>
      </c>
      <c r="U1872" s="62" t="str">
        <f>IFERROR(VLOOKUP(S$13&amp;$B1872,Aux!$B:$M,4,0),"")</f>
        <v/>
      </c>
      <c r="V1872" s="62"/>
      <c r="W1872" s="63" t="str">
        <f>IFERROR(IF(VLOOKUP(S$13&amp;$B1870,Aux!$B:$M,8,0)="Да","✔","🕓"),"")</f>
        <v/>
      </c>
      <c r="AA1872" s="59"/>
      <c r="AB1872" s="15" t="str">
        <f>IF(AB1870="","","Исполнитель"&amp;": ")</f>
        <v/>
      </c>
      <c r="AC1872" s="62" t="str">
        <f>IFERROR(VLOOKUP(AA$13&amp;$B1872,Aux!$B:$M,4,0),"")</f>
        <v/>
      </c>
      <c r="AD1872" s="62"/>
      <c r="AE1872" s="63" t="str">
        <f>IFERROR(IF(VLOOKUP(AA$13&amp;$B1870,Aux!$B:$M,8,0)="Да","✔","🕓"),"")</f>
        <v/>
      </c>
    </row>
    <row r="1873" spans="2:31" x14ac:dyDescent="0.25">
      <c r="B1873" s="53">
        <f t="shared" si="28"/>
        <v>372</v>
      </c>
      <c r="C1873" s="59"/>
      <c r="D1873" s="16" t="str">
        <f>IF(D1870="","","Срок сдачи"&amp;": ")</f>
        <v/>
      </c>
      <c r="E1873" s="64" t="str">
        <f>IFERROR(VLOOKUP(C$13&amp;$B1873,Aux!$B:$M,6,0),"")</f>
        <v/>
      </c>
      <c r="F1873" s="64"/>
      <c r="G1873" s="63"/>
      <c r="K1873" s="59"/>
      <c r="L1873" s="16" t="str">
        <f>IF(L1870="","","Срок сдачи"&amp;": ")</f>
        <v/>
      </c>
      <c r="M1873" s="64" t="str">
        <f>IFERROR(VLOOKUP(K$13&amp;$B1873,Aux!$B:$M,6,0),"")</f>
        <v/>
      </c>
      <c r="N1873" s="64"/>
      <c r="O1873" s="63"/>
      <c r="S1873" s="59"/>
      <c r="T1873" s="16" t="str">
        <f>IF(T1870="","","Срок сдачи"&amp;": ")</f>
        <v/>
      </c>
      <c r="U1873" s="64" t="str">
        <f>IFERROR(VLOOKUP(S$13&amp;$B1873,Aux!$B:$M,6,0),"")</f>
        <v/>
      </c>
      <c r="V1873" s="64"/>
      <c r="W1873" s="63"/>
      <c r="AA1873" s="59"/>
      <c r="AB1873" s="16" t="str">
        <f>IF(AB1870="","","Срок сдачи"&amp;": ")</f>
        <v/>
      </c>
      <c r="AC1873" s="64" t="str">
        <f>IFERROR(VLOOKUP(AA$13&amp;$B1873,Aux!$B:$M,6,0),"")</f>
        <v/>
      </c>
      <c r="AD1873" s="64"/>
      <c r="AE1873" s="63"/>
    </row>
    <row r="1874" spans="2:31" x14ac:dyDescent="0.25">
      <c r="B1874" s="53">
        <f t="shared" si="28"/>
        <v>372</v>
      </c>
      <c r="C1874" s="7"/>
      <c r="D1874" s="17"/>
      <c r="E1874" s="7"/>
      <c r="F1874" s="18"/>
      <c r="G1874" s="18"/>
      <c r="K1874" s="13"/>
      <c r="L1874" s="17"/>
      <c r="M1874" s="13"/>
      <c r="N1874" s="14"/>
      <c r="O1874" s="14"/>
      <c r="S1874" s="13"/>
      <c r="T1874" s="17"/>
      <c r="U1874" s="13"/>
      <c r="V1874" s="14"/>
      <c r="W1874" s="14"/>
      <c r="AA1874" s="13"/>
      <c r="AB1874" s="17"/>
      <c r="AC1874" s="13"/>
      <c r="AD1874" s="14"/>
      <c r="AE1874" s="30"/>
    </row>
    <row r="1875" spans="2:31" x14ac:dyDescent="0.25">
      <c r="B1875" s="53">
        <f t="shared" si="28"/>
        <v>373</v>
      </c>
      <c r="C1875" s="59" t="str">
        <f>IFERROR(VLOOKUP(C$13&amp;$B1879,Aux!$B:$M,5,0),"")</f>
        <v/>
      </c>
      <c r="D1875" s="60" t="str">
        <f>IFERROR(VLOOKUP(C$13&amp;$B1875,Aux!$B:$M,3,0),"")</f>
        <v/>
      </c>
      <c r="E1875" s="60"/>
      <c r="F1875" s="60"/>
      <c r="G1875" s="61" t="str">
        <f>IFERROR(VLOOKUP(C$13&amp;$B1875,Aux!$B:$M,9,0),"")</f>
        <v/>
      </c>
      <c r="K1875" s="59" t="str">
        <f>IFERROR(VLOOKUP(K$13&amp;$B1879,Aux!$B:$M,5,0),"")</f>
        <v/>
      </c>
      <c r="L1875" s="60" t="str">
        <f>IFERROR(VLOOKUP(K$13&amp;$B1875,Aux!$B:$M,3,0),"")</f>
        <v/>
      </c>
      <c r="M1875" s="60"/>
      <c r="N1875" s="60"/>
      <c r="O1875" s="61" t="str">
        <f>IFERROR(VLOOKUP(K$13&amp;$B1875,Aux!$B:$M,9,0),"")</f>
        <v/>
      </c>
      <c r="S1875" s="59" t="str">
        <f>IFERROR(VLOOKUP(S$13&amp;$B1879,Aux!$B:$M,5,0),"")</f>
        <v/>
      </c>
      <c r="T1875" s="60" t="str">
        <f>IFERROR(VLOOKUP(S$13&amp;$B1875,Aux!$B:$M,3,0),"")</f>
        <v/>
      </c>
      <c r="U1875" s="60"/>
      <c r="V1875" s="60"/>
      <c r="W1875" s="61" t="str">
        <f>IFERROR(VLOOKUP(S$13&amp;$B1875,Aux!$B:$M,9,0),"")</f>
        <v/>
      </c>
      <c r="AA1875" s="59" t="str">
        <f>IFERROR(VLOOKUP(AA$13&amp;$B1879,Aux!$B:$M,5,0),"")</f>
        <v/>
      </c>
      <c r="AB1875" s="60" t="str">
        <f>IFERROR(VLOOKUP(AA$13&amp;$B1875,Aux!$B:$M,3,0),"")</f>
        <v/>
      </c>
      <c r="AC1875" s="60"/>
      <c r="AD1875" s="60"/>
      <c r="AE1875" s="61" t="str">
        <f>IFERROR(VLOOKUP(AA$13&amp;$B1875,Aux!$B:$M,9,0),"")</f>
        <v/>
      </c>
    </row>
    <row r="1876" spans="2:31" x14ac:dyDescent="0.25">
      <c r="B1876" s="53">
        <f t="shared" si="28"/>
        <v>373</v>
      </c>
      <c r="C1876" s="59"/>
      <c r="D1876" s="60"/>
      <c r="E1876" s="60"/>
      <c r="F1876" s="60"/>
      <c r="G1876" s="61"/>
      <c r="K1876" s="59"/>
      <c r="L1876" s="60"/>
      <c r="M1876" s="60"/>
      <c r="N1876" s="60"/>
      <c r="O1876" s="61"/>
      <c r="S1876" s="59"/>
      <c r="T1876" s="60"/>
      <c r="U1876" s="60"/>
      <c r="V1876" s="60"/>
      <c r="W1876" s="61"/>
      <c r="AA1876" s="59"/>
      <c r="AB1876" s="60"/>
      <c r="AC1876" s="60"/>
      <c r="AD1876" s="60"/>
      <c r="AE1876" s="61"/>
    </row>
    <row r="1877" spans="2:31" x14ac:dyDescent="0.25">
      <c r="B1877" s="53">
        <f t="shared" ref="B1877:B1940" si="29">B1872+1</f>
        <v>373</v>
      </c>
      <c r="C1877" s="59"/>
      <c r="D1877" s="15" t="str">
        <f>IF(D1875="","","Исполнитель"&amp;": ")</f>
        <v/>
      </c>
      <c r="E1877" s="62" t="str">
        <f>IFERROR(VLOOKUP(C$13&amp;$B1877,Aux!$B:$M,4,0),"")</f>
        <v/>
      </c>
      <c r="F1877" s="62"/>
      <c r="G1877" s="63" t="str">
        <f>IFERROR(IF(VLOOKUP(C$13&amp;$B1875,Aux!$B:$M,8,0)="Да","✔","🕓"),"")</f>
        <v/>
      </c>
      <c r="K1877" s="59"/>
      <c r="L1877" s="15" t="str">
        <f>IF(L1875="","","Исполнитель"&amp;": ")</f>
        <v/>
      </c>
      <c r="M1877" s="62" t="str">
        <f>IFERROR(VLOOKUP(K$13&amp;$B1877,Aux!$B:$M,4,0),"")</f>
        <v/>
      </c>
      <c r="N1877" s="62"/>
      <c r="O1877" s="63" t="str">
        <f>IFERROR(IF(VLOOKUP(K$13&amp;$B1875,Aux!$B:$M,8,0)="Да","✔","🕓"),"")</f>
        <v/>
      </c>
      <c r="S1877" s="59"/>
      <c r="T1877" s="15" t="str">
        <f>IF(T1875="","","Исполнитель"&amp;": ")</f>
        <v/>
      </c>
      <c r="U1877" s="62" t="str">
        <f>IFERROR(VLOOKUP(S$13&amp;$B1877,Aux!$B:$M,4,0),"")</f>
        <v/>
      </c>
      <c r="V1877" s="62"/>
      <c r="W1877" s="63" t="str">
        <f>IFERROR(IF(VLOOKUP(S$13&amp;$B1875,Aux!$B:$M,8,0)="Да","✔","🕓"),"")</f>
        <v/>
      </c>
      <c r="AA1877" s="59"/>
      <c r="AB1877" s="15" t="str">
        <f>IF(AB1875="","","Исполнитель"&amp;": ")</f>
        <v/>
      </c>
      <c r="AC1877" s="62" t="str">
        <f>IFERROR(VLOOKUP(AA$13&amp;$B1877,Aux!$B:$M,4,0),"")</f>
        <v/>
      </c>
      <c r="AD1877" s="62"/>
      <c r="AE1877" s="63" t="str">
        <f>IFERROR(IF(VLOOKUP(AA$13&amp;$B1875,Aux!$B:$M,8,0)="Да","✔","🕓"),"")</f>
        <v/>
      </c>
    </row>
    <row r="1878" spans="2:31" x14ac:dyDescent="0.25">
      <c r="B1878" s="53">
        <f t="shared" si="29"/>
        <v>373</v>
      </c>
      <c r="C1878" s="59"/>
      <c r="D1878" s="16" t="str">
        <f>IF(D1875="","","Срок сдачи"&amp;": ")</f>
        <v/>
      </c>
      <c r="E1878" s="64" t="str">
        <f>IFERROR(VLOOKUP(C$13&amp;$B1878,Aux!$B:$M,6,0),"")</f>
        <v/>
      </c>
      <c r="F1878" s="64"/>
      <c r="G1878" s="63"/>
      <c r="K1878" s="59"/>
      <c r="L1878" s="16" t="str">
        <f>IF(L1875="","","Срок сдачи"&amp;": ")</f>
        <v/>
      </c>
      <c r="M1878" s="64" t="str">
        <f>IFERROR(VLOOKUP(K$13&amp;$B1878,Aux!$B:$M,6,0),"")</f>
        <v/>
      </c>
      <c r="N1878" s="64"/>
      <c r="O1878" s="63"/>
      <c r="S1878" s="59"/>
      <c r="T1878" s="16" t="str">
        <f>IF(T1875="","","Срок сдачи"&amp;": ")</f>
        <v/>
      </c>
      <c r="U1878" s="64" t="str">
        <f>IFERROR(VLOOKUP(S$13&amp;$B1878,Aux!$B:$M,6,0),"")</f>
        <v/>
      </c>
      <c r="V1878" s="64"/>
      <c r="W1878" s="63"/>
      <c r="AA1878" s="59"/>
      <c r="AB1878" s="16" t="str">
        <f>IF(AB1875="","","Срок сдачи"&amp;": ")</f>
        <v/>
      </c>
      <c r="AC1878" s="64" t="str">
        <f>IFERROR(VLOOKUP(AA$13&amp;$B1878,Aux!$B:$M,6,0),"")</f>
        <v/>
      </c>
      <c r="AD1878" s="64"/>
      <c r="AE1878" s="63"/>
    </row>
    <row r="1879" spans="2:31" x14ac:dyDescent="0.25">
      <c r="B1879" s="53">
        <f t="shared" si="29"/>
        <v>373</v>
      </c>
      <c r="C1879" s="7"/>
      <c r="D1879" s="17"/>
      <c r="E1879" s="7"/>
      <c r="F1879" s="18"/>
      <c r="G1879" s="18"/>
      <c r="K1879" s="13"/>
      <c r="L1879" s="17"/>
      <c r="M1879" s="13"/>
      <c r="N1879" s="14"/>
      <c r="O1879" s="14"/>
      <c r="S1879" s="13"/>
      <c r="T1879" s="17"/>
      <c r="U1879" s="13"/>
      <c r="V1879" s="14"/>
      <c r="W1879" s="14"/>
      <c r="AA1879" s="13"/>
      <c r="AB1879" s="17"/>
      <c r="AC1879" s="13"/>
      <c r="AD1879" s="14"/>
      <c r="AE1879" s="30"/>
    </row>
    <row r="1880" spans="2:31" x14ac:dyDescent="0.25">
      <c r="B1880" s="53">
        <f t="shared" si="29"/>
        <v>374</v>
      </c>
      <c r="C1880" s="59" t="str">
        <f>IFERROR(VLOOKUP(C$13&amp;$B1884,Aux!$B:$M,5,0),"")</f>
        <v/>
      </c>
      <c r="D1880" s="60" t="str">
        <f>IFERROR(VLOOKUP(C$13&amp;$B1880,Aux!$B:$M,3,0),"")</f>
        <v/>
      </c>
      <c r="E1880" s="60"/>
      <c r="F1880" s="60"/>
      <c r="G1880" s="61" t="str">
        <f>IFERROR(VLOOKUP(C$13&amp;$B1880,Aux!$B:$M,9,0),"")</f>
        <v/>
      </c>
      <c r="K1880" s="59" t="str">
        <f>IFERROR(VLOOKUP(K$13&amp;$B1884,Aux!$B:$M,5,0),"")</f>
        <v/>
      </c>
      <c r="L1880" s="60" t="str">
        <f>IFERROR(VLOOKUP(K$13&amp;$B1880,Aux!$B:$M,3,0),"")</f>
        <v/>
      </c>
      <c r="M1880" s="60"/>
      <c r="N1880" s="60"/>
      <c r="O1880" s="61" t="str">
        <f>IFERROR(VLOOKUP(K$13&amp;$B1880,Aux!$B:$M,9,0),"")</f>
        <v/>
      </c>
      <c r="S1880" s="59" t="str">
        <f>IFERROR(VLOOKUP(S$13&amp;$B1884,Aux!$B:$M,5,0),"")</f>
        <v/>
      </c>
      <c r="T1880" s="60" t="str">
        <f>IFERROR(VLOOKUP(S$13&amp;$B1880,Aux!$B:$M,3,0),"")</f>
        <v/>
      </c>
      <c r="U1880" s="60"/>
      <c r="V1880" s="60"/>
      <c r="W1880" s="61" t="str">
        <f>IFERROR(VLOOKUP(S$13&amp;$B1880,Aux!$B:$M,9,0),"")</f>
        <v/>
      </c>
      <c r="AA1880" s="59" t="str">
        <f>IFERROR(VLOOKUP(AA$13&amp;$B1884,Aux!$B:$M,5,0),"")</f>
        <v/>
      </c>
      <c r="AB1880" s="60" t="str">
        <f>IFERROR(VLOOKUP(AA$13&amp;$B1880,Aux!$B:$M,3,0),"")</f>
        <v/>
      </c>
      <c r="AC1880" s="60"/>
      <c r="AD1880" s="60"/>
      <c r="AE1880" s="61" t="str">
        <f>IFERROR(VLOOKUP(AA$13&amp;$B1880,Aux!$B:$M,9,0),"")</f>
        <v/>
      </c>
    </row>
    <row r="1881" spans="2:31" x14ac:dyDescent="0.25">
      <c r="B1881" s="53">
        <f t="shared" si="29"/>
        <v>374</v>
      </c>
      <c r="C1881" s="59"/>
      <c r="D1881" s="60"/>
      <c r="E1881" s="60"/>
      <c r="F1881" s="60"/>
      <c r="G1881" s="61"/>
      <c r="K1881" s="59"/>
      <c r="L1881" s="60"/>
      <c r="M1881" s="60"/>
      <c r="N1881" s="60"/>
      <c r="O1881" s="61"/>
      <c r="S1881" s="59"/>
      <c r="T1881" s="60"/>
      <c r="U1881" s="60"/>
      <c r="V1881" s="60"/>
      <c r="W1881" s="61"/>
      <c r="AA1881" s="59"/>
      <c r="AB1881" s="60"/>
      <c r="AC1881" s="60"/>
      <c r="AD1881" s="60"/>
      <c r="AE1881" s="61"/>
    </row>
    <row r="1882" spans="2:31" x14ac:dyDescent="0.25">
      <c r="B1882" s="53">
        <f t="shared" si="29"/>
        <v>374</v>
      </c>
      <c r="C1882" s="59"/>
      <c r="D1882" s="15" t="str">
        <f>IF(D1880="","","Исполнитель"&amp;": ")</f>
        <v/>
      </c>
      <c r="E1882" s="62" t="str">
        <f>IFERROR(VLOOKUP(C$13&amp;$B1882,Aux!$B:$M,4,0),"")</f>
        <v/>
      </c>
      <c r="F1882" s="62"/>
      <c r="G1882" s="63" t="str">
        <f>IFERROR(IF(VLOOKUP(C$13&amp;$B1880,Aux!$B:$M,8,0)="Да","✔","🕓"),"")</f>
        <v/>
      </c>
      <c r="K1882" s="59"/>
      <c r="L1882" s="15" t="str">
        <f>IF(L1880="","","Исполнитель"&amp;": ")</f>
        <v/>
      </c>
      <c r="M1882" s="62" t="str">
        <f>IFERROR(VLOOKUP(K$13&amp;$B1882,Aux!$B:$M,4,0),"")</f>
        <v/>
      </c>
      <c r="N1882" s="62"/>
      <c r="O1882" s="63" t="str">
        <f>IFERROR(IF(VLOOKUP(K$13&amp;$B1880,Aux!$B:$M,8,0)="Да","✔","🕓"),"")</f>
        <v/>
      </c>
      <c r="S1882" s="59"/>
      <c r="T1882" s="15" t="str">
        <f>IF(T1880="","","Исполнитель"&amp;": ")</f>
        <v/>
      </c>
      <c r="U1882" s="62" t="str">
        <f>IFERROR(VLOOKUP(S$13&amp;$B1882,Aux!$B:$M,4,0),"")</f>
        <v/>
      </c>
      <c r="V1882" s="62"/>
      <c r="W1882" s="63" t="str">
        <f>IFERROR(IF(VLOOKUP(S$13&amp;$B1880,Aux!$B:$M,8,0)="Да","✔","🕓"),"")</f>
        <v/>
      </c>
      <c r="AA1882" s="59"/>
      <c r="AB1882" s="15" t="str">
        <f>IF(AB1880="","","Исполнитель"&amp;": ")</f>
        <v/>
      </c>
      <c r="AC1882" s="62" t="str">
        <f>IFERROR(VLOOKUP(AA$13&amp;$B1882,Aux!$B:$M,4,0),"")</f>
        <v/>
      </c>
      <c r="AD1882" s="62"/>
      <c r="AE1882" s="63" t="str">
        <f>IFERROR(IF(VLOOKUP(AA$13&amp;$B1880,Aux!$B:$M,8,0)="Да","✔","🕓"),"")</f>
        <v/>
      </c>
    </row>
    <row r="1883" spans="2:31" x14ac:dyDescent="0.25">
      <c r="B1883" s="53">
        <f t="shared" si="29"/>
        <v>374</v>
      </c>
      <c r="C1883" s="59"/>
      <c r="D1883" s="16" t="str">
        <f>IF(D1880="","","Срок сдачи"&amp;": ")</f>
        <v/>
      </c>
      <c r="E1883" s="64" t="str">
        <f>IFERROR(VLOOKUP(C$13&amp;$B1883,Aux!$B:$M,6,0),"")</f>
        <v/>
      </c>
      <c r="F1883" s="64"/>
      <c r="G1883" s="63"/>
      <c r="K1883" s="59"/>
      <c r="L1883" s="16" t="str">
        <f>IF(L1880="","","Срок сдачи"&amp;": ")</f>
        <v/>
      </c>
      <c r="M1883" s="64" t="str">
        <f>IFERROR(VLOOKUP(K$13&amp;$B1883,Aux!$B:$M,6,0),"")</f>
        <v/>
      </c>
      <c r="N1883" s="64"/>
      <c r="O1883" s="63"/>
      <c r="S1883" s="59"/>
      <c r="T1883" s="16" t="str">
        <f>IF(T1880="","","Срок сдачи"&amp;": ")</f>
        <v/>
      </c>
      <c r="U1883" s="64" t="str">
        <f>IFERROR(VLOOKUP(S$13&amp;$B1883,Aux!$B:$M,6,0),"")</f>
        <v/>
      </c>
      <c r="V1883" s="64"/>
      <c r="W1883" s="63"/>
      <c r="AA1883" s="59"/>
      <c r="AB1883" s="16" t="str">
        <f>IF(AB1880="","","Срок сдачи"&amp;": ")</f>
        <v/>
      </c>
      <c r="AC1883" s="64" t="str">
        <f>IFERROR(VLOOKUP(AA$13&amp;$B1883,Aux!$B:$M,6,0),"")</f>
        <v/>
      </c>
      <c r="AD1883" s="64"/>
      <c r="AE1883" s="63"/>
    </row>
    <row r="1884" spans="2:31" x14ac:dyDescent="0.25">
      <c r="B1884" s="53">
        <f t="shared" si="29"/>
        <v>374</v>
      </c>
      <c r="C1884" s="7"/>
      <c r="D1884" s="17"/>
      <c r="E1884" s="7"/>
      <c r="F1884" s="18"/>
      <c r="G1884" s="18"/>
      <c r="K1884" s="13"/>
      <c r="L1884" s="17"/>
      <c r="M1884" s="13"/>
      <c r="N1884" s="14"/>
      <c r="O1884" s="14"/>
      <c r="S1884" s="13"/>
      <c r="T1884" s="17"/>
      <c r="U1884" s="13"/>
      <c r="V1884" s="14"/>
      <c r="W1884" s="14"/>
      <c r="AA1884" s="13"/>
      <c r="AB1884" s="17"/>
      <c r="AC1884" s="13"/>
      <c r="AD1884" s="14"/>
      <c r="AE1884" s="30"/>
    </row>
    <row r="1885" spans="2:31" x14ac:dyDescent="0.25">
      <c r="B1885" s="53">
        <f t="shared" si="29"/>
        <v>375</v>
      </c>
      <c r="C1885" s="59" t="str">
        <f>IFERROR(VLOOKUP(C$13&amp;$B1889,Aux!$B:$M,5,0),"")</f>
        <v/>
      </c>
      <c r="D1885" s="60" t="str">
        <f>IFERROR(VLOOKUP(C$13&amp;$B1885,Aux!$B:$M,3,0),"")</f>
        <v/>
      </c>
      <c r="E1885" s="60"/>
      <c r="F1885" s="60"/>
      <c r="G1885" s="61" t="str">
        <f>IFERROR(VLOOKUP(C$13&amp;$B1885,Aux!$B:$M,9,0),"")</f>
        <v/>
      </c>
      <c r="K1885" s="59" t="str">
        <f>IFERROR(VLOOKUP(K$13&amp;$B1889,Aux!$B:$M,5,0),"")</f>
        <v/>
      </c>
      <c r="L1885" s="60" t="str">
        <f>IFERROR(VLOOKUP(K$13&amp;$B1885,Aux!$B:$M,3,0),"")</f>
        <v/>
      </c>
      <c r="M1885" s="60"/>
      <c r="N1885" s="60"/>
      <c r="O1885" s="61" t="str">
        <f>IFERROR(VLOOKUP(K$13&amp;$B1885,Aux!$B:$M,9,0),"")</f>
        <v/>
      </c>
      <c r="S1885" s="59" t="str">
        <f>IFERROR(VLOOKUP(S$13&amp;$B1889,Aux!$B:$M,5,0),"")</f>
        <v/>
      </c>
      <c r="T1885" s="60" t="str">
        <f>IFERROR(VLOOKUP(S$13&amp;$B1885,Aux!$B:$M,3,0),"")</f>
        <v/>
      </c>
      <c r="U1885" s="60"/>
      <c r="V1885" s="60"/>
      <c r="W1885" s="61" t="str">
        <f>IFERROR(VLOOKUP(S$13&amp;$B1885,Aux!$B:$M,9,0),"")</f>
        <v/>
      </c>
      <c r="AA1885" s="59" t="str">
        <f>IFERROR(VLOOKUP(AA$13&amp;$B1889,Aux!$B:$M,5,0),"")</f>
        <v/>
      </c>
      <c r="AB1885" s="60" t="str">
        <f>IFERROR(VLOOKUP(AA$13&amp;$B1885,Aux!$B:$M,3,0),"")</f>
        <v/>
      </c>
      <c r="AC1885" s="60"/>
      <c r="AD1885" s="60"/>
      <c r="AE1885" s="61" t="str">
        <f>IFERROR(VLOOKUP(AA$13&amp;$B1885,Aux!$B:$M,9,0),"")</f>
        <v/>
      </c>
    </row>
    <row r="1886" spans="2:31" x14ac:dyDescent="0.25">
      <c r="B1886" s="53">
        <f t="shared" si="29"/>
        <v>375</v>
      </c>
      <c r="C1886" s="59"/>
      <c r="D1886" s="60"/>
      <c r="E1886" s="60"/>
      <c r="F1886" s="60"/>
      <c r="G1886" s="61"/>
      <c r="K1886" s="59"/>
      <c r="L1886" s="60"/>
      <c r="M1886" s="60"/>
      <c r="N1886" s="60"/>
      <c r="O1886" s="61"/>
      <c r="S1886" s="59"/>
      <c r="T1886" s="60"/>
      <c r="U1886" s="60"/>
      <c r="V1886" s="60"/>
      <c r="W1886" s="61"/>
      <c r="AA1886" s="59"/>
      <c r="AB1886" s="60"/>
      <c r="AC1886" s="60"/>
      <c r="AD1886" s="60"/>
      <c r="AE1886" s="61"/>
    </row>
    <row r="1887" spans="2:31" x14ac:dyDescent="0.25">
      <c r="B1887" s="53">
        <f t="shared" si="29"/>
        <v>375</v>
      </c>
      <c r="C1887" s="59"/>
      <c r="D1887" s="15" t="str">
        <f>IF(D1885="","","Исполнитель"&amp;": ")</f>
        <v/>
      </c>
      <c r="E1887" s="62" t="str">
        <f>IFERROR(VLOOKUP(C$13&amp;$B1887,Aux!$B:$M,4,0),"")</f>
        <v/>
      </c>
      <c r="F1887" s="62"/>
      <c r="G1887" s="63" t="str">
        <f>IFERROR(IF(VLOOKUP(C$13&amp;$B1885,Aux!$B:$M,8,0)="Да","✔","🕓"),"")</f>
        <v/>
      </c>
      <c r="K1887" s="59"/>
      <c r="L1887" s="15" t="str">
        <f>IF(L1885="","","Исполнитель"&amp;": ")</f>
        <v/>
      </c>
      <c r="M1887" s="62" t="str">
        <f>IFERROR(VLOOKUP(K$13&amp;$B1887,Aux!$B:$M,4,0),"")</f>
        <v/>
      </c>
      <c r="N1887" s="62"/>
      <c r="O1887" s="63" t="str">
        <f>IFERROR(IF(VLOOKUP(K$13&amp;$B1885,Aux!$B:$M,8,0)="Да","✔","🕓"),"")</f>
        <v/>
      </c>
      <c r="S1887" s="59"/>
      <c r="T1887" s="15" t="str">
        <f>IF(T1885="","","Исполнитель"&amp;": ")</f>
        <v/>
      </c>
      <c r="U1887" s="62" t="str">
        <f>IFERROR(VLOOKUP(S$13&amp;$B1887,Aux!$B:$M,4,0),"")</f>
        <v/>
      </c>
      <c r="V1887" s="62"/>
      <c r="W1887" s="63" t="str">
        <f>IFERROR(IF(VLOOKUP(S$13&amp;$B1885,Aux!$B:$M,8,0)="Да","✔","🕓"),"")</f>
        <v/>
      </c>
      <c r="AA1887" s="59"/>
      <c r="AB1887" s="15" t="str">
        <f>IF(AB1885="","","Исполнитель"&amp;": ")</f>
        <v/>
      </c>
      <c r="AC1887" s="62" t="str">
        <f>IFERROR(VLOOKUP(AA$13&amp;$B1887,Aux!$B:$M,4,0),"")</f>
        <v/>
      </c>
      <c r="AD1887" s="62"/>
      <c r="AE1887" s="63" t="str">
        <f>IFERROR(IF(VLOOKUP(AA$13&amp;$B1885,Aux!$B:$M,8,0)="Да","✔","🕓"),"")</f>
        <v/>
      </c>
    </row>
    <row r="1888" spans="2:31" x14ac:dyDescent="0.25">
      <c r="B1888" s="53">
        <f t="shared" si="29"/>
        <v>375</v>
      </c>
      <c r="C1888" s="59"/>
      <c r="D1888" s="16" t="str">
        <f>IF(D1885="","","Срок сдачи"&amp;": ")</f>
        <v/>
      </c>
      <c r="E1888" s="64" t="str">
        <f>IFERROR(VLOOKUP(C$13&amp;$B1888,Aux!$B:$M,6,0),"")</f>
        <v/>
      </c>
      <c r="F1888" s="64"/>
      <c r="G1888" s="63"/>
      <c r="K1888" s="59"/>
      <c r="L1888" s="16" t="str">
        <f>IF(L1885="","","Срок сдачи"&amp;": ")</f>
        <v/>
      </c>
      <c r="M1888" s="64" t="str">
        <f>IFERROR(VLOOKUP(K$13&amp;$B1888,Aux!$B:$M,6,0),"")</f>
        <v/>
      </c>
      <c r="N1888" s="64"/>
      <c r="O1888" s="63"/>
      <c r="S1888" s="59"/>
      <c r="T1888" s="16" t="str">
        <f>IF(T1885="","","Срок сдачи"&amp;": ")</f>
        <v/>
      </c>
      <c r="U1888" s="64" t="str">
        <f>IFERROR(VLOOKUP(S$13&amp;$B1888,Aux!$B:$M,6,0),"")</f>
        <v/>
      </c>
      <c r="V1888" s="64"/>
      <c r="W1888" s="63"/>
      <c r="AA1888" s="59"/>
      <c r="AB1888" s="16" t="str">
        <f>IF(AB1885="","","Срок сдачи"&amp;": ")</f>
        <v/>
      </c>
      <c r="AC1888" s="64" t="str">
        <f>IFERROR(VLOOKUP(AA$13&amp;$B1888,Aux!$B:$M,6,0),"")</f>
        <v/>
      </c>
      <c r="AD1888" s="64"/>
      <c r="AE1888" s="63"/>
    </row>
    <row r="1889" spans="2:31" x14ac:dyDescent="0.25">
      <c r="B1889" s="53">
        <f t="shared" si="29"/>
        <v>375</v>
      </c>
      <c r="C1889" s="7"/>
      <c r="D1889" s="17"/>
      <c r="E1889" s="7"/>
      <c r="F1889" s="18"/>
      <c r="G1889" s="18"/>
      <c r="K1889" s="13"/>
      <c r="L1889" s="17"/>
      <c r="M1889" s="13"/>
      <c r="N1889" s="14"/>
      <c r="O1889" s="14"/>
      <c r="S1889" s="13"/>
      <c r="T1889" s="17"/>
      <c r="U1889" s="13"/>
      <c r="V1889" s="14"/>
      <c r="W1889" s="14"/>
      <c r="AA1889" s="13"/>
      <c r="AB1889" s="17"/>
      <c r="AC1889" s="13"/>
      <c r="AD1889" s="14"/>
      <c r="AE1889" s="30"/>
    </row>
    <row r="1890" spans="2:31" x14ac:dyDescent="0.25">
      <c r="B1890" s="53">
        <f t="shared" si="29"/>
        <v>376</v>
      </c>
      <c r="C1890" s="59" t="str">
        <f>IFERROR(VLOOKUP(C$13&amp;$B1894,Aux!$B:$M,5,0),"")</f>
        <v/>
      </c>
      <c r="D1890" s="60" t="str">
        <f>IFERROR(VLOOKUP(C$13&amp;$B1890,Aux!$B:$M,3,0),"")</f>
        <v/>
      </c>
      <c r="E1890" s="60"/>
      <c r="F1890" s="60"/>
      <c r="G1890" s="61" t="str">
        <f>IFERROR(VLOOKUP(C$13&amp;$B1890,Aux!$B:$M,9,0),"")</f>
        <v/>
      </c>
      <c r="K1890" s="59" t="str">
        <f>IFERROR(VLOOKUP(K$13&amp;$B1894,Aux!$B:$M,5,0),"")</f>
        <v/>
      </c>
      <c r="L1890" s="60" t="str">
        <f>IFERROR(VLOOKUP(K$13&amp;$B1890,Aux!$B:$M,3,0),"")</f>
        <v/>
      </c>
      <c r="M1890" s="60"/>
      <c r="N1890" s="60"/>
      <c r="O1890" s="61" t="str">
        <f>IFERROR(VLOOKUP(K$13&amp;$B1890,Aux!$B:$M,9,0),"")</f>
        <v/>
      </c>
      <c r="S1890" s="59" t="str">
        <f>IFERROR(VLOOKUP(S$13&amp;$B1894,Aux!$B:$M,5,0),"")</f>
        <v/>
      </c>
      <c r="T1890" s="60" t="str">
        <f>IFERROR(VLOOKUP(S$13&amp;$B1890,Aux!$B:$M,3,0),"")</f>
        <v/>
      </c>
      <c r="U1890" s="60"/>
      <c r="V1890" s="60"/>
      <c r="W1890" s="61" t="str">
        <f>IFERROR(VLOOKUP(S$13&amp;$B1890,Aux!$B:$M,9,0),"")</f>
        <v/>
      </c>
      <c r="AA1890" s="59" t="str">
        <f>IFERROR(VLOOKUP(AA$13&amp;$B1894,Aux!$B:$M,5,0),"")</f>
        <v/>
      </c>
      <c r="AB1890" s="60" t="str">
        <f>IFERROR(VLOOKUP(AA$13&amp;$B1890,Aux!$B:$M,3,0),"")</f>
        <v/>
      </c>
      <c r="AC1890" s="60"/>
      <c r="AD1890" s="60"/>
      <c r="AE1890" s="61" t="str">
        <f>IFERROR(VLOOKUP(AA$13&amp;$B1890,Aux!$B:$M,9,0),"")</f>
        <v/>
      </c>
    </row>
    <row r="1891" spans="2:31" x14ac:dyDescent="0.25">
      <c r="B1891" s="53">
        <f t="shared" si="29"/>
        <v>376</v>
      </c>
      <c r="C1891" s="59"/>
      <c r="D1891" s="60"/>
      <c r="E1891" s="60"/>
      <c r="F1891" s="60"/>
      <c r="G1891" s="61"/>
      <c r="K1891" s="59"/>
      <c r="L1891" s="60"/>
      <c r="M1891" s="60"/>
      <c r="N1891" s="60"/>
      <c r="O1891" s="61"/>
      <c r="S1891" s="59"/>
      <c r="T1891" s="60"/>
      <c r="U1891" s="60"/>
      <c r="V1891" s="60"/>
      <c r="W1891" s="61"/>
      <c r="AA1891" s="59"/>
      <c r="AB1891" s="60"/>
      <c r="AC1891" s="60"/>
      <c r="AD1891" s="60"/>
      <c r="AE1891" s="61"/>
    </row>
    <row r="1892" spans="2:31" x14ac:dyDescent="0.25">
      <c r="B1892" s="53">
        <f t="shared" si="29"/>
        <v>376</v>
      </c>
      <c r="C1892" s="59"/>
      <c r="D1892" s="15" t="str">
        <f>IF(D1890="","","Исполнитель"&amp;": ")</f>
        <v/>
      </c>
      <c r="E1892" s="62" t="str">
        <f>IFERROR(VLOOKUP(C$13&amp;$B1892,Aux!$B:$M,4,0),"")</f>
        <v/>
      </c>
      <c r="F1892" s="62"/>
      <c r="G1892" s="63" t="str">
        <f>IFERROR(IF(VLOOKUP(C$13&amp;$B1890,Aux!$B:$M,8,0)="Да","✔","🕓"),"")</f>
        <v/>
      </c>
      <c r="K1892" s="59"/>
      <c r="L1892" s="15" t="str">
        <f>IF(L1890="","","Исполнитель"&amp;": ")</f>
        <v/>
      </c>
      <c r="M1892" s="62" t="str">
        <f>IFERROR(VLOOKUP(K$13&amp;$B1892,Aux!$B:$M,4,0),"")</f>
        <v/>
      </c>
      <c r="N1892" s="62"/>
      <c r="O1892" s="63" t="str">
        <f>IFERROR(IF(VLOOKUP(K$13&amp;$B1890,Aux!$B:$M,8,0)="Да","✔","🕓"),"")</f>
        <v/>
      </c>
      <c r="S1892" s="59"/>
      <c r="T1892" s="15" t="str">
        <f>IF(T1890="","","Исполнитель"&amp;": ")</f>
        <v/>
      </c>
      <c r="U1892" s="62" t="str">
        <f>IFERROR(VLOOKUP(S$13&amp;$B1892,Aux!$B:$M,4,0),"")</f>
        <v/>
      </c>
      <c r="V1892" s="62"/>
      <c r="W1892" s="63" t="str">
        <f>IFERROR(IF(VLOOKUP(S$13&amp;$B1890,Aux!$B:$M,8,0)="Да","✔","🕓"),"")</f>
        <v/>
      </c>
      <c r="AA1892" s="59"/>
      <c r="AB1892" s="15" t="str">
        <f>IF(AB1890="","","Исполнитель"&amp;": ")</f>
        <v/>
      </c>
      <c r="AC1892" s="62" t="str">
        <f>IFERROR(VLOOKUP(AA$13&amp;$B1892,Aux!$B:$M,4,0),"")</f>
        <v/>
      </c>
      <c r="AD1892" s="62"/>
      <c r="AE1892" s="63" t="str">
        <f>IFERROR(IF(VLOOKUP(AA$13&amp;$B1890,Aux!$B:$M,8,0)="Да","✔","🕓"),"")</f>
        <v/>
      </c>
    </row>
    <row r="1893" spans="2:31" x14ac:dyDescent="0.25">
      <c r="B1893" s="53">
        <f t="shared" si="29"/>
        <v>376</v>
      </c>
      <c r="C1893" s="59"/>
      <c r="D1893" s="16" t="str">
        <f>IF(D1890="","","Срок сдачи"&amp;": ")</f>
        <v/>
      </c>
      <c r="E1893" s="64" t="str">
        <f>IFERROR(VLOOKUP(C$13&amp;$B1893,Aux!$B:$M,6,0),"")</f>
        <v/>
      </c>
      <c r="F1893" s="64"/>
      <c r="G1893" s="63"/>
      <c r="K1893" s="59"/>
      <c r="L1893" s="16" t="str">
        <f>IF(L1890="","","Срок сдачи"&amp;": ")</f>
        <v/>
      </c>
      <c r="M1893" s="64" t="str">
        <f>IFERROR(VLOOKUP(K$13&amp;$B1893,Aux!$B:$M,6,0),"")</f>
        <v/>
      </c>
      <c r="N1893" s="64"/>
      <c r="O1893" s="63"/>
      <c r="S1893" s="59"/>
      <c r="T1893" s="16" t="str">
        <f>IF(T1890="","","Срок сдачи"&amp;": ")</f>
        <v/>
      </c>
      <c r="U1893" s="64" t="str">
        <f>IFERROR(VLOOKUP(S$13&amp;$B1893,Aux!$B:$M,6,0),"")</f>
        <v/>
      </c>
      <c r="V1893" s="64"/>
      <c r="W1893" s="63"/>
      <c r="AA1893" s="59"/>
      <c r="AB1893" s="16" t="str">
        <f>IF(AB1890="","","Срок сдачи"&amp;": ")</f>
        <v/>
      </c>
      <c r="AC1893" s="64" t="str">
        <f>IFERROR(VLOOKUP(AA$13&amp;$B1893,Aux!$B:$M,6,0),"")</f>
        <v/>
      </c>
      <c r="AD1893" s="64"/>
      <c r="AE1893" s="63"/>
    </row>
    <row r="1894" spans="2:31" x14ac:dyDescent="0.25">
      <c r="B1894" s="53">
        <f t="shared" si="29"/>
        <v>376</v>
      </c>
      <c r="C1894" s="7"/>
      <c r="D1894" s="17"/>
      <c r="E1894" s="7"/>
      <c r="F1894" s="18"/>
      <c r="G1894" s="18"/>
      <c r="K1894" s="13"/>
      <c r="L1894" s="17"/>
      <c r="M1894" s="13"/>
      <c r="N1894" s="14"/>
      <c r="O1894" s="14"/>
      <c r="S1894" s="13"/>
      <c r="T1894" s="17"/>
      <c r="U1894" s="13"/>
      <c r="V1894" s="14"/>
      <c r="W1894" s="14"/>
      <c r="AA1894" s="13"/>
      <c r="AB1894" s="17"/>
      <c r="AC1894" s="13"/>
      <c r="AD1894" s="14"/>
      <c r="AE1894" s="30"/>
    </row>
    <row r="1895" spans="2:31" x14ac:dyDescent="0.25">
      <c r="B1895" s="53">
        <f t="shared" si="29"/>
        <v>377</v>
      </c>
      <c r="C1895" s="59" t="str">
        <f>IFERROR(VLOOKUP(C$13&amp;$B1899,Aux!$B:$M,5,0),"")</f>
        <v/>
      </c>
      <c r="D1895" s="60" t="str">
        <f>IFERROR(VLOOKUP(C$13&amp;$B1895,Aux!$B:$M,3,0),"")</f>
        <v/>
      </c>
      <c r="E1895" s="60"/>
      <c r="F1895" s="60"/>
      <c r="G1895" s="61" t="str">
        <f>IFERROR(VLOOKUP(C$13&amp;$B1895,Aux!$B:$M,9,0),"")</f>
        <v/>
      </c>
      <c r="K1895" s="59" t="str">
        <f>IFERROR(VLOOKUP(K$13&amp;$B1899,Aux!$B:$M,5,0),"")</f>
        <v/>
      </c>
      <c r="L1895" s="60" t="str">
        <f>IFERROR(VLOOKUP(K$13&amp;$B1895,Aux!$B:$M,3,0),"")</f>
        <v/>
      </c>
      <c r="M1895" s="60"/>
      <c r="N1895" s="60"/>
      <c r="O1895" s="61" t="str">
        <f>IFERROR(VLOOKUP(K$13&amp;$B1895,Aux!$B:$M,9,0),"")</f>
        <v/>
      </c>
      <c r="S1895" s="59" t="str">
        <f>IFERROR(VLOOKUP(S$13&amp;$B1899,Aux!$B:$M,5,0),"")</f>
        <v/>
      </c>
      <c r="T1895" s="60" t="str">
        <f>IFERROR(VLOOKUP(S$13&amp;$B1895,Aux!$B:$M,3,0),"")</f>
        <v/>
      </c>
      <c r="U1895" s="60"/>
      <c r="V1895" s="60"/>
      <c r="W1895" s="61" t="str">
        <f>IFERROR(VLOOKUP(S$13&amp;$B1895,Aux!$B:$M,9,0),"")</f>
        <v/>
      </c>
      <c r="AA1895" s="59" t="str">
        <f>IFERROR(VLOOKUP(AA$13&amp;$B1899,Aux!$B:$M,5,0),"")</f>
        <v/>
      </c>
      <c r="AB1895" s="60" t="str">
        <f>IFERROR(VLOOKUP(AA$13&amp;$B1895,Aux!$B:$M,3,0),"")</f>
        <v/>
      </c>
      <c r="AC1895" s="60"/>
      <c r="AD1895" s="60"/>
      <c r="AE1895" s="61" t="str">
        <f>IFERROR(VLOOKUP(AA$13&amp;$B1895,Aux!$B:$M,9,0),"")</f>
        <v/>
      </c>
    </row>
    <row r="1896" spans="2:31" x14ac:dyDescent="0.25">
      <c r="B1896" s="53">
        <f t="shared" si="29"/>
        <v>377</v>
      </c>
      <c r="C1896" s="59"/>
      <c r="D1896" s="60"/>
      <c r="E1896" s="60"/>
      <c r="F1896" s="60"/>
      <c r="G1896" s="61"/>
      <c r="K1896" s="59"/>
      <c r="L1896" s="60"/>
      <c r="M1896" s="60"/>
      <c r="N1896" s="60"/>
      <c r="O1896" s="61"/>
      <c r="S1896" s="59"/>
      <c r="T1896" s="60"/>
      <c r="U1896" s="60"/>
      <c r="V1896" s="60"/>
      <c r="W1896" s="61"/>
      <c r="AA1896" s="59"/>
      <c r="AB1896" s="60"/>
      <c r="AC1896" s="60"/>
      <c r="AD1896" s="60"/>
      <c r="AE1896" s="61"/>
    </row>
    <row r="1897" spans="2:31" x14ac:dyDescent="0.25">
      <c r="B1897" s="53">
        <f t="shared" si="29"/>
        <v>377</v>
      </c>
      <c r="C1897" s="59"/>
      <c r="D1897" s="15" t="str">
        <f>IF(D1895="","","Исполнитель"&amp;": ")</f>
        <v/>
      </c>
      <c r="E1897" s="62" t="str">
        <f>IFERROR(VLOOKUP(C$13&amp;$B1897,Aux!$B:$M,4,0),"")</f>
        <v/>
      </c>
      <c r="F1897" s="62"/>
      <c r="G1897" s="63" t="str">
        <f>IFERROR(IF(VLOOKUP(C$13&amp;$B1895,Aux!$B:$M,8,0)="Да","✔","🕓"),"")</f>
        <v/>
      </c>
      <c r="K1897" s="59"/>
      <c r="L1897" s="15" t="str">
        <f>IF(L1895="","","Исполнитель"&amp;": ")</f>
        <v/>
      </c>
      <c r="M1897" s="62" t="str">
        <f>IFERROR(VLOOKUP(K$13&amp;$B1897,Aux!$B:$M,4,0),"")</f>
        <v/>
      </c>
      <c r="N1897" s="62"/>
      <c r="O1897" s="63" t="str">
        <f>IFERROR(IF(VLOOKUP(K$13&amp;$B1895,Aux!$B:$M,8,0)="Да","✔","🕓"),"")</f>
        <v/>
      </c>
      <c r="S1897" s="59"/>
      <c r="T1897" s="15" t="str">
        <f>IF(T1895="","","Исполнитель"&amp;": ")</f>
        <v/>
      </c>
      <c r="U1897" s="62" t="str">
        <f>IFERROR(VLOOKUP(S$13&amp;$B1897,Aux!$B:$M,4,0),"")</f>
        <v/>
      </c>
      <c r="V1897" s="62"/>
      <c r="W1897" s="63" t="str">
        <f>IFERROR(IF(VLOOKUP(S$13&amp;$B1895,Aux!$B:$M,8,0)="Да","✔","🕓"),"")</f>
        <v/>
      </c>
      <c r="AA1897" s="59"/>
      <c r="AB1897" s="15" t="str">
        <f>IF(AB1895="","","Исполнитель"&amp;": ")</f>
        <v/>
      </c>
      <c r="AC1897" s="62" t="str">
        <f>IFERROR(VLOOKUP(AA$13&amp;$B1897,Aux!$B:$M,4,0),"")</f>
        <v/>
      </c>
      <c r="AD1897" s="62"/>
      <c r="AE1897" s="63" t="str">
        <f>IFERROR(IF(VLOOKUP(AA$13&amp;$B1895,Aux!$B:$M,8,0)="Да","✔","🕓"),"")</f>
        <v/>
      </c>
    </row>
    <row r="1898" spans="2:31" x14ac:dyDescent="0.25">
      <c r="B1898" s="53">
        <f t="shared" si="29"/>
        <v>377</v>
      </c>
      <c r="C1898" s="59"/>
      <c r="D1898" s="16" t="str">
        <f>IF(D1895="","","Срок сдачи"&amp;": ")</f>
        <v/>
      </c>
      <c r="E1898" s="64" t="str">
        <f>IFERROR(VLOOKUP(C$13&amp;$B1898,Aux!$B:$M,6,0),"")</f>
        <v/>
      </c>
      <c r="F1898" s="64"/>
      <c r="G1898" s="63"/>
      <c r="K1898" s="59"/>
      <c r="L1898" s="16" t="str">
        <f>IF(L1895="","","Срок сдачи"&amp;": ")</f>
        <v/>
      </c>
      <c r="M1898" s="64" t="str">
        <f>IFERROR(VLOOKUP(K$13&amp;$B1898,Aux!$B:$M,6,0),"")</f>
        <v/>
      </c>
      <c r="N1898" s="64"/>
      <c r="O1898" s="63"/>
      <c r="S1898" s="59"/>
      <c r="T1898" s="16" t="str">
        <f>IF(T1895="","","Срок сдачи"&amp;": ")</f>
        <v/>
      </c>
      <c r="U1898" s="64" t="str">
        <f>IFERROR(VLOOKUP(S$13&amp;$B1898,Aux!$B:$M,6,0),"")</f>
        <v/>
      </c>
      <c r="V1898" s="64"/>
      <c r="W1898" s="63"/>
      <c r="AA1898" s="59"/>
      <c r="AB1898" s="16" t="str">
        <f>IF(AB1895="","","Срок сдачи"&amp;": ")</f>
        <v/>
      </c>
      <c r="AC1898" s="64" t="str">
        <f>IFERROR(VLOOKUP(AA$13&amp;$B1898,Aux!$B:$M,6,0),"")</f>
        <v/>
      </c>
      <c r="AD1898" s="64"/>
      <c r="AE1898" s="63"/>
    </row>
    <row r="1899" spans="2:31" x14ac:dyDescent="0.25">
      <c r="B1899" s="53">
        <f t="shared" si="29"/>
        <v>377</v>
      </c>
      <c r="C1899" s="7"/>
      <c r="D1899" s="17"/>
      <c r="E1899" s="7"/>
      <c r="F1899" s="18"/>
      <c r="G1899" s="18"/>
      <c r="K1899" s="13"/>
      <c r="L1899" s="17"/>
      <c r="M1899" s="13"/>
      <c r="N1899" s="14"/>
      <c r="O1899" s="14"/>
      <c r="S1899" s="13"/>
      <c r="T1899" s="17"/>
      <c r="U1899" s="13"/>
      <c r="V1899" s="14"/>
      <c r="W1899" s="14"/>
      <c r="AA1899" s="13"/>
      <c r="AB1899" s="17"/>
      <c r="AC1899" s="13"/>
      <c r="AD1899" s="14"/>
      <c r="AE1899" s="30"/>
    </row>
    <row r="1900" spans="2:31" x14ac:dyDescent="0.25">
      <c r="B1900" s="53">
        <f t="shared" si="29"/>
        <v>378</v>
      </c>
      <c r="C1900" s="59" t="str">
        <f>IFERROR(VLOOKUP(C$13&amp;$B1904,Aux!$B:$M,5,0),"")</f>
        <v/>
      </c>
      <c r="D1900" s="60" t="str">
        <f>IFERROR(VLOOKUP(C$13&amp;$B1900,Aux!$B:$M,3,0),"")</f>
        <v/>
      </c>
      <c r="E1900" s="60"/>
      <c r="F1900" s="60"/>
      <c r="G1900" s="61" t="str">
        <f>IFERROR(VLOOKUP(C$13&amp;$B1900,Aux!$B:$M,9,0),"")</f>
        <v/>
      </c>
      <c r="K1900" s="59" t="str">
        <f>IFERROR(VLOOKUP(K$13&amp;$B1904,Aux!$B:$M,5,0),"")</f>
        <v/>
      </c>
      <c r="L1900" s="60" t="str">
        <f>IFERROR(VLOOKUP(K$13&amp;$B1900,Aux!$B:$M,3,0),"")</f>
        <v/>
      </c>
      <c r="M1900" s="60"/>
      <c r="N1900" s="60"/>
      <c r="O1900" s="61" t="str">
        <f>IFERROR(VLOOKUP(K$13&amp;$B1900,Aux!$B:$M,9,0),"")</f>
        <v/>
      </c>
      <c r="S1900" s="59" t="str">
        <f>IFERROR(VLOOKUP(S$13&amp;$B1904,Aux!$B:$M,5,0),"")</f>
        <v/>
      </c>
      <c r="T1900" s="60" t="str">
        <f>IFERROR(VLOOKUP(S$13&amp;$B1900,Aux!$B:$M,3,0),"")</f>
        <v/>
      </c>
      <c r="U1900" s="60"/>
      <c r="V1900" s="60"/>
      <c r="W1900" s="61" t="str">
        <f>IFERROR(VLOOKUP(S$13&amp;$B1900,Aux!$B:$M,9,0),"")</f>
        <v/>
      </c>
      <c r="AA1900" s="59" t="str">
        <f>IFERROR(VLOOKUP(AA$13&amp;$B1904,Aux!$B:$M,5,0),"")</f>
        <v/>
      </c>
      <c r="AB1900" s="60" t="str">
        <f>IFERROR(VLOOKUP(AA$13&amp;$B1900,Aux!$B:$M,3,0),"")</f>
        <v/>
      </c>
      <c r="AC1900" s="60"/>
      <c r="AD1900" s="60"/>
      <c r="AE1900" s="61" t="str">
        <f>IFERROR(VLOOKUP(AA$13&amp;$B1900,Aux!$B:$M,9,0),"")</f>
        <v/>
      </c>
    </row>
    <row r="1901" spans="2:31" x14ac:dyDescent="0.25">
      <c r="B1901" s="53">
        <f t="shared" si="29"/>
        <v>378</v>
      </c>
      <c r="C1901" s="59"/>
      <c r="D1901" s="60"/>
      <c r="E1901" s="60"/>
      <c r="F1901" s="60"/>
      <c r="G1901" s="61"/>
      <c r="K1901" s="59"/>
      <c r="L1901" s="60"/>
      <c r="M1901" s="60"/>
      <c r="N1901" s="60"/>
      <c r="O1901" s="61"/>
      <c r="S1901" s="59"/>
      <c r="T1901" s="60"/>
      <c r="U1901" s="60"/>
      <c r="V1901" s="60"/>
      <c r="W1901" s="61"/>
      <c r="AA1901" s="59"/>
      <c r="AB1901" s="60"/>
      <c r="AC1901" s="60"/>
      <c r="AD1901" s="60"/>
      <c r="AE1901" s="61"/>
    </row>
    <row r="1902" spans="2:31" x14ac:dyDescent="0.25">
      <c r="B1902" s="53">
        <f t="shared" si="29"/>
        <v>378</v>
      </c>
      <c r="C1902" s="59"/>
      <c r="D1902" s="15" t="str">
        <f>IF(D1900="","","Исполнитель"&amp;": ")</f>
        <v/>
      </c>
      <c r="E1902" s="62" t="str">
        <f>IFERROR(VLOOKUP(C$13&amp;$B1902,Aux!$B:$M,4,0),"")</f>
        <v/>
      </c>
      <c r="F1902" s="62"/>
      <c r="G1902" s="63" t="str">
        <f>IFERROR(IF(VLOOKUP(C$13&amp;$B1900,Aux!$B:$M,8,0)="Да","✔","🕓"),"")</f>
        <v/>
      </c>
      <c r="K1902" s="59"/>
      <c r="L1902" s="15" t="str">
        <f>IF(L1900="","","Исполнитель"&amp;": ")</f>
        <v/>
      </c>
      <c r="M1902" s="62" t="str">
        <f>IFERROR(VLOOKUP(K$13&amp;$B1902,Aux!$B:$M,4,0),"")</f>
        <v/>
      </c>
      <c r="N1902" s="62"/>
      <c r="O1902" s="63" t="str">
        <f>IFERROR(IF(VLOOKUP(K$13&amp;$B1900,Aux!$B:$M,8,0)="Да","✔","🕓"),"")</f>
        <v/>
      </c>
      <c r="S1902" s="59"/>
      <c r="T1902" s="15" t="str">
        <f>IF(T1900="","","Исполнитель"&amp;": ")</f>
        <v/>
      </c>
      <c r="U1902" s="62" t="str">
        <f>IFERROR(VLOOKUP(S$13&amp;$B1902,Aux!$B:$M,4,0),"")</f>
        <v/>
      </c>
      <c r="V1902" s="62"/>
      <c r="W1902" s="63" t="str">
        <f>IFERROR(IF(VLOOKUP(S$13&amp;$B1900,Aux!$B:$M,8,0)="Да","✔","🕓"),"")</f>
        <v/>
      </c>
      <c r="AA1902" s="59"/>
      <c r="AB1902" s="15" t="str">
        <f>IF(AB1900="","","Исполнитель"&amp;": ")</f>
        <v/>
      </c>
      <c r="AC1902" s="62" t="str">
        <f>IFERROR(VLOOKUP(AA$13&amp;$B1902,Aux!$B:$M,4,0),"")</f>
        <v/>
      </c>
      <c r="AD1902" s="62"/>
      <c r="AE1902" s="63" t="str">
        <f>IFERROR(IF(VLOOKUP(AA$13&amp;$B1900,Aux!$B:$M,8,0)="Да","✔","🕓"),"")</f>
        <v/>
      </c>
    </row>
    <row r="1903" spans="2:31" x14ac:dyDescent="0.25">
      <c r="B1903" s="53">
        <f t="shared" si="29"/>
        <v>378</v>
      </c>
      <c r="C1903" s="59"/>
      <c r="D1903" s="16" t="str">
        <f>IF(D1900="","","Срок сдачи"&amp;": ")</f>
        <v/>
      </c>
      <c r="E1903" s="64" t="str">
        <f>IFERROR(VLOOKUP(C$13&amp;$B1903,Aux!$B:$M,6,0),"")</f>
        <v/>
      </c>
      <c r="F1903" s="64"/>
      <c r="G1903" s="63"/>
      <c r="K1903" s="59"/>
      <c r="L1903" s="16" t="str">
        <f>IF(L1900="","","Срок сдачи"&amp;": ")</f>
        <v/>
      </c>
      <c r="M1903" s="64" t="str">
        <f>IFERROR(VLOOKUP(K$13&amp;$B1903,Aux!$B:$M,6,0),"")</f>
        <v/>
      </c>
      <c r="N1903" s="64"/>
      <c r="O1903" s="63"/>
      <c r="S1903" s="59"/>
      <c r="T1903" s="16" t="str">
        <f>IF(T1900="","","Срок сдачи"&amp;": ")</f>
        <v/>
      </c>
      <c r="U1903" s="64" t="str">
        <f>IFERROR(VLOOKUP(S$13&amp;$B1903,Aux!$B:$M,6,0),"")</f>
        <v/>
      </c>
      <c r="V1903" s="64"/>
      <c r="W1903" s="63"/>
      <c r="AA1903" s="59"/>
      <c r="AB1903" s="16" t="str">
        <f>IF(AB1900="","","Срок сдачи"&amp;": ")</f>
        <v/>
      </c>
      <c r="AC1903" s="64" t="str">
        <f>IFERROR(VLOOKUP(AA$13&amp;$B1903,Aux!$B:$M,6,0),"")</f>
        <v/>
      </c>
      <c r="AD1903" s="64"/>
      <c r="AE1903" s="63"/>
    </row>
    <row r="1904" spans="2:31" x14ac:dyDescent="0.25">
      <c r="B1904" s="53">
        <f t="shared" si="29"/>
        <v>378</v>
      </c>
      <c r="C1904" s="7"/>
      <c r="D1904" s="17"/>
      <c r="E1904" s="7"/>
      <c r="F1904" s="18"/>
      <c r="G1904" s="18"/>
      <c r="K1904" s="13"/>
      <c r="L1904" s="17"/>
      <c r="M1904" s="13"/>
      <c r="N1904" s="14"/>
      <c r="O1904" s="14"/>
      <c r="S1904" s="13"/>
      <c r="T1904" s="17"/>
      <c r="U1904" s="13"/>
      <c r="V1904" s="14"/>
      <c r="W1904" s="14"/>
      <c r="AA1904" s="13"/>
      <c r="AB1904" s="17"/>
      <c r="AC1904" s="13"/>
      <c r="AD1904" s="14"/>
      <c r="AE1904" s="30"/>
    </row>
    <row r="1905" spans="2:31" x14ac:dyDescent="0.25">
      <c r="B1905" s="53">
        <f t="shared" si="29"/>
        <v>379</v>
      </c>
      <c r="C1905" s="59" t="str">
        <f>IFERROR(VLOOKUP(C$13&amp;$B1909,Aux!$B:$M,5,0),"")</f>
        <v/>
      </c>
      <c r="D1905" s="60" t="str">
        <f>IFERROR(VLOOKUP(C$13&amp;$B1905,Aux!$B:$M,3,0),"")</f>
        <v/>
      </c>
      <c r="E1905" s="60"/>
      <c r="F1905" s="60"/>
      <c r="G1905" s="61" t="str">
        <f>IFERROR(VLOOKUP(C$13&amp;$B1905,Aux!$B:$M,9,0),"")</f>
        <v/>
      </c>
      <c r="K1905" s="59" t="str">
        <f>IFERROR(VLOOKUP(K$13&amp;$B1909,Aux!$B:$M,5,0),"")</f>
        <v/>
      </c>
      <c r="L1905" s="60" t="str">
        <f>IFERROR(VLOOKUP(K$13&amp;$B1905,Aux!$B:$M,3,0),"")</f>
        <v/>
      </c>
      <c r="M1905" s="60"/>
      <c r="N1905" s="60"/>
      <c r="O1905" s="61" t="str">
        <f>IFERROR(VLOOKUP(K$13&amp;$B1905,Aux!$B:$M,9,0),"")</f>
        <v/>
      </c>
      <c r="S1905" s="59" t="str">
        <f>IFERROR(VLOOKUP(S$13&amp;$B1909,Aux!$B:$M,5,0),"")</f>
        <v/>
      </c>
      <c r="T1905" s="60" t="str">
        <f>IFERROR(VLOOKUP(S$13&amp;$B1905,Aux!$B:$M,3,0),"")</f>
        <v/>
      </c>
      <c r="U1905" s="60"/>
      <c r="V1905" s="60"/>
      <c r="W1905" s="61" t="str">
        <f>IFERROR(VLOOKUP(S$13&amp;$B1905,Aux!$B:$M,9,0),"")</f>
        <v/>
      </c>
      <c r="AA1905" s="59" t="str">
        <f>IFERROR(VLOOKUP(AA$13&amp;$B1909,Aux!$B:$M,5,0),"")</f>
        <v/>
      </c>
      <c r="AB1905" s="60" t="str">
        <f>IFERROR(VLOOKUP(AA$13&amp;$B1905,Aux!$B:$M,3,0),"")</f>
        <v/>
      </c>
      <c r="AC1905" s="60"/>
      <c r="AD1905" s="60"/>
      <c r="AE1905" s="61" t="str">
        <f>IFERROR(VLOOKUP(AA$13&amp;$B1905,Aux!$B:$M,9,0),"")</f>
        <v/>
      </c>
    </row>
    <row r="1906" spans="2:31" x14ac:dyDescent="0.25">
      <c r="B1906" s="53">
        <f t="shared" si="29"/>
        <v>379</v>
      </c>
      <c r="C1906" s="59"/>
      <c r="D1906" s="60"/>
      <c r="E1906" s="60"/>
      <c r="F1906" s="60"/>
      <c r="G1906" s="61"/>
      <c r="K1906" s="59"/>
      <c r="L1906" s="60"/>
      <c r="M1906" s="60"/>
      <c r="N1906" s="60"/>
      <c r="O1906" s="61"/>
      <c r="S1906" s="59"/>
      <c r="T1906" s="60"/>
      <c r="U1906" s="60"/>
      <c r="V1906" s="60"/>
      <c r="W1906" s="61"/>
      <c r="AA1906" s="59"/>
      <c r="AB1906" s="60"/>
      <c r="AC1906" s="60"/>
      <c r="AD1906" s="60"/>
      <c r="AE1906" s="61"/>
    </row>
    <row r="1907" spans="2:31" x14ac:dyDescent="0.25">
      <c r="B1907" s="53">
        <f t="shared" si="29"/>
        <v>379</v>
      </c>
      <c r="C1907" s="59"/>
      <c r="D1907" s="15" t="str">
        <f>IF(D1905="","","Исполнитель"&amp;": ")</f>
        <v/>
      </c>
      <c r="E1907" s="62" t="str">
        <f>IFERROR(VLOOKUP(C$13&amp;$B1907,Aux!$B:$M,4,0),"")</f>
        <v/>
      </c>
      <c r="F1907" s="62"/>
      <c r="G1907" s="63" t="str">
        <f>IFERROR(IF(VLOOKUP(C$13&amp;$B1905,Aux!$B:$M,8,0)="Да","✔","🕓"),"")</f>
        <v/>
      </c>
      <c r="K1907" s="59"/>
      <c r="L1907" s="15" t="str">
        <f>IF(L1905="","","Исполнитель"&amp;": ")</f>
        <v/>
      </c>
      <c r="M1907" s="62" t="str">
        <f>IFERROR(VLOOKUP(K$13&amp;$B1907,Aux!$B:$M,4,0),"")</f>
        <v/>
      </c>
      <c r="N1907" s="62"/>
      <c r="O1907" s="63" t="str">
        <f>IFERROR(IF(VLOOKUP(K$13&amp;$B1905,Aux!$B:$M,8,0)="Да","✔","🕓"),"")</f>
        <v/>
      </c>
      <c r="S1907" s="59"/>
      <c r="T1907" s="15" t="str">
        <f>IF(T1905="","","Исполнитель"&amp;": ")</f>
        <v/>
      </c>
      <c r="U1907" s="62" t="str">
        <f>IFERROR(VLOOKUP(S$13&amp;$B1907,Aux!$B:$M,4,0),"")</f>
        <v/>
      </c>
      <c r="V1907" s="62"/>
      <c r="W1907" s="63" t="str">
        <f>IFERROR(IF(VLOOKUP(S$13&amp;$B1905,Aux!$B:$M,8,0)="Да","✔","🕓"),"")</f>
        <v/>
      </c>
      <c r="AA1907" s="59"/>
      <c r="AB1907" s="15" t="str">
        <f>IF(AB1905="","","Исполнитель"&amp;": ")</f>
        <v/>
      </c>
      <c r="AC1907" s="62" t="str">
        <f>IFERROR(VLOOKUP(AA$13&amp;$B1907,Aux!$B:$M,4,0),"")</f>
        <v/>
      </c>
      <c r="AD1907" s="62"/>
      <c r="AE1907" s="63" t="str">
        <f>IFERROR(IF(VLOOKUP(AA$13&amp;$B1905,Aux!$B:$M,8,0)="Да","✔","🕓"),"")</f>
        <v/>
      </c>
    </row>
    <row r="1908" spans="2:31" x14ac:dyDescent="0.25">
      <c r="B1908" s="53">
        <f t="shared" si="29"/>
        <v>379</v>
      </c>
      <c r="C1908" s="59"/>
      <c r="D1908" s="16" t="str">
        <f>IF(D1905="","","Срок сдачи"&amp;": ")</f>
        <v/>
      </c>
      <c r="E1908" s="64" t="str">
        <f>IFERROR(VLOOKUP(C$13&amp;$B1908,Aux!$B:$M,6,0),"")</f>
        <v/>
      </c>
      <c r="F1908" s="64"/>
      <c r="G1908" s="63"/>
      <c r="K1908" s="59"/>
      <c r="L1908" s="16" t="str">
        <f>IF(L1905="","","Срок сдачи"&amp;": ")</f>
        <v/>
      </c>
      <c r="M1908" s="64" t="str">
        <f>IFERROR(VLOOKUP(K$13&amp;$B1908,Aux!$B:$M,6,0),"")</f>
        <v/>
      </c>
      <c r="N1908" s="64"/>
      <c r="O1908" s="63"/>
      <c r="S1908" s="59"/>
      <c r="T1908" s="16" t="str">
        <f>IF(T1905="","","Срок сдачи"&amp;": ")</f>
        <v/>
      </c>
      <c r="U1908" s="64" t="str">
        <f>IFERROR(VLOOKUP(S$13&amp;$B1908,Aux!$B:$M,6,0),"")</f>
        <v/>
      </c>
      <c r="V1908" s="64"/>
      <c r="W1908" s="63"/>
      <c r="AA1908" s="59"/>
      <c r="AB1908" s="16" t="str">
        <f>IF(AB1905="","","Срок сдачи"&amp;": ")</f>
        <v/>
      </c>
      <c r="AC1908" s="64" t="str">
        <f>IFERROR(VLOOKUP(AA$13&amp;$B1908,Aux!$B:$M,6,0),"")</f>
        <v/>
      </c>
      <c r="AD1908" s="64"/>
      <c r="AE1908" s="63"/>
    </row>
    <row r="1909" spans="2:31" x14ac:dyDescent="0.25">
      <c r="B1909" s="53">
        <f t="shared" si="29"/>
        <v>379</v>
      </c>
      <c r="C1909" s="7"/>
      <c r="D1909" s="17"/>
      <c r="E1909" s="7"/>
      <c r="F1909" s="18"/>
      <c r="G1909" s="18"/>
      <c r="K1909" s="13"/>
      <c r="L1909" s="17"/>
      <c r="M1909" s="13"/>
      <c r="N1909" s="14"/>
      <c r="O1909" s="14"/>
      <c r="S1909" s="13"/>
      <c r="T1909" s="17"/>
      <c r="U1909" s="13"/>
      <c r="V1909" s="14"/>
      <c r="W1909" s="14"/>
      <c r="AA1909" s="13"/>
      <c r="AB1909" s="17"/>
      <c r="AC1909" s="13"/>
      <c r="AD1909" s="14"/>
      <c r="AE1909" s="30"/>
    </row>
    <row r="1910" spans="2:31" x14ac:dyDescent="0.25">
      <c r="B1910" s="53">
        <f t="shared" si="29"/>
        <v>380</v>
      </c>
      <c r="C1910" s="59" t="str">
        <f>IFERROR(VLOOKUP(C$13&amp;$B1914,Aux!$B:$M,5,0),"")</f>
        <v/>
      </c>
      <c r="D1910" s="60" t="str">
        <f>IFERROR(VLOOKUP(C$13&amp;$B1910,Aux!$B:$M,3,0),"")</f>
        <v/>
      </c>
      <c r="E1910" s="60"/>
      <c r="F1910" s="60"/>
      <c r="G1910" s="61" t="str">
        <f>IFERROR(VLOOKUP(C$13&amp;$B1910,Aux!$B:$M,9,0),"")</f>
        <v/>
      </c>
      <c r="K1910" s="59" t="str">
        <f>IFERROR(VLOOKUP(K$13&amp;$B1914,Aux!$B:$M,5,0),"")</f>
        <v/>
      </c>
      <c r="L1910" s="60" t="str">
        <f>IFERROR(VLOOKUP(K$13&amp;$B1910,Aux!$B:$M,3,0),"")</f>
        <v/>
      </c>
      <c r="M1910" s="60"/>
      <c r="N1910" s="60"/>
      <c r="O1910" s="61" t="str">
        <f>IFERROR(VLOOKUP(K$13&amp;$B1910,Aux!$B:$M,9,0),"")</f>
        <v/>
      </c>
      <c r="S1910" s="59" t="str">
        <f>IFERROR(VLOOKUP(S$13&amp;$B1914,Aux!$B:$M,5,0),"")</f>
        <v/>
      </c>
      <c r="T1910" s="60" t="str">
        <f>IFERROR(VLOOKUP(S$13&amp;$B1910,Aux!$B:$M,3,0),"")</f>
        <v/>
      </c>
      <c r="U1910" s="60"/>
      <c r="V1910" s="60"/>
      <c r="W1910" s="61" t="str">
        <f>IFERROR(VLOOKUP(S$13&amp;$B1910,Aux!$B:$M,9,0),"")</f>
        <v/>
      </c>
      <c r="AA1910" s="59" t="str">
        <f>IFERROR(VLOOKUP(AA$13&amp;$B1914,Aux!$B:$M,5,0),"")</f>
        <v/>
      </c>
      <c r="AB1910" s="60" t="str">
        <f>IFERROR(VLOOKUP(AA$13&amp;$B1910,Aux!$B:$M,3,0),"")</f>
        <v/>
      </c>
      <c r="AC1910" s="60"/>
      <c r="AD1910" s="60"/>
      <c r="AE1910" s="61" t="str">
        <f>IFERROR(VLOOKUP(AA$13&amp;$B1910,Aux!$B:$M,9,0),"")</f>
        <v/>
      </c>
    </row>
    <row r="1911" spans="2:31" x14ac:dyDescent="0.25">
      <c r="B1911" s="53">
        <f t="shared" si="29"/>
        <v>380</v>
      </c>
      <c r="C1911" s="59"/>
      <c r="D1911" s="60"/>
      <c r="E1911" s="60"/>
      <c r="F1911" s="60"/>
      <c r="G1911" s="61"/>
      <c r="K1911" s="59"/>
      <c r="L1911" s="60"/>
      <c r="M1911" s="60"/>
      <c r="N1911" s="60"/>
      <c r="O1911" s="61"/>
      <c r="S1911" s="59"/>
      <c r="T1911" s="60"/>
      <c r="U1911" s="60"/>
      <c r="V1911" s="60"/>
      <c r="W1911" s="61"/>
      <c r="AA1911" s="59"/>
      <c r="AB1911" s="60"/>
      <c r="AC1911" s="60"/>
      <c r="AD1911" s="60"/>
      <c r="AE1911" s="61"/>
    </row>
    <row r="1912" spans="2:31" x14ac:dyDescent="0.25">
      <c r="B1912" s="53">
        <f t="shared" si="29"/>
        <v>380</v>
      </c>
      <c r="C1912" s="59"/>
      <c r="D1912" s="15" t="str">
        <f>IF(D1910="","","Исполнитель"&amp;": ")</f>
        <v/>
      </c>
      <c r="E1912" s="62" t="str">
        <f>IFERROR(VLOOKUP(C$13&amp;$B1912,Aux!$B:$M,4,0),"")</f>
        <v/>
      </c>
      <c r="F1912" s="62"/>
      <c r="G1912" s="63" t="str">
        <f>IFERROR(IF(VLOOKUP(C$13&amp;$B1910,Aux!$B:$M,8,0)="Да","✔","🕓"),"")</f>
        <v/>
      </c>
      <c r="K1912" s="59"/>
      <c r="L1912" s="15" t="str">
        <f>IF(L1910="","","Исполнитель"&amp;": ")</f>
        <v/>
      </c>
      <c r="M1912" s="62" t="str">
        <f>IFERROR(VLOOKUP(K$13&amp;$B1912,Aux!$B:$M,4,0),"")</f>
        <v/>
      </c>
      <c r="N1912" s="62"/>
      <c r="O1912" s="63" t="str">
        <f>IFERROR(IF(VLOOKUP(K$13&amp;$B1910,Aux!$B:$M,8,0)="Да","✔","🕓"),"")</f>
        <v/>
      </c>
      <c r="S1912" s="59"/>
      <c r="T1912" s="15" t="str">
        <f>IF(T1910="","","Исполнитель"&amp;": ")</f>
        <v/>
      </c>
      <c r="U1912" s="62" t="str">
        <f>IFERROR(VLOOKUP(S$13&amp;$B1912,Aux!$B:$M,4,0),"")</f>
        <v/>
      </c>
      <c r="V1912" s="62"/>
      <c r="W1912" s="63" t="str">
        <f>IFERROR(IF(VLOOKUP(S$13&amp;$B1910,Aux!$B:$M,8,0)="Да","✔","🕓"),"")</f>
        <v/>
      </c>
      <c r="AA1912" s="59"/>
      <c r="AB1912" s="15" t="str">
        <f>IF(AB1910="","","Исполнитель"&amp;": ")</f>
        <v/>
      </c>
      <c r="AC1912" s="62" t="str">
        <f>IFERROR(VLOOKUP(AA$13&amp;$B1912,Aux!$B:$M,4,0),"")</f>
        <v/>
      </c>
      <c r="AD1912" s="62"/>
      <c r="AE1912" s="63" t="str">
        <f>IFERROR(IF(VLOOKUP(AA$13&amp;$B1910,Aux!$B:$M,8,0)="Да","✔","🕓"),"")</f>
        <v/>
      </c>
    </row>
    <row r="1913" spans="2:31" x14ac:dyDescent="0.25">
      <c r="B1913" s="53">
        <f t="shared" si="29"/>
        <v>380</v>
      </c>
      <c r="C1913" s="59"/>
      <c r="D1913" s="16" t="str">
        <f>IF(D1910="","","Срок сдачи"&amp;": ")</f>
        <v/>
      </c>
      <c r="E1913" s="64" t="str">
        <f>IFERROR(VLOOKUP(C$13&amp;$B1913,Aux!$B:$M,6,0),"")</f>
        <v/>
      </c>
      <c r="F1913" s="64"/>
      <c r="G1913" s="63"/>
      <c r="K1913" s="59"/>
      <c r="L1913" s="16" t="str">
        <f>IF(L1910="","","Срок сдачи"&amp;": ")</f>
        <v/>
      </c>
      <c r="M1913" s="64" t="str">
        <f>IFERROR(VLOOKUP(K$13&amp;$B1913,Aux!$B:$M,6,0),"")</f>
        <v/>
      </c>
      <c r="N1913" s="64"/>
      <c r="O1913" s="63"/>
      <c r="S1913" s="59"/>
      <c r="T1913" s="16" t="str">
        <f>IF(T1910="","","Срок сдачи"&amp;": ")</f>
        <v/>
      </c>
      <c r="U1913" s="64" t="str">
        <f>IFERROR(VLOOKUP(S$13&amp;$B1913,Aux!$B:$M,6,0),"")</f>
        <v/>
      </c>
      <c r="V1913" s="64"/>
      <c r="W1913" s="63"/>
      <c r="AA1913" s="59"/>
      <c r="AB1913" s="16" t="str">
        <f>IF(AB1910="","","Срок сдачи"&amp;": ")</f>
        <v/>
      </c>
      <c r="AC1913" s="64" t="str">
        <f>IFERROR(VLOOKUP(AA$13&amp;$B1913,Aux!$B:$M,6,0),"")</f>
        <v/>
      </c>
      <c r="AD1913" s="64"/>
      <c r="AE1913" s="63"/>
    </row>
    <row r="1914" spans="2:31" x14ac:dyDescent="0.25">
      <c r="B1914" s="53">
        <f t="shared" si="29"/>
        <v>380</v>
      </c>
      <c r="C1914" s="7"/>
      <c r="D1914" s="17"/>
      <c r="E1914" s="7"/>
      <c r="F1914" s="18"/>
      <c r="G1914" s="18"/>
      <c r="K1914" s="13"/>
      <c r="L1914" s="17"/>
      <c r="M1914" s="13"/>
      <c r="N1914" s="14"/>
      <c r="O1914" s="14"/>
      <c r="S1914" s="13"/>
      <c r="T1914" s="17"/>
      <c r="U1914" s="13"/>
      <c r="V1914" s="14"/>
      <c r="W1914" s="14"/>
      <c r="AA1914" s="13"/>
      <c r="AB1914" s="17"/>
      <c r="AC1914" s="13"/>
      <c r="AD1914" s="14"/>
      <c r="AE1914" s="30"/>
    </row>
    <row r="1915" spans="2:31" x14ac:dyDescent="0.25">
      <c r="B1915" s="53">
        <f t="shared" si="29"/>
        <v>381</v>
      </c>
      <c r="C1915" s="59" t="str">
        <f>IFERROR(VLOOKUP(C$13&amp;$B1919,Aux!$B:$M,5,0),"")</f>
        <v/>
      </c>
      <c r="D1915" s="60" t="str">
        <f>IFERROR(VLOOKUP(C$13&amp;$B1915,Aux!$B:$M,3,0),"")</f>
        <v/>
      </c>
      <c r="E1915" s="60"/>
      <c r="F1915" s="60"/>
      <c r="G1915" s="61" t="str">
        <f>IFERROR(VLOOKUP(C$13&amp;$B1915,Aux!$B:$M,9,0),"")</f>
        <v/>
      </c>
      <c r="K1915" s="59" t="str">
        <f>IFERROR(VLOOKUP(K$13&amp;$B1919,Aux!$B:$M,5,0),"")</f>
        <v/>
      </c>
      <c r="L1915" s="60" t="str">
        <f>IFERROR(VLOOKUP(K$13&amp;$B1915,Aux!$B:$M,3,0),"")</f>
        <v/>
      </c>
      <c r="M1915" s="60"/>
      <c r="N1915" s="60"/>
      <c r="O1915" s="61" t="str">
        <f>IFERROR(VLOOKUP(K$13&amp;$B1915,Aux!$B:$M,9,0),"")</f>
        <v/>
      </c>
      <c r="S1915" s="59" t="str">
        <f>IFERROR(VLOOKUP(S$13&amp;$B1919,Aux!$B:$M,5,0),"")</f>
        <v/>
      </c>
      <c r="T1915" s="60" t="str">
        <f>IFERROR(VLOOKUP(S$13&amp;$B1915,Aux!$B:$M,3,0),"")</f>
        <v/>
      </c>
      <c r="U1915" s="60"/>
      <c r="V1915" s="60"/>
      <c r="W1915" s="61" t="str">
        <f>IFERROR(VLOOKUP(S$13&amp;$B1915,Aux!$B:$M,9,0),"")</f>
        <v/>
      </c>
      <c r="AA1915" s="59" t="str">
        <f>IFERROR(VLOOKUP(AA$13&amp;$B1919,Aux!$B:$M,5,0),"")</f>
        <v/>
      </c>
      <c r="AB1915" s="60" t="str">
        <f>IFERROR(VLOOKUP(AA$13&amp;$B1915,Aux!$B:$M,3,0),"")</f>
        <v/>
      </c>
      <c r="AC1915" s="60"/>
      <c r="AD1915" s="60"/>
      <c r="AE1915" s="61" t="str">
        <f>IFERROR(VLOOKUP(AA$13&amp;$B1915,Aux!$B:$M,9,0),"")</f>
        <v/>
      </c>
    </row>
    <row r="1916" spans="2:31" x14ac:dyDescent="0.25">
      <c r="B1916" s="53">
        <f t="shared" si="29"/>
        <v>381</v>
      </c>
      <c r="C1916" s="59"/>
      <c r="D1916" s="60"/>
      <c r="E1916" s="60"/>
      <c r="F1916" s="60"/>
      <c r="G1916" s="61"/>
      <c r="K1916" s="59"/>
      <c r="L1916" s="60"/>
      <c r="M1916" s="60"/>
      <c r="N1916" s="60"/>
      <c r="O1916" s="61"/>
      <c r="S1916" s="59"/>
      <c r="T1916" s="60"/>
      <c r="U1916" s="60"/>
      <c r="V1916" s="60"/>
      <c r="W1916" s="61"/>
      <c r="AA1916" s="59"/>
      <c r="AB1916" s="60"/>
      <c r="AC1916" s="60"/>
      <c r="AD1916" s="60"/>
      <c r="AE1916" s="61"/>
    </row>
    <row r="1917" spans="2:31" x14ac:dyDescent="0.25">
      <c r="B1917" s="53">
        <f t="shared" si="29"/>
        <v>381</v>
      </c>
      <c r="C1917" s="59"/>
      <c r="D1917" s="15" t="str">
        <f>IF(D1915="","","Исполнитель"&amp;": ")</f>
        <v/>
      </c>
      <c r="E1917" s="62" t="str">
        <f>IFERROR(VLOOKUP(C$13&amp;$B1917,Aux!$B:$M,4,0),"")</f>
        <v/>
      </c>
      <c r="F1917" s="62"/>
      <c r="G1917" s="63" t="str">
        <f>IFERROR(IF(VLOOKUP(C$13&amp;$B1915,Aux!$B:$M,8,0)="Да","✔","🕓"),"")</f>
        <v/>
      </c>
      <c r="K1917" s="59"/>
      <c r="L1917" s="15" t="str">
        <f>IF(L1915="","","Исполнитель"&amp;": ")</f>
        <v/>
      </c>
      <c r="M1917" s="62" t="str">
        <f>IFERROR(VLOOKUP(K$13&amp;$B1917,Aux!$B:$M,4,0),"")</f>
        <v/>
      </c>
      <c r="N1917" s="62"/>
      <c r="O1917" s="63" t="str">
        <f>IFERROR(IF(VLOOKUP(K$13&amp;$B1915,Aux!$B:$M,8,0)="Да","✔","🕓"),"")</f>
        <v/>
      </c>
      <c r="S1917" s="59"/>
      <c r="T1917" s="15" t="str">
        <f>IF(T1915="","","Исполнитель"&amp;": ")</f>
        <v/>
      </c>
      <c r="U1917" s="62" t="str">
        <f>IFERROR(VLOOKUP(S$13&amp;$B1917,Aux!$B:$M,4,0),"")</f>
        <v/>
      </c>
      <c r="V1917" s="62"/>
      <c r="W1917" s="63" t="str">
        <f>IFERROR(IF(VLOOKUP(S$13&amp;$B1915,Aux!$B:$M,8,0)="Да","✔","🕓"),"")</f>
        <v/>
      </c>
      <c r="AA1917" s="59"/>
      <c r="AB1917" s="15" t="str">
        <f>IF(AB1915="","","Исполнитель"&amp;": ")</f>
        <v/>
      </c>
      <c r="AC1917" s="62" t="str">
        <f>IFERROR(VLOOKUP(AA$13&amp;$B1917,Aux!$B:$M,4,0),"")</f>
        <v/>
      </c>
      <c r="AD1917" s="62"/>
      <c r="AE1917" s="63" t="str">
        <f>IFERROR(IF(VLOOKUP(AA$13&amp;$B1915,Aux!$B:$M,8,0)="Да","✔","🕓"),"")</f>
        <v/>
      </c>
    </row>
    <row r="1918" spans="2:31" x14ac:dyDescent="0.25">
      <c r="B1918" s="53">
        <f t="shared" si="29"/>
        <v>381</v>
      </c>
      <c r="C1918" s="59"/>
      <c r="D1918" s="16" t="str">
        <f>IF(D1915="","","Срок сдачи"&amp;": ")</f>
        <v/>
      </c>
      <c r="E1918" s="64" t="str">
        <f>IFERROR(VLOOKUP(C$13&amp;$B1918,Aux!$B:$M,6,0),"")</f>
        <v/>
      </c>
      <c r="F1918" s="64"/>
      <c r="G1918" s="63"/>
      <c r="K1918" s="59"/>
      <c r="L1918" s="16" t="str">
        <f>IF(L1915="","","Срок сдачи"&amp;": ")</f>
        <v/>
      </c>
      <c r="M1918" s="64" t="str">
        <f>IFERROR(VLOOKUP(K$13&amp;$B1918,Aux!$B:$M,6,0),"")</f>
        <v/>
      </c>
      <c r="N1918" s="64"/>
      <c r="O1918" s="63"/>
      <c r="S1918" s="59"/>
      <c r="T1918" s="16" t="str">
        <f>IF(T1915="","","Срок сдачи"&amp;": ")</f>
        <v/>
      </c>
      <c r="U1918" s="64" t="str">
        <f>IFERROR(VLOOKUP(S$13&amp;$B1918,Aux!$B:$M,6,0),"")</f>
        <v/>
      </c>
      <c r="V1918" s="64"/>
      <c r="W1918" s="63"/>
      <c r="AA1918" s="59"/>
      <c r="AB1918" s="16" t="str">
        <f>IF(AB1915="","","Срок сдачи"&amp;": ")</f>
        <v/>
      </c>
      <c r="AC1918" s="64" t="str">
        <f>IFERROR(VLOOKUP(AA$13&amp;$B1918,Aux!$B:$M,6,0),"")</f>
        <v/>
      </c>
      <c r="AD1918" s="64"/>
      <c r="AE1918" s="63"/>
    </row>
    <row r="1919" spans="2:31" x14ac:dyDescent="0.25">
      <c r="B1919" s="53">
        <f t="shared" si="29"/>
        <v>381</v>
      </c>
      <c r="C1919" s="7"/>
      <c r="D1919" s="17"/>
      <c r="E1919" s="7"/>
      <c r="F1919" s="18"/>
      <c r="G1919" s="18"/>
      <c r="K1919" s="13"/>
      <c r="L1919" s="17"/>
      <c r="M1919" s="13"/>
      <c r="N1919" s="14"/>
      <c r="O1919" s="14"/>
      <c r="S1919" s="13"/>
      <c r="T1919" s="17"/>
      <c r="U1919" s="13"/>
      <c r="V1919" s="14"/>
      <c r="W1919" s="14"/>
      <c r="AA1919" s="13"/>
      <c r="AB1919" s="17"/>
      <c r="AC1919" s="13"/>
      <c r="AD1919" s="14"/>
      <c r="AE1919" s="30"/>
    </row>
    <row r="1920" spans="2:31" x14ac:dyDescent="0.25">
      <c r="B1920" s="53">
        <f t="shared" si="29"/>
        <v>382</v>
      </c>
      <c r="C1920" s="59" t="str">
        <f>IFERROR(VLOOKUP(C$13&amp;$B1924,Aux!$B:$M,5,0),"")</f>
        <v/>
      </c>
      <c r="D1920" s="60" t="str">
        <f>IFERROR(VLOOKUP(C$13&amp;$B1920,Aux!$B:$M,3,0),"")</f>
        <v/>
      </c>
      <c r="E1920" s="60"/>
      <c r="F1920" s="60"/>
      <c r="G1920" s="61" t="str">
        <f>IFERROR(VLOOKUP(C$13&amp;$B1920,Aux!$B:$M,9,0),"")</f>
        <v/>
      </c>
      <c r="K1920" s="59" t="str">
        <f>IFERROR(VLOOKUP(K$13&amp;$B1924,Aux!$B:$M,5,0),"")</f>
        <v/>
      </c>
      <c r="L1920" s="60" t="str">
        <f>IFERROR(VLOOKUP(K$13&amp;$B1920,Aux!$B:$M,3,0),"")</f>
        <v/>
      </c>
      <c r="M1920" s="60"/>
      <c r="N1920" s="60"/>
      <c r="O1920" s="61" t="str">
        <f>IFERROR(VLOOKUP(K$13&amp;$B1920,Aux!$B:$M,9,0),"")</f>
        <v/>
      </c>
      <c r="S1920" s="59" t="str">
        <f>IFERROR(VLOOKUP(S$13&amp;$B1924,Aux!$B:$M,5,0),"")</f>
        <v/>
      </c>
      <c r="T1920" s="60" t="str">
        <f>IFERROR(VLOOKUP(S$13&amp;$B1920,Aux!$B:$M,3,0),"")</f>
        <v/>
      </c>
      <c r="U1920" s="60"/>
      <c r="V1920" s="60"/>
      <c r="W1920" s="61" t="str">
        <f>IFERROR(VLOOKUP(S$13&amp;$B1920,Aux!$B:$M,9,0),"")</f>
        <v/>
      </c>
      <c r="AA1920" s="59" t="str">
        <f>IFERROR(VLOOKUP(AA$13&amp;$B1924,Aux!$B:$M,5,0),"")</f>
        <v/>
      </c>
      <c r="AB1920" s="60" t="str">
        <f>IFERROR(VLOOKUP(AA$13&amp;$B1920,Aux!$B:$M,3,0),"")</f>
        <v/>
      </c>
      <c r="AC1920" s="60"/>
      <c r="AD1920" s="60"/>
      <c r="AE1920" s="61" t="str">
        <f>IFERROR(VLOOKUP(AA$13&amp;$B1920,Aux!$B:$M,9,0),"")</f>
        <v/>
      </c>
    </row>
    <row r="1921" spans="2:31" x14ac:dyDescent="0.25">
      <c r="B1921" s="53">
        <f t="shared" si="29"/>
        <v>382</v>
      </c>
      <c r="C1921" s="59"/>
      <c r="D1921" s="60"/>
      <c r="E1921" s="60"/>
      <c r="F1921" s="60"/>
      <c r="G1921" s="61"/>
      <c r="K1921" s="59"/>
      <c r="L1921" s="60"/>
      <c r="M1921" s="60"/>
      <c r="N1921" s="60"/>
      <c r="O1921" s="61"/>
      <c r="S1921" s="59"/>
      <c r="T1921" s="60"/>
      <c r="U1921" s="60"/>
      <c r="V1921" s="60"/>
      <c r="W1921" s="61"/>
      <c r="AA1921" s="59"/>
      <c r="AB1921" s="60"/>
      <c r="AC1921" s="60"/>
      <c r="AD1921" s="60"/>
      <c r="AE1921" s="61"/>
    </row>
    <row r="1922" spans="2:31" x14ac:dyDescent="0.25">
      <c r="B1922" s="53">
        <f t="shared" si="29"/>
        <v>382</v>
      </c>
      <c r="C1922" s="59"/>
      <c r="D1922" s="15" t="str">
        <f>IF(D1920="","","Исполнитель"&amp;": ")</f>
        <v/>
      </c>
      <c r="E1922" s="62" t="str">
        <f>IFERROR(VLOOKUP(C$13&amp;$B1922,Aux!$B:$M,4,0),"")</f>
        <v/>
      </c>
      <c r="F1922" s="62"/>
      <c r="G1922" s="63" t="str">
        <f>IFERROR(IF(VLOOKUP(C$13&amp;$B1920,Aux!$B:$M,8,0)="Да","✔","🕓"),"")</f>
        <v/>
      </c>
      <c r="K1922" s="59"/>
      <c r="L1922" s="15" t="str">
        <f>IF(L1920="","","Исполнитель"&amp;": ")</f>
        <v/>
      </c>
      <c r="M1922" s="62" t="str">
        <f>IFERROR(VLOOKUP(K$13&amp;$B1922,Aux!$B:$M,4,0),"")</f>
        <v/>
      </c>
      <c r="N1922" s="62"/>
      <c r="O1922" s="63" t="str">
        <f>IFERROR(IF(VLOOKUP(K$13&amp;$B1920,Aux!$B:$M,8,0)="Да","✔","🕓"),"")</f>
        <v/>
      </c>
      <c r="S1922" s="59"/>
      <c r="T1922" s="15" t="str">
        <f>IF(T1920="","","Исполнитель"&amp;": ")</f>
        <v/>
      </c>
      <c r="U1922" s="62" t="str">
        <f>IFERROR(VLOOKUP(S$13&amp;$B1922,Aux!$B:$M,4,0),"")</f>
        <v/>
      </c>
      <c r="V1922" s="62"/>
      <c r="W1922" s="63" t="str">
        <f>IFERROR(IF(VLOOKUP(S$13&amp;$B1920,Aux!$B:$M,8,0)="Да","✔","🕓"),"")</f>
        <v/>
      </c>
      <c r="AA1922" s="59"/>
      <c r="AB1922" s="15" t="str">
        <f>IF(AB1920="","","Исполнитель"&amp;": ")</f>
        <v/>
      </c>
      <c r="AC1922" s="62" t="str">
        <f>IFERROR(VLOOKUP(AA$13&amp;$B1922,Aux!$B:$M,4,0),"")</f>
        <v/>
      </c>
      <c r="AD1922" s="62"/>
      <c r="AE1922" s="63" t="str">
        <f>IFERROR(IF(VLOOKUP(AA$13&amp;$B1920,Aux!$B:$M,8,0)="Да","✔","🕓"),"")</f>
        <v/>
      </c>
    </row>
    <row r="1923" spans="2:31" x14ac:dyDescent="0.25">
      <c r="B1923" s="53">
        <f t="shared" si="29"/>
        <v>382</v>
      </c>
      <c r="C1923" s="59"/>
      <c r="D1923" s="16" t="str">
        <f>IF(D1920="","","Срок сдачи"&amp;": ")</f>
        <v/>
      </c>
      <c r="E1923" s="64" t="str">
        <f>IFERROR(VLOOKUP(C$13&amp;$B1923,Aux!$B:$M,6,0),"")</f>
        <v/>
      </c>
      <c r="F1923" s="64"/>
      <c r="G1923" s="63"/>
      <c r="K1923" s="59"/>
      <c r="L1923" s="16" t="str">
        <f>IF(L1920="","","Срок сдачи"&amp;": ")</f>
        <v/>
      </c>
      <c r="M1923" s="64" t="str">
        <f>IFERROR(VLOOKUP(K$13&amp;$B1923,Aux!$B:$M,6,0),"")</f>
        <v/>
      </c>
      <c r="N1923" s="64"/>
      <c r="O1923" s="63"/>
      <c r="S1923" s="59"/>
      <c r="T1923" s="16" t="str">
        <f>IF(T1920="","","Срок сдачи"&amp;": ")</f>
        <v/>
      </c>
      <c r="U1923" s="64" t="str">
        <f>IFERROR(VLOOKUP(S$13&amp;$B1923,Aux!$B:$M,6,0),"")</f>
        <v/>
      </c>
      <c r="V1923" s="64"/>
      <c r="W1923" s="63"/>
      <c r="AA1923" s="59"/>
      <c r="AB1923" s="16" t="str">
        <f>IF(AB1920="","","Срок сдачи"&amp;": ")</f>
        <v/>
      </c>
      <c r="AC1923" s="64" t="str">
        <f>IFERROR(VLOOKUP(AA$13&amp;$B1923,Aux!$B:$M,6,0),"")</f>
        <v/>
      </c>
      <c r="AD1923" s="64"/>
      <c r="AE1923" s="63"/>
    </row>
    <row r="1924" spans="2:31" x14ac:dyDescent="0.25">
      <c r="B1924" s="53">
        <f t="shared" si="29"/>
        <v>382</v>
      </c>
      <c r="C1924" s="7"/>
      <c r="D1924" s="17"/>
      <c r="E1924" s="7"/>
      <c r="F1924" s="18"/>
      <c r="G1924" s="18"/>
      <c r="K1924" s="13"/>
      <c r="L1924" s="17"/>
      <c r="M1924" s="13"/>
      <c r="N1924" s="14"/>
      <c r="O1924" s="14"/>
      <c r="S1924" s="13"/>
      <c r="T1924" s="17"/>
      <c r="U1924" s="13"/>
      <c r="V1924" s="14"/>
      <c r="W1924" s="14"/>
      <c r="AA1924" s="13"/>
      <c r="AB1924" s="17"/>
      <c r="AC1924" s="13"/>
      <c r="AD1924" s="14"/>
      <c r="AE1924" s="30"/>
    </row>
    <row r="1925" spans="2:31" x14ac:dyDescent="0.25">
      <c r="B1925" s="53">
        <f t="shared" si="29"/>
        <v>383</v>
      </c>
      <c r="C1925" s="59" t="str">
        <f>IFERROR(VLOOKUP(C$13&amp;$B1929,Aux!$B:$M,5,0),"")</f>
        <v/>
      </c>
      <c r="D1925" s="60" t="str">
        <f>IFERROR(VLOOKUP(C$13&amp;$B1925,Aux!$B:$M,3,0),"")</f>
        <v/>
      </c>
      <c r="E1925" s="60"/>
      <c r="F1925" s="60"/>
      <c r="G1925" s="61" t="str">
        <f>IFERROR(VLOOKUP(C$13&amp;$B1925,Aux!$B:$M,9,0),"")</f>
        <v/>
      </c>
      <c r="K1925" s="59" t="str">
        <f>IFERROR(VLOOKUP(K$13&amp;$B1929,Aux!$B:$M,5,0),"")</f>
        <v/>
      </c>
      <c r="L1925" s="60" t="str">
        <f>IFERROR(VLOOKUP(K$13&amp;$B1925,Aux!$B:$M,3,0),"")</f>
        <v/>
      </c>
      <c r="M1925" s="60"/>
      <c r="N1925" s="60"/>
      <c r="O1925" s="61" t="str">
        <f>IFERROR(VLOOKUP(K$13&amp;$B1925,Aux!$B:$M,9,0),"")</f>
        <v/>
      </c>
      <c r="S1925" s="59" t="str">
        <f>IFERROR(VLOOKUP(S$13&amp;$B1929,Aux!$B:$M,5,0),"")</f>
        <v/>
      </c>
      <c r="T1925" s="60" t="str">
        <f>IFERROR(VLOOKUP(S$13&amp;$B1925,Aux!$B:$M,3,0),"")</f>
        <v/>
      </c>
      <c r="U1925" s="60"/>
      <c r="V1925" s="60"/>
      <c r="W1925" s="61" t="str">
        <f>IFERROR(VLOOKUP(S$13&amp;$B1925,Aux!$B:$M,9,0),"")</f>
        <v/>
      </c>
      <c r="AA1925" s="59" t="str">
        <f>IFERROR(VLOOKUP(AA$13&amp;$B1929,Aux!$B:$M,5,0),"")</f>
        <v/>
      </c>
      <c r="AB1925" s="60" t="str">
        <f>IFERROR(VLOOKUP(AA$13&amp;$B1925,Aux!$B:$M,3,0),"")</f>
        <v/>
      </c>
      <c r="AC1925" s="60"/>
      <c r="AD1925" s="60"/>
      <c r="AE1925" s="61" t="str">
        <f>IFERROR(VLOOKUP(AA$13&amp;$B1925,Aux!$B:$M,9,0),"")</f>
        <v/>
      </c>
    </row>
    <row r="1926" spans="2:31" x14ac:dyDescent="0.25">
      <c r="B1926" s="53">
        <f t="shared" si="29"/>
        <v>383</v>
      </c>
      <c r="C1926" s="59"/>
      <c r="D1926" s="60"/>
      <c r="E1926" s="60"/>
      <c r="F1926" s="60"/>
      <c r="G1926" s="61"/>
      <c r="K1926" s="59"/>
      <c r="L1926" s="60"/>
      <c r="M1926" s="60"/>
      <c r="N1926" s="60"/>
      <c r="O1926" s="61"/>
      <c r="S1926" s="59"/>
      <c r="T1926" s="60"/>
      <c r="U1926" s="60"/>
      <c r="V1926" s="60"/>
      <c r="W1926" s="61"/>
      <c r="AA1926" s="59"/>
      <c r="AB1926" s="60"/>
      <c r="AC1926" s="60"/>
      <c r="AD1926" s="60"/>
      <c r="AE1926" s="61"/>
    </row>
    <row r="1927" spans="2:31" x14ac:dyDescent="0.25">
      <c r="B1927" s="53">
        <f t="shared" si="29"/>
        <v>383</v>
      </c>
      <c r="C1927" s="59"/>
      <c r="D1927" s="15" t="str">
        <f>IF(D1925="","","Исполнитель"&amp;": ")</f>
        <v/>
      </c>
      <c r="E1927" s="62" t="str">
        <f>IFERROR(VLOOKUP(C$13&amp;$B1927,Aux!$B:$M,4,0),"")</f>
        <v/>
      </c>
      <c r="F1927" s="62"/>
      <c r="G1927" s="63" t="str">
        <f>IFERROR(IF(VLOOKUP(C$13&amp;$B1925,Aux!$B:$M,8,0)="Да","✔","🕓"),"")</f>
        <v/>
      </c>
      <c r="K1927" s="59"/>
      <c r="L1927" s="15" t="str">
        <f>IF(L1925="","","Исполнитель"&amp;": ")</f>
        <v/>
      </c>
      <c r="M1927" s="62" t="str">
        <f>IFERROR(VLOOKUP(K$13&amp;$B1927,Aux!$B:$M,4,0),"")</f>
        <v/>
      </c>
      <c r="N1927" s="62"/>
      <c r="O1927" s="63" t="str">
        <f>IFERROR(IF(VLOOKUP(K$13&amp;$B1925,Aux!$B:$M,8,0)="Да","✔","🕓"),"")</f>
        <v/>
      </c>
      <c r="S1927" s="59"/>
      <c r="T1927" s="15" t="str">
        <f>IF(T1925="","","Исполнитель"&amp;": ")</f>
        <v/>
      </c>
      <c r="U1927" s="62" t="str">
        <f>IFERROR(VLOOKUP(S$13&amp;$B1927,Aux!$B:$M,4,0),"")</f>
        <v/>
      </c>
      <c r="V1927" s="62"/>
      <c r="W1927" s="63" t="str">
        <f>IFERROR(IF(VLOOKUP(S$13&amp;$B1925,Aux!$B:$M,8,0)="Да","✔","🕓"),"")</f>
        <v/>
      </c>
      <c r="AA1927" s="59"/>
      <c r="AB1927" s="15" t="str">
        <f>IF(AB1925="","","Исполнитель"&amp;": ")</f>
        <v/>
      </c>
      <c r="AC1927" s="62" t="str">
        <f>IFERROR(VLOOKUP(AA$13&amp;$B1927,Aux!$B:$M,4,0),"")</f>
        <v/>
      </c>
      <c r="AD1927" s="62"/>
      <c r="AE1927" s="63" t="str">
        <f>IFERROR(IF(VLOOKUP(AA$13&amp;$B1925,Aux!$B:$M,8,0)="Да","✔","🕓"),"")</f>
        <v/>
      </c>
    </row>
    <row r="1928" spans="2:31" x14ac:dyDescent="0.25">
      <c r="B1928" s="53">
        <f t="shared" si="29"/>
        <v>383</v>
      </c>
      <c r="C1928" s="59"/>
      <c r="D1928" s="16" t="str">
        <f>IF(D1925="","","Срок сдачи"&amp;": ")</f>
        <v/>
      </c>
      <c r="E1928" s="64" t="str">
        <f>IFERROR(VLOOKUP(C$13&amp;$B1928,Aux!$B:$M,6,0),"")</f>
        <v/>
      </c>
      <c r="F1928" s="64"/>
      <c r="G1928" s="63"/>
      <c r="K1928" s="59"/>
      <c r="L1928" s="16" t="str">
        <f>IF(L1925="","","Срок сдачи"&amp;": ")</f>
        <v/>
      </c>
      <c r="M1928" s="64" t="str">
        <f>IFERROR(VLOOKUP(K$13&amp;$B1928,Aux!$B:$M,6,0),"")</f>
        <v/>
      </c>
      <c r="N1928" s="64"/>
      <c r="O1928" s="63"/>
      <c r="S1928" s="59"/>
      <c r="T1928" s="16" t="str">
        <f>IF(T1925="","","Срок сдачи"&amp;": ")</f>
        <v/>
      </c>
      <c r="U1928" s="64" t="str">
        <f>IFERROR(VLOOKUP(S$13&amp;$B1928,Aux!$B:$M,6,0),"")</f>
        <v/>
      </c>
      <c r="V1928" s="64"/>
      <c r="W1928" s="63"/>
      <c r="AA1928" s="59"/>
      <c r="AB1928" s="16" t="str">
        <f>IF(AB1925="","","Срок сдачи"&amp;": ")</f>
        <v/>
      </c>
      <c r="AC1928" s="64" t="str">
        <f>IFERROR(VLOOKUP(AA$13&amp;$B1928,Aux!$B:$M,6,0),"")</f>
        <v/>
      </c>
      <c r="AD1928" s="64"/>
      <c r="AE1928" s="63"/>
    </row>
    <row r="1929" spans="2:31" x14ac:dyDescent="0.25">
      <c r="B1929" s="53">
        <f t="shared" si="29"/>
        <v>383</v>
      </c>
      <c r="C1929" s="7"/>
      <c r="D1929" s="17"/>
      <c r="E1929" s="7"/>
      <c r="F1929" s="18"/>
      <c r="G1929" s="18"/>
      <c r="K1929" s="13"/>
      <c r="L1929" s="17"/>
      <c r="M1929" s="13"/>
      <c r="N1929" s="14"/>
      <c r="O1929" s="14"/>
      <c r="S1929" s="13"/>
      <c r="T1929" s="17"/>
      <c r="U1929" s="13"/>
      <c r="V1929" s="14"/>
      <c r="W1929" s="14"/>
      <c r="AA1929" s="13"/>
      <c r="AB1929" s="17"/>
      <c r="AC1929" s="13"/>
      <c r="AD1929" s="14"/>
      <c r="AE1929" s="30"/>
    </row>
    <row r="1930" spans="2:31" x14ac:dyDescent="0.25">
      <c r="B1930" s="53">
        <f t="shared" si="29"/>
        <v>384</v>
      </c>
      <c r="C1930" s="59" t="str">
        <f>IFERROR(VLOOKUP(C$13&amp;$B1934,Aux!$B:$M,5,0),"")</f>
        <v/>
      </c>
      <c r="D1930" s="60" t="str">
        <f>IFERROR(VLOOKUP(C$13&amp;$B1930,Aux!$B:$M,3,0),"")</f>
        <v/>
      </c>
      <c r="E1930" s="60"/>
      <c r="F1930" s="60"/>
      <c r="G1930" s="61" t="str">
        <f>IFERROR(VLOOKUP(C$13&amp;$B1930,Aux!$B:$M,9,0),"")</f>
        <v/>
      </c>
      <c r="K1930" s="59" t="str">
        <f>IFERROR(VLOOKUP(K$13&amp;$B1934,Aux!$B:$M,5,0),"")</f>
        <v/>
      </c>
      <c r="L1930" s="60" t="str">
        <f>IFERROR(VLOOKUP(K$13&amp;$B1930,Aux!$B:$M,3,0),"")</f>
        <v/>
      </c>
      <c r="M1930" s="60"/>
      <c r="N1930" s="60"/>
      <c r="O1930" s="61" t="str">
        <f>IFERROR(VLOOKUP(K$13&amp;$B1930,Aux!$B:$M,9,0),"")</f>
        <v/>
      </c>
      <c r="S1930" s="59" t="str">
        <f>IFERROR(VLOOKUP(S$13&amp;$B1934,Aux!$B:$M,5,0),"")</f>
        <v/>
      </c>
      <c r="T1930" s="60" t="str">
        <f>IFERROR(VLOOKUP(S$13&amp;$B1930,Aux!$B:$M,3,0),"")</f>
        <v/>
      </c>
      <c r="U1930" s="60"/>
      <c r="V1930" s="60"/>
      <c r="W1930" s="61" t="str">
        <f>IFERROR(VLOOKUP(S$13&amp;$B1930,Aux!$B:$M,9,0),"")</f>
        <v/>
      </c>
      <c r="AA1930" s="59" t="str">
        <f>IFERROR(VLOOKUP(AA$13&amp;$B1934,Aux!$B:$M,5,0),"")</f>
        <v/>
      </c>
      <c r="AB1930" s="60" t="str">
        <f>IFERROR(VLOOKUP(AA$13&amp;$B1930,Aux!$B:$M,3,0),"")</f>
        <v/>
      </c>
      <c r="AC1930" s="60"/>
      <c r="AD1930" s="60"/>
      <c r="AE1930" s="61" t="str">
        <f>IFERROR(VLOOKUP(AA$13&amp;$B1930,Aux!$B:$M,9,0),"")</f>
        <v/>
      </c>
    </row>
    <row r="1931" spans="2:31" x14ac:dyDescent="0.25">
      <c r="B1931" s="53">
        <f t="shared" si="29"/>
        <v>384</v>
      </c>
      <c r="C1931" s="59"/>
      <c r="D1931" s="60"/>
      <c r="E1931" s="60"/>
      <c r="F1931" s="60"/>
      <c r="G1931" s="61"/>
      <c r="K1931" s="59"/>
      <c r="L1931" s="60"/>
      <c r="M1931" s="60"/>
      <c r="N1931" s="60"/>
      <c r="O1931" s="61"/>
      <c r="S1931" s="59"/>
      <c r="T1931" s="60"/>
      <c r="U1931" s="60"/>
      <c r="V1931" s="60"/>
      <c r="W1931" s="61"/>
      <c r="AA1931" s="59"/>
      <c r="AB1931" s="60"/>
      <c r="AC1931" s="60"/>
      <c r="AD1931" s="60"/>
      <c r="AE1931" s="61"/>
    </row>
    <row r="1932" spans="2:31" x14ac:dyDescent="0.25">
      <c r="B1932" s="53">
        <f t="shared" si="29"/>
        <v>384</v>
      </c>
      <c r="C1932" s="59"/>
      <c r="D1932" s="15" t="str">
        <f>IF(D1930="","","Исполнитель"&amp;": ")</f>
        <v/>
      </c>
      <c r="E1932" s="62" t="str">
        <f>IFERROR(VLOOKUP(C$13&amp;$B1932,Aux!$B:$M,4,0),"")</f>
        <v/>
      </c>
      <c r="F1932" s="62"/>
      <c r="G1932" s="63" t="str">
        <f>IFERROR(IF(VLOOKUP(C$13&amp;$B1930,Aux!$B:$M,8,0)="Да","✔","🕓"),"")</f>
        <v/>
      </c>
      <c r="K1932" s="59"/>
      <c r="L1932" s="15" t="str">
        <f>IF(L1930="","","Исполнитель"&amp;": ")</f>
        <v/>
      </c>
      <c r="M1932" s="62" t="str">
        <f>IFERROR(VLOOKUP(K$13&amp;$B1932,Aux!$B:$M,4,0),"")</f>
        <v/>
      </c>
      <c r="N1932" s="62"/>
      <c r="O1932" s="63" t="str">
        <f>IFERROR(IF(VLOOKUP(K$13&amp;$B1930,Aux!$B:$M,8,0)="Да","✔","🕓"),"")</f>
        <v/>
      </c>
      <c r="S1932" s="59"/>
      <c r="T1932" s="15" t="str">
        <f>IF(T1930="","","Исполнитель"&amp;": ")</f>
        <v/>
      </c>
      <c r="U1932" s="62" t="str">
        <f>IFERROR(VLOOKUP(S$13&amp;$B1932,Aux!$B:$M,4,0),"")</f>
        <v/>
      </c>
      <c r="V1932" s="62"/>
      <c r="W1932" s="63" t="str">
        <f>IFERROR(IF(VLOOKUP(S$13&amp;$B1930,Aux!$B:$M,8,0)="Да","✔","🕓"),"")</f>
        <v/>
      </c>
      <c r="AA1932" s="59"/>
      <c r="AB1932" s="15" t="str">
        <f>IF(AB1930="","","Исполнитель"&amp;": ")</f>
        <v/>
      </c>
      <c r="AC1932" s="62" t="str">
        <f>IFERROR(VLOOKUP(AA$13&amp;$B1932,Aux!$B:$M,4,0),"")</f>
        <v/>
      </c>
      <c r="AD1932" s="62"/>
      <c r="AE1932" s="63" t="str">
        <f>IFERROR(IF(VLOOKUP(AA$13&amp;$B1930,Aux!$B:$M,8,0)="Да","✔","🕓"),"")</f>
        <v/>
      </c>
    </row>
    <row r="1933" spans="2:31" x14ac:dyDescent="0.25">
      <c r="B1933" s="53">
        <f t="shared" si="29"/>
        <v>384</v>
      </c>
      <c r="C1933" s="59"/>
      <c r="D1933" s="16" t="str">
        <f>IF(D1930="","","Срок сдачи"&amp;": ")</f>
        <v/>
      </c>
      <c r="E1933" s="64" t="str">
        <f>IFERROR(VLOOKUP(C$13&amp;$B1933,Aux!$B:$M,6,0),"")</f>
        <v/>
      </c>
      <c r="F1933" s="64"/>
      <c r="G1933" s="63"/>
      <c r="K1933" s="59"/>
      <c r="L1933" s="16" t="str">
        <f>IF(L1930="","","Срок сдачи"&amp;": ")</f>
        <v/>
      </c>
      <c r="M1933" s="64" t="str">
        <f>IFERROR(VLOOKUP(K$13&amp;$B1933,Aux!$B:$M,6,0),"")</f>
        <v/>
      </c>
      <c r="N1933" s="64"/>
      <c r="O1933" s="63"/>
      <c r="S1933" s="59"/>
      <c r="T1933" s="16" t="str">
        <f>IF(T1930="","","Срок сдачи"&amp;": ")</f>
        <v/>
      </c>
      <c r="U1933" s="64" t="str">
        <f>IFERROR(VLOOKUP(S$13&amp;$B1933,Aux!$B:$M,6,0),"")</f>
        <v/>
      </c>
      <c r="V1933" s="64"/>
      <c r="W1933" s="63"/>
      <c r="AA1933" s="59"/>
      <c r="AB1933" s="16" t="str">
        <f>IF(AB1930="","","Срок сдачи"&amp;": ")</f>
        <v/>
      </c>
      <c r="AC1933" s="64" t="str">
        <f>IFERROR(VLOOKUP(AA$13&amp;$B1933,Aux!$B:$M,6,0),"")</f>
        <v/>
      </c>
      <c r="AD1933" s="64"/>
      <c r="AE1933" s="63"/>
    </row>
    <row r="1934" spans="2:31" x14ac:dyDescent="0.25">
      <c r="B1934" s="53">
        <f t="shared" si="29"/>
        <v>384</v>
      </c>
      <c r="C1934" s="7"/>
      <c r="D1934" s="17"/>
      <c r="E1934" s="7"/>
      <c r="F1934" s="18"/>
      <c r="G1934" s="18"/>
      <c r="K1934" s="13"/>
      <c r="L1934" s="17"/>
      <c r="M1934" s="13"/>
      <c r="N1934" s="14"/>
      <c r="O1934" s="14"/>
      <c r="S1934" s="13"/>
      <c r="T1934" s="17"/>
      <c r="U1934" s="13"/>
      <c r="V1934" s="14"/>
      <c r="W1934" s="14"/>
      <c r="AA1934" s="13"/>
      <c r="AB1934" s="17"/>
      <c r="AC1934" s="13"/>
      <c r="AD1934" s="14"/>
      <c r="AE1934" s="30"/>
    </row>
    <row r="1935" spans="2:31" x14ac:dyDescent="0.25">
      <c r="B1935" s="53">
        <f t="shared" si="29"/>
        <v>385</v>
      </c>
      <c r="C1935" s="59" t="str">
        <f>IFERROR(VLOOKUP(C$13&amp;$B1939,Aux!$B:$M,5,0),"")</f>
        <v/>
      </c>
      <c r="D1935" s="60" t="str">
        <f>IFERROR(VLOOKUP(C$13&amp;$B1935,Aux!$B:$M,3,0),"")</f>
        <v/>
      </c>
      <c r="E1935" s="60"/>
      <c r="F1935" s="60"/>
      <c r="G1935" s="61" t="str">
        <f>IFERROR(VLOOKUP(C$13&amp;$B1935,Aux!$B:$M,9,0),"")</f>
        <v/>
      </c>
      <c r="K1935" s="59" t="str">
        <f>IFERROR(VLOOKUP(K$13&amp;$B1939,Aux!$B:$M,5,0),"")</f>
        <v/>
      </c>
      <c r="L1935" s="60" t="str">
        <f>IFERROR(VLOOKUP(K$13&amp;$B1935,Aux!$B:$M,3,0),"")</f>
        <v/>
      </c>
      <c r="M1935" s="60"/>
      <c r="N1935" s="60"/>
      <c r="O1935" s="61" t="str">
        <f>IFERROR(VLOOKUP(K$13&amp;$B1935,Aux!$B:$M,9,0),"")</f>
        <v/>
      </c>
      <c r="S1935" s="59" t="str">
        <f>IFERROR(VLOOKUP(S$13&amp;$B1939,Aux!$B:$M,5,0),"")</f>
        <v/>
      </c>
      <c r="T1935" s="60" t="str">
        <f>IFERROR(VLOOKUP(S$13&amp;$B1935,Aux!$B:$M,3,0),"")</f>
        <v/>
      </c>
      <c r="U1935" s="60"/>
      <c r="V1935" s="60"/>
      <c r="W1935" s="61" t="str">
        <f>IFERROR(VLOOKUP(S$13&amp;$B1935,Aux!$B:$M,9,0),"")</f>
        <v/>
      </c>
      <c r="AA1935" s="59" t="str">
        <f>IFERROR(VLOOKUP(AA$13&amp;$B1939,Aux!$B:$M,5,0),"")</f>
        <v/>
      </c>
      <c r="AB1935" s="60" t="str">
        <f>IFERROR(VLOOKUP(AA$13&amp;$B1935,Aux!$B:$M,3,0),"")</f>
        <v/>
      </c>
      <c r="AC1935" s="60"/>
      <c r="AD1935" s="60"/>
      <c r="AE1935" s="61" t="str">
        <f>IFERROR(VLOOKUP(AA$13&amp;$B1935,Aux!$B:$M,9,0),"")</f>
        <v/>
      </c>
    </row>
    <row r="1936" spans="2:31" x14ac:dyDescent="0.25">
      <c r="B1936" s="53">
        <f t="shared" si="29"/>
        <v>385</v>
      </c>
      <c r="C1936" s="59"/>
      <c r="D1936" s="60"/>
      <c r="E1936" s="60"/>
      <c r="F1936" s="60"/>
      <c r="G1936" s="61"/>
      <c r="K1936" s="59"/>
      <c r="L1936" s="60"/>
      <c r="M1936" s="60"/>
      <c r="N1936" s="60"/>
      <c r="O1936" s="61"/>
      <c r="S1936" s="59"/>
      <c r="T1936" s="60"/>
      <c r="U1936" s="60"/>
      <c r="V1936" s="60"/>
      <c r="W1936" s="61"/>
      <c r="AA1936" s="59"/>
      <c r="AB1936" s="60"/>
      <c r="AC1936" s="60"/>
      <c r="AD1936" s="60"/>
      <c r="AE1936" s="61"/>
    </row>
    <row r="1937" spans="2:31" x14ac:dyDescent="0.25">
      <c r="B1937" s="53">
        <f t="shared" si="29"/>
        <v>385</v>
      </c>
      <c r="C1937" s="59"/>
      <c r="D1937" s="15" t="str">
        <f>IF(D1935="","","Исполнитель"&amp;": ")</f>
        <v/>
      </c>
      <c r="E1937" s="62" t="str">
        <f>IFERROR(VLOOKUP(C$13&amp;$B1937,Aux!$B:$M,4,0),"")</f>
        <v/>
      </c>
      <c r="F1937" s="62"/>
      <c r="G1937" s="63" t="str">
        <f>IFERROR(IF(VLOOKUP(C$13&amp;$B1935,Aux!$B:$M,8,0)="Да","✔","🕓"),"")</f>
        <v/>
      </c>
      <c r="K1937" s="59"/>
      <c r="L1937" s="15" t="str">
        <f>IF(L1935="","","Исполнитель"&amp;": ")</f>
        <v/>
      </c>
      <c r="M1937" s="62" t="str">
        <f>IFERROR(VLOOKUP(K$13&amp;$B1937,Aux!$B:$M,4,0),"")</f>
        <v/>
      </c>
      <c r="N1937" s="62"/>
      <c r="O1937" s="63" t="str">
        <f>IFERROR(IF(VLOOKUP(K$13&amp;$B1935,Aux!$B:$M,8,0)="Да","✔","🕓"),"")</f>
        <v/>
      </c>
      <c r="S1937" s="59"/>
      <c r="T1937" s="15" t="str">
        <f>IF(T1935="","","Исполнитель"&amp;": ")</f>
        <v/>
      </c>
      <c r="U1937" s="62" t="str">
        <f>IFERROR(VLOOKUP(S$13&amp;$B1937,Aux!$B:$M,4,0),"")</f>
        <v/>
      </c>
      <c r="V1937" s="62"/>
      <c r="W1937" s="63" t="str">
        <f>IFERROR(IF(VLOOKUP(S$13&amp;$B1935,Aux!$B:$M,8,0)="Да","✔","🕓"),"")</f>
        <v/>
      </c>
      <c r="AA1937" s="59"/>
      <c r="AB1937" s="15" t="str">
        <f>IF(AB1935="","","Исполнитель"&amp;": ")</f>
        <v/>
      </c>
      <c r="AC1937" s="62" t="str">
        <f>IFERROR(VLOOKUP(AA$13&amp;$B1937,Aux!$B:$M,4,0),"")</f>
        <v/>
      </c>
      <c r="AD1937" s="62"/>
      <c r="AE1937" s="63" t="str">
        <f>IFERROR(IF(VLOOKUP(AA$13&amp;$B1935,Aux!$B:$M,8,0)="Да","✔","🕓"),"")</f>
        <v/>
      </c>
    </row>
    <row r="1938" spans="2:31" x14ac:dyDescent="0.25">
      <c r="B1938" s="53">
        <f t="shared" si="29"/>
        <v>385</v>
      </c>
      <c r="C1938" s="59"/>
      <c r="D1938" s="16" t="str">
        <f>IF(D1935="","","Срок сдачи"&amp;": ")</f>
        <v/>
      </c>
      <c r="E1938" s="64" t="str">
        <f>IFERROR(VLOOKUP(C$13&amp;$B1938,Aux!$B:$M,6,0),"")</f>
        <v/>
      </c>
      <c r="F1938" s="64"/>
      <c r="G1938" s="63"/>
      <c r="K1938" s="59"/>
      <c r="L1938" s="16" t="str">
        <f>IF(L1935="","","Срок сдачи"&amp;": ")</f>
        <v/>
      </c>
      <c r="M1938" s="64" t="str">
        <f>IFERROR(VLOOKUP(K$13&amp;$B1938,Aux!$B:$M,6,0),"")</f>
        <v/>
      </c>
      <c r="N1938" s="64"/>
      <c r="O1938" s="63"/>
      <c r="S1938" s="59"/>
      <c r="T1938" s="16" t="str">
        <f>IF(T1935="","","Срок сдачи"&amp;": ")</f>
        <v/>
      </c>
      <c r="U1938" s="64" t="str">
        <f>IFERROR(VLOOKUP(S$13&amp;$B1938,Aux!$B:$M,6,0),"")</f>
        <v/>
      </c>
      <c r="V1938" s="64"/>
      <c r="W1938" s="63"/>
      <c r="AA1938" s="59"/>
      <c r="AB1938" s="16" t="str">
        <f>IF(AB1935="","","Срок сдачи"&amp;": ")</f>
        <v/>
      </c>
      <c r="AC1938" s="64" t="str">
        <f>IFERROR(VLOOKUP(AA$13&amp;$B1938,Aux!$B:$M,6,0),"")</f>
        <v/>
      </c>
      <c r="AD1938" s="64"/>
      <c r="AE1938" s="63"/>
    </row>
    <row r="1939" spans="2:31" x14ac:dyDescent="0.25">
      <c r="B1939" s="53">
        <f t="shared" si="29"/>
        <v>385</v>
      </c>
      <c r="C1939" s="7"/>
      <c r="D1939" s="17"/>
      <c r="E1939" s="7"/>
      <c r="F1939" s="18"/>
      <c r="G1939" s="18"/>
      <c r="K1939" s="13"/>
      <c r="L1939" s="17"/>
      <c r="M1939" s="13"/>
      <c r="N1939" s="14"/>
      <c r="O1939" s="14"/>
      <c r="S1939" s="13"/>
      <c r="T1939" s="17"/>
      <c r="U1939" s="13"/>
      <c r="V1939" s="14"/>
      <c r="W1939" s="14"/>
      <c r="AA1939" s="13"/>
      <c r="AB1939" s="17"/>
      <c r="AC1939" s="13"/>
      <c r="AD1939" s="14"/>
      <c r="AE1939" s="30"/>
    </row>
    <row r="1940" spans="2:31" x14ac:dyDescent="0.25">
      <c r="B1940" s="53">
        <f t="shared" si="29"/>
        <v>386</v>
      </c>
      <c r="C1940" s="59" t="str">
        <f>IFERROR(VLOOKUP(C$13&amp;$B1944,Aux!$B:$M,5,0),"")</f>
        <v/>
      </c>
      <c r="D1940" s="60" t="str">
        <f>IFERROR(VLOOKUP(C$13&amp;$B1940,Aux!$B:$M,3,0),"")</f>
        <v/>
      </c>
      <c r="E1940" s="60"/>
      <c r="F1940" s="60"/>
      <c r="G1940" s="61" t="str">
        <f>IFERROR(VLOOKUP(C$13&amp;$B1940,Aux!$B:$M,9,0),"")</f>
        <v/>
      </c>
      <c r="K1940" s="59" t="str">
        <f>IFERROR(VLOOKUP(K$13&amp;$B1944,Aux!$B:$M,5,0),"")</f>
        <v/>
      </c>
      <c r="L1940" s="60" t="str">
        <f>IFERROR(VLOOKUP(K$13&amp;$B1940,Aux!$B:$M,3,0),"")</f>
        <v/>
      </c>
      <c r="M1940" s="60"/>
      <c r="N1940" s="60"/>
      <c r="O1940" s="61" t="str">
        <f>IFERROR(VLOOKUP(K$13&amp;$B1940,Aux!$B:$M,9,0),"")</f>
        <v/>
      </c>
      <c r="S1940" s="59" t="str">
        <f>IFERROR(VLOOKUP(S$13&amp;$B1944,Aux!$B:$M,5,0),"")</f>
        <v/>
      </c>
      <c r="T1940" s="60" t="str">
        <f>IFERROR(VLOOKUP(S$13&amp;$B1940,Aux!$B:$M,3,0),"")</f>
        <v/>
      </c>
      <c r="U1940" s="60"/>
      <c r="V1940" s="60"/>
      <c r="W1940" s="61" t="str">
        <f>IFERROR(VLOOKUP(S$13&amp;$B1940,Aux!$B:$M,9,0),"")</f>
        <v/>
      </c>
      <c r="AA1940" s="59" t="str">
        <f>IFERROR(VLOOKUP(AA$13&amp;$B1944,Aux!$B:$M,5,0),"")</f>
        <v/>
      </c>
      <c r="AB1940" s="60" t="str">
        <f>IFERROR(VLOOKUP(AA$13&amp;$B1940,Aux!$B:$M,3,0),"")</f>
        <v/>
      </c>
      <c r="AC1940" s="60"/>
      <c r="AD1940" s="60"/>
      <c r="AE1940" s="61" t="str">
        <f>IFERROR(VLOOKUP(AA$13&amp;$B1940,Aux!$B:$M,9,0),"")</f>
        <v/>
      </c>
    </row>
    <row r="1941" spans="2:31" x14ac:dyDescent="0.25">
      <c r="B1941" s="53">
        <f t="shared" ref="B1941:B2004" si="30">B1936+1</f>
        <v>386</v>
      </c>
      <c r="C1941" s="59"/>
      <c r="D1941" s="60"/>
      <c r="E1941" s="60"/>
      <c r="F1941" s="60"/>
      <c r="G1941" s="61"/>
      <c r="K1941" s="59"/>
      <c r="L1941" s="60"/>
      <c r="M1941" s="60"/>
      <c r="N1941" s="60"/>
      <c r="O1941" s="61"/>
      <c r="S1941" s="59"/>
      <c r="T1941" s="60"/>
      <c r="U1941" s="60"/>
      <c r="V1941" s="60"/>
      <c r="W1941" s="61"/>
      <c r="AA1941" s="59"/>
      <c r="AB1941" s="60"/>
      <c r="AC1941" s="60"/>
      <c r="AD1941" s="60"/>
      <c r="AE1941" s="61"/>
    </row>
    <row r="1942" spans="2:31" x14ac:dyDescent="0.25">
      <c r="B1942" s="53">
        <f t="shared" si="30"/>
        <v>386</v>
      </c>
      <c r="C1942" s="59"/>
      <c r="D1942" s="15" t="str">
        <f>IF(D1940="","","Исполнитель"&amp;": ")</f>
        <v/>
      </c>
      <c r="E1942" s="62" t="str">
        <f>IFERROR(VLOOKUP(C$13&amp;$B1942,Aux!$B:$M,4,0),"")</f>
        <v/>
      </c>
      <c r="F1942" s="62"/>
      <c r="G1942" s="63" t="str">
        <f>IFERROR(IF(VLOOKUP(C$13&amp;$B1940,Aux!$B:$M,8,0)="Да","✔","🕓"),"")</f>
        <v/>
      </c>
      <c r="K1942" s="59"/>
      <c r="L1942" s="15" t="str">
        <f>IF(L1940="","","Исполнитель"&amp;": ")</f>
        <v/>
      </c>
      <c r="M1942" s="62" t="str">
        <f>IFERROR(VLOOKUP(K$13&amp;$B1942,Aux!$B:$M,4,0),"")</f>
        <v/>
      </c>
      <c r="N1942" s="62"/>
      <c r="O1942" s="63" t="str">
        <f>IFERROR(IF(VLOOKUP(K$13&amp;$B1940,Aux!$B:$M,8,0)="Да","✔","🕓"),"")</f>
        <v/>
      </c>
      <c r="S1942" s="59"/>
      <c r="T1942" s="15" t="str">
        <f>IF(T1940="","","Исполнитель"&amp;": ")</f>
        <v/>
      </c>
      <c r="U1942" s="62" t="str">
        <f>IFERROR(VLOOKUP(S$13&amp;$B1942,Aux!$B:$M,4,0),"")</f>
        <v/>
      </c>
      <c r="V1942" s="62"/>
      <c r="W1942" s="63" t="str">
        <f>IFERROR(IF(VLOOKUP(S$13&amp;$B1940,Aux!$B:$M,8,0)="Да","✔","🕓"),"")</f>
        <v/>
      </c>
      <c r="AA1942" s="59"/>
      <c r="AB1942" s="15" t="str">
        <f>IF(AB1940="","","Исполнитель"&amp;": ")</f>
        <v/>
      </c>
      <c r="AC1942" s="62" t="str">
        <f>IFERROR(VLOOKUP(AA$13&amp;$B1942,Aux!$B:$M,4,0),"")</f>
        <v/>
      </c>
      <c r="AD1942" s="62"/>
      <c r="AE1942" s="63" t="str">
        <f>IFERROR(IF(VLOOKUP(AA$13&amp;$B1940,Aux!$B:$M,8,0)="Да","✔","🕓"),"")</f>
        <v/>
      </c>
    </row>
    <row r="1943" spans="2:31" x14ac:dyDescent="0.25">
      <c r="B1943" s="53">
        <f t="shared" si="30"/>
        <v>386</v>
      </c>
      <c r="C1943" s="59"/>
      <c r="D1943" s="16" t="str">
        <f>IF(D1940="","","Срок сдачи"&amp;": ")</f>
        <v/>
      </c>
      <c r="E1943" s="64" t="str">
        <f>IFERROR(VLOOKUP(C$13&amp;$B1943,Aux!$B:$M,6,0),"")</f>
        <v/>
      </c>
      <c r="F1943" s="64"/>
      <c r="G1943" s="63"/>
      <c r="K1943" s="59"/>
      <c r="L1943" s="16" t="str">
        <f>IF(L1940="","","Срок сдачи"&amp;": ")</f>
        <v/>
      </c>
      <c r="M1943" s="64" t="str">
        <f>IFERROR(VLOOKUP(K$13&amp;$B1943,Aux!$B:$M,6,0),"")</f>
        <v/>
      </c>
      <c r="N1943" s="64"/>
      <c r="O1943" s="63"/>
      <c r="S1943" s="59"/>
      <c r="T1943" s="16" t="str">
        <f>IF(T1940="","","Срок сдачи"&amp;": ")</f>
        <v/>
      </c>
      <c r="U1943" s="64" t="str">
        <f>IFERROR(VLOOKUP(S$13&amp;$B1943,Aux!$B:$M,6,0),"")</f>
        <v/>
      </c>
      <c r="V1943" s="64"/>
      <c r="W1943" s="63"/>
      <c r="AA1943" s="59"/>
      <c r="AB1943" s="16" t="str">
        <f>IF(AB1940="","","Срок сдачи"&amp;": ")</f>
        <v/>
      </c>
      <c r="AC1943" s="64" t="str">
        <f>IFERROR(VLOOKUP(AA$13&amp;$B1943,Aux!$B:$M,6,0),"")</f>
        <v/>
      </c>
      <c r="AD1943" s="64"/>
      <c r="AE1943" s="63"/>
    </row>
    <row r="1944" spans="2:31" x14ac:dyDescent="0.25">
      <c r="B1944" s="53">
        <f t="shared" si="30"/>
        <v>386</v>
      </c>
      <c r="C1944" s="7"/>
      <c r="D1944" s="17"/>
      <c r="E1944" s="7"/>
      <c r="F1944" s="18"/>
      <c r="G1944" s="18"/>
      <c r="K1944" s="13"/>
      <c r="L1944" s="17"/>
      <c r="M1944" s="13"/>
      <c r="N1944" s="14"/>
      <c r="O1944" s="14"/>
      <c r="S1944" s="13"/>
      <c r="T1944" s="17"/>
      <c r="U1944" s="13"/>
      <c r="V1944" s="14"/>
      <c r="W1944" s="14"/>
      <c r="AA1944" s="13"/>
      <c r="AB1944" s="17"/>
      <c r="AC1944" s="13"/>
      <c r="AD1944" s="14"/>
      <c r="AE1944" s="30"/>
    </row>
    <row r="1945" spans="2:31" x14ac:dyDescent="0.25">
      <c r="B1945" s="53">
        <f t="shared" si="30"/>
        <v>387</v>
      </c>
      <c r="C1945" s="59" t="str">
        <f>IFERROR(VLOOKUP(C$13&amp;$B1949,Aux!$B:$M,5,0),"")</f>
        <v/>
      </c>
      <c r="D1945" s="60" t="str">
        <f>IFERROR(VLOOKUP(C$13&amp;$B1945,Aux!$B:$M,3,0),"")</f>
        <v/>
      </c>
      <c r="E1945" s="60"/>
      <c r="F1945" s="60"/>
      <c r="G1945" s="61" t="str">
        <f>IFERROR(VLOOKUP(C$13&amp;$B1945,Aux!$B:$M,9,0),"")</f>
        <v/>
      </c>
      <c r="K1945" s="59" t="str">
        <f>IFERROR(VLOOKUP(K$13&amp;$B1949,Aux!$B:$M,5,0),"")</f>
        <v/>
      </c>
      <c r="L1945" s="60" t="str">
        <f>IFERROR(VLOOKUP(K$13&amp;$B1945,Aux!$B:$M,3,0),"")</f>
        <v/>
      </c>
      <c r="M1945" s="60"/>
      <c r="N1945" s="60"/>
      <c r="O1945" s="61" t="str">
        <f>IFERROR(VLOOKUP(K$13&amp;$B1945,Aux!$B:$M,9,0),"")</f>
        <v/>
      </c>
      <c r="S1945" s="59" t="str">
        <f>IFERROR(VLOOKUP(S$13&amp;$B1949,Aux!$B:$M,5,0),"")</f>
        <v/>
      </c>
      <c r="T1945" s="60" t="str">
        <f>IFERROR(VLOOKUP(S$13&amp;$B1945,Aux!$B:$M,3,0),"")</f>
        <v/>
      </c>
      <c r="U1945" s="60"/>
      <c r="V1945" s="60"/>
      <c r="W1945" s="61" t="str">
        <f>IFERROR(VLOOKUP(S$13&amp;$B1945,Aux!$B:$M,9,0),"")</f>
        <v/>
      </c>
      <c r="AA1945" s="59" t="str">
        <f>IFERROR(VLOOKUP(AA$13&amp;$B1949,Aux!$B:$M,5,0),"")</f>
        <v/>
      </c>
      <c r="AB1945" s="60" t="str">
        <f>IFERROR(VLOOKUP(AA$13&amp;$B1945,Aux!$B:$M,3,0),"")</f>
        <v/>
      </c>
      <c r="AC1945" s="60"/>
      <c r="AD1945" s="60"/>
      <c r="AE1945" s="61" t="str">
        <f>IFERROR(VLOOKUP(AA$13&amp;$B1945,Aux!$B:$M,9,0),"")</f>
        <v/>
      </c>
    </row>
    <row r="1946" spans="2:31" x14ac:dyDescent="0.25">
      <c r="B1946" s="53">
        <f t="shared" si="30"/>
        <v>387</v>
      </c>
      <c r="C1946" s="59"/>
      <c r="D1946" s="60"/>
      <c r="E1946" s="60"/>
      <c r="F1946" s="60"/>
      <c r="G1946" s="61"/>
      <c r="K1946" s="59"/>
      <c r="L1946" s="60"/>
      <c r="M1946" s="60"/>
      <c r="N1946" s="60"/>
      <c r="O1946" s="61"/>
      <c r="S1946" s="59"/>
      <c r="T1946" s="60"/>
      <c r="U1946" s="60"/>
      <c r="V1946" s="60"/>
      <c r="W1946" s="61"/>
      <c r="AA1946" s="59"/>
      <c r="AB1946" s="60"/>
      <c r="AC1946" s="60"/>
      <c r="AD1946" s="60"/>
      <c r="AE1946" s="61"/>
    </row>
    <row r="1947" spans="2:31" x14ac:dyDescent="0.25">
      <c r="B1947" s="53">
        <f t="shared" si="30"/>
        <v>387</v>
      </c>
      <c r="C1947" s="59"/>
      <c r="D1947" s="15" t="str">
        <f>IF(D1945="","","Исполнитель"&amp;": ")</f>
        <v/>
      </c>
      <c r="E1947" s="62" t="str">
        <f>IFERROR(VLOOKUP(C$13&amp;$B1947,Aux!$B:$M,4,0),"")</f>
        <v/>
      </c>
      <c r="F1947" s="62"/>
      <c r="G1947" s="63" t="str">
        <f>IFERROR(IF(VLOOKUP(C$13&amp;$B1945,Aux!$B:$M,8,0)="Да","✔","🕓"),"")</f>
        <v/>
      </c>
      <c r="K1947" s="59"/>
      <c r="L1947" s="15" t="str">
        <f>IF(L1945="","","Исполнитель"&amp;": ")</f>
        <v/>
      </c>
      <c r="M1947" s="62" t="str">
        <f>IFERROR(VLOOKUP(K$13&amp;$B1947,Aux!$B:$M,4,0),"")</f>
        <v/>
      </c>
      <c r="N1947" s="62"/>
      <c r="O1947" s="63" t="str">
        <f>IFERROR(IF(VLOOKUP(K$13&amp;$B1945,Aux!$B:$M,8,0)="Да","✔","🕓"),"")</f>
        <v/>
      </c>
      <c r="S1947" s="59"/>
      <c r="T1947" s="15" t="str">
        <f>IF(T1945="","","Исполнитель"&amp;": ")</f>
        <v/>
      </c>
      <c r="U1947" s="62" t="str">
        <f>IFERROR(VLOOKUP(S$13&amp;$B1947,Aux!$B:$M,4,0),"")</f>
        <v/>
      </c>
      <c r="V1947" s="62"/>
      <c r="W1947" s="63" t="str">
        <f>IFERROR(IF(VLOOKUP(S$13&amp;$B1945,Aux!$B:$M,8,0)="Да","✔","🕓"),"")</f>
        <v/>
      </c>
      <c r="AA1947" s="59"/>
      <c r="AB1947" s="15" t="str">
        <f>IF(AB1945="","","Исполнитель"&amp;": ")</f>
        <v/>
      </c>
      <c r="AC1947" s="62" t="str">
        <f>IFERROR(VLOOKUP(AA$13&amp;$B1947,Aux!$B:$M,4,0),"")</f>
        <v/>
      </c>
      <c r="AD1947" s="62"/>
      <c r="AE1947" s="63" t="str">
        <f>IFERROR(IF(VLOOKUP(AA$13&amp;$B1945,Aux!$B:$M,8,0)="Да","✔","🕓"),"")</f>
        <v/>
      </c>
    </row>
    <row r="1948" spans="2:31" x14ac:dyDescent="0.25">
      <c r="B1948" s="53">
        <f t="shared" si="30"/>
        <v>387</v>
      </c>
      <c r="C1948" s="59"/>
      <c r="D1948" s="16" t="str">
        <f>IF(D1945="","","Срок сдачи"&amp;": ")</f>
        <v/>
      </c>
      <c r="E1948" s="64" t="str">
        <f>IFERROR(VLOOKUP(C$13&amp;$B1948,Aux!$B:$M,6,0),"")</f>
        <v/>
      </c>
      <c r="F1948" s="64"/>
      <c r="G1948" s="63"/>
      <c r="K1948" s="59"/>
      <c r="L1948" s="16" t="str">
        <f>IF(L1945="","","Срок сдачи"&amp;": ")</f>
        <v/>
      </c>
      <c r="M1948" s="64" t="str">
        <f>IFERROR(VLOOKUP(K$13&amp;$B1948,Aux!$B:$M,6,0),"")</f>
        <v/>
      </c>
      <c r="N1948" s="64"/>
      <c r="O1948" s="63"/>
      <c r="S1948" s="59"/>
      <c r="T1948" s="16" t="str">
        <f>IF(T1945="","","Срок сдачи"&amp;": ")</f>
        <v/>
      </c>
      <c r="U1948" s="64" t="str">
        <f>IFERROR(VLOOKUP(S$13&amp;$B1948,Aux!$B:$M,6,0),"")</f>
        <v/>
      </c>
      <c r="V1948" s="64"/>
      <c r="W1948" s="63"/>
      <c r="AA1948" s="59"/>
      <c r="AB1948" s="16" t="str">
        <f>IF(AB1945="","","Срок сдачи"&amp;": ")</f>
        <v/>
      </c>
      <c r="AC1948" s="64" t="str">
        <f>IFERROR(VLOOKUP(AA$13&amp;$B1948,Aux!$B:$M,6,0),"")</f>
        <v/>
      </c>
      <c r="AD1948" s="64"/>
      <c r="AE1948" s="63"/>
    </row>
    <row r="1949" spans="2:31" x14ac:dyDescent="0.25">
      <c r="B1949" s="53">
        <f t="shared" si="30"/>
        <v>387</v>
      </c>
      <c r="C1949" s="7"/>
      <c r="D1949" s="17"/>
      <c r="E1949" s="7"/>
      <c r="F1949" s="18"/>
      <c r="G1949" s="18"/>
      <c r="K1949" s="13"/>
      <c r="L1949" s="17"/>
      <c r="M1949" s="13"/>
      <c r="N1949" s="14"/>
      <c r="O1949" s="14"/>
      <c r="S1949" s="13"/>
      <c r="T1949" s="17"/>
      <c r="U1949" s="13"/>
      <c r="V1949" s="14"/>
      <c r="W1949" s="14"/>
      <c r="AA1949" s="13"/>
      <c r="AB1949" s="17"/>
      <c r="AC1949" s="13"/>
      <c r="AD1949" s="14"/>
      <c r="AE1949" s="30"/>
    </row>
    <row r="1950" spans="2:31" x14ac:dyDescent="0.25">
      <c r="B1950" s="53">
        <f t="shared" si="30"/>
        <v>388</v>
      </c>
      <c r="C1950" s="59" t="str">
        <f>IFERROR(VLOOKUP(C$13&amp;$B1954,Aux!$B:$M,5,0),"")</f>
        <v/>
      </c>
      <c r="D1950" s="60" t="str">
        <f>IFERROR(VLOOKUP(C$13&amp;$B1950,Aux!$B:$M,3,0),"")</f>
        <v/>
      </c>
      <c r="E1950" s="60"/>
      <c r="F1950" s="60"/>
      <c r="G1950" s="61" t="str">
        <f>IFERROR(VLOOKUP(C$13&amp;$B1950,Aux!$B:$M,9,0),"")</f>
        <v/>
      </c>
      <c r="K1950" s="59" t="str">
        <f>IFERROR(VLOOKUP(K$13&amp;$B1954,Aux!$B:$M,5,0),"")</f>
        <v/>
      </c>
      <c r="L1950" s="60" t="str">
        <f>IFERROR(VLOOKUP(K$13&amp;$B1950,Aux!$B:$M,3,0),"")</f>
        <v/>
      </c>
      <c r="M1950" s="60"/>
      <c r="N1950" s="60"/>
      <c r="O1950" s="61" t="str">
        <f>IFERROR(VLOOKUP(K$13&amp;$B1950,Aux!$B:$M,9,0),"")</f>
        <v/>
      </c>
      <c r="S1950" s="59" t="str">
        <f>IFERROR(VLOOKUP(S$13&amp;$B1954,Aux!$B:$M,5,0),"")</f>
        <v/>
      </c>
      <c r="T1950" s="60" t="str">
        <f>IFERROR(VLOOKUP(S$13&amp;$B1950,Aux!$B:$M,3,0),"")</f>
        <v/>
      </c>
      <c r="U1950" s="60"/>
      <c r="V1950" s="60"/>
      <c r="W1950" s="61" t="str">
        <f>IFERROR(VLOOKUP(S$13&amp;$B1950,Aux!$B:$M,9,0),"")</f>
        <v/>
      </c>
      <c r="AA1950" s="59" t="str">
        <f>IFERROR(VLOOKUP(AA$13&amp;$B1954,Aux!$B:$M,5,0),"")</f>
        <v/>
      </c>
      <c r="AB1950" s="60" t="str">
        <f>IFERROR(VLOOKUP(AA$13&amp;$B1950,Aux!$B:$M,3,0),"")</f>
        <v/>
      </c>
      <c r="AC1950" s="60"/>
      <c r="AD1950" s="60"/>
      <c r="AE1950" s="61" t="str">
        <f>IFERROR(VLOOKUP(AA$13&amp;$B1950,Aux!$B:$M,9,0),"")</f>
        <v/>
      </c>
    </row>
    <row r="1951" spans="2:31" x14ac:dyDescent="0.25">
      <c r="B1951" s="53">
        <f t="shared" si="30"/>
        <v>388</v>
      </c>
      <c r="C1951" s="59"/>
      <c r="D1951" s="60"/>
      <c r="E1951" s="60"/>
      <c r="F1951" s="60"/>
      <c r="G1951" s="61"/>
      <c r="K1951" s="59"/>
      <c r="L1951" s="60"/>
      <c r="M1951" s="60"/>
      <c r="N1951" s="60"/>
      <c r="O1951" s="61"/>
      <c r="S1951" s="59"/>
      <c r="T1951" s="60"/>
      <c r="U1951" s="60"/>
      <c r="V1951" s="60"/>
      <c r="W1951" s="61"/>
      <c r="AA1951" s="59"/>
      <c r="AB1951" s="60"/>
      <c r="AC1951" s="60"/>
      <c r="AD1951" s="60"/>
      <c r="AE1951" s="61"/>
    </row>
    <row r="1952" spans="2:31" x14ac:dyDescent="0.25">
      <c r="B1952" s="53">
        <f t="shared" si="30"/>
        <v>388</v>
      </c>
      <c r="C1952" s="59"/>
      <c r="D1952" s="15" t="str">
        <f>IF(D1950="","","Исполнитель"&amp;": ")</f>
        <v/>
      </c>
      <c r="E1952" s="62" t="str">
        <f>IFERROR(VLOOKUP(C$13&amp;$B1952,Aux!$B:$M,4,0),"")</f>
        <v/>
      </c>
      <c r="F1952" s="62"/>
      <c r="G1952" s="63" t="str">
        <f>IFERROR(IF(VLOOKUP(C$13&amp;$B1950,Aux!$B:$M,8,0)="Да","✔","🕓"),"")</f>
        <v/>
      </c>
      <c r="K1952" s="59"/>
      <c r="L1952" s="15" t="str">
        <f>IF(L1950="","","Исполнитель"&amp;": ")</f>
        <v/>
      </c>
      <c r="M1952" s="62" t="str">
        <f>IFERROR(VLOOKUP(K$13&amp;$B1952,Aux!$B:$M,4,0),"")</f>
        <v/>
      </c>
      <c r="N1952" s="62"/>
      <c r="O1952" s="63" t="str">
        <f>IFERROR(IF(VLOOKUP(K$13&amp;$B1950,Aux!$B:$M,8,0)="Да","✔","🕓"),"")</f>
        <v/>
      </c>
      <c r="S1952" s="59"/>
      <c r="T1952" s="15" t="str">
        <f>IF(T1950="","","Исполнитель"&amp;": ")</f>
        <v/>
      </c>
      <c r="U1952" s="62" t="str">
        <f>IFERROR(VLOOKUP(S$13&amp;$B1952,Aux!$B:$M,4,0),"")</f>
        <v/>
      </c>
      <c r="V1952" s="62"/>
      <c r="W1952" s="63" t="str">
        <f>IFERROR(IF(VLOOKUP(S$13&amp;$B1950,Aux!$B:$M,8,0)="Да","✔","🕓"),"")</f>
        <v/>
      </c>
      <c r="AA1952" s="59"/>
      <c r="AB1952" s="15" t="str">
        <f>IF(AB1950="","","Исполнитель"&amp;": ")</f>
        <v/>
      </c>
      <c r="AC1952" s="62" t="str">
        <f>IFERROR(VLOOKUP(AA$13&amp;$B1952,Aux!$B:$M,4,0),"")</f>
        <v/>
      </c>
      <c r="AD1952" s="62"/>
      <c r="AE1952" s="63" t="str">
        <f>IFERROR(IF(VLOOKUP(AA$13&amp;$B1950,Aux!$B:$M,8,0)="Да","✔","🕓"),"")</f>
        <v/>
      </c>
    </row>
    <row r="1953" spans="2:31" x14ac:dyDescent="0.25">
      <c r="B1953" s="53">
        <f t="shared" si="30"/>
        <v>388</v>
      </c>
      <c r="C1953" s="59"/>
      <c r="D1953" s="16" t="str">
        <f>IF(D1950="","","Срок сдачи"&amp;": ")</f>
        <v/>
      </c>
      <c r="E1953" s="64" t="str">
        <f>IFERROR(VLOOKUP(C$13&amp;$B1953,Aux!$B:$M,6,0),"")</f>
        <v/>
      </c>
      <c r="F1953" s="64"/>
      <c r="G1953" s="63"/>
      <c r="K1953" s="59"/>
      <c r="L1953" s="16" t="str">
        <f>IF(L1950="","","Срок сдачи"&amp;": ")</f>
        <v/>
      </c>
      <c r="M1953" s="64" t="str">
        <f>IFERROR(VLOOKUP(K$13&amp;$B1953,Aux!$B:$M,6,0),"")</f>
        <v/>
      </c>
      <c r="N1953" s="64"/>
      <c r="O1953" s="63"/>
      <c r="S1953" s="59"/>
      <c r="T1953" s="16" t="str">
        <f>IF(T1950="","","Срок сдачи"&amp;": ")</f>
        <v/>
      </c>
      <c r="U1953" s="64" t="str">
        <f>IFERROR(VLOOKUP(S$13&amp;$B1953,Aux!$B:$M,6,0),"")</f>
        <v/>
      </c>
      <c r="V1953" s="64"/>
      <c r="W1953" s="63"/>
      <c r="AA1953" s="59"/>
      <c r="AB1953" s="16" t="str">
        <f>IF(AB1950="","","Срок сдачи"&amp;": ")</f>
        <v/>
      </c>
      <c r="AC1953" s="64" t="str">
        <f>IFERROR(VLOOKUP(AA$13&amp;$B1953,Aux!$B:$M,6,0),"")</f>
        <v/>
      </c>
      <c r="AD1953" s="64"/>
      <c r="AE1953" s="63"/>
    </row>
    <row r="1954" spans="2:31" x14ac:dyDescent="0.25">
      <c r="B1954" s="53">
        <f t="shared" si="30"/>
        <v>388</v>
      </c>
      <c r="C1954" s="7"/>
      <c r="D1954" s="17"/>
      <c r="E1954" s="7"/>
      <c r="F1954" s="18"/>
      <c r="G1954" s="18"/>
      <c r="K1954" s="13"/>
      <c r="L1954" s="17"/>
      <c r="M1954" s="13"/>
      <c r="N1954" s="14"/>
      <c r="O1954" s="14"/>
      <c r="S1954" s="13"/>
      <c r="T1954" s="17"/>
      <c r="U1954" s="13"/>
      <c r="V1954" s="14"/>
      <c r="W1954" s="14"/>
      <c r="AA1954" s="13"/>
      <c r="AB1954" s="17"/>
      <c r="AC1954" s="13"/>
      <c r="AD1954" s="14"/>
      <c r="AE1954" s="30"/>
    </row>
    <row r="1955" spans="2:31" x14ac:dyDescent="0.25">
      <c r="B1955" s="53">
        <f t="shared" si="30"/>
        <v>389</v>
      </c>
      <c r="C1955" s="59" t="str">
        <f>IFERROR(VLOOKUP(C$13&amp;$B1959,Aux!$B:$M,5,0),"")</f>
        <v/>
      </c>
      <c r="D1955" s="60" t="str">
        <f>IFERROR(VLOOKUP(C$13&amp;$B1955,Aux!$B:$M,3,0),"")</f>
        <v/>
      </c>
      <c r="E1955" s="60"/>
      <c r="F1955" s="60"/>
      <c r="G1955" s="61" t="str">
        <f>IFERROR(VLOOKUP(C$13&amp;$B1955,Aux!$B:$M,9,0),"")</f>
        <v/>
      </c>
      <c r="K1955" s="59" t="str">
        <f>IFERROR(VLOOKUP(K$13&amp;$B1959,Aux!$B:$M,5,0),"")</f>
        <v/>
      </c>
      <c r="L1955" s="60" t="str">
        <f>IFERROR(VLOOKUP(K$13&amp;$B1955,Aux!$B:$M,3,0),"")</f>
        <v/>
      </c>
      <c r="M1955" s="60"/>
      <c r="N1955" s="60"/>
      <c r="O1955" s="61" t="str">
        <f>IFERROR(VLOOKUP(K$13&amp;$B1955,Aux!$B:$M,9,0),"")</f>
        <v/>
      </c>
      <c r="S1955" s="59" t="str">
        <f>IFERROR(VLOOKUP(S$13&amp;$B1959,Aux!$B:$M,5,0),"")</f>
        <v/>
      </c>
      <c r="T1955" s="60" t="str">
        <f>IFERROR(VLOOKUP(S$13&amp;$B1955,Aux!$B:$M,3,0),"")</f>
        <v/>
      </c>
      <c r="U1955" s="60"/>
      <c r="V1955" s="60"/>
      <c r="W1955" s="61" t="str">
        <f>IFERROR(VLOOKUP(S$13&amp;$B1955,Aux!$B:$M,9,0),"")</f>
        <v/>
      </c>
      <c r="AA1955" s="59" t="str">
        <f>IFERROR(VLOOKUP(AA$13&amp;$B1959,Aux!$B:$M,5,0),"")</f>
        <v/>
      </c>
      <c r="AB1955" s="60" t="str">
        <f>IFERROR(VLOOKUP(AA$13&amp;$B1955,Aux!$B:$M,3,0),"")</f>
        <v/>
      </c>
      <c r="AC1955" s="60"/>
      <c r="AD1955" s="60"/>
      <c r="AE1955" s="61" t="str">
        <f>IFERROR(VLOOKUP(AA$13&amp;$B1955,Aux!$B:$M,9,0),"")</f>
        <v/>
      </c>
    </row>
    <row r="1956" spans="2:31" x14ac:dyDescent="0.25">
      <c r="B1956" s="53">
        <f t="shared" si="30"/>
        <v>389</v>
      </c>
      <c r="C1956" s="59"/>
      <c r="D1956" s="60"/>
      <c r="E1956" s="60"/>
      <c r="F1956" s="60"/>
      <c r="G1956" s="61"/>
      <c r="K1956" s="59"/>
      <c r="L1956" s="60"/>
      <c r="M1956" s="60"/>
      <c r="N1956" s="60"/>
      <c r="O1956" s="61"/>
      <c r="S1956" s="59"/>
      <c r="T1956" s="60"/>
      <c r="U1956" s="60"/>
      <c r="V1956" s="60"/>
      <c r="W1956" s="61"/>
      <c r="AA1956" s="59"/>
      <c r="AB1956" s="60"/>
      <c r="AC1956" s="60"/>
      <c r="AD1956" s="60"/>
      <c r="AE1956" s="61"/>
    </row>
    <row r="1957" spans="2:31" x14ac:dyDescent="0.25">
      <c r="B1957" s="53">
        <f t="shared" si="30"/>
        <v>389</v>
      </c>
      <c r="C1957" s="59"/>
      <c r="D1957" s="15" t="str">
        <f>IF(D1955="","","Исполнитель"&amp;": ")</f>
        <v/>
      </c>
      <c r="E1957" s="62" t="str">
        <f>IFERROR(VLOOKUP(C$13&amp;$B1957,Aux!$B:$M,4,0),"")</f>
        <v/>
      </c>
      <c r="F1957" s="62"/>
      <c r="G1957" s="63" t="str">
        <f>IFERROR(IF(VLOOKUP(C$13&amp;$B1955,Aux!$B:$M,8,0)="Да","✔","🕓"),"")</f>
        <v/>
      </c>
      <c r="K1957" s="59"/>
      <c r="L1957" s="15" t="str">
        <f>IF(L1955="","","Исполнитель"&amp;": ")</f>
        <v/>
      </c>
      <c r="M1957" s="62" t="str">
        <f>IFERROR(VLOOKUP(K$13&amp;$B1957,Aux!$B:$M,4,0),"")</f>
        <v/>
      </c>
      <c r="N1957" s="62"/>
      <c r="O1957" s="63" t="str">
        <f>IFERROR(IF(VLOOKUP(K$13&amp;$B1955,Aux!$B:$M,8,0)="Да","✔","🕓"),"")</f>
        <v/>
      </c>
      <c r="S1957" s="59"/>
      <c r="T1957" s="15" t="str">
        <f>IF(T1955="","","Исполнитель"&amp;": ")</f>
        <v/>
      </c>
      <c r="U1957" s="62" t="str">
        <f>IFERROR(VLOOKUP(S$13&amp;$B1957,Aux!$B:$M,4,0),"")</f>
        <v/>
      </c>
      <c r="V1957" s="62"/>
      <c r="W1957" s="63" t="str">
        <f>IFERROR(IF(VLOOKUP(S$13&amp;$B1955,Aux!$B:$M,8,0)="Да","✔","🕓"),"")</f>
        <v/>
      </c>
      <c r="AA1957" s="59"/>
      <c r="AB1957" s="15" t="str">
        <f>IF(AB1955="","","Исполнитель"&amp;": ")</f>
        <v/>
      </c>
      <c r="AC1957" s="62" t="str">
        <f>IFERROR(VLOOKUP(AA$13&amp;$B1957,Aux!$B:$M,4,0),"")</f>
        <v/>
      </c>
      <c r="AD1957" s="62"/>
      <c r="AE1957" s="63" t="str">
        <f>IFERROR(IF(VLOOKUP(AA$13&amp;$B1955,Aux!$B:$M,8,0)="Да","✔","🕓"),"")</f>
        <v/>
      </c>
    </row>
    <row r="1958" spans="2:31" x14ac:dyDescent="0.25">
      <c r="B1958" s="53">
        <f t="shared" si="30"/>
        <v>389</v>
      </c>
      <c r="C1958" s="59"/>
      <c r="D1958" s="16" t="str">
        <f>IF(D1955="","","Срок сдачи"&amp;": ")</f>
        <v/>
      </c>
      <c r="E1958" s="64" t="str">
        <f>IFERROR(VLOOKUP(C$13&amp;$B1958,Aux!$B:$M,6,0),"")</f>
        <v/>
      </c>
      <c r="F1958" s="64"/>
      <c r="G1958" s="63"/>
      <c r="K1958" s="59"/>
      <c r="L1958" s="16" t="str">
        <f>IF(L1955="","","Срок сдачи"&amp;": ")</f>
        <v/>
      </c>
      <c r="M1958" s="64" t="str">
        <f>IFERROR(VLOOKUP(K$13&amp;$B1958,Aux!$B:$M,6,0),"")</f>
        <v/>
      </c>
      <c r="N1958" s="64"/>
      <c r="O1958" s="63"/>
      <c r="S1958" s="59"/>
      <c r="T1958" s="16" t="str">
        <f>IF(T1955="","","Срок сдачи"&amp;": ")</f>
        <v/>
      </c>
      <c r="U1958" s="64" t="str">
        <f>IFERROR(VLOOKUP(S$13&amp;$B1958,Aux!$B:$M,6,0),"")</f>
        <v/>
      </c>
      <c r="V1958" s="64"/>
      <c r="W1958" s="63"/>
      <c r="AA1958" s="59"/>
      <c r="AB1958" s="16" t="str">
        <f>IF(AB1955="","","Срок сдачи"&amp;": ")</f>
        <v/>
      </c>
      <c r="AC1958" s="64" t="str">
        <f>IFERROR(VLOOKUP(AA$13&amp;$B1958,Aux!$B:$M,6,0),"")</f>
        <v/>
      </c>
      <c r="AD1958" s="64"/>
      <c r="AE1958" s="63"/>
    </row>
    <row r="1959" spans="2:31" x14ac:dyDescent="0.25">
      <c r="B1959" s="53">
        <f t="shared" si="30"/>
        <v>389</v>
      </c>
      <c r="C1959" s="7"/>
      <c r="D1959" s="17"/>
      <c r="E1959" s="7"/>
      <c r="F1959" s="18"/>
      <c r="G1959" s="18"/>
      <c r="K1959" s="13"/>
      <c r="L1959" s="17"/>
      <c r="M1959" s="13"/>
      <c r="N1959" s="14"/>
      <c r="O1959" s="14"/>
      <c r="S1959" s="13"/>
      <c r="T1959" s="17"/>
      <c r="U1959" s="13"/>
      <c r="V1959" s="14"/>
      <c r="W1959" s="14"/>
      <c r="AA1959" s="13"/>
      <c r="AB1959" s="17"/>
      <c r="AC1959" s="13"/>
      <c r="AD1959" s="14"/>
      <c r="AE1959" s="30"/>
    </row>
    <row r="1960" spans="2:31" x14ac:dyDescent="0.25">
      <c r="B1960" s="53">
        <f t="shared" si="30"/>
        <v>390</v>
      </c>
      <c r="C1960" s="59" t="str">
        <f>IFERROR(VLOOKUP(C$13&amp;$B1964,Aux!$B:$M,5,0),"")</f>
        <v/>
      </c>
      <c r="D1960" s="60" t="str">
        <f>IFERROR(VLOOKUP(C$13&amp;$B1960,Aux!$B:$M,3,0),"")</f>
        <v/>
      </c>
      <c r="E1960" s="60"/>
      <c r="F1960" s="60"/>
      <c r="G1960" s="61" t="str">
        <f>IFERROR(VLOOKUP(C$13&amp;$B1960,Aux!$B:$M,9,0),"")</f>
        <v/>
      </c>
      <c r="K1960" s="59" t="str">
        <f>IFERROR(VLOOKUP(K$13&amp;$B1964,Aux!$B:$M,5,0),"")</f>
        <v/>
      </c>
      <c r="L1960" s="60" t="str">
        <f>IFERROR(VLOOKUP(K$13&amp;$B1960,Aux!$B:$M,3,0),"")</f>
        <v/>
      </c>
      <c r="M1960" s="60"/>
      <c r="N1960" s="60"/>
      <c r="O1960" s="61" t="str">
        <f>IFERROR(VLOOKUP(K$13&amp;$B1960,Aux!$B:$M,9,0),"")</f>
        <v/>
      </c>
      <c r="S1960" s="59" t="str">
        <f>IFERROR(VLOOKUP(S$13&amp;$B1964,Aux!$B:$M,5,0),"")</f>
        <v/>
      </c>
      <c r="T1960" s="60" t="str">
        <f>IFERROR(VLOOKUP(S$13&amp;$B1960,Aux!$B:$M,3,0),"")</f>
        <v/>
      </c>
      <c r="U1960" s="60"/>
      <c r="V1960" s="60"/>
      <c r="W1960" s="61" t="str">
        <f>IFERROR(VLOOKUP(S$13&amp;$B1960,Aux!$B:$M,9,0),"")</f>
        <v/>
      </c>
      <c r="AA1960" s="59" t="str">
        <f>IFERROR(VLOOKUP(AA$13&amp;$B1964,Aux!$B:$M,5,0),"")</f>
        <v/>
      </c>
      <c r="AB1960" s="60" t="str">
        <f>IFERROR(VLOOKUP(AA$13&amp;$B1960,Aux!$B:$M,3,0),"")</f>
        <v/>
      </c>
      <c r="AC1960" s="60"/>
      <c r="AD1960" s="60"/>
      <c r="AE1960" s="61" t="str">
        <f>IFERROR(VLOOKUP(AA$13&amp;$B1960,Aux!$B:$M,9,0),"")</f>
        <v/>
      </c>
    </row>
    <row r="1961" spans="2:31" x14ac:dyDescent="0.25">
      <c r="B1961" s="53">
        <f t="shared" si="30"/>
        <v>390</v>
      </c>
      <c r="C1961" s="59"/>
      <c r="D1961" s="60"/>
      <c r="E1961" s="60"/>
      <c r="F1961" s="60"/>
      <c r="G1961" s="61"/>
      <c r="K1961" s="59"/>
      <c r="L1961" s="60"/>
      <c r="M1961" s="60"/>
      <c r="N1961" s="60"/>
      <c r="O1961" s="61"/>
      <c r="S1961" s="59"/>
      <c r="T1961" s="60"/>
      <c r="U1961" s="60"/>
      <c r="V1961" s="60"/>
      <c r="W1961" s="61"/>
      <c r="AA1961" s="59"/>
      <c r="AB1961" s="60"/>
      <c r="AC1961" s="60"/>
      <c r="AD1961" s="60"/>
      <c r="AE1961" s="61"/>
    </row>
    <row r="1962" spans="2:31" x14ac:dyDescent="0.25">
      <c r="B1962" s="53">
        <f t="shared" si="30"/>
        <v>390</v>
      </c>
      <c r="C1962" s="59"/>
      <c r="D1962" s="15" t="str">
        <f>IF(D1960="","","Исполнитель"&amp;": ")</f>
        <v/>
      </c>
      <c r="E1962" s="62" t="str">
        <f>IFERROR(VLOOKUP(C$13&amp;$B1962,Aux!$B:$M,4,0),"")</f>
        <v/>
      </c>
      <c r="F1962" s="62"/>
      <c r="G1962" s="63" t="str">
        <f>IFERROR(IF(VLOOKUP(C$13&amp;$B1960,Aux!$B:$M,8,0)="Да","✔","🕓"),"")</f>
        <v/>
      </c>
      <c r="K1962" s="59"/>
      <c r="L1962" s="15" t="str">
        <f>IF(L1960="","","Исполнитель"&amp;": ")</f>
        <v/>
      </c>
      <c r="M1962" s="62" t="str">
        <f>IFERROR(VLOOKUP(K$13&amp;$B1962,Aux!$B:$M,4,0),"")</f>
        <v/>
      </c>
      <c r="N1962" s="62"/>
      <c r="O1962" s="63" t="str">
        <f>IFERROR(IF(VLOOKUP(K$13&amp;$B1960,Aux!$B:$M,8,0)="Да","✔","🕓"),"")</f>
        <v/>
      </c>
      <c r="S1962" s="59"/>
      <c r="T1962" s="15" t="str">
        <f>IF(T1960="","","Исполнитель"&amp;": ")</f>
        <v/>
      </c>
      <c r="U1962" s="62" t="str">
        <f>IFERROR(VLOOKUP(S$13&amp;$B1962,Aux!$B:$M,4,0),"")</f>
        <v/>
      </c>
      <c r="V1962" s="62"/>
      <c r="W1962" s="63" t="str">
        <f>IFERROR(IF(VLOOKUP(S$13&amp;$B1960,Aux!$B:$M,8,0)="Да","✔","🕓"),"")</f>
        <v/>
      </c>
      <c r="AA1962" s="59"/>
      <c r="AB1962" s="15" t="str">
        <f>IF(AB1960="","","Исполнитель"&amp;": ")</f>
        <v/>
      </c>
      <c r="AC1962" s="62" t="str">
        <f>IFERROR(VLOOKUP(AA$13&amp;$B1962,Aux!$B:$M,4,0),"")</f>
        <v/>
      </c>
      <c r="AD1962" s="62"/>
      <c r="AE1962" s="63" t="str">
        <f>IFERROR(IF(VLOOKUP(AA$13&amp;$B1960,Aux!$B:$M,8,0)="Да","✔","🕓"),"")</f>
        <v/>
      </c>
    </row>
    <row r="1963" spans="2:31" x14ac:dyDescent="0.25">
      <c r="B1963" s="53">
        <f t="shared" si="30"/>
        <v>390</v>
      </c>
      <c r="C1963" s="59"/>
      <c r="D1963" s="16" t="str">
        <f>IF(D1960="","","Срок сдачи"&amp;": ")</f>
        <v/>
      </c>
      <c r="E1963" s="64" t="str">
        <f>IFERROR(VLOOKUP(C$13&amp;$B1963,Aux!$B:$M,6,0),"")</f>
        <v/>
      </c>
      <c r="F1963" s="64"/>
      <c r="G1963" s="63"/>
      <c r="K1963" s="59"/>
      <c r="L1963" s="16" t="str">
        <f>IF(L1960="","","Срок сдачи"&amp;": ")</f>
        <v/>
      </c>
      <c r="M1963" s="64" t="str">
        <f>IFERROR(VLOOKUP(K$13&amp;$B1963,Aux!$B:$M,6,0),"")</f>
        <v/>
      </c>
      <c r="N1963" s="64"/>
      <c r="O1963" s="63"/>
      <c r="S1963" s="59"/>
      <c r="T1963" s="16" t="str">
        <f>IF(T1960="","","Срок сдачи"&amp;": ")</f>
        <v/>
      </c>
      <c r="U1963" s="64" t="str">
        <f>IFERROR(VLOOKUP(S$13&amp;$B1963,Aux!$B:$M,6,0),"")</f>
        <v/>
      </c>
      <c r="V1963" s="64"/>
      <c r="W1963" s="63"/>
      <c r="AA1963" s="59"/>
      <c r="AB1963" s="16" t="str">
        <f>IF(AB1960="","","Срок сдачи"&amp;": ")</f>
        <v/>
      </c>
      <c r="AC1963" s="64" t="str">
        <f>IFERROR(VLOOKUP(AA$13&amp;$B1963,Aux!$B:$M,6,0),"")</f>
        <v/>
      </c>
      <c r="AD1963" s="64"/>
      <c r="AE1963" s="63"/>
    </row>
    <row r="1964" spans="2:31" x14ac:dyDescent="0.25">
      <c r="B1964" s="53">
        <f t="shared" si="30"/>
        <v>390</v>
      </c>
      <c r="C1964" s="7"/>
      <c r="D1964" s="17"/>
      <c r="E1964" s="7"/>
      <c r="F1964" s="18"/>
      <c r="G1964" s="18"/>
      <c r="K1964" s="13"/>
      <c r="L1964" s="17"/>
      <c r="M1964" s="13"/>
      <c r="N1964" s="14"/>
      <c r="O1964" s="14"/>
      <c r="S1964" s="13"/>
      <c r="T1964" s="17"/>
      <c r="U1964" s="13"/>
      <c r="V1964" s="14"/>
      <c r="W1964" s="14"/>
      <c r="AA1964" s="13"/>
      <c r="AB1964" s="17"/>
      <c r="AC1964" s="13"/>
      <c r="AD1964" s="14"/>
      <c r="AE1964" s="30"/>
    </row>
    <row r="1965" spans="2:31" x14ac:dyDescent="0.25">
      <c r="B1965" s="53">
        <f t="shared" si="30"/>
        <v>391</v>
      </c>
      <c r="C1965" s="59" t="str">
        <f>IFERROR(VLOOKUP(C$13&amp;$B1969,Aux!$B:$M,5,0),"")</f>
        <v/>
      </c>
      <c r="D1965" s="60" t="str">
        <f>IFERROR(VLOOKUP(C$13&amp;$B1965,Aux!$B:$M,3,0),"")</f>
        <v/>
      </c>
      <c r="E1965" s="60"/>
      <c r="F1965" s="60"/>
      <c r="G1965" s="61" t="str">
        <f>IFERROR(VLOOKUP(C$13&amp;$B1965,Aux!$B:$M,9,0),"")</f>
        <v/>
      </c>
      <c r="K1965" s="59" t="str">
        <f>IFERROR(VLOOKUP(K$13&amp;$B1969,Aux!$B:$M,5,0),"")</f>
        <v/>
      </c>
      <c r="L1965" s="60" t="str">
        <f>IFERROR(VLOOKUP(K$13&amp;$B1965,Aux!$B:$M,3,0),"")</f>
        <v/>
      </c>
      <c r="M1965" s="60"/>
      <c r="N1965" s="60"/>
      <c r="O1965" s="61" t="str">
        <f>IFERROR(VLOOKUP(K$13&amp;$B1965,Aux!$B:$M,9,0),"")</f>
        <v/>
      </c>
      <c r="S1965" s="59" t="str">
        <f>IFERROR(VLOOKUP(S$13&amp;$B1969,Aux!$B:$M,5,0),"")</f>
        <v/>
      </c>
      <c r="T1965" s="60" t="str">
        <f>IFERROR(VLOOKUP(S$13&amp;$B1965,Aux!$B:$M,3,0),"")</f>
        <v/>
      </c>
      <c r="U1965" s="60"/>
      <c r="V1965" s="60"/>
      <c r="W1965" s="61" t="str">
        <f>IFERROR(VLOOKUP(S$13&amp;$B1965,Aux!$B:$M,9,0),"")</f>
        <v/>
      </c>
      <c r="AA1965" s="59" t="str">
        <f>IFERROR(VLOOKUP(AA$13&amp;$B1969,Aux!$B:$M,5,0),"")</f>
        <v/>
      </c>
      <c r="AB1965" s="60" t="str">
        <f>IFERROR(VLOOKUP(AA$13&amp;$B1965,Aux!$B:$M,3,0),"")</f>
        <v/>
      </c>
      <c r="AC1965" s="60"/>
      <c r="AD1965" s="60"/>
      <c r="AE1965" s="61" t="str">
        <f>IFERROR(VLOOKUP(AA$13&amp;$B1965,Aux!$B:$M,9,0),"")</f>
        <v/>
      </c>
    </row>
    <row r="1966" spans="2:31" x14ac:dyDescent="0.25">
      <c r="B1966" s="53">
        <f t="shared" si="30"/>
        <v>391</v>
      </c>
      <c r="C1966" s="59"/>
      <c r="D1966" s="60"/>
      <c r="E1966" s="60"/>
      <c r="F1966" s="60"/>
      <c r="G1966" s="61"/>
      <c r="K1966" s="59"/>
      <c r="L1966" s="60"/>
      <c r="M1966" s="60"/>
      <c r="N1966" s="60"/>
      <c r="O1966" s="61"/>
      <c r="S1966" s="59"/>
      <c r="T1966" s="60"/>
      <c r="U1966" s="60"/>
      <c r="V1966" s="60"/>
      <c r="W1966" s="61"/>
      <c r="AA1966" s="59"/>
      <c r="AB1966" s="60"/>
      <c r="AC1966" s="60"/>
      <c r="AD1966" s="60"/>
      <c r="AE1966" s="61"/>
    </row>
    <row r="1967" spans="2:31" x14ac:dyDescent="0.25">
      <c r="B1967" s="53">
        <f t="shared" si="30"/>
        <v>391</v>
      </c>
      <c r="C1967" s="59"/>
      <c r="D1967" s="15" t="str">
        <f>IF(D1965="","","Исполнитель"&amp;": ")</f>
        <v/>
      </c>
      <c r="E1967" s="62" t="str">
        <f>IFERROR(VLOOKUP(C$13&amp;$B1967,Aux!$B:$M,4,0),"")</f>
        <v/>
      </c>
      <c r="F1967" s="62"/>
      <c r="G1967" s="63" t="str">
        <f>IFERROR(IF(VLOOKUP(C$13&amp;$B1965,Aux!$B:$M,8,0)="Да","✔","🕓"),"")</f>
        <v/>
      </c>
      <c r="K1967" s="59"/>
      <c r="L1967" s="15" t="str">
        <f>IF(L1965="","","Исполнитель"&amp;": ")</f>
        <v/>
      </c>
      <c r="M1967" s="62" t="str">
        <f>IFERROR(VLOOKUP(K$13&amp;$B1967,Aux!$B:$M,4,0),"")</f>
        <v/>
      </c>
      <c r="N1967" s="62"/>
      <c r="O1967" s="63" t="str">
        <f>IFERROR(IF(VLOOKUP(K$13&amp;$B1965,Aux!$B:$M,8,0)="Да","✔","🕓"),"")</f>
        <v/>
      </c>
      <c r="S1967" s="59"/>
      <c r="T1967" s="15" t="str">
        <f>IF(T1965="","","Исполнитель"&amp;": ")</f>
        <v/>
      </c>
      <c r="U1967" s="62" t="str">
        <f>IFERROR(VLOOKUP(S$13&amp;$B1967,Aux!$B:$M,4,0),"")</f>
        <v/>
      </c>
      <c r="V1967" s="62"/>
      <c r="W1967" s="63" t="str">
        <f>IFERROR(IF(VLOOKUP(S$13&amp;$B1965,Aux!$B:$M,8,0)="Да","✔","🕓"),"")</f>
        <v/>
      </c>
      <c r="AA1967" s="59"/>
      <c r="AB1967" s="15" t="str">
        <f>IF(AB1965="","","Исполнитель"&amp;": ")</f>
        <v/>
      </c>
      <c r="AC1967" s="62" t="str">
        <f>IFERROR(VLOOKUP(AA$13&amp;$B1967,Aux!$B:$M,4,0),"")</f>
        <v/>
      </c>
      <c r="AD1967" s="62"/>
      <c r="AE1967" s="63" t="str">
        <f>IFERROR(IF(VLOOKUP(AA$13&amp;$B1965,Aux!$B:$M,8,0)="Да","✔","🕓"),"")</f>
        <v/>
      </c>
    </row>
    <row r="1968" spans="2:31" x14ac:dyDescent="0.25">
      <c r="B1968" s="53">
        <f t="shared" si="30"/>
        <v>391</v>
      </c>
      <c r="C1968" s="59"/>
      <c r="D1968" s="16" t="str">
        <f>IF(D1965="","","Срок сдачи"&amp;": ")</f>
        <v/>
      </c>
      <c r="E1968" s="64" t="str">
        <f>IFERROR(VLOOKUP(C$13&amp;$B1968,Aux!$B:$M,6,0),"")</f>
        <v/>
      </c>
      <c r="F1968" s="64"/>
      <c r="G1968" s="63"/>
      <c r="K1968" s="59"/>
      <c r="L1968" s="16" t="str">
        <f>IF(L1965="","","Срок сдачи"&amp;": ")</f>
        <v/>
      </c>
      <c r="M1968" s="64" t="str">
        <f>IFERROR(VLOOKUP(K$13&amp;$B1968,Aux!$B:$M,6,0),"")</f>
        <v/>
      </c>
      <c r="N1968" s="64"/>
      <c r="O1968" s="63"/>
      <c r="S1968" s="59"/>
      <c r="T1968" s="16" t="str">
        <f>IF(T1965="","","Срок сдачи"&amp;": ")</f>
        <v/>
      </c>
      <c r="U1968" s="64" t="str">
        <f>IFERROR(VLOOKUP(S$13&amp;$B1968,Aux!$B:$M,6,0),"")</f>
        <v/>
      </c>
      <c r="V1968" s="64"/>
      <c r="W1968" s="63"/>
      <c r="AA1968" s="59"/>
      <c r="AB1968" s="16" t="str">
        <f>IF(AB1965="","","Срок сдачи"&amp;": ")</f>
        <v/>
      </c>
      <c r="AC1968" s="64" t="str">
        <f>IFERROR(VLOOKUP(AA$13&amp;$B1968,Aux!$B:$M,6,0),"")</f>
        <v/>
      </c>
      <c r="AD1968" s="64"/>
      <c r="AE1968" s="63"/>
    </row>
    <row r="1969" spans="2:31" x14ac:dyDescent="0.25">
      <c r="B1969" s="53">
        <f t="shared" si="30"/>
        <v>391</v>
      </c>
      <c r="C1969" s="7"/>
      <c r="D1969" s="17"/>
      <c r="E1969" s="7"/>
      <c r="F1969" s="18"/>
      <c r="G1969" s="18"/>
      <c r="K1969" s="13"/>
      <c r="L1969" s="17"/>
      <c r="M1969" s="13"/>
      <c r="N1969" s="14"/>
      <c r="O1969" s="14"/>
      <c r="S1969" s="13"/>
      <c r="T1969" s="17"/>
      <c r="U1969" s="13"/>
      <c r="V1969" s="14"/>
      <c r="W1969" s="14"/>
      <c r="AA1969" s="13"/>
      <c r="AB1969" s="17"/>
      <c r="AC1969" s="13"/>
      <c r="AD1969" s="14"/>
      <c r="AE1969" s="30"/>
    </row>
    <row r="1970" spans="2:31" x14ac:dyDescent="0.25">
      <c r="B1970" s="53">
        <f t="shared" si="30"/>
        <v>392</v>
      </c>
      <c r="C1970" s="59" t="str">
        <f>IFERROR(VLOOKUP(C$13&amp;$B1974,Aux!$B:$M,5,0),"")</f>
        <v/>
      </c>
      <c r="D1970" s="60" t="str">
        <f>IFERROR(VLOOKUP(C$13&amp;$B1970,Aux!$B:$M,3,0),"")</f>
        <v/>
      </c>
      <c r="E1970" s="60"/>
      <c r="F1970" s="60"/>
      <c r="G1970" s="61" t="str">
        <f>IFERROR(VLOOKUP(C$13&amp;$B1970,Aux!$B:$M,9,0),"")</f>
        <v/>
      </c>
      <c r="K1970" s="59" t="str">
        <f>IFERROR(VLOOKUP(K$13&amp;$B1974,Aux!$B:$M,5,0),"")</f>
        <v/>
      </c>
      <c r="L1970" s="60" t="str">
        <f>IFERROR(VLOOKUP(K$13&amp;$B1970,Aux!$B:$M,3,0),"")</f>
        <v/>
      </c>
      <c r="M1970" s="60"/>
      <c r="N1970" s="60"/>
      <c r="O1970" s="61" t="str">
        <f>IFERROR(VLOOKUP(K$13&amp;$B1970,Aux!$B:$M,9,0),"")</f>
        <v/>
      </c>
      <c r="S1970" s="59" t="str">
        <f>IFERROR(VLOOKUP(S$13&amp;$B1974,Aux!$B:$M,5,0),"")</f>
        <v/>
      </c>
      <c r="T1970" s="60" t="str">
        <f>IFERROR(VLOOKUP(S$13&amp;$B1970,Aux!$B:$M,3,0),"")</f>
        <v/>
      </c>
      <c r="U1970" s="60"/>
      <c r="V1970" s="60"/>
      <c r="W1970" s="61" t="str">
        <f>IFERROR(VLOOKUP(S$13&amp;$B1970,Aux!$B:$M,9,0),"")</f>
        <v/>
      </c>
      <c r="AA1970" s="59" t="str">
        <f>IFERROR(VLOOKUP(AA$13&amp;$B1974,Aux!$B:$M,5,0),"")</f>
        <v/>
      </c>
      <c r="AB1970" s="60" t="str">
        <f>IFERROR(VLOOKUP(AA$13&amp;$B1970,Aux!$B:$M,3,0),"")</f>
        <v/>
      </c>
      <c r="AC1970" s="60"/>
      <c r="AD1970" s="60"/>
      <c r="AE1970" s="61" t="str">
        <f>IFERROR(VLOOKUP(AA$13&amp;$B1970,Aux!$B:$M,9,0),"")</f>
        <v/>
      </c>
    </row>
    <row r="1971" spans="2:31" x14ac:dyDescent="0.25">
      <c r="B1971" s="53">
        <f t="shared" si="30"/>
        <v>392</v>
      </c>
      <c r="C1971" s="59"/>
      <c r="D1971" s="60"/>
      <c r="E1971" s="60"/>
      <c r="F1971" s="60"/>
      <c r="G1971" s="61"/>
      <c r="K1971" s="59"/>
      <c r="L1971" s="60"/>
      <c r="M1971" s="60"/>
      <c r="N1971" s="60"/>
      <c r="O1971" s="61"/>
      <c r="S1971" s="59"/>
      <c r="T1971" s="60"/>
      <c r="U1971" s="60"/>
      <c r="V1971" s="60"/>
      <c r="W1971" s="61"/>
      <c r="AA1971" s="59"/>
      <c r="AB1971" s="60"/>
      <c r="AC1971" s="60"/>
      <c r="AD1971" s="60"/>
      <c r="AE1971" s="61"/>
    </row>
    <row r="1972" spans="2:31" x14ac:dyDescent="0.25">
      <c r="B1972" s="53">
        <f t="shared" si="30"/>
        <v>392</v>
      </c>
      <c r="C1972" s="59"/>
      <c r="D1972" s="15" t="str">
        <f>IF(D1970="","","Исполнитель"&amp;": ")</f>
        <v/>
      </c>
      <c r="E1972" s="62" t="str">
        <f>IFERROR(VLOOKUP(C$13&amp;$B1972,Aux!$B:$M,4,0),"")</f>
        <v/>
      </c>
      <c r="F1972" s="62"/>
      <c r="G1972" s="63" t="str">
        <f>IFERROR(IF(VLOOKUP(C$13&amp;$B1970,Aux!$B:$M,8,0)="Да","✔","🕓"),"")</f>
        <v/>
      </c>
      <c r="K1972" s="59"/>
      <c r="L1972" s="15" t="str">
        <f>IF(L1970="","","Исполнитель"&amp;": ")</f>
        <v/>
      </c>
      <c r="M1972" s="62" t="str">
        <f>IFERROR(VLOOKUP(K$13&amp;$B1972,Aux!$B:$M,4,0),"")</f>
        <v/>
      </c>
      <c r="N1972" s="62"/>
      <c r="O1972" s="63" t="str">
        <f>IFERROR(IF(VLOOKUP(K$13&amp;$B1970,Aux!$B:$M,8,0)="Да","✔","🕓"),"")</f>
        <v/>
      </c>
      <c r="S1972" s="59"/>
      <c r="T1972" s="15" t="str">
        <f>IF(T1970="","","Исполнитель"&amp;": ")</f>
        <v/>
      </c>
      <c r="U1972" s="62" t="str">
        <f>IFERROR(VLOOKUP(S$13&amp;$B1972,Aux!$B:$M,4,0),"")</f>
        <v/>
      </c>
      <c r="V1972" s="62"/>
      <c r="W1972" s="63" t="str">
        <f>IFERROR(IF(VLOOKUP(S$13&amp;$B1970,Aux!$B:$M,8,0)="Да","✔","🕓"),"")</f>
        <v/>
      </c>
      <c r="AA1972" s="59"/>
      <c r="AB1972" s="15" t="str">
        <f>IF(AB1970="","","Исполнитель"&amp;": ")</f>
        <v/>
      </c>
      <c r="AC1972" s="62" t="str">
        <f>IFERROR(VLOOKUP(AA$13&amp;$B1972,Aux!$B:$M,4,0),"")</f>
        <v/>
      </c>
      <c r="AD1972" s="62"/>
      <c r="AE1972" s="63" t="str">
        <f>IFERROR(IF(VLOOKUP(AA$13&amp;$B1970,Aux!$B:$M,8,0)="Да","✔","🕓"),"")</f>
        <v/>
      </c>
    </row>
    <row r="1973" spans="2:31" x14ac:dyDescent="0.25">
      <c r="B1973" s="53">
        <f t="shared" si="30"/>
        <v>392</v>
      </c>
      <c r="C1973" s="59"/>
      <c r="D1973" s="16" t="str">
        <f>IF(D1970="","","Срок сдачи"&amp;": ")</f>
        <v/>
      </c>
      <c r="E1973" s="64" t="str">
        <f>IFERROR(VLOOKUP(C$13&amp;$B1973,Aux!$B:$M,6,0),"")</f>
        <v/>
      </c>
      <c r="F1973" s="64"/>
      <c r="G1973" s="63"/>
      <c r="K1973" s="59"/>
      <c r="L1973" s="16" t="str">
        <f>IF(L1970="","","Срок сдачи"&amp;": ")</f>
        <v/>
      </c>
      <c r="M1973" s="64" t="str">
        <f>IFERROR(VLOOKUP(K$13&amp;$B1973,Aux!$B:$M,6,0),"")</f>
        <v/>
      </c>
      <c r="N1973" s="64"/>
      <c r="O1973" s="63"/>
      <c r="S1973" s="59"/>
      <c r="T1973" s="16" t="str">
        <f>IF(T1970="","","Срок сдачи"&amp;": ")</f>
        <v/>
      </c>
      <c r="U1973" s="64" t="str">
        <f>IFERROR(VLOOKUP(S$13&amp;$B1973,Aux!$B:$M,6,0),"")</f>
        <v/>
      </c>
      <c r="V1973" s="64"/>
      <c r="W1973" s="63"/>
      <c r="AA1973" s="59"/>
      <c r="AB1973" s="16" t="str">
        <f>IF(AB1970="","","Срок сдачи"&amp;": ")</f>
        <v/>
      </c>
      <c r="AC1973" s="64" t="str">
        <f>IFERROR(VLOOKUP(AA$13&amp;$B1973,Aux!$B:$M,6,0),"")</f>
        <v/>
      </c>
      <c r="AD1973" s="64"/>
      <c r="AE1973" s="63"/>
    </row>
    <row r="1974" spans="2:31" x14ac:dyDescent="0.25">
      <c r="B1974" s="53">
        <f t="shared" si="30"/>
        <v>392</v>
      </c>
      <c r="C1974" s="7"/>
      <c r="D1974" s="17"/>
      <c r="E1974" s="7"/>
      <c r="F1974" s="18"/>
      <c r="G1974" s="18"/>
      <c r="K1974" s="13"/>
      <c r="L1974" s="17"/>
      <c r="M1974" s="13"/>
      <c r="N1974" s="14"/>
      <c r="O1974" s="14"/>
      <c r="S1974" s="13"/>
      <c r="T1974" s="17"/>
      <c r="U1974" s="13"/>
      <c r="V1974" s="14"/>
      <c r="W1974" s="14"/>
      <c r="AA1974" s="13"/>
      <c r="AB1974" s="17"/>
      <c r="AC1974" s="13"/>
      <c r="AD1974" s="14"/>
      <c r="AE1974" s="30"/>
    </row>
    <row r="1975" spans="2:31" x14ac:dyDescent="0.25">
      <c r="B1975" s="53">
        <f t="shared" si="30"/>
        <v>393</v>
      </c>
      <c r="C1975" s="59" t="str">
        <f>IFERROR(VLOOKUP(C$13&amp;$B1979,Aux!$B:$M,5,0),"")</f>
        <v/>
      </c>
      <c r="D1975" s="60" t="str">
        <f>IFERROR(VLOOKUP(C$13&amp;$B1975,Aux!$B:$M,3,0),"")</f>
        <v/>
      </c>
      <c r="E1975" s="60"/>
      <c r="F1975" s="60"/>
      <c r="G1975" s="61" t="str">
        <f>IFERROR(VLOOKUP(C$13&amp;$B1975,Aux!$B:$M,9,0),"")</f>
        <v/>
      </c>
      <c r="K1975" s="59" t="str">
        <f>IFERROR(VLOOKUP(K$13&amp;$B1979,Aux!$B:$M,5,0),"")</f>
        <v/>
      </c>
      <c r="L1975" s="60" t="str">
        <f>IFERROR(VLOOKUP(K$13&amp;$B1975,Aux!$B:$M,3,0),"")</f>
        <v/>
      </c>
      <c r="M1975" s="60"/>
      <c r="N1975" s="60"/>
      <c r="O1975" s="61" t="str">
        <f>IFERROR(VLOOKUP(K$13&amp;$B1975,Aux!$B:$M,9,0),"")</f>
        <v/>
      </c>
      <c r="S1975" s="59" t="str">
        <f>IFERROR(VLOOKUP(S$13&amp;$B1979,Aux!$B:$M,5,0),"")</f>
        <v/>
      </c>
      <c r="T1975" s="60" t="str">
        <f>IFERROR(VLOOKUP(S$13&amp;$B1975,Aux!$B:$M,3,0),"")</f>
        <v/>
      </c>
      <c r="U1975" s="60"/>
      <c r="V1975" s="60"/>
      <c r="W1975" s="61" t="str">
        <f>IFERROR(VLOOKUP(S$13&amp;$B1975,Aux!$B:$M,9,0),"")</f>
        <v/>
      </c>
      <c r="AA1975" s="59" t="str">
        <f>IFERROR(VLOOKUP(AA$13&amp;$B1979,Aux!$B:$M,5,0),"")</f>
        <v/>
      </c>
      <c r="AB1975" s="60" t="str">
        <f>IFERROR(VLOOKUP(AA$13&amp;$B1975,Aux!$B:$M,3,0),"")</f>
        <v/>
      </c>
      <c r="AC1975" s="60"/>
      <c r="AD1975" s="60"/>
      <c r="AE1975" s="61" t="str">
        <f>IFERROR(VLOOKUP(AA$13&amp;$B1975,Aux!$B:$M,9,0),"")</f>
        <v/>
      </c>
    </row>
    <row r="1976" spans="2:31" x14ac:dyDescent="0.25">
      <c r="B1976" s="53">
        <f t="shared" si="30"/>
        <v>393</v>
      </c>
      <c r="C1976" s="59"/>
      <c r="D1976" s="60"/>
      <c r="E1976" s="60"/>
      <c r="F1976" s="60"/>
      <c r="G1976" s="61"/>
      <c r="K1976" s="59"/>
      <c r="L1976" s="60"/>
      <c r="M1976" s="60"/>
      <c r="N1976" s="60"/>
      <c r="O1976" s="61"/>
      <c r="S1976" s="59"/>
      <c r="T1976" s="60"/>
      <c r="U1976" s="60"/>
      <c r="V1976" s="60"/>
      <c r="W1976" s="61"/>
      <c r="AA1976" s="59"/>
      <c r="AB1976" s="60"/>
      <c r="AC1976" s="60"/>
      <c r="AD1976" s="60"/>
      <c r="AE1976" s="61"/>
    </row>
    <row r="1977" spans="2:31" x14ac:dyDescent="0.25">
      <c r="B1977" s="53">
        <f t="shared" si="30"/>
        <v>393</v>
      </c>
      <c r="C1977" s="59"/>
      <c r="D1977" s="15" t="str">
        <f>IF(D1975="","","Исполнитель"&amp;": ")</f>
        <v/>
      </c>
      <c r="E1977" s="62" t="str">
        <f>IFERROR(VLOOKUP(C$13&amp;$B1977,Aux!$B:$M,4,0),"")</f>
        <v/>
      </c>
      <c r="F1977" s="62"/>
      <c r="G1977" s="63" t="str">
        <f>IFERROR(IF(VLOOKUP(C$13&amp;$B1975,Aux!$B:$M,8,0)="Да","✔","🕓"),"")</f>
        <v/>
      </c>
      <c r="K1977" s="59"/>
      <c r="L1977" s="15" t="str">
        <f>IF(L1975="","","Исполнитель"&amp;": ")</f>
        <v/>
      </c>
      <c r="M1977" s="62" t="str">
        <f>IFERROR(VLOOKUP(K$13&amp;$B1977,Aux!$B:$M,4,0),"")</f>
        <v/>
      </c>
      <c r="N1977" s="62"/>
      <c r="O1977" s="63" t="str">
        <f>IFERROR(IF(VLOOKUP(K$13&amp;$B1975,Aux!$B:$M,8,0)="Да","✔","🕓"),"")</f>
        <v/>
      </c>
      <c r="S1977" s="59"/>
      <c r="T1977" s="15" t="str">
        <f>IF(T1975="","","Исполнитель"&amp;": ")</f>
        <v/>
      </c>
      <c r="U1977" s="62" t="str">
        <f>IFERROR(VLOOKUP(S$13&amp;$B1977,Aux!$B:$M,4,0),"")</f>
        <v/>
      </c>
      <c r="V1977" s="62"/>
      <c r="W1977" s="63" t="str">
        <f>IFERROR(IF(VLOOKUP(S$13&amp;$B1975,Aux!$B:$M,8,0)="Да","✔","🕓"),"")</f>
        <v/>
      </c>
      <c r="AA1977" s="59"/>
      <c r="AB1977" s="15" t="str">
        <f>IF(AB1975="","","Исполнитель"&amp;": ")</f>
        <v/>
      </c>
      <c r="AC1977" s="62" t="str">
        <f>IFERROR(VLOOKUP(AA$13&amp;$B1977,Aux!$B:$M,4,0),"")</f>
        <v/>
      </c>
      <c r="AD1977" s="62"/>
      <c r="AE1977" s="63" t="str">
        <f>IFERROR(IF(VLOOKUP(AA$13&amp;$B1975,Aux!$B:$M,8,0)="Да","✔","🕓"),"")</f>
        <v/>
      </c>
    </row>
    <row r="1978" spans="2:31" x14ac:dyDescent="0.25">
      <c r="B1978" s="53">
        <f t="shared" si="30"/>
        <v>393</v>
      </c>
      <c r="C1978" s="59"/>
      <c r="D1978" s="16" t="str">
        <f>IF(D1975="","","Срок сдачи"&amp;": ")</f>
        <v/>
      </c>
      <c r="E1978" s="64" t="str">
        <f>IFERROR(VLOOKUP(C$13&amp;$B1978,Aux!$B:$M,6,0),"")</f>
        <v/>
      </c>
      <c r="F1978" s="64"/>
      <c r="G1978" s="63"/>
      <c r="K1978" s="59"/>
      <c r="L1978" s="16" t="str">
        <f>IF(L1975="","","Срок сдачи"&amp;": ")</f>
        <v/>
      </c>
      <c r="M1978" s="64" t="str">
        <f>IFERROR(VLOOKUP(K$13&amp;$B1978,Aux!$B:$M,6,0),"")</f>
        <v/>
      </c>
      <c r="N1978" s="64"/>
      <c r="O1978" s="63"/>
      <c r="S1978" s="59"/>
      <c r="T1978" s="16" t="str">
        <f>IF(T1975="","","Срок сдачи"&amp;": ")</f>
        <v/>
      </c>
      <c r="U1978" s="64" t="str">
        <f>IFERROR(VLOOKUP(S$13&amp;$B1978,Aux!$B:$M,6,0),"")</f>
        <v/>
      </c>
      <c r="V1978" s="64"/>
      <c r="W1978" s="63"/>
      <c r="AA1978" s="59"/>
      <c r="AB1978" s="16" t="str">
        <f>IF(AB1975="","","Срок сдачи"&amp;": ")</f>
        <v/>
      </c>
      <c r="AC1978" s="64" t="str">
        <f>IFERROR(VLOOKUP(AA$13&amp;$B1978,Aux!$B:$M,6,0),"")</f>
        <v/>
      </c>
      <c r="AD1978" s="64"/>
      <c r="AE1978" s="63"/>
    </row>
    <row r="1979" spans="2:31" x14ac:dyDescent="0.25">
      <c r="B1979" s="53">
        <f t="shared" si="30"/>
        <v>393</v>
      </c>
      <c r="C1979" s="7"/>
      <c r="D1979" s="17"/>
      <c r="E1979" s="7"/>
      <c r="F1979" s="18"/>
      <c r="G1979" s="18"/>
      <c r="K1979" s="13"/>
      <c r="L1979" s="17"/>
      <c r="M1979" s="13"/>
      <c r="N1979" s="14"/>
      <c r="O1979" s="14"/>
      <c r="S1979" s="13"/>
      <c r="T1979" s="17"/>
      <c r="U1979" s="13"/>
      <c r="V1979" s="14"/>
      <c r="W1979" s="14"/>
      <c r="AA1979" s="13"/>
      <c r="AB1979" s="17"/>
      <c r="AC1979" s="13"/>
      <c r="AD1979" s="14"/>
      <c r="AE1979" s="30"/>
    </row>
    <row r="1980" spans="2:31" x14ac:dyDescent="0.25">
      <c r="B1980" s="53">
        <f t="shared" si="30"/>
        <v>394</v>
      </c>
      <c r="C1980" s="59" t="str">
        <f>IFERROR(VLOOKUP(C$13&amp;$B1984,Aux!$B:$M,5,0),"")</f>
        <v/>
      </c>
      <c r="D1980" s="60" t="str">
        <f>IFERROR(VLOOKUP(C$13&amp;$B1980,Aux!$B:$M,3,0),"")</f>
        <v/>
      </c>
      <c r="E1980" s="60"/>
      <c r="F1980" s="60"/>
      <c r="G1980" s="61" t="str">
        <f>IFERROR(VLOOKUP(C$13&amp;$B1980,Aux!$B:$M,9,0),"")</f>
        <v/>
      </c>
      <c r="K1980" s="59" t="str">
        <f>IFERROR(VLOOKUP(K$13&amp;$B1984,Aux!$B:$M,5,0),"")</f>
        <v/>
      </c>
      <c r="L1980" s="60" t="str">
        <f>IFERROR(VLOOKUP(K$13&amp;$B1980,Aux!$B:$M,3,0),"")</f>
        <v/>
      </c>
      <c r="M1980" s="60"/>
      <c r="N1980" s="60"/>
      <c r="O1980" s="61" t="str">
        <f>IFERROR(VLOOKUP(K$13&amp;$B1980,Aux!$B:$M,9,0),"")</f>
        <v/>
      </c>
      <c r="S1980" s="59" t="str">
        <f>IFERROR(VLOOKUP(S$13&amp;$B1984,Aux!$B:$M,5,0),"")</f>
        <v/>
      </c>
      <c r="T1980" s="60" t="str">
        <f>IFERROR(VLOOKUP(S$13&amp;$B1980,Aux!$B:$M,3,0),"")</f>
        <v/>
      </c>
      <c r="U1980" s="60"/>
      <c r="V1980" s="60"/>
      <c r="W1980" s="61" t="str">
        <f>IFERROR(VLOOKUP(S$13&amp;$B1980,Aux!$B:$M,9,0),"")</f>
        <v/>
      </c>
      <c r="AA1980" s="59" t="str">
        <f>IFERROR(VLOOKUP(AA$13&amp;$B1984,Aux!$B:$M,5,0),"")</f>
        <v/>
      </c>
      <c r="AB1980" s="60" t="str">
        <f>IFERROR(VLOOKUP(AA$13&amp;$B1980,Aux!$B:$M,3,0),"")</f>
        <v/>
      </c>
      <c r="AC1980" s="60"/>
      <c r="AD1980" s="60"/>
      <c r="AE1980" s="61" t="str">
        <f>IFERROR(VLOOKUP(AA$13&amp;$B1980,Aux!$B:$M,9,0),"")</f>
        <v/>
      </c>
    </row>
    <row r="1981" spans="2:31" x14ac:dyDescent="0.25">
      <c r="B1981" s="53">
        <f t="shared" si="30"/>
        <v>394</v>
      </c>
      <c r="C1981" s="59"/>
      <c r="D1981" s="60"/>
      <c r="E1981" s="60"/>
      <c r="F1981" s="60"/>
      <c r="G1981" s="61"/>
      <c r="K1981" s="59"/>
      <c r="L1981" s="60"/>
      <c r="M1981" s="60"/>
      <c r="N1981" s="60"/>
      <c r="O1981" s="61"/>
      <c r="S1981" s="59"/>
      <c r="T1981" s="60"/>
      <c r="U1981" s="60"/>
      <c r="V1981" s="60"/>
      <c r="W1981" s="61"/>
      <c r="AA1981" s="59"/>
      <c r="AB1981" s="60"/>
      <c r="AC1981" s="60"/>
      <c r="AD1981" s="60"/>
      <c r="AE1981" s="61"/>
    </row>
    <row r="1982" spans="2:31" x14ac:dyDescent="0.25">
      <c r="B1982" s="53">
        <f t="shared" si="30"/>
        <v>394</v>
      </c>
      <c r="C1982" s="59"/>
      <c r="D1982" s="15" t="str">
        <f>IF(D1980="","","Исполнитель"&amp;": ")</f>
        <v/>
      </c>
      <c r="E1982" s="62" t="str">
        <f>IFERROR(VLOOKUP(C$13&amp;$B1982,Aux!$B:$M,4,0),"")</f>
        <v/>
      </c>
      <c r="F1982" s="62"/>
      <c r="G1982" s="63" t="str">
        <f>IFERROR(IF(VLOOKUP(C$13&amp;$B1980,Aux!$B:$M,8,0)="Да","✔","🕓"),"")</f>
        <v/>
      </c>
      <c r="K1982" s="59"/>
      <c r="L1982" s="15" t="str">
        <f>IF(L1980="","","Исполнитель"&amp;": ")</f>
        <v/>
      </c>
      <c r="M1982" s="62" t="str">
        <f>IFERROR(VLOOKUP(K$13&amp;$B1982,Aux!$B:$M,4,0),"")</f>
        <v/>
      </c>
      <c r="N1982" s="62"/>
      <c r="O1982" s="63" t="str">
        <f>IFERROR(IF(VLOOKUP(K$13&amp;$B1980,Aux!$B:$M,8,0)="Да","✔","🕓"),"")</f>
        <v/>
      </c>
      <c r="S1982" s="59"/>
      <c r="T1982" s="15" t="str">
        <f>IF(T1980="","","Исполнитель"&amp;": ")</f>
        <v/>
      </c>
      <c r="U1982" s="62" t="str">
        <f>IFERROR(VLOOKUP(S$13&amp;$B1982,Aux!$B:$M,4,0),"")</f>
        <v/>
      </c>
      <c r="V1982" s="62"/>
      <c r="W1982" s="63" t="str">
        <f>IFERROR(IF(VLOOKUP(S$13&amp;$B1980,Aux!$B:$M,8,0)="Да","✔","🕓"),"")</f>
        <v/>
      </c>
      <c r="AA1982" s="59"/>
      <c r="AB1982" s="15" t="str">
        <f>IF(AB1980="","","Исполнитель"&amp;": ")</f>
        <v/>
      </c>
      <c r="AC1982" s="62" t="str">
        <f>IFERROR(VLOOKUP(AA$13&amp;$B1982,Aux!$B:$M,4,0),"")</f>
        <v/>
      </c>
      <c r="AD1982" s="62"/>
      <c r="AE1982" s="63" t="str">
        <f>IFERROR(IF(VLOOKUP(AA$13&amp;$B1980,Aux!$B:$M,8,0)="Да","✔","🕓"),"")</f>
        <v/>
      </c>
    </row>
    <row r="1983" spans="2:31" x14ac:dyDescent="0.25">
      <c r="B1983" s="53">
        <f t="shared" si="30"/>
        <v>394</v>
      </c>
      <c r="C1983" s="59"/>
      <c r="D1983" s="16" t="str">
        <f>IF(D1980="","","Срок сдачи"&amp;": ")</f>
        <v/>
      </c>
      <c r="E1983" s="64" t="str">
        <f>IFERROR(VLOOKUP(C$13&amp;$B1983,Aux!$B:$M,6,0),"")</f>
        <v/>
      </c>
      <c r="F1983" s="64"/>
      <c r="G1983" s="63"/>
      <c r="K1983" s="59"/>
      <c r="L1983" s="16" t="str">
        <f>IF(L1980="","","Срок сдачи"&amp;": ")</f>
        <v/>
      </c>
      <c r="M1983" s="64" t="str">
        <f>IFERROR(VLOOKUP(K$13&amp;$B1983,Aux!$B:$M,6,0),"")</f>
        <v/>
      </c>
      <c r="N1983" s="64"/>
      <c r="O1983" s="63"/>
      <c r="S1983" s="59"/>
      <c r="T1983" s="16" t="str">
        <f>IF(T1980="","","Срок сдачи"&amp;": ")</f>
        <v/>
      </c>
      <c r="U1983" s="64" t="str">
        <f>IFERROR(VLOOKUP(S$13&amp;$B1983,Aux!$B:$M,6,0),"")</f>
        <v/>
      </c>
      <c r="V1983" s="64"/>
      <c r="W1983" s="63"/>
      <c r="AA1983" s="59"/>
      <c r="AB1983" s="16" t="str">
        <f>IF(AB1980="","","Срок сдачи"&amp;": ")</f>
        <v/>
      </c>
      <c r="AC1983" s="64" t="str">
        <f>IFERROR(VLOOKUP(AA$13&amp;$B1983,Aux!$B:$M,6,0),"")</f>
        <v/>
      </c>
      <c r="AD1983" s="64"/>
      <c r="AE1983" s="63"/>
    </row>
    <row r="1984" spans="2:31" x14ac:dyDescent="0.25">
      <c r="B1984" s="53">
        <f t="shared" si="30"/>
        <v>394</v>
      </c>
      <c r="C1984" s="7"/>
      <c r="D1984" s="17"/>
      <c r="E1984" s="7"/>
      <c r="F1984" s="18"/>
      <c r="G1984" s="18"/>
      <c r="K1984" s="13"/>
      <c r="L1984" s="17"/>
      <c r="M1984" s="13"/>
      <c r="N1984" s="14"/>
      <c r="O1984" s="14"/>
      <c r="S1984" s="13"/>
      <c r="T1984" s="17"/>
      <c r="U1984" s="13"/>
      <c r="V1984" s="14"/>
      <c r="W1984" s="14"/>
      <c r="AA1984" s="13"/>
      <c r="AB1984" s="17"/>
      <c r="AC1984" s="13"/>
      <c r="AD1984" s="14"/>
      <c r="AE1984" s="30"/>
    </row>
    <row r="1985" spans="2:31" x14ac:dyDescent="0.25">
      <c r="B1985" s="53">
        <f t="shared" si="30"/>
        <v>395</v>
      </c>
      <c r="C1985" s="59" t="str">
        <f>IFERROR(VLOOKUP(C$13&amp;$B1989,Aux!$B:$M,5,0),"")</f>
        <v/>
      </c>
      <c r="D1985" s="60" t="str">
        <f>IFERROR(VLOOKUP(C$13&amp;$B1985,Aux!$B:$M,3,0),"")</f>
        <v/>
      </c>
      <c r="E1985" s="60"/>
      <c r="F1985" s="60"/>
      <c r="G1985" s="61" t="str">
        <f>IFERROR(VLOOKUP(C$13&amp;$B1985,Aux!$B:$M,9,0),"")</f>
        <v/>
      </c>
      <c r="K1985" s="59" t="str">
        <f>IFERROR(VLOOKUP(K$13&amp;$B1989,Aux!$B:$M,5,0),"")</f>
        <v/>
      </c>
      <c r="L1985" s="60" t="str">
        <f>IFERROR(VLOOKUP(K$13&amp;$B1985,Aux!$B:$M,3,0),"")</f>
        <v/>
      </c>
      <c r="M1985" s="60"/>
      <c r="N1985" s="60"/>
      <c r="O1985" s="61" t="str">
        <f>IFERROR(VLOOKUP(K$13&amp;$B1985,Aux!$B:$M,9,0),"")</f>
        <v/>
      </c>
      <c r="S1985" s="59" t="str">
        <f>IFERROR(VLOOKUP(S$13&amp;$B1989,Aux!$B:$M,5,0),"")</f>
        <v/>
      </c>
      <c r="T1985" s="60" t="str">
        <f>IFERROR(VLOOKUP(S$13&amp;$B1985,Aux!$B:$M,3,0),"")</f>
        <v/>
      </c>
      <c r="U1985" s="60"/>
      <c r="V1985" s="60"/>
      <c r="W1985" s="61" t="str">
        <f>IFERROR(VLOOKUP(S$13&amp;$B1985,Aux!$B:$M,9,0),"")</f>
        <v/>
      </c>
      <c r="AA1985" s="59" t="str">
        <f>IFERROR(VLOOKUP(AA$13&amp;$B1989,Aux!$B:$M,5,0),"")</f>
        <v/>
      </c>
      <c r="AB1985" s="60" t="str">
        <f>IFERROR(VLOOKUP(AA$13&amp;$B1985,Aux!$B:$M,3,0),"")</f>
        <v/>
      </c>
      <c r="AC1985" s="60"/>
      <c r="AD1985" s="60"/>
      <c r="AE1985" s="61" t="str">
        <f>IFERROR(VLOOKUP(AA$13&amp;$B1985,Aux!$B:$M,9,0),"")</f>
        <v/>
      </c>
    </row>
    <row r="1986" spans="2:31" x14ac:dyDescent="0.25">
      <c r="B1986" s="53">
        <f t="shared" si="30"/>
        <v>395</v>
      </c>
      <c r="C1986" s="59"/>
      <c r="D1986" s="60"/>
      <c r="E1986" s="60"/>
      <c r="F1986" s="60"/>
      <c r="G1986" s="61"/>
      <c r="K1986" s="59"/>
      <c r="L1986" s="60"/>
      <c r="M1986" s="60"/>
      <c r="N1986" s="60"/>
      <c r="O1986" s="61"/>
      <c r="S1986" s="59"/>
      <c r="T1986" s="60"/>
      <c r="U1986" s="60"/>
      <c r="V1986" s="60"/>
      <c r="W1986" s="61"/>
      <c r="AA1986" s="59"/>
      <c r="AB1986" s="60"/>
      <c r="AC1986" s="60"/>
      <c r="AD1986" s="60"/>
      <c r="AE1986" s="61"/>
    </row>
    <row r="1987" spans="2:31" x14ac:dyDescent="0.25">
      <c r="B1987" s="53">
        <f t="shared" si="30"/>
        <v>395</v>
      </c>
      <c r="C1987" s="59"/>
      <c r="D1987" s="15" t="str">
        <f>IF(D1985="","","Исполнитель"&amp;": ")</f>
        <v/>
      </c>
      <c r="E1987" s="62" t="str">
        <f>IFERROR(VLOOKUP(C$13&amp;$B1987,Aux!$B:$M,4,0),"")</f>
        <v/>
      </c>
      <c r="F1987" s="62"/>
      <c r="G1987" s="63" t="str">
        <f>IFERROR(IF(VLOOKUP(C$13&amp;$B1985,Aux!$B:$M,8,0)="Да","✔","🕓"),"")</f>
        <v/>
      </c>
      <c r="K1987" s="59"/>
      <c r="L1987" s="15" t="str">
        <f>IF(L1985="","","Исполнитель"&amp;": ")</f>
        <v/>
      </c>
      <c r="M1987" s="62" t="str">
        <f>IFERROR(VLOOKUP(K$13&amp;$B1987,Aux!$B:$M,4,0),"")</f>
        <v/>
      </c>
      <c r="N1987" s="62"/>
      <c r="O1987" s="63" t="str">
        <f>IFERROR(IF(VLOOKUP(K$13&amp;$B1985,Aux!$B:$M,8,0)="Да","✔","🕓"),"")</f>
        <v/>
      </c>
      <c r="S1987" s="59"/>
      <c r="T1987" s="15" t="str">
        <f>IF(T1985="","","Исполнитель"&amp;": ")</f>
        <v/>
      </c>
      <c r="U1987" s="62" t="str">
        <f>IFERROR(VLOOKUP(S$13&amp;$B1987,Aux!$B:$M,4,0),"")</f>
        <v/>
      </c>
      <c r="V1987" s="62"/>
      <c r="W1987" s="63" t="str">
        <f>IFERROR(IF(VLOOKUP(S$13&amp;$B1985,Aux!$B:$M,8,0)="Да","✔","🕓"),"")</f>
        <v/>
      </c>
      <c r="AA1987" s="59"/>
      <c r="AB1987" s="15" t="str">
        <f>IF(AB1985="","","Исполнитель"&amp;": ")</f>
        <v/>
      </c>
      <c r="AC1987" s="62" t="str">
        <f>IFERROR(VLOOKUP(AA$13&amp;$B1987,Aux!$B:$M,4,0),"")</f>
        <v/>
      </c>
      <c r="AD1987" s="62"/>
      <c r="AE1987" s="63" t="str">
        <f>IFERROR(IF(VLOOKUP(AA$13&amp;$B1985,Aux!$B:$M,8,0)="Да","✔","🕓"),"")</f>
        <v/>
      </c>
    </row>
    <row r="1988" spans="2:31" x14ac:dyDescent="0.25">
      <c r="B1988" s="53">
        <f t="shared" si="30"/>
        <v>395</v>
      </c>
      <c r="C1988" s="59"/>
      <c r="D1988" s="16" t="str">
        <f>IF(D1985="","","Срок сдачи"&amp;": ")</f>
        <v/>
      </c>
      <c r="E1988" s="64" t="str">
        <f>IFERROR(VLOOKUP(C$13&amp;$B1988,Aux!$B:$M,6,0),"")</f>
        <v/>
      </c>
      <c r="F1988" s="64"/>
      <c r="G1988" s="63"/>
      <c r="K1988" s="59"/>
      <c r="L1988" s="16" t="str">
        <f>IF(L1985="","","Срок сдачи"&amp;": ")</f>
        <v/>
      </c>
      <c r="M1988" s="64" t="str">
        <f>IFERROR(VLOOKUP(K$13&amp;$B1988,Aux!$B:$M,6,0),"")</f>
        <v/>
      </c>
      <c r="N1988" s="64"/>
      <c r="O1988" s="63"/>
      <c r="S1988" s="59"/>
      <c r="T1988" s="16" t="str">
        <f>IF(T1985="","","Срок сдачи"&amp;": ")</f>
        <v/>
      </c>
      <c r="U1988" s="64" t="str">
        <f>IFERROR(VLOOKUP(S$13&amp;$B1988,Aux!$B:$M,6,0),"")</f>
        <v/>
      </c>
      <c r="V1988" s="64"/>
      <c r="W1988" s="63"/>
      <c r="AA1988" s="59"/>
      <c r="AB1988" s="16" t="str">
        <f>IF(AB1985="","","Срок сдачи"&amp;": ")</f>
        <v/>
      </c>
      <c r="AC1988" s="64" t="str">
        <f>IFERROR(VLOOKUP(AA$13&amp;$B1988,Aux!$B:$M,6,0),"")</f>
        <v/>
      </c>
      <c r="AD1988" s="64"/>
      <c r="AE1988" s="63"/>
    </row>
    <row r="1989" spans="2:31" x14ac:dyDescent="0.25">
      <c r="B1989" s="53">
        <f t="shared" si="30"/>
        <v>395</v>
      </c>
      <c r="C1989" s="7"/>
      <c r="D1989" s="17"/>
      <c r="E1989" s="7"/>
      <c r="F1989" s="18"/>
      <c r="G1989" s="18"/>
      <c r="K1989" s="13"/>
      <c r="L1989" s="17"/>
      <c r="M1989" s="13"/>
      <c r="N1989" s="14"/>
      <c r="O1989" s="14"/>
      <c r="S1989" s="13"/>
      <c r="T1989" s="17"/>
      <c r="U1989" s="13"/>
      <c r="V1989" s="14"/>
      <c r="W1989" s="14"/>
      <c r="AA1989" s="13"/>
      <c r="AB1989" s="17"/>
      <c r="AC1989" s="13"/>
      <c r="AD1989" s="14"/>
      <c r="AE1989" s="30"/>
    </row>
    <row r="1990" spans="2:31" x14ac:dyDescent="0.25">
      <c r="B1990" s="53">
        <f t="shared" si="30"/>
        <v>396</v>
      </c>
      <c r="C1990" s="59" t="str">
        <f>IFERROR(VLOOKUP(C$13&amp;$B1994,Aux!$B:$M,5,0),"")</f>
        <v/>
      </c>
      <c r="D1990" s="60" t="str">
        <f>IFERROR(VLOOKUP(C$13&amp;$B1990,Aux!$B:$M,3,0),"")</f>
        <v/>
      </c>
      <c r="E1990" s="60"/>
      <c r="F1990" s="60"/>
      <c r="G1990" s="61" t="str">
        <f>IFERROR(VLOOKUP(C$13&amp;$B1990,Aux!$B:$M,9,0),"")</f>
        <v/>
      </c>
      <c r="K1990" s="59" t="str">
        <f>IFERROR(VLOOKUP(K$13&amp;$B1994,Aux!$B:$M,5,0),"")</f>
        <v/>
      </c>
      <c r="L1990" s="60" t="str">
        <f>IFERROR(VLOOKUP(K$13&amp;$B1990,Aux!$B:$M,3,0),"")</f>
        <v/>
      </c>
      <c r="M1990" s="60"/>
      <c r="N1990" s="60"/>
      <c r="O1990" s="61" t="str">
        <f>IFERROR(VLOOKUP(K$13&amp;$B1990,Aux!$B:$M,9,0),"")</f>
        <v/>
      </c>
      <c r="S1990" s="59" t="str">
        <f>IFERROR(VLOOKUP(S$13&amp;$B1994,Aux!$B:$M,5,0),"")</f>
        <v/>
      </c>
      <c r="T1990" s="60" t="str">
        <f>IFERROR(VLOOKUP(S$13&amp;$B1990,Aux!$B:$M,3,0),"")</f>
        <v/>
      </c>
      <c r="U1990" s="60"/>
      <c r="V1990" s="60"/>
      <c r="W1990" s="61" t="str">
        <f>IFERROR(VLOOKUP(S$13&amp;$B1990,Aux!$B:$M,9,0),"")</f>
        <v/>
      </c>
      <c r="AA1990" s="59" t="str">
        <f>IFERROR(VLOOKUP(AA$13&amp;$B1994,Aux!$B:$M,5,0),"")</f>
        <v/>
      </c>
      <c r="AB1990" s="60" t="str">
        <f>IFERROR(VLOOKUP(AA$13&amp;$B1990,Aux!$B:$M,3,0),"")</f>
        <v/>
      </c>
      <c r="AC1990" s="60"/>
      <c r="AD1990" s="60"/>
      <c r="AE1990" s="61" t="str">
        <f>IFERROR(VLOOKUP(AA$13&amp;$B1990,Aux!$B:$M,9,0),"")</f>
        <v/>
      </c>
    </row>
    <row r="1991" spans="2:31" x14ac:dyDescent="0.25">
      <c r="B1991" s="53">
        <f t="shared" si="30"/>
        <v>396</v>
      </c>
      <c r="C1991" s="59"/>
      <c r="D1991" s="60"/>
      <c r="E1991" s="60"/>
      <c r="F1991" s="60"/>
      <c r="G1991" s="61"/>
      <c r="K1991" s="59"/>
      <c r="L1991" s="60"/>
      <c r="M1991" s="60"/>
      <c r="N1991" s="60"/>
      <c r="O1991" s="61"/>
      <c r="S1991" s="59"/>
      <c r="T1991" s="60"/>
      <c r="U1991" s="60"/>
      <c r="V1991" s="60"/>
      <c r="W1991" s="61"/>
      <c r="AA1991" s="59"/>
      <c r="AB1991" s="60"/>
      <c r="AC1991" s="60"/>
      <c r="AD1991" s="60"/>
      <c r="AE1991" s="61"/>
    </row>
    <row r="1992" spans="2:31" x14ac:dyDescent="0.25">
      <c r="B1992" s="53">
        <f t="shared" si="30"/>
        <v>396</v>
      </c>
      <c r="C1992" s="59"/>
      <c r="D1992" s="15" t="str">
        <f>IF(D1990="","","Исполнитель"&amp;": ")</f>
        <v/>
      </c>
      <c r="E1992" s="62" t="str">
        <f>IFERROR(VLOOKUP(C$13&amp;$B1992,Aux!$B:$M,4,0),"")</f>
        <v/>
      </c>
      <c r="F1992" s="62"/>
      <c r="G1992" s="63" t="str">
        <f>IFERROR(IF(VLOOKUP(C$13&amp;$B1990,Aux!$B:$M,8,0)="Да","✔","🕓"),"")</f>
        <v/>
      </c>
      <c r="K1992" s="59"/>
      <c r="L1992" s="15" t="str">
        <f>IF(L1990="","","Исполнитель"&amp;": ")</f>
        <v/>
      </c>
      <c r="M1992" s="62" t="str">
        <f>IFERROR(VLOOKUP(K$13&amp;$B1992,Aux!$B:$M,4,0),"")</f>
        <v/>
      </c>
      <c r="N1992" s="62"/>
      <c r="O1992" s="63" t="str">
        <f>IFERROR(IF(VLOOKUP(K$13&amp;$B1990,Aux!$B:$M,8,0)="Да","✔","🕓"),"")</f>
        <v/>
      </c>
      <c r="S1992" s="59"/>
      <c r="T1992" s="15" t="str">
        <f>IF(T1990="","","Исполнитель"&amp;": ")</f>
        <v/>
      </c>
      <c r="U1992" s="62" t="str">
        <f>IFERROR(VLOOKUP(S$13&amp;$B1992,Aux!$B:$M,4,0),"")</f>
        <v/>
      </c>
      <c r="V1992" s="62"/>
      <c r="W1992" s="63" t="str">
        <f>IFERROR(IF(VLOOKUP(S$13&amp;$B1990,Aux!$B:$M,8,0)="Да","✔","🕓"),"")</f>
        <v/>
      </c>
      <c r="AA1992" s="59"/>
      <c r="AB1992" s="15" t="str">
        <f>IF(AB1990="","","Исполнитель"&amp;": ")</f>
        <v/>
      </c>
      <c r="AC1992" s="62" t="str">
        <f>IFERROR(VLOOKUP(AA$13&amp;$B1992,Aux!$B:$M,4,0),"")</f>
        <v/>
      </c>
      <c r="AD1992" s="62"/>
      <c r="AE1992" s="63" t="str">
        <f>IFERROR(IF(VLOOKUP(AA$13&amp;$B1990,Aux!$B:$M,8,0)="Да","✔","🕓"),"")</f>
        <v/>
      </c>
    </row>
    <row r="1993" spans="2:31" x14ac:dyDescent="0.25">
      <c r="B1993" s="53">
        <f t="shared" si="30"/>
        <v>396</v>
      </c>
      <c r="C1993" s="59"/>
      <c r="D1993" s="16" t="str">
        <f>IF(D1990="","","Срок сдачи"&amp;": ")</f>
        <v/>
      </c>
      <c r="E1993" s="64" t="str">
        <f>IFERROR(VLOOKUP(C$13&amp;$B1993,Aux!$B:$M,6,0),"")</f>
        <v/>
      </c>
      <c r="F1993" s="64"/>
      <c r="G1993" s="63"/>
      <c r="K1993" s="59"/>
      <c r="L1993" s="16" t="str">
        <f>IF(L1990="","","Срок сдачи"&amp;": ")</f>
        <v/>
      </c>
      <c r="M1993" s="64" t="str">
        <f>IFERROR(VLOOKUP(K$13&amp;$B1993,Aux!$B:$M,6,0),"")</f>
        <v/>
      </c>
      <c r="N1993" s="64"/>
      <c r="O1993" s="63"/>
      <c r="S1993" s="59"/>
      <c r="T1993" s="16" t="str">
        <f>IF(T1990="","","Срок сдачи"&amp;": ")</f>
        <v/>
      </c>
      <c r="U1993" s="64" t="str">
        <f>IFERROR(VLOOKUP(S$13&amp;$B1993,Aux!$B:$M,6,0),"")</f>
        <v/>
      </c>
      <c r="V1993" s="64"/>
      <c r="W1993" s="63"/>
      <c r="AA1993" s="59"/>
      <c r="AB1993" s="16" t="str">
        <f>IF(AB1990="","","Срок сдачи"&amp;": ")</f>
        <v/>
      </c>
      <c r="AC1993" s="64" t="str">
        <f>IFERROR(VLOOKUP(AA$13&amp;$B1993,Aux!$B:$M,6,0),"")</f>
        <v/>
      </c>
      <c r="AD1993" s="64"/>
      <c r="AE1993" s="63"/>
    </row>
    <row r="1994" spans="2:31" x14ac:dyDescent="0.25">
      <c r="B1994" s="53">
        <f t="shared" si="30"/>
        <v>396</v>
      </c>
      <c r="C1994" s="7"/>
      <c r="D1994" s="17"/>
      <c r="E1994" s="7"/>
      <c r="F1994" s="18"/>
      <c r="G1994" s="18"/>
      <c r="K1994" s="13"/>
      <c r="L1994" s="17"/>
      <c r="M1994" s="13"/>
      <c r="N1994" s="14"/>
      <c r="O1994" s="14"/>
      <c r="S1994" s="13"/>
      <c r="T1994" s="17"/>
      <c r="U1994" s="13"/>
      <c r="V1994" s="14"/>
      <c r="W1994" s="14"/>
      <c r="AA1994" s="13"/>
      <c r="AB1994" s="17"/>
      <c r="AC1994" s="13"/>
      <c r="AD1994" s="14"/>
      <c r="AE1994" s="30"/>
    </row>
    <row r="1995" spans="2:31" x14ac:dyDescent="0.25">
      <c r="B1995" s="53">
        <f t="shared" si="30"/>
        <v>397</v>
      </c>
      <c r="C1995" s="59" t="str">
        <f>IFERROR(VLOOKUP(C$13&amp;$B1999,Aux!$B:$M,5,0),"")</f>
        <v/>
      </c>
      <c r="D1995" s="60" t="str">
        <f>IFERROR(VLOOKUP(C$13&amp;$B1995,Aux!$B:$M,3,0),"")</f>
        <v/>
      </c>
      <c r="E1995" s="60"/>
      <c r="F1995" s="60"/>
      <c r="G1995" s="61" t="str">
        <f>IFERROR(VLOOKUP(C$13&amp;$B1995,Aux!$B:$M,9,0),"")</f>
        <v/>
      </c>
      <c r="K1995" s="59" t="str">
        <f>IFERROR(VLOOKUP(K$13&amp;$B1999,Aux!$B:$M,5,0),"")</f>
        <v/>
      </c>
      <c r="L1995" s="60" t="str">
        <f>IFERROR(VLOOKUP(K$13&amp;$B1995,Aux!$B:$M,3,0),"")</f>
        <v/>
      </c>
      <c r="M1995" s="60"/>
      <c r="N1995" s="60"/>
      <c r="O1995" s="61" t="str">
        <f>IFERROR(VLOOKUP(K$13&amp;$B1995,Aux!$B:$M,9,0),"")</f>
        <v/>
      </c>
      <c r="S1995" s="59" t="str">
        <f>IFERROR(VLOOKUP(S$13&amp;$B1999,Aux!$B:$M,5,0),"")</f>
        <v/>
      </c>
      <c r="T1995" s="60" t="str">
        <f>IFERROR(VLOOKUP(S$13&amp;$B1995,Aux!$B:$M,3,0),"")</f>
        <v/>
      </c>
      <c r="U1995" s="60"/>
      <c r="V1995" s="60"/>
      <c r="W1995" s="61" t="str">
        <f>IFERROR(VLOOKUP(S$13&amp;$B1995,Aux!$B:$M,9,0),"")</f>
        <v/>
      </c>
      <c r="AA1995" s="59" t="str">
        <f>IFERROR(VLOOKUP(AA$13&amp;$B1999,Aux!$B:$M,5,0),"")</f>
        <v/>
      </c>
      <c r="AB1995" s="60" t="str">
        <f>IFERROR(VLOOKUP(AA$13&amp;$B1995,Aux!$B:$M,3,0),"")</f>
        <v/>
      </c>
      <c r="AC1995" s="60"/>
      <c r="AD1995" s="60"/>
      <c r="AE1995" s="61" t="str">
        <f>IFERROR(VLOOKUP(AA$13&amp;$B1995,Aux!$B:$M,9,0),"")</f>
        <v/>
      </c>
    </row>
    <row r="1996" spans="2:31" x14ac:dyDescent="0.25">
      <c r="B1996" s="53">
        <f t="shared" si="30"/>
        <v>397</v>
      </c>
      <c r="C1996" s="59"/>
      <c r="D1996" s="60"/>
      <c r="E1996" s="60"/>
      <c r="F1996" s="60"/>
      <c r="G1996" s="61"/>
      <c r="K1996" s="59"/>
      <c r="L1996" s="60"/>
      <c r="M1996" s="60"/>
      <c r="N1996" s="60"/>
      <c r="O1996" s="61"/>
      <c r="S1996" s="59"/>
      <c r="T1996" s="60"/>
      <c r="U1996" s="60"/>
      <c r="V1996" s="60"/>
      <c r="W1996" s="61"/>
      <c r="AA1996" s="59"/>
      <c r="AB1996" s="60"/>
      <c r="AC1996" s="60"/>
      <c r="AD1996" s="60"/>
      <c r="AE1996" s="61"/>
    </row>
    <row r="1997" spans="2:31" x14ac:dyDescent="0.25">
      <c r="B1997" s="53">
        <f t="shared" si="30"/>
        <v>397</v>
      </c>
      <c r="C1997" s="59"/>
      <c r="D1997" s="15" t="str">
        <f>IF(D1995="","","Исполнитель"&amp;": ")</f>
        <v/>
      </c>
      <c r="E1997" s="62" t="str">
        <f>IFERROR(VLOOKUP(C$13&amp;$B1997,Aux!$B:$M,4,0),"")</f>
        <v/>
      </c>
      <c r="F1997" s="62"/>
      <c r="G1997" s="63" t="str">
        <f>IFERROR(IF(VLOOKUP(C$13&amp;$B1995,Aux!$B:$M,8,0)="Да","✔","🕓"),"")</f>
        <v/>
      </c>
      <c r="K1997" s="59"/>
      <c r="L1997" s="15" t="str">
        <f>IF(L1995="","","Исполнитель"&amp;": ")</f>
        <v/>
      </c>
      <c r="M1997" s="62" t="str">
        <f>IFERROR(VLOOKUP(K$13&amp;$B1997,Aux!$B:$M,4,0),"")</f>
        <v/>
      </c>
      <c r="N1997" s="62"/>
      <c r="O1997" s="63" t="str">
        <f>IFERROR(IF(VLOOKUP(K$13&amp;$B1995,Aux!$B:$M,8,0)="Да","✔","🕓"),"")</f>
        <v/>
      </c>
      <c r="S1997" s="59"/>
      <c r="T1997" s="15" t="str">
        <f>IF(T1995="","","Исполнитель"&amp;": ")</f>
        <v/>
      </c>
      <c r="U1997" s="62" t="str">
        <f>IFERROR(VLOOKUP(S$13&amp;$B1997,Aux!$B:$M,4,0),"")</f>
        <v/>
      </c>
      <c r="V1997" s="62"/>
      <c r="W1997" s="63" t="str">
        <f>IFERROR(IF(VLOOKUP(S$13&amp;$B1995,Aux!$B:$M,8,0)="Да","✔","🕓"),"")</f>
        <v/>
      </c>
      <c r="AA1997" s="59"/>
      <c r="AB1997" s="15" t="str">
        <f>IF(AB1995="","","Исполнитель"&amp;": ")</f>
        <v/>
      </c>
      <c r="AC1997" s="62" t="str">
        <f>IFERROR(VLOOKUP(AA$13&amp;$B1997,Aux!$B:$M,4,0),"")</f>
        <v/>
      </c>
      <c r="AD1997" s="62"/>
      <c r="AE1997" s="63" t="str">
        <f>IFERROR(IF(VLOOKUP(AA$13&amp;$B1995,Aux!$B:$M,8,0)="Да","✔","🕓"),"")</f>
        <v/>
      </c>
    </row>
    <row r="1998" spans="2:31" x14ac:dyDescent="0.25">
      <c r="B1998" s="53">
        <f t="shared" si="30"/>
        <v>397</v>
      </c>
      <c r="C1998" s="59"/>
      <c r="D1998" s="16" t="str">
        <f>IF(D1995="","","Срок сдачи"&amp;": ")</f>
        <v/>
      </c>
      <c r="E1998" s="64" t="str">
        <f>IFERROR(VLOOKUP(C$13&amp;$B1998,Aux!$B:$M,6,0),"")</f>
        <v/>
      </c>
      <c r="F1998" s="64"/>
      <c r="G1998" s="63"/>
      <c r="K1998" s="59"/>
      <c r="L1998" s="16" t="str">
        <f>IF(L1995="","","Срок сдачи"&amp;": ")</f>
        <v/>
      </c>
      <c r="M1998" s="64" t="str">
        <f>IFERROR(VLOOKUP(K$13&amp;$B1998,Aux!$B:$M,6,0),"")</f>
        <v/>
      </c>
      <c r="N1998" s="64"/>
      <c r="O1998" s="63"/>
      <c r="S1998" s="59"/>
      <c r="T1998" s="16" t="str">
        <f>IF(T1995="","","Срок сдачи"&amp;": ")</f>
        <v/>
      </c>
      <c r="U1998" s="64" t="str">
        <f>IFERROR(VLOOKUP(S$13&amp;$B1998,Aux!$B:$M,6,0),"")</f>
        <v/>
      </c>
      <c r="V1998" s="64"/>
      <c r="W1998" s="63"/>
      <c r="AA1998" s="59"/>
      <c r="AB1998" s="16" t="str">
        <f>IF(AB1995="","","Срок сдачи"&amp;": ")</f>
        <v/>
      </c>
      <c r="AC1998" s="64" t="str">
        <f>IFERROR(VLOOKUP(AA$13&amp;$B1998,Aux!$B:$M,6,0),"")</f>
        <v/>
      </c>
      <c r="AD1998" s="64"/>
      <c r="AE1998" s="63"/>
    </row>
    <row r="1999" spans="2:31" x14ac:dyDescent="0.25">
      <c r="B1999" s="53">
        <f t="shared" si="30"/>
        <v>397</v>
      </c>
      <c r="C1999" s="7"/>
      <c r="D1999" s="17"/>
      <c r="E1999" s="7"/>
      <c r="F1999" s="18"/>
      <c r="G1999" s="18"/>
      <c r="K1999" s="13"/>
      <c r="L1999" s="17"/>
      <c r="M1999" s="13"/>
      <c r="N1999" s="14"/>
      <c r="O1999" s="14"/>
      <c r="S1999" s="13"/>
      <c r="T1999" s="17"/>
      <c r="U1999" s="13"/>
      <c r="V1999" s="14"/>
      <c r="W1999" s="14"/>
      <c r="AA1999" s="13"/>
      <c r="AB1999" s="17"/>
      <c r="AC1999" s="13"/>
      <c r="AD1999" s="14"/>
      <c r="AE1999" s="30"/>
    </row>
    <row r="2000" spans="2:31" x14ac:dyDescent="0.25">
      <c r="B2000" s="53">
        <f t="shared" si="30"/>
        <v>398</v>
      </c>
      <c r="C2000" s="59" t="str">
        <f>IFERROR(VLOOKUP(C$13&amp;$B2004,Aux!$B:$M,5,0),"")</f>
        <v/>
      </c>
      <c r="D2000" s="60" t="str">
        <f>IFERROR(VLOOKUP(C$13&amp;$B2000,Aux!$B:$M,3,0),"")</f>
        <v/>
      </c>
      <c r="E2000" s="60"/>
      <c r="F2000" s="60"/>
      <c r="G2000" s="61" t="str">
        <f>IFERROR(VLOOKUP(C$13&amp;$B2000,Aux!$B:$M,9,0),"")</f>
        <v/>
      </c>
      <c r="K2000" s="59" t="str">
        <f>IFERROR(VLOOKUP(K$13&amp;$B2004,Aux!$B:$M,5,0),"")</f>
        <v/>
      </c>
      <c r="L2000" s="60" t="str">
        <f>IFERROR(VLOOKUP(K$13&amp;$B2000,Aux!$B:$M,3,0),"")</f>
        <v/>
      </c>
      <c r="M2000" s="60"/>
      <c r="N2000" s="60"/>
      <c r="O2000" s="61" t="str">
        <f>IFERROR(VLOOKUP(K$13&amp;$B2000,Aux!$B:$M,9,0),"")</f>
        <v/>
      </c>
      <c r="S2000" s="59" t="str">
        <f>IFERROR(VLOOKUP(S$13&amp;$B2004,Aux!$B:$M,5,0),"")</f>
        <v/>
      </c>
      <c r="T2000" s="60" t="str">
        <f>IFERROR(VLOOKUP(S$13&amp;$B2000,Aux!$B:$M,3,0),"")</f>
        <v/>
      </c>
      <c r="U2000" s="60"/>
      <c r="V2000" s="60"/>
      <c r="W2000" s="61" t="str">
        <f>IFERROR(VLOOKUP(S$13&amp;$B2000,Aux!$B:$M,9,0),"")</f>
        <v/>
      </c>
      <c r="AA2000" s="59" t="str">
        <f>IFERROR(VLOOKUP(AA$13&amp;$B2004,Aux!$B:$M,5,0),"")</f>
        <v/>
      </c>
      <c r="AB2000" s="60" t="str">
        <f>IFERROR(VLOOKUP(AA$13&amp;$B2000,Aux!$B:$M,3,0),"")</f>
        <v/>
      </c>
      <c r="AC2000" s="60"/>
      <c r="AD2000" s="60"/>
      <c r="AE2000" s="61" t="str">
        <f>IFERROR(VLOOKUP(AA$13&amp;$B2000,Aux!$B:$M,9,0),"")</f>
        <v/>
      </c>
    </row>
    <row r="2001" spans="2:31" x14ac:dyDescent="0.25">
      <c r="B2001" s="53">
        <f t="shared" si="30"/>
        <v>398</v>
      </c>
      <c r="C2001" s="59"/>
      <c r="D2001" s="60"/>
      <c r="E2001" s="60"/>
      <c r="F2001" s="60"/>
      <c r="G2001" s="61"/>
      <c r="K2001" s="59"/>
      <c r="L2001" s="60"/>
      <c r="M2001" s="60"/>
      <c r="N2001" s="60"/>
      <c r="O2001" s="61"/>
      <c r="S2001" s="59"/>
      <c r="T2001" s="60"/>
      <c r="U2001" s="60"/>
      <c r="V2001" s="60"/>
      <c r="W2001" s="61"/>
      <c r="AA2001" s="59"/>
      <c r="AB2001" s="60"/>
      <c r="AC2001" s="60"/>
      <c r="AD2001" s="60"/>
      <c r="AE2001" s="61"/>
    </row>
    <row r="2002" spans="2:31" x14ac:dyDescent="0.25">
      <c r="B2002" s="53">
        <f t="shared" si="30"/>
        <v>398</v>
      </c>
      <c r="C2002" s="59"/>
      <c r="D2002" s="15" t="str">
        <f>IF(D2000="","","Исполнитель"&amp;": ")</f>
        <v/>
      </c>
      <c r="E2002" s="62" t="str">
        <f>IFERROR(VLOOKUP(C$13&amp;$B2002,Aux!$B:$M,4,0),"")</f>
        <v/>
      </c>
      <c r="F2002" s="62"/>
      <c r="G2002" s="63" t="str">
        <f>IFERROR(IF(VLOOKUP(C$13&amp;$B2000,Aux!$B:$M,8,0)="Да","✔","🕓"),"")</f>
        <v/>
      </c>
      <c r="K2002" s="59"/>
      <c r="L2002" s="15" t="str">
        <f>IF(L2000="","","Исполнитель"&amp;": ")</f>
        <v/>
      </c>
      <c r="M2002" s="62" t="str">
        <f>IFERROR(VLOOKUP(K$13&amp;$B2002,Aux!$B:$M,4,0),"")</f>
        <v/>
      </c>
      <c r="N2002" s="62"/>
      <c r="O2002" s="63" t="str">
        <f>IFERROR(IF(VLOOKUP(K$13&amp;$B2000,Aux!$B:$M,8,0)="Да","✔","🕓"),"")</f>
        <v/>
      </c>
      <c r="S2002" s="59"/>
      <c r="T2002" s="15" t="str">
        <f>IF(T2000="","","Исполнитель"&amp;": ")</f>
        <v/>
      </c>
      <c r="U2002" s="62" t="str">
        <f>IFERROR(VLOOKUP(S$13&amp;$B2002,Aux!$B:$M,4,0),"")</f>
        <v/>
      </c>
      <c r="V2002" s="62"/>
      <c r="W2002" s="63" t="str">
        <f>IFERROR(IF(VLOOKUP(S$13&amp;$B2000,Aux!$B:$M,8,0)="Да","✔","🕓"),"")</f>
        <v/>
      </c>
      <c r="AA2002" s="59"/>
      <c r="AB2002" s="15" t="str">
        <f>IF(AB2000="","","Исполнитель"&amp;": ")</f>
        <v/>
      </c>
      <c r="AC2002" s="62" t="str">
        <f>IFERROR(VLOOKUP(AA$13&amp;$B2002,Aux!$B:$M,4,0),"")</f>
        <v/>
      </c>
      <c r="AD2002" s="62"/>
      <c r="AE2002" s="63" t="str">
        <f>IFERROR(IF(VLOOKUP(AA$13&amp;$B2000,Aux!$B:$M,8,0)="Да","✔","🕓"),"")</f>
        <v/>
      </c>
    </row>
    <row r="2003" spans="2:31" x14ac:dyDescent="0.25">
      <c r="B2003" s="53">
        <f t="shared" si="30"/>
        <v>398</v>
      </c>
      <c r="C2003" s="59"/>
      <c r="D2003" s="16" t="str">
        <f>IF(D2000="","","Срок сдачи"&amp;": ")</f>
        <v/>
      </c>
      <c r="E2003" s="64" t="str">
        <f>IFERROR(VLOOKUP(C$13&amp;$B2003,Aux!$B:$M,6,0),"")</f>
        <v/>
      </c>
      <c r="F2003" s="64"/>
      <c r="G2003" s="63"/>
      <c r="K2003" s="59"/>
      <c r="L2003" s="16" t="str">
        <f>IF(L2000="","","Срок сдачи"&amp;": ")</f>
        <v/>
      </c>
      <c r="M2003" s="64" t="str">
        <f>IFERROR(VLOOKUP(K$13&amp;$B2003,Aux!$B:$M,6,0),"")</f>
        <v/>
      </c>
      <c r="N2003" s="64"/>
      <c r="O2003" s="63"/>
      <c r="S2003" s="59"/>
      <c r="T2003" s="16" t="str">
        <f>IF(T2000="","","Срок сдачи"&amp;": ")</f>
        <v/>
      </c>
      <c r="U2003" s="64" t="str">
        <f>IFERROR(VLOOKUP(S$13&amp;$B2003,Aux!$B:$M,6,0),"")</f>
        <v/>
      </c>
      <c r="V2003" s="64"/>
      <c r="W2003" s="63"/>
      <c r="AA2003" s="59"/>
      <c r="AB2003" s="16" t="str">
        <f>IF(AB2000="","","Срок сдачи"&amp;": ")</f>
        <v/>
      </c>
      <c r="AC2003" s="64" t="str">
        <f>IFERROR(VLOOKUP(AA$13&amp;$B2003,Aux!$B:$M,6,0),"")</f>
        <v/>
      </c>
      <c r="AD2003" s="64"/>
      <c r="AE2003" s="63"/>
    </row>
    <row r="2004" spans="2:31" x14ac:dyDescent="0.25">
      <c r="B2004" s="53">
        <f t="shared" si="30"/>
        <v>398</v>
      </c>
      <c r="C2004" s="7"/>
      <c r="D2004" s="17"/>
      <c r="E2004" s="7"/>
      <c r="F2004" s="18"/>
      <c r="G2004" s="18"/>
      <c r="K2004" s="13"/>
      <c r="L2004" s="17"/>
      <c r="M2004" s="13"/>
      <c r="N2004" s="14"/>
      <c r="O2004" s="14"/>
      <c r="S2004" s="13"/>
      <c r="T2004" s="17"/>
      <c r="U2004" s="13"/>
      <c r="V2004" s="14"/>
      <c r="W2004" s="14"/>
      <c r="AA2004" s="13"/>
      <c r="AB2004" s="17"/>
      <c r="AC2004" s="13"/>
      <c r="AD2004" s="14"/>
      <c r="AE2004" s="30"/>
    </row>
    <row r="2005" spans="2:31" x14ac:dyDescent="0.25">
      <c r="B2005" s="53">
        <f t="shared" ref="B2005:B2068" si="31">B2000+1</f>
        <v>399</v>
      </c>
      <c r="C2005" s="59" t="str">
        <f>IFERROR(VLOOKUP(C$13&amp;$B2009,Aux!$B:$M,5,0),"")</f>
        <v/>
      </c>
      <c r="D2005" s="60" t="str">
        <f>IFERROR(VLOOKUP(C$13&amp;$B2005,Aux!$B:$M,3,0),"")</f>
        <v/>
      </c>
      <c r="E2005" s="60"/>
      <c r="F2005" s="60"/>
      <c r="G2005" s="61" t="str">
        <f>IFERROR(VLOOKUP(C$13&amp;$B2005,Aux!$B:$M,9,0),"")</f>
        <v/>
      </c>
      <c r="K2005" s="59" t="str">
        <f>IFERROR(VLOOKUP(K$13&amp;$B2009,Aux!$B:$M,5,0),"")</f>
        <v/>
      </c>
      <c r="L2005" s="60" t="str">
        <f>IFERROR(VLOOKUP(K$13&amp;$B2005,Aux!$B:$M,3,0),"")</f>
        <v/>
      </c>
      <c r="M2005" s="60"/>
      <c r="N2005" s="60"/>
      <c r="O2005" s="61" t="str">
        <f>IFERROR(VLOOKUP(K$13&amp;$B2005,Aux!$B:$M,9,0),"")</f>
        <v/>
      </c>
      <c r="S2005" s="59" t="str">
        <f>IFERROR(VLOOKUP(S$13&amp;$B2009,Aux!$B:$M,5,0),"")</f>
        <v/>
      </c>
      <c r="T2005" s="60" t="str">
        <f>IFERROR(VLOOKUP(S$13&amp;$B2005,Aux!$B:$M,3,0),"")</f>
        <v/>
      </c>
      <c r="U2005" s="60"/>
      <c r="V2005" s="60"/>
      <c r="W2005" s="61" t="str">
        <f>IFERROR(VLOOKUP(S$13&amp;$B2005,Aux!$B:$M,9,0),"")</f>
        <v/>
      </c>
      <c r="AA2005" s="59" t="str">
        <f>IFERROR(VLOOKUP(AA$13&amp;$B2009,Aux!$B:$M,5,0),"")</f>
        <v/>
      </c>
      <c r="AB2005" s="60" t="str">
        <f>IFERROR(VLOOKUP(AA$13&amp;$B2005,Aux!$B:$M,3,0),"")</f>
        <v/>
      </c>
      <c r="AC2005" s="60"/>
      <c r="AD2005" s="60"/>
      <c r="AE2005" s="61" t="str">
        <f>IFERROR(VLOOKUP(AA$13&amp;$B2005,Aux!$B:$M,9,0),"")</f>
        <v/>
      </c>
    </row>
    <row r="2006" spans="2:31" x14ac:dyDescent="0.25">
      <c r="B2006" s="53">
        <f t="shared" si="31"/>
        <v>399</v>
      </c>
      <c r="C2006" s="59"/>
      <c r="D2006" s="60"/>
      <c r="E2006" s="60"/>
      <c r="F2006" s="60"/>
      <c r="G2006" s="61"/>
      <c r="K2006" s="59"/>
      <c r="L2006" s="60"/>
      <c r="M2006" s="60"/>
      <c r="N2006" s="60"/>
      <c r="O2006" s="61"/>
      <c r="S2006" s="59"/>
      <c r="T2006" s="60"/>
      <c r="U2006" s="60"/>
      <c r="V2006" s="60"/>
      <c r="W2006" s="61"/>
      <c r="AA2006" s="59"/>
      <c r="AB2006" s="60"/>
      <c r="AC2006" s="60"/>
      <c r="AD2006" s="60"/>
      <c r="AE2006" s="61"/>
    </row>
    <row r="2007" spans="2:31" x14ac:dyDescent="0.25">
      <c r="B2007" s="53">
        <f t="shared" si="31"/>
        <v>399</v>
      </c>
      <c r="C2007" s="59"/>
      <c r="D2007" s="15" t="str">
        <f>IF(D2005="","","Исполнитель"&amp;": ")</f>
        <v/>
      </c>
      <c r="E2007" s="62" t="str">
        <f>IFERROR(VLOOKUP(C$13&amp;$B2007,Aux!$B:$M,4,0),"")</f>
        <v/>
      </c>
      <c r="F2007" s="62"/>
      <c r="G2007" s="63" t="str">
        <f>IFERROR(IF(VLOOKUP(C$13&amp;$B2005,Aux!$B:$M,8,0)="Да","✔","🕓"),"")</f>
        <v/>
      </c>
      <c r="K2007" s="59"/>
      <c r="L2007" s="15" t="str">
        <f>IF(L2005="","","Исполнитель"&amp;": ")</f>
        <v/>
      </c>
      <c r="M2007" s="62" t="str">
        <f>IFERROR(VLOOKUP(K$13&amp;$B2007,Aux!$B:$M,4,0),"")</f>
        <v/>
      </c>
      <c r="N2007" s="62"/>
      <c r="O2007" s="63" t="str">
        <f>IFERROR(IF(VLOOKUP(K$13&amp;$B2005,Aux!$B:$M,8,0)="Да","✔","🕓"),"")</f>
        <v/>
      </c>
      <c r="S2007" s="59"/>
      <c r="T2007" s="15" t="str">
        <f>IF(T2005="","","Исполнитель"&amp;": ")</f>
        <v/>
      </c>
      <c r="U2007" s="62" t="str">
        <f>IFERROR(VLOOKUP(S$13&amp;$B2007,Aux!$B:$M,4,0),"")</f>
        <v/>
      </c>
      <c r="V2007" s="62"/>
      <c r="W2007" s="63" t="str">
        <f>IFERROR(IF(VLOOKUP(S$13&amp;$B2005,Aux!$B:$M,8,0)="Да","✔","🕓"),"")</f>
        <v/>
      </c>
      <c r="AA2007" s="59"/>
      <c r="AB2007" s="15" t="str">
        <f>IF(AB2005="","","Исполнитель"&amp;": ")</f>
        <v/>
      </c>
      <c r="AC2007" s="62" t="str">
        <f>IFERROR(VLOOKUP(AA$13&amp;$B2007,Aux!$B:$M,4,0),"")</f>
        <v/>
      </c>
      <c r="AD2007" s="62"/>
      <c r="AE2007" s="63" t="str">
        <f>IFERROR(IF(VLOOKUP(AA$13&amp;$B2005,Aux!$B:$M,8,0)="Да","✔","🕓"),"")</f>
        <v/>
      </c>
    </row>
    <row r="2008" spans="2:31" x14ac:dyDescent="0.25">
      <c r="B2008" s="53">
        <f t="shared" si="31"/>
        <v>399</v>
      </c>
      <c r="C2008" s="59"/>
      <c r="D2008" s="16" t="str">
        <f>IF(D2005="","","Срок сдачи"&amp;": ")</f>
        <v/>
      </c>
      <c r="E2008" s="64" t="str">
        <f>IFERROR(VLOOKUP(C$13&amp;$B2008,Aux!$B:$M,6,0),"")</f>
        <v/>
      </c>
      <c r="F2008" s="64"/>
      <c r="G2008" s="63"/>
      <c r="K2008" s="59"/>
      <c r="L2008" s="16" t="str">
        <f>IF(L2005="","","Срок сдачи"&amp;": ")</f>
        <v/>
      </c>
      <c r="M2008" s="64" t="str">
        <f>IFERROR(VLOOKUP(K$13&amp;$B2008,Aux!$B:$M,6,0),"")</f>
        <v/>
      </c>
      <c r="N2008" s="64"/>
      <c r="O2008" s="63"/>
      <c r="S2008" s="59"/>
      <c r="T2008" s="16" t="str">
        <f>IF(T2005="","","Срок сдачи"&amp;": ")</f>
        <v/>
      </c>
      <c r="U2008" s="64" t="str">
        <f>IFERROR(VLOOKUP(S$13&amp;$B2008,Aux!$B:$M,6,0),"")</f>
        <v/>
      </c>
      <c r="V2008" s="64"/>
      <c r="W2008" s="63"/>
      <c r="AA2008" s="59"/>
      <c r="AB2008" s="16" t="str">
        <f>IF(AB2005="","","Срок сдачи"&amp;": ")</f>
        <v/>
      </c>
      <c r="AC2008" s="64" t="str">
        <f>IFERROR(VLOOKUP(AA$13&amp;$B2008,Aux!$B:$M,6,0),"")</f>
        <v/>
      </c>
      <c r="AD2008" s="64"/>
      <c r="AE2008" s="63"/>
    </row>
    <row r="2009" spans="2:31" x14ac:dyDescent="0.25">
      <c r="B2009" s="53">
        <f t="shared" si="31"/>
        <v>399</v>
      </c>
      <c r="C2009" s="7"/>
      <c r="D2009" s="17"/>
      <c r="E2009" s="7"/>
      <c r="F2009" s="18"/>
      <c r="G2009" s="18"/>
      <c r="K2009" s="13"/>
      <c r="L2009" s="17"/>
      <c r="M2009" s="13"/>
      <c r="N2009" s="14"/>
      <c r="O2009" s="14"/>
      <c r="S2009" s="13"/>
      <c r="T2009" s="17"/>
      <c r="U2009" s="13"/>
      <c r="V2009" s="14"/>
      <c r="W2009" s="14"/>
      <c r="AA2009" s="13"/>
      <c r="AB2009" s="17"/>
      <c r="AC2009" s="13"/>
      <c r="AD2009" s="14"/>
      <c r="AE2009" s="30"/>
    </row>
    <row r="2010" spans="2:31" x14ac:dyDescent="0.25">
      <c r="B2010" s="53">
        <f t="shared" si="31"/>
        <v>400</v>
      </c>
      <c r="C2010" s="59" t="str">
        <f>IFERROR(VLOOKUP(C$13&amp;$B2014,Aux!$B:$M,5,0),"")</f>
        <v/>
      </c>
      <c r="D2010" s="60" t="str">
        <f>IFERROR(VLOOKUP(C$13&amp;$B2010,Aux!$B:$M,3,0),"")</f>
        <v/>
      </c>
      <c r="E2010" s="60"/>
      <c r="F2010" s="60"/>
      <c r="G2010" s="61" t="str">
        <f>IFERROR(VLOOKUP(C$13&amp;$B2010,Aux!$B:$M,9,0),"")</f>
        <v/>
      </c>
      <c r="K2010" s="59" t="str">
        <f>IFERROR(VLOOKUP(K$13&amp;$B2014,Aux!$B:$M,5,0),"")</f>
        <v/>
      </c>
      <c r="L2010" s="60" t="str">
        <f>IFERROR(VLOOKUP(K$13&amp;$B2010,Aux!$B:$M,3,0),"")</f>
        <v/>
      </c>
      <c r="M2010" s="60"/>
      <c r="N2010" s="60"/>
      <c r="O2010" s="61" t="str">
        <f>IFERROR(VLOOKUP(K$13&amp;$B2010,Aux!$B:$M,9,0),"")</f>
        <v/>
      </c>
      <c r="S2010" s="59" t="str">
        <f>IFERROR(VLOOKUP(S$13&amp;$B2014,Aux!$B:$M,5,0),"")</f>
        <v/>
      </c>
      <c r="T2010" s="60" t="str">
        <f>IFERROR(VLOOKUP(S$13&amp;$B2010,Aux!$B:$M,3,0),"")</f>
        <v/>
      </c>
      <c r="U2010" s="60"/>
      <c r="V2010" s="60"/>
      <c r="W2010" s="61" t="str">
        <f>IFERROR(VLOOKUP(S$13&amp;$B2010,Aux!$B:$M,9,0),"")</f>
        <v/>
      </c>
      <c r="AA2010" s="59" t="str">
        <f>IFERROR(VLOOKUP(AA$13&amp;$B2014,Aux!$B:$M,5,0),"")</f>
        <v/>
      </c>
      <c r="AB2010" s="60" t="str">
        <f>IFERROR(VLOOKUP(AA$13&amp;$B2010,Aux!$B:$M,3,0),"")</f>
        <v/>
      </c>
      <c r="AC2010" s="60"/>
      <c r="AD2010" s="60"/>
      <c r="AE2010" s="61" t="str">
        <f>IFERROR(VLOOKUP(AA$13&amp;$B2010,Aux!$B:$M,9,0),"")</f>
        <v/>
      </c>
    </row>
    <row r="2011" spans="2:31" x14ac:dyDescent="0.25">
      <c r="B2011" s="53">
        <f t="shared" si="31"/>
        <v>400</v>
      </c>
      <c r="C2011" s="59"/>
      <c r="D2011" s="60"/>
      <c r="E2011" s="60"/>
      <c r="F2011" s="60"/>
      <c r="G2011" s="61"/>
      <c r="K2011" s="59"/>
      <c r="L2011" s="60"/>
      <c r="M2011" s="60"/>
      <c r="N2011" s="60"/>
      <c r="O2011" s="61"/>
      <c r="S2011" s="59"/>
      <c r="T2011" s="60"/>
      <c r="U2011" s="60"/>
      <c r="V2011" s="60"/>
      <c r="W2011" s="61"/>
      <c r="AA2011" s="59"/>
      <c r="AB2011" s="60"/>
      <c r="AC2011" s="60"/>
      <c r="AD2011" s="60"/>
      <c r="AE2011" s="61"/>
    </row>
    <row r="2012" spans="2:31" x14ac:dyDescent="0.25">
      <c r="B2012" s="53">
        <f t="shared" si="31"/>
        <v>400</v>
      </c>
      <c r="C2012" s="59"/>
      <c r="D2012" s="15" t="str">
        <f>IF(D2010="","","Исполнитель"&amp;": ")</f>
        <v/>
      </c>
      <c r="E2012" s="62" t="str">
        <f>IFERROR(VLOOKUP(C$13&amp;$B2012,Aux!$B:$M,4,0),"")</f>
        <v/>
      </c>
      <c r="F2012" s="62"/>
      <c r="G2012" s="63" t="str">
        <f>IFERROR(IF(VLOOKUP(C$13&amp;$B2010,Aux!$B:$M,8,0)="Да","✔","🕓"),"")</f>
        <v/>
      </c>
      <c r="K2012" s="59"/>
      <c r="L2012" s="15" t="str">
        <f>IF(L2010="","","Исполнитель"&amp;": ")</f>
        <v/>
      </c>
      <c r="M2012" s="62" t="str">
        <f>IFERROR(VLOOKUP(K$13&amp;$B2012,Aux!$B:$M,4,0),"")</f>
        <v/>
      </c>
      <c r="N2012" s="62"/>
      <c r="O2012" s="63" t="str">
        <f>IFERROR(IF(VLOOKUP(K$13&amp;$B2010,Aux!$B:$M,8,0)="Да","✔","🕓"),"")</f>
        <v/>
      </c>
      <c r="S2012" s="59"/>
      <c r="T2012" s="15" t="str">
        <f>IF(T2010="","","Исполнитель"&amp;": ")</f>
        <v/>
      </c>
      <c r="U2012" s="62" t="str">
        <f>IFERROR(VLOOKUP(S$13&amp;$B2012,Aux!$B:$M,4,0),"")</f>
        <v/>
      </c>
      <c r="V2012" s="62"/>
      <c r="W2012" s="63" t="str">
        <f>IFERROR(IF(VLOOKUP(S$13&amp;$B2010,Aux!$B:$M,8,0)="Да","✔","🕓"),"")</f>
        <v/>
      </c>
      <c r="AA2012" s="59"/>
      <c r="AB2012" s="15" t="str">
        <f>IF(AB2010="","","Исполнитель"&amp;": ")</f>
        <v/>
      </c>
      <c r="AC2012" s="62" t="str">
        <f>IFERROR(VLOOKUP(AA$13&amp;$B2012,Aux!$B:$M,4,0),"")</f>
        <v/>
      </c>
      <c r="AD2012" s="62"/>
      <c r="AE2012" s="63" t="str">
        <f>IFERROR(IF(VLOOKUP(AA$13&amp;$B2010,Aux!$B:$M,8,0)="Да","✔","🕓"),"")</f>
        <v/>
      </c>
    </row>
    <row r="2013" spans="2:31" x14ac:dyDescent="0.25">
      <c r="B2013" s="53">
        <f t="shared" si="31"/>
        <v>400</v>
      </c>
      <c r="C2013" s="59"/>
      <c r="D2013" s="16" t="str">
        <f>IF(D2010="","","Срок сдачи"&amp;": ")</f>
        <v/>
      </c>
      <c r="E2013" s="64" t="str">
        <f>IFERROR(VLOOKUP(C$13&amp;$B2013,Aux!$B:$M,6,0),"")</f>
        <v/>
      </c>
      <c r="F2013" s="64"/>
      <c r="G2013" s="63"/>
      <c r="K2013" s="59"/>
      <c r="L2013" s="16" t="str">
        <f>IF(L2010="","","Срок сдачи"&amp;": ")</f>
        <v/>
      </c>
      <c r="M2013" s="64" t="str">
        <f>IFERROR(VLOOKUP(K$13&amp;$B2013,Aux!$B:$M,6,0),"")</f>
        <v/>
      </c>
      <c r="N2013" s="64"/>
      <c r="O2013" s="63"/>
      <c r="S2013" s="59"/>
      <c r="T2013" s="16" t="str">
        <f>IF(T2010="","","Срок сдачи"&amp;": ")</f>
        <v/>
      </c>
      <c r="U2013" s="64" t="str">
        <f>IFERROR(VLOOKUP(S$13&amp;$B2013,Aux!$B:$M,6,0),"")</f>
        <v/>
      </c>
      <c r="V2013" s="64"/>
      <c r="W2013" s="63"/>
      <c r="AA2013" s="59"/>
      <c r="AB2013" s="16" t="str">
        <f>IF(AB2010="","","Срок сдачи"&amp;": ")</f>
        <v/>
      </c>
      <c r="AC2013" s="64" t="str">
        <f>IFERROR(VLOOKUP(AA$13&amp;$B2013,Aux!$B:$M,6,0),"")</f>
        <v/>
      </c>
      <c r="AD2013" s="64"/>
      <c r="AE2013" s="63"/>
    </row>
    <row r="2014" spans="2:31" x14ac:dyDescent="0.25">
      <c r="B2014" s="53">
        <f t="shared" si="31"/>
        <v>400</v>
      </c>
      <c r="C2014" s="7"/>
      <c r="D2014" s="17"/>
      <c r="E2014" s="7"/>
      <c r="F2014" s="18"/>
      <c r="G2014" s="18"/>
      <c r="K2014" s="13"/>
      <c r="L2014" s="17"/>
      <c r="M2014" s="13"/>
      <c r="N2014" s="14"/>
      <c r="O2014" s="14"/>
      <c r="S2014" s="13"/>
      <c r="T2014" s="17"/>
      <c r="U2014" s="13"/>
      <c r="V2014" s="14"/>
      <c r="W2014" s="14"/>
      <c r="AA2014" s="13"/>
      <c r="AB2014" s="17"/>
      <c r="AC2014" s="13"/>
      <c r="AD2014" s="14"/>
      <c r="AE2014" s="30"/>
    </row>
    <row r="2015" spans="2:31" x14ac:dyDescent="0.25">
      <c r="B2015" s="53">
        <f t="shared" si="31"/>
        <v>401</v>
      </c>
      <c r="C2015" s="59" t="str">
        <f>IFERROR(VLOOKUP(C$13&amp;$B2019,Aux!$B:$M,5,0),"")</f>
        <v/>
      </c>
      <c r="D2015" s="60" t="str">
        <f>IFERROR(VLOOKUP(C$13&amp;$B2015,Aux!$B:$M,3,0),"")</f>
        <v/>
      </c>
      <c r="E2015" s="60"/>
      <c r="F2015" s="60"/>
      <c r="G2015" s="61" t="str">
        <f>IFERROR(VLOOKUP(C$13&amp;$B2015,Aux!$B:$M,9,0),"")</f>
        <v/>
      </c>
      <c r="K2015" s="59" t="str">
        <f>IFERROR(VLOOKUP(K$13&amp;$B2019,Aux!$B:$M,5,0),"")</f>
        <v/>
      </c>
      <c r="L2015" s="60" t="str">
        <f>IFERROR(VLOOKUP(K$13&amp;$B2015,Aux!$B:$M,3,0),"")</f>
        <v/>
      </c>
      <c r="M2015" s="60"/>
      <c r="N2015" s="60"/>
      <c r="O2015" s="61" t="str">
        <f>IFERROR(VLOOKUP(K$13&amp;$B2015,Aux!$B:$M,9,0),"")</f>
        <v/>
      </c>
      <c r="S2015" s="59" t="str">
        <f>IFERROR(VLOOKUP(S$13&amp;$B2019,Aux!$B:$M,5,0),"")</f>
        <v/>
      </c>
      <c r="T2015" s="60" t="str">
        <f>IFERROR(VLOOKUP(S$13&amp;$B2015,Aux!$B:$M,3,0),"")</f>
        <v/>
      </c>
      <c r="U2015" s="60"/>
      <c r="V2015" s="60"/>
      <c r="W2015" s="61" t="str">
        <f>IFERROR(VLOOKUP(S$13&amp;$B2015,Aux!$B:$M,9,0),"")</f>
        <v/>
      </c>
      <c r="AA2015" s="59" t="str">
        <f>IFERROR(VLOOKUP(AA$13&amp;$B2019,Aux!$B:$M,5,0),"")</f>
        <v/>
      </c>
      <c r="AB2015" s="60" t="str">
        <f>IFERROR(VLOOKUP(AA$13&amp;$B2015,Aux!$B:$M,3,0),"")</f>
        <v/>
      </c>
      <c r="AC2015" s="60"/>
      <c r="AD2015" s="60"/>
      <c r="AE2015" s="61" t="str">
        <f>IFERROR(VLOOKUP(AA$13&amp;$B2015,Aux!$B:$M,9,0),"")</f>
        <v/>
      </c>
    </row>
    <row r="2016" spans="2:31" x14ac:dyDescent="0.25">
      <c r="B2016" s="53">
        <f t="shared" si="31"/>
        <v>401</v>
      </c>
      <c r="C2016" s="59"/>
      <c r="D2016" s="60"/>
      <c r="E2016" s="60"/>
      <c r="F2016" s="60"/>
      <c r="G2016" s="61"/>
      <c r="K2016" s="59"/>
      <c r="L2016" s="60"/>
      <c r="M2016" s="60"/>
      <c r="N2016" s="60"/>
      <c r="O2016" s="61"/>
      <c r="S2016" s="59"/>
      <c r="T2016" s="60"/>
      <c r="U2016" s="60"/>
      <c r="V2016" s="60"/>
      <c r="W2016" s="61"/>
      <c r="AA2016" s="59"/>
      <c r="AB2016" s="60"/>
      <c r="AC2016" s="60"/>
      <c r="AD2016" s="60"/>
      <c r="AE2016" s="61"/>
    </row>
    <row r="2017" spans="2:31" x14ac:dyDescent="0.25">
      <c r="B2017" s="53">
        <f t="shared" si="31"/>
        <v>401</v>
      </c>
      <c r="C2017" s="59"/>
      <c r="D2017" s="15" t="str">
        <f>IF(D2015="","","Исполнитель"&amp;": ")</f>
        <v/>
      </c>
      <c r="E2017" s="62" t="str">
        <f>IFERROR(VLOOKUP(C$13&amp;$B2017,Aux!$B:$M,4,0),"")</f>
        <v/>
      </c>
      <c r="F2017" s="62"/>
      <c r="G2017" s="63" t="str">
        <f>IFERROR(IF(VLOOKUP(C$13&amp;$B2015,Aux!$B:$M,8,0)="Да","✔","🕓"),"")</f>
        <v/>
      </c>
      <c r="K2017" s="59"/>
      <c r="L2017" s="15" t="str">
        <f>IF(L2015="","","Исполнитель"&amp;": ")</f>
        <v/>
      </c>
      <c r="M2017" s="62" t="str">
        <f>IFERROR(VLOOKUP(K$13&amp;$B2017,Aux!$B:$M,4,0),"")</f>
        <v/>
      </c>
      <c r="N2017" s="62"/>
      <c r="O2017" s="63" t="str">
        <f>IFERROR(IF(VLOOKUP(K$13&amp;$B2015,Aux!$B:$M,8,0)="Да","✔","🕓"),"")</f>
        <v/>
      </c>
      <c r="S2017" s="59"/>
      <c r="T2017" s="15" t="str">
        <f>IF(T2015="","","Исполнитель"&amp;": ")</f>
        <v/>
      </c>
      <c r="U2017" s="62" t="str">
        <f>IFERROR(VLOOKUP(S$13&amp;$B2017,Aux!$B:$M,4,0),"")</f>
        <v/>
      </c>
      <c r="V2017" s="62"/>
      <c r="W2017" s="63" t="str">
        <f>IFERROR(IF(VLOOKUP(S$13&amp;$B2015,Aux!$B:$M,8,0)="Да","✔","🕓"),"")</f>
        <v/>
      </c>
      <c r="AA2017" s="59"/>
      <c r="AB2017" s="15" t="str">
        <f>IF(AB2015="","","Исполнитель"&amp;": ")</f>
        <v/>
      </c>
      <c r="AC2017" s="62" t="str">
        <f>IFERROR(VLOOKUP(AA$13&amp;$B2017,Aux!$B:$M,4,0),"")</f>
        <v/>
      </c>
      <c r="AD2017" s="62"/>
      <c r="AE2017" s="63" t="str">
        <f>IFERROR(IF(VLOOKUP(AA$13&amp;$B2015,Aux!$B:$M,8,0)="Да","✔","🕓"),"")</f>
        <v/>
      </c>
    </row>
    <row r="2018" spans="2:31" x14ac:dyDescent="0.25">
      <c r="B2018" s="53">
        <f t="shared" si="31"/>
        <v>401</v>
      </c>
      <c r="C2018" s="59"/>
      <c r="D2018" s="16" t="str">
        <f>IF(D2015="","","Срок сдачи"&amp;": ")</f>
        <v/>
      </c>
      <c r="E2018" s="64" t="str">
        <f>IFERROR(VLOOKUP(C$13&amp;$B2018,Aux!$B:$M,6,0),"")</f>
        <v/>
      </c>
      <c r="F2018" s="64"/>
      <c r="G2018" s="63"/>
      <c r="K2018" s="59"/>
      <c r="L2018" s="16" t="str">
        <f>IF(L2015="","","Срок сдачи"&amp;": ")</f>
        <v/>
      </c>
      <c r="M2018" s="64" t="str">
        <f>IFERROR(VLOOKUP(K$13&amp;$B2018,Aux!$B:$M,6,0),"")</f>
        <v/>
      </c>
      <c r="N2018" s="64"/>
      <c r="O2018" s="63"/>
      <c r="S2018" s="59"/>
      <c r="T2018" s="16" t="str">
        <f>IF(T2015="","","Срок сдачи"&amp;": ")</f>
        <v/>
      </c>
      <c r="U2018" s="64" t="str">
        <f>IFERROR(VLOOKUP(S$13&amp;$B2018,Aux!$B:$M,6,0),"")</f>
        <v/>
      </c>
      <c r="V2018" s="64"/>
      <c r="W2018" s="63"/>
      <c r="AA2018" s="59"/>
      <c r="AB2018" s="16" t="str">
        <f>IF(AB2015="","","Срок сдачи"&amp;": ")</f>
        <v/>
      </c>
      <c r="AC2018" s="64" t="str">
        <f>IFERROR(VLOOKUP(AA$13&amp;$B2018,Aux!$B:$M,6,0),"")</f>
        <v/>
      </c>
      <c r="AD2018" s="64"/>
      <c r="AE2018" s="63"/>
    </row>
    <row r="2019" spans="2:31" x14ac:dyDescent="0.25">
      <c r="B2019" s="53">
        <f t="shared" si="31"/>
        <v>401</v>
      </c>
      <c r="C2019" s="7"/>
      <c r="D2019" s="17"/>
      <c r="E2019" s="7"/>
      <c r="F2019" s="18"/>
      <c r="G2019" s="18"/>
      <c r="K2019" s="13"/>
      <c r="L2019" s="17"/>
      <c r="M2019" s="13"/>
      <c r="N2019" s="14"/>
      <c r="O2019" s="14"/>
      <c r="S2019" s="13"/>
      <c r="T2019" s="17"/>
      <c r="U2019" s="13"/>
      <c r="V2019" s="14"/>
      <c r="W2019" s="14"/>
      <c r="AA2019" s="13"/>
      <c r="AB2019" s="17"/>
      <c r="AC2019" s="13"/>
      <c r="AD2019" s="14"/>
      <c r="AE2019" s="30"/>
    </row>
    <row r="2020" spans="2:31" x14ac:dyDescent="0.25">
      <c r="B2020" s="53">
        <f t="shared" si="31"/>
        <v>402</v>
      </c>
      <c r="C2020" s="59" t="str">
        <f>IFERROR(VLOOKUP(C$13&amp;$B2024,Aux!$B:$M,5,0),"")</f>
        <v/>
      </c>
      <c r="D2020" s="60" t="str">
        <f>IFERROR(VLOOKUP(C$13&amp;$B2020,Aux!$B:$M,3,0),"")</f>
        <v/>
      </c>
      <c r="E2020" s="60"/>
      <c r="F2020" s="60"/>
      <c r="G2020" s="61" t="str">
        <f>IFERROR(VLOOKUP(C$13&amp;$B2020,Aux!$B:$M,9,0),"")</f>
        <v/>
      </c>
      <c r="K2020" s="59" t="str">
        <f>IFERROR(VLOOKUP(K$13&amp;$B2024,Aux!$B:$M,5,0),"")</f>
        <v/>
      </c>
      <c r="L2020" s="60" t="str">
        <f>IFERROR(VLOOKUP(K$13&amp;$B2020,Aux!$B:$M,3,0),"")</f>
        <v/>
      </c>
      <c r="M2020" s="60"/>
      <c r="N2020" s="60"/>
      <c r="O2020" s="61" t="str">
        <f>IFERROR(VLOOKUP(K$13&amp;$B2020,Aux!$B:$M,9,0),"")</f>
        <v/>
      </c>
      <c r="S2020" s="59" t="str">
        <f>IFERROR(VLOOKUP(S$13&amp;$B2024,Aux!$B:$M,5,0),"")</f>
        <v/>
      </c>
      <c r="T2020" s="60" t="str">
        <f>IFERROR(VLOOKUP(S$13&amp;$B2020,Aux!$B:$M,3,0),"")</f>
        <v/>
      </c>
      <c r="U2020" s="60"/>
      <c r="V2020" s="60"/>
      <c r="W2020" s="61" t="str">
        <f>IFERROR(VLOOKUP(S$13&amp;$B2020,Aux!$B:$M,9,0),"")</f>
        <v/>
      </c>
      <c r="AA2020" s="59" t="str">
        <f>IFERROR(VLOOKUP(AA$13&amp;$B2024,Aux!$B:$M,5,0),"")</f>
        <v/>
      </c>
      <c r="AB2020" s="60" t="str">
        <f>IFERROR(VLOOKUP(AA$13&amp;$B2020,Aux!$B:$M,3,0),"")</f>
        <v/>
      </c>
      <c r="AC2020" s="60"/>
      <c r="AD2020" s="60"/>
      <c r="AE2020" s="61" t="str">
        <f>IFERROR(VLOOKUP(AA$13&amp;$B2020,Aux!$B:$M,9,0),"")</f>
        <v/>
      </c>
    </row>
    <row r="2021" spans="2:31" x14ac:dyDescent="0.25">
      <c r="B2021" s="53">
        <f t="shared" si="31"/>
        <v>402</v>
      </c>
      <c r="C2021" s="59"/>
      <c r="D2021" s="60"/>
      <c r="E2021" s="60"/>
      <c r="F2021" s="60"/>
      <c r="G2021" s="61"/>
      <c r="K2021" s="59"/>
      <c r="L2021" s="60"/>
      <c r="M2021" s="60"/>
      <c r="N2021" s="60"/>
      <c r="O2021" s="61"/>
      <c r="S2021" s="59"/>
      <c r="T2021" s="60"/>
      <c r="U2021" s="60"/>
      <c r="V2021" s="60"/>
      <c r="W2021" s="61"/>
      <c r="AA2021" s="59"/>
      <c r="AB2021" s="60"/>
      <c r="AC2021" s="60"/>
      <c r="AD2021" s="60"/>
      <c r="AE2021" s="61"/>
    </row>
    <row r="2022" spans="2:31" x14ac:dyDescent="0.25">
      <c r="B2022" s="53">
        <f t="shared" si="31"/>
        <v>402</v>
      </c>
      <c r="C2022" s="59"/>
      <c r="D2022" s="15" t="str">
        <f>IF(D2020="","","Исполнитель"&amp;": ")</f>
        <v/>
      </c>
      <c r="E2022" s="62" t="str">
        <f>IFERROR(VLOOKUP(C$13&amp;$B2022,Aux!$B:$M,4,0),"")</f>
        <v/>
      </c>
      <c r="F2022" s="62"/>
      <c r="G2022" s="63" t="str">
        <f>IFERROR(IF(VLOOKUP(C$13&amp;$B2020,Aux!$B:$M,8,0)="Да","✔","🕓"),"")</f>
        <v/>
      </c>
      <c r="K2022" s="59"/>
      <c r="L2022" s="15" t="str">
        <f>IF(L2020="","","Исполнитель"&amp;": ")</f>
        <v/>
      </c>
      <c r="M2022" s="62" t="str">
        <f>IFERROR(VLOOKUP(K$13&amp;$B2022,Aux!$B:$M,4,0),"")</f>
        <v/>
      </c>
      <c r="N2022" s="62"/>
      <c r="O2022" s="63" t="str">
        <f>IFERROR(IF(VLOOKUP(K$13&amp;$B2020,Aux!$B:$M,8,0)="Да","✔","🕓"),"")</f>
        <v/>
      </c>
      <c r="S2022" s="59"/>
      <c r="T2022" s="15" t="str">
        <f>IF(T2020="","","Исполнитель"&amp;": ")</f>
        <v/>
      </c>
      <c r="U2022" s="62" t="str">
        <f>IFERROR(VLOOKUP(S$13&amp;$B2022,Aux!$B:$M,4,0),"")</f>
        <v/>
      </c>
      <c r="V2022" s="62"/>
      <c r="W2022" s="63" t="str">
        <f>IFERROR(IF(VLOOKUP(S$13&amp;$B2020,Aux!$B:$M,8,0)="Да","✔","🕓"),"")</f>
        <v/>
      </c>
      <c r="AA2022" s="59"/>
      <c r="AB2022" s="15" t="str">
        <f>IF(AB2020="","","Исполнитель"&amp;": ")</f>
        <v/>
      </c>
      <c r="AC2022" s="62" t="str">
        <f>IFERROR(VLOOKUP(AA$13&amp;$B2022,Aux!$B:$M,4,0),"")</f>
        <v/>
      </c>
      <c r="AD2022" s="62"/>
      <c r="AE2022" s="63" t="str">
        <f>IFERROR(IF(VLOOKUP(AA$13&amp;$B2020,Aux!$B:$M,8,0)="Да","✔","🕓"),"")</f>
        <v/>
      </c>
    </row>
    <row r="2023" spans="2:31" x14ac:dyDescent="0.25">
      <c r="B2023" s="53">
        <f t="shared" si="31"/>
        <v>402</v>
      </c>
      <c r="C2023" s="59"/>
      <c r="D2023" s="16" t="str">
        <f>IF(D2020="","","Срок сдачи"&amp;": ")</f>
        <v/>
      </c>
      <c r="E2023" s="64" t="str">
        <f>IFERROR(VLOOKUP(C$13&amp;$B2023,Aux!$B:$M,6,0),"")</f>
        <v/>
      </c>
      <c r="F2023" s="64"/>
      <c r="G2023" s="63"/>
      <c r="K2023" s="59"/>
      <c r="L2023" s="16" t="str">
        <f>IF(L2020="","","Срок сдачи"&amp;": ")</f>
        <v/>
      </c>
      <c r="M2023" s="64" t="str">
        <f>IFERROR(VLOOKUP(K$13&amp;$B2023,Aux!$B:$M,6,0),"")</f>
        <v/>
      </c>
      <c r="N2023" s="64"/>
      <c r="O2023" s="63"/>
      <c r="S2023" s="59"/>
      <c r="T2023" s="16" t="str">
        <f>IF(T2020="","","Срок сдачи"&amp;": ")</f>
        <v/>
      </c>
      <c r="U2023" s="64" t="str">
        <f>IFERROR(VLOOKUP(S$13&amp;$B2023,Aux!$B:$M,6,0),"")</f>
        <v/>
      </c>
      <c r="V2023" s="64"/>
      <c r="W2023" s="63"/>
      <c r="AA2023" s="59"/>
      <c r="AB2023" s="16" t="str">
        <f>IF(AB2020="","","Срок сдачи"&amp;": ")</f>
        <v/>
      </c>
      <c r="AC2023" s="64" t="str">
        <f>IFERROR(VLOOKUP(AA$13&amp;$B2023,Aux!$B:$M,6,0),"")</f>
        <v/>
      </c>
      <c r="AD2023" s="64"/>
      <c r="AE2023" s="63"/>
    </row>
    <row r="2024" spans="2:31" x14ac:dyDescent="0.25">
      <c r="B2024" s="53">
        <f t="shared" si="31"/>
        <v>402</v>
      </c>
      <c r="C2024" s="7"/>
      <c r="D2024" s="17"/>
      <c r="E2024" s="7"/>
      <c r="F2024" s="18"/>
      <c r="G2024" s="18"/>
      <c r="K2024" s="13"/>
      <c r="L2024" s="17"/>
      <c r="M2024" s="13"/>
      <c r="N2024" s="14"/>
      <c r="O2024" s="14"/>
      <c r="S2024" s="13"/>
      <c r="T2024" s="17"/>
      <c r="U2024" s="13"/>
      <c r="V2024" s="14"/>
      <c r="W2024" s="14"/>
      <c r="AA2024" s="13"/>
      <c r="AB2024" s="17"/>
      <c r="AC2024" s="13"/>
      <c r="AD2024" s="14"/>
      <c r="AE2024" s="30"/>
    </row>
    <row r="2025" spans="2:31" x14ac:dyDescent="0.25">
      <c r="B2025" s="53">
        <f t="shared" si="31"/>
        <v>403</v>
      </c>
      <c r="C2025" s="59" t="str">
        <f>IFERROR(VLOOKUP(C$13&amp;$B2029,Aux!$B:$M,5,0),"")</f>
        <v/>
      </c>
      <c r="D2025" s="60" t="str">
        <f>IFERROR(VLOOKUP(C$13&amp;$B2025,Aux!$B:$M,3,0),"")</f>
        <v/>
      </c>
      <c r="E2025" s="60"/>
      <c r="F2025" s="60"/>
      <c r="G2025" s="61" t="str">
        <f>IFERROR(VLOOKUP(C$13&amp;$B2025,Aux!$B:$M,9,0),"")</f>
        <v/>
      </c>
      <c r="K2025" s="59" t="str">
        <f>IFERROR(VLOOKUP(K$13&amp;$B2029,Aux!$B:$M,5,0),"")</f>
        <v/>
      </c>
      <c r="L2025" s="60" t="str">
        <f>IFERROR(VLOOKUP(K$13&amp;$B2025,Aux!$B:$M,3,0),"")</f>
        <v/>
      </c>
      <c r="M2025" s="60"/>
      <c r="N2025" s="60"/>
      <c r="O2025" s="61" t="str">
        <f>IFERROR(VLOOKUP(K$13&amp;$B2025,Aux!$B:$M,9,0),"")</f>
        <v/>
      </c>
      <c r="S2025" s="59" t="str">
        <f>IFERROR(VLOOKUP(S$13&amp;$B2029,Aux!$B:$M,5,0),"")</f>
        <v/>
      </c>
      <c r="T2025" s="60" t="str">
        <f>IFERROR(VLOOKUP(S$13&amp;$B2025,Aux!$B:$M,3,0),"")</f>
        <v/>
      </c>
      <c r="U2025" s="60"/>
      <c r="V2025" s="60"/>
      <c r="W2025" s="61" t="str">
        <f>IFERROR(VLOOKUP(S$13&amp;$B2025,Aux!$B:$M,9,0),"")</f>
        <v/>
      </c>
      <c r="AA2025" s="59" t="str">
        <f>IFERROR(VLOOKUP(AA$13&amp;$B2029,Aux!$B:$M,5,0),"")</f>
        <v/>
      </c>
      <c r="AB2025" s="60" t="str">
        <f>IFERROR(VLOOKUP(AA$13&amp;$B2025,Aux!$B:$M,3,0),"")</f>
        <v/>
      </c>
      <c r="AC2025" s="60"/>
      <c r="AD2025" s="60"/>
      <c r="AE2025" s="61" t="str">
        <f>IFERROR(VLOOKUP(AA$13&amp;$B2025,Aux!$B:$M,9,0),"")</f>
        <v/>
      </c>
    </row>
    <row r="2026" spans="2:31" x14ac:dyDescent="0.25">
      <c r="B2026" s="53">
        <f t="shared" si="31"/>
        <v>403</v>
      </c>
      <c r="C2026" s="59"/>
      <c r="D2026" s="60"/>
      <c r="E2026" s="60"/>
      <c r="F2026" s="60"/>
      <c r="G2026" s="61"/>
      <c r="K2026" s="59"/>
      <c r="L2026" s="60"/>
      <c r="M2026" s="60"/>
      <c r="N2026" s="60"/>
      <c r="O2026" s="61"/>
      <c r="S2026" s="59"/>
      <c r="T2026" s="60"/>
      <c r="U2026" s="60"/>
      <c r="V2026" s="60"/>
      <c r="W2026" s="61"/>
      <c r="AA2026" s="59"/>
      <c r="AB2026" s="60"/>
      <c r="AC2026" s="60"/>
      <c r="AD2026" s="60"/>
      <c r="AE2026" s="61"/>
    </row>
    <row r="2027" spans="2:31" x14ac:dyDescent="0.25">
      <c r="B2027" s="53">
        <f t="shared" si="31"/>
        <v>403</v>
      </c>
      <c r="C2027" s="59"/>
      <c r="D2027" s="15" t="str">
        <f>IF(D2025="","","Исполнитель"&amp;": ")</f>
        <v/>
      </c>
      <c r="E2027" s="62" t="str">
        <f>IFERROR(VLOOKUP(C$13&amp;$B2027,Aux!$B:$M,4,0),"")</f>
        <v/>
      </c>
      <c r="F2027" s="62"/>
      <c r="G2027" s="63" t="str">
        <f>IFERROR(IF(VLOOKUP(C$13&amp;$B2025,Aux!$B:$M,8,0)="Да","✔","🕓"),"")</f>
        <v/>
      </c>
      <c r="K2027" s="59"/>
      <c r="L2027" s="15" t="str">
        <f>IF(L2025="","","Исполнитель"&amp;": ")</f>
        <v/>
      </c>
      <c r="M2027" s="62" t="str">
        <f>IFERROR(VLOOKUP(K$13&amp;$B2027,Aux!$B:$M,4,0),"")</f>
        <v/>
      </c>
      <c r="N2027" s="62"/>
      <c r="O2027" s="63" t="str">
        <f>IFERROR(IF(VLOOKUP(K$13&amp;$B2025,Aux!$B:$M,8,0)="Да","✔","🕓"),"")</f>
        <v/>
      </c>
      <c r="S2027" s="59"/>
      <c r="T2027" s="15" t="str">
        <f>IF(T2025="","","Исполнитель"&amp;": ")</f>
        <v/>
      </c>
      <c r="U2027" s="62" t="str">
        <f>IFERROR(VLOOKUP(S$13&amp;$B2027,Aux!$B:$M,4,0),"")</f>
        <v/>
      </c>
      <c r="V2027" s="62"/>
      <c r="W2027" s="63" t="str">
        <f>IFERROR(IF(VLOOKUP(S$13&amp;$B2025,Aux!$B:$M,8,0)="Да","✔","🕓"),"")</f>
        <v/>
      </c>
      <c r="AA2027" s="59"/>
      <c r="AB2027" s="15" t="str">
        <f>IF(AB2025="","","Исполнитель"&amp;": ")</f>
        <v/>
      </c>
      <c r="AC2027" s="62" t="str">
        <f>IFERROR(VLOOKUP(AA$13&amp;$B2027,Aux!$B:$M,4,0),"")</f>
        <v/>
      </c>
      <c r="AD2027" s="62"/>
      <c r="AE2027" s="63" t="str">
        <f>IFERROR(IF(VLOOKUP(AA$13&amp;$B2025,Aux!$B:$M,8,0)="Да","✔","🕓"),"")</f>
        <v/>
      </c>
    </row>
    <row r="2028" spans="2:31" x14ac:dyDescent="0.25">
      <c r="B2028" s="53">
        <f t="shared" si="31"/>
        <v>403</v>
      </c>
      <c r="C2028" s="59"/>
      <c r="D2028" s="16" t="str">
        <f>IF(D2025="","","Срок сдачи"&amp;": ")</f>
        <v/>
      </c>
      <c r="E2028" s="64" t="str">
        <f>IFERROR(VLOOKUP(C$13&amp;$B2028,Aux!$B:$M,6,0),"")</f>
        <v/>
      </c>
      <c r="F2028" s="64"/>
      <c r="G2028" s="63"/>
      <c r="K2028" s="59"/>
      <c r="L2028" s="16" t="str">
        <f>IF(L2025="","","Срок сдачи"&amp;": ")</f>
        <v/>
      </c>
      <c r="M2028" s="64" t="str">
        <f>IFERROR(VLOOKUP(K$13&amp;$B2028,Aux!$B:$M,6,0),"")</f>
        <v/>
      </c>
      <c r="N2028" s="64"/>
      <c r="O2028" s="63"/>
      <c r="S2028" s="59"/>
      <c r="T2028" s="16" t="str">
        <f>IF(T2025="","","Срок сдачи"&amp;": ")</f>
        <v/>
      </c>
      <c r="U2028" s="64" t="str">
        <f>IFERROR(VLOOKUP(S$13&amp;$B2028,Aux!$B:$M,6,0),"")</f>
        <v/>
      </c>
      <c r="V2028" s="64"/>
      <c r="W2028" s="63"/>
      <c r="AA2028" s="59"/>
      <c r="AB2028" s="16" t="str">
        <f>IF(AB2025="","","Срок сдачи"&amp;": ")</f>
        <v/>
      </c>
      <c r="AC2028" s="64" t="str">
        <f>IFERROR(VLOOKUP(AA$13&amp;$B2028,Aux!$B:$M,6,0),"")</f>
        <v/>
      </c>
      <c r="AD2028" s="64"/>
      <c r="AE2028" s="63"/>
    </row>
    <row r="2029" spans="2:31" x14ac:dyDescent="0.25">
      <c r="B2029" s="53">
        <f t="shared" si="31"/>
        <v>403</v>
      </c>
      <c r="C2029" s="7"/>
      <c r="D2029" s="17"/>
      <c r="E2029" s="7"/>
      <c r="F2029" s="18"/>
      <c r="G2029" s="18"/>
      <c r="K2029" s="13"/>
      <c r="L2029" s="17"/>
      <c r="M2029" s="13"/>
      <c r="N2029" s="14"/>
      <c r="O2029" s="14"/>
      <c r="S2029" s="13"/>
      <c r="T2029" s="17"/>
      <c r="U2029" s="13"/>
      <c r="V2029" s="14"/>
      <c r="W2029" s="14"/>
      <c r="AA2029" s="13"/>
      <c r="AB2029" s="17"/>
      <c r="AC2029" s="13"/>
      <c r="AD2029" s="14"/>
      <c r="AE2029" s="30"/>
    </row>
    <row r="2030" spans="2:31" x14ac:dyDescent="0.25">
      <c r="B2030" s="53">
        <f t="shared" si="31"/>
        <v>404</v>
      </c>
      <c r="C2030" s="59" t="str">
        <f>IFERROR(VLOOKUP(C$13&amp;$B2034,Aux!$B:$M,5,0),"")</f>
        <v/>
      </c>
      <c r="D2030" s="60" t="str">
        <f>IFERROR(VLOOKUP(C$13&amp;$B2030,Aux!$B:$M,3,0),"")</f>
        <v/>
      </c>
      <c r="E2030" s="60"/>
      <c r="F2030" s="60"/>
      <c r="G2030" s="61" t="str">
        <f>IFERROR(VLOOKUP(C$13&amp;$B2030,Aux!$B:$M,9,0),"")</f>
        <v/>
      </c>
      <c r="K2030" s="59" t="str">
        <f>IFERROR(VLOOKUP(K$13&amp;$B2034,Aux!$B:$M,5,0),"")</f>
        <v/>
      </c>
      <c r="L2030" s="60" t="str">
        <f>IFERROR(VLOOKUP(K$13&amp;$B2030,Aux!$B:$M,3,0),"")</f>
        <v/>
      </c>
      <c r="M2030" s="60"/>
      <c r="N2030" s="60"/>
      <c r="O2030" s="61" t="str">
        <f>IFERROR(VLOOKUP(K$13&amp;$B2030,Aux!$B:$M,9,0),"")</f>
        <v/>
      </c>
      <c r="S2030" s="59" t="str">
        <f>IFERROR(VLOOKUP(S$13&amp;$B2034,Aux!$B:$M,5,0),"")</f>
        <v/>
      </c>
      <c r="T2030" s="60" t="str">
        <f>IFERROR(VLOOKUP(S$13&amp;$B2030,Aux!$B:$M,3,0),"")</f>
        <v/>
      </c>
      <c r="U2030" s="60"/>
      <c r="V2030" s="60"/>
      <c r="W2030" s="61" t="str">
        <f>IFERROR(VLOOKUP(S$13&amp;$B2030,Aux!$B:$M,9,0),"")</f>
        <v/>
      </c>
      <c r="AA2030" s="59" t="str">
        <f>IFERROR(VLOOKUP(AA$13&amp;$B2034,Aux!$B:$M,5,0),"")</f>
        <v/>
      </c>
      <c r="AB2030" s="60" t="str">
        <f>IFERROR(VLOOKUP(AA$13&amp;$B2030,Aux!$B:$M,3,0),"")</f>
        <v/>
      </c>
      <c r="AC2030" s="60"/>
      <c r="AD2030" s="60"/>
      <c r="AE2030" s="61" t="str">
        <f>IFERROR(VLOOKUP(AA$13&amp;$B2030,Aux!$B:$M,9,0),"")</f>
        <v/>
      </c>
    </row>
    <row r="2031" spans="2:31" x14ac:dyDescent="0.25">
      <c r="B2031" s="53">
        <f t="shared" si="31"/>
        <v>404</v>
      </c>
      <c r="C2031" s="59"/>
      <c r="D2031" s="60"/>
      <c r="E2031" s="60"/>
      <c r="F2031" s="60"/>
      <c r="G2031" s="61"/>
      <c r="K2031" s="59"/>
      <c r="L2031" s="60"/>
      <c r="M2031" s="60"/>
      <c r="N2031" s="60"/>
      <c r="O2031" s="61"/>
      <c r="S2031" s="59"/>
      <c r="T2031" s="60"/>
      <c r="U2031" s="60"/>
      <c r="V2031" s="60"/>
      <c r="W2031" s="61"/>
      <c r="AA2031" s="59"/>
      <c r="AB2031" s="60"/>
      <c r="AC2031" s="60"/>
      <c r="AD2031" s="60"/>
      <c r="AE2031" s="61"/>
    </row>
    <row r="2032" spans="2:31" x14ac:dyDescent="0.25">
      <c r="B2032" s="53">
        <f t="shared" si="31"/>
        <v>404</v>
      </c>
      <c r="C2032" s="59"/>
      <c r="D2032" s="15" t="str">
        <f>IF(D2030="","","Исполнитель"&amp;": ")</f>
        <v/>
      </c>
      <c r="E2032" s="62" t="str">
        <f>IFERROR(VLOOKUP(C$13&amp;$B2032,Aux!$B:$M,4,0),"")</f>
        <v/>
      </c>
      <c r="F2032" s="62"/>
      <c r="G2032" s="63" t="str">
        <f>IFERROR(IF(VLOOKUP(C$13&amp;$B2030,Aux!$B:$M,8,0)="Да","✔","🕓"),"")</f>
        <v/>
      </c>
      <c r="K2032" s="59"/>
      <c r="L2032" s="15" t="str">
        <f>IF(L2030="","","Исполнитель"&amp;": ")</f>
        <v/>
      </c>
      <c r="M2032" s="62" t="str">
        <f>IFERROR(VLOOKUP(K$13&amp;$B2032,Aux!$B:$M,4,0),"")</f>
        <v/>
      </c>
      <c r="N2032" s="62"/>
      <c r="O2032" s="63" t="str">
        <f>IFERROR(IF(VLOOKUP(K$13&amp;$B2030,Aux!$B:$M,8,0)="Да","✔","🕓"),"")</f>
        <v/>
      </c>
      <c r="S2032" s="59"/>
      <c r="T2032" s="15" t="str">
        <f>IF(T2030="","","Исполнитель"&amp;": ")</f>
        <v/>
      </c>
      <c r="U2032" s="62" t="str">
        <f>IFERROR(VLOOKUP(S$13&amp;$B2032,Aux!$B:$M,4,0),"")</f>
        <v/>
      </c>
      <c r="V2032" s="62"/>
      <c r="W2032" s="63" t="str">
        <f>IFERROR(IF(VLOOKUP(S$13&amp;$B2030,Aux!$B:$M,8,0)="Да","✔","🕓"),"")</f>
        <v/>
      </c>
      <c r="AA2032" s="59"/>
      <c r="AB2032" s="15" t="str">
        <f>IF(AB2030="","","Исполнитель"&amp;": ")</f>
        <v/>
      </c>
      <c r="AC2032" s="62" t="str">
        <f>IFERROR(VLOOKUP(AA$13&amp;$B2032,Aux!$B:$M,4,0),"")</f>
        <v/>
      </c>
      <c r="AD2032" s="62"/>
      <c r="AE2032" s="63" t="str">
        <f>IFERROR(IF(VLOOKUP(AA$13&amp;$B2030,Aux!$B:$M,8,0)="Да","✔","🕓"),"")</f>
        <v/>
      </c>
    </row>
    <row r="2033" spans="2:31" x14ac:dyDescent="0.25">
      <c r="B2033" s="53">
        <f t="shared" si="31"/>
        <v>404</v>
      </c>
      <c r="C2033" s="59"/>
      <c r="D2033" s="16" t="str">
        <f>IF(D2030="","","Срок сдачи"&amp;": ")</f>
        <v/>
      </c>
      <c r="E2033" s="64" t="str">
        <f>IFERROR(VLOOKUP(C$13&amp;$B2033,Aux!$B:$M,6,0),"")</f>
        <v/>
      </c>
      <c r="F2033" s="64"/>
      <c r="G2033" s="63"/>
      <c r="K2033" s="59"/>
      <c r="L2033" s="16" t="str">
        <f>IF(L2030="","","Срок сдачи"&amp;": ")</f>
        <v/>
      </c>
      <c r="M2033" s="64" t="str">
        <f>IFERROR(VLOOKUP(K$13&amp;$B2033,Aux!$B:$M,6,0),"")</f>
        <v/>
      </c>
      <c r="N2033" s="64"/>
      <c r="O2033" s="63"/>
      <c r="S2033" s="59"/>
      <c r="T2033" s="16" t="str">
        <f>IF(T2030="","","Срок сдачи"&amp;": ")</f>
        <v/>
      </c>
      <c r="U2033" s="64" t="str">
        <f>IFERROR(VLOOKUP(S$13&amp;$B2033,Aux!$B:$M,6,0),"")</f>
        <v/>
      </c>
      <c r="V2033" s="64"/>
      <c r="W2033" s="63"/>
      <c r="AA2033" s="59"/>
      <c r="AB2033" s="16" t="str">
        <f>IF(AB2030="","","Срок сдачи"&amp;": ")</f>
        <v/>
      </c>
      <c r="AC2033" s="64" t="str">
        <f>IFERROR(VLOOKUP(AA$13&amp;$B2033,Aux!$B:$M,6,0),"")</f>
        <v/>
      </c>
      <c r="AD2033" s="64"/>
      <c r="AE2033" s="63"/>
    </row>
    <row r="2034" spans="2:31" x14ac:dyDescent="0.25">
      <c r="B2034" s="53">
        <f t="shared" si="31"/>
        <v>404</v>
      </c>
      <c r="C2034" s="7"/>
      <c r="D2034" s="17"/>
      <c r="E2034" s="7"/>
      <c r="F2034" s="18"/>
      <c r="G2034" s="18"/>
      <c r="K2034" s="13"/>
      <c r="L2034" s="17"/>
      <c r="M2034" s="13"/>
      <c r="N2034" s="14"/>
      <c r="O2034" s="14"/>
      <c r="S2034" s="13"/>
      <c r="T2034" s="17"/>
      <c r="U2034" s="13"/>
      <c r="V2034" s="14"/>
      <c r="W2034" s="14"/>
      <c r="AA2034" s="13"/>
      <c r="AB2034" s="17"/>
      <c r="AC2034" s="13"/>
      <c r="AD2034" s="14"/>
      <c r="AE2034" s="30"/>
    </row>
    <row r="2035" spans="2:31" x14ac:dyDescent="0.25">
      <c r="B2035" s="53">
        <f t="shared" si="31"/>
        <v>405</v>
      </c>
      <c r="C2035" s="59" t="str">
        <f>IFERROR(VLOOKUP(C$13&amp;$B2039,Aux!$B:$M,5,0),"")</f>
        <v/>
      </c>
      <c r="D2035" s="60" t="str">
        <f>IFERROR(VLOOKUP(C$13&amp;$B2035,Aux!$B:$M,3,0),"")</f>
        <v/>
      </c>
      <c r="E2035" s="60"/>
      <c r="F2035" s="60"/>
      <c r="G2035" s="61" t="str">
        <f>IFERROR(VLOOKUP(C$13&amp;$B2035,Aux!$B:$M,9,0),"")</f>
        <v/>
      </c>
      <c r="K2035" s="59" t="str">
        <f>IFERROR(VLOOKUP(K$13&amp;$B2039,Aux!$B:$M,5,0),"")</f>
        <v/>
      </c>
      <c r="L2035" s="60" t="str">
        <f>IFERROR(VLOOKUP(K$13&amp;$B2035,Aux!$B:$M,3,0),"")</f>
        <v/>
      </c>
      <c r="M2035" s="60"/>
      <c r="N2035" s="60"/>
      <c r="O2035" s="61" t="str">
        <f>IFERROR(VLOOKUP(K$13&amp;$B2035,Aux!$B:$M,9,0),"")</f>
        <v/>
      </c>
      <c r="S2035" s="59" t="str">
        <f>IFERROR(VLOOKUP(S$13&amp;$B2039,Aux!$B:$M,5,0),"")</f>
        <v/>
      </c>
      <c r="T2035" s="60" t="str">
        <f>IFERROR(VLOOKUP(S$13&amp;$B2035,Aux!$B:$M,3,0),"")</f>
        <v/>
      </c>
      <c r="U2035" s="60"/>
      <c r="V2035" s="60"/>
      <c r="W2035" s="61" t="str">
        <f>IFERROR(VLOOKUP(S$13&amp;$B2035,Aux!$B:$M,9,0),"")</f>
        <v/>
      </c>
      <c r="AA2035" s="59" t="str">
        <f>IFERROR(VLOOKUP(AA$13&amp;$B2039,Aux!$B:$M,5,0),"")</f>
        <v/>
      </c>
      <c r="AB2035" s="60" t="str">
        <f>IFERROR(VLOOKUP(AA$13&amp;$B2035,Aux!$B:$M,3,0),"")</f>
        <v/>
      </c>
      <c r="AC2035" s="60"/>
      <c r="AD2035" s="60"/>
      <c r="AE2035" s="61" t="str">
        <f>IFERROR(VLOOKUP(AA$13&amp;$B2035,Aux!$B:$M,9,0),"")</f>
        <v/>
      </c>
    </row>
    <row r="2036" spans="2:31" x14ac:dyDescent="0.25">
      <c r="B2036" s="53">
        <f t="shared" si="31"/>
        <v>405</v>
      </c>
      <c r="C2036" s="59"/>
      <c r="D2036" s="60"/>
      <c r="E2036" s="60"/>
      <c r="F2036" s="60"/>
      <c r="G2036" s="61"/>
      <c r="K2036" s="59"/>
      <c r="L2036" s="60"/>
      <c r="M2036" s="60"/>
      <c r="N2036" s="60"/>
      <c r="O2036" s="61"/>
      <c r="S2036" s="59"/>
      <c r="T2036" s="60"/>
      <c r="U2036" s="60"/>
      <c r="V2036" s="60"/>
      <c r="W2036" s="61"/>
      <c r="AA2036" s="59"/>
      <c r="AB2036" s="60"/>
      <c r="AC2036" s="60"/>
      <c r="AD2036" s="60"/>
      <c r="AE2036" s="61"/>
    </row>
    <row r="2037" spans="2:31" x14ac:dyDescent="0.25">
      <c r="B2037" s="53">
        <f t="shared" si="31"/>
        <v>405</v>
      </c>
      <c r="C2037" s="59"/>
      <c r="D2037" s="15" t="str">
        <f>IF(D2035="","","Исполнитель"&amp;": ")</f>
        <v/>
      </c>
      <c r="E2037" s="62" t="str">
        <f>IFERROR(VLOOKUP(C$13&amp;$B2037,Aux!$B:$M,4,0),"")</f>
        <v/>
      </c>
      <c r="F2037" s="62"/>
      <c r="G2037" s="63" t="str">
        <f>IFERROR(IF(VLOOKUP(C$13&amp;$B2035,Aux!$B:$M,8,0)="Да","✔","🕓"),"")</f>
        <v/>
      </c>
      <c r="K2037" s="59"/>
      <c r="L2037" s="15" t="str">
        <f>IF(L2035="","","Исполнитель"&amp;": ")</f>
        <v/>
      </c>
      <c r="M2037" s="62" t="str">
        <f>IFERROR(VLOOKUP(K$13&amp;$B2037,Aux!$B:$M,4,0),"")</f>
        <v/>
      </c>
      <c r="N2037" s="62"/>
      <c r="O2037" s="63" t="str">
        <f>IFERROR(IF(VLOOKUP(K$13&amp;$B2035,Aux!$B:$M,8,0)="Да","✔","🕓"),"")</f>
        <v/>
      </c>
      <c r="S2037" s="59"/>
      <c r="T2037" s="15" t="str">
        <f>IF(T2035="","","Исполнитель"&amp;": ")</f>
        <v/>
      </c>
      <c r="U2037" s="62" t="str">
        <f>IFERROR(VLOOKUP(S$13&amp;$B2037,Aux!$B:$M,4,0),"")</f>
        <v/>
      </c>
      <c r="V2037" s="62"/>
      <c r="W2037" s="63" t="str">
        <f>IFERROR(IF(VLOOKUP(S$13&amp;$B2035,Aux!$B:$M,8,0)="Да","✔","🕓"),"")</f>
        <v/>
      </c>
      <c r="AA2037" s="59"/>
      <c r="AB2037" s="15" t="str">
        <f>IF(AB2035="","","Исполнитель"&amp;": ")</f>
        <v/>
      </c>
      <c r="AC2037" s="62" t="str">
        <f>IFERROR(VLOOKUP(AA$13&amp;$B2037,Aux!$B:$M,4,0),"")</f>
        <v/>
      </c>
      <c r="AD2037" s="62"/>
      <c r="AE2037" s="63" t="str">
        <f>IFERROR(IF(VLOOKUP(AA$13&amp;$B2035,Aux!$B:$M,8,0)="Да","✔","🕓"),"")</f>
        <v/>
      </c>
    </row>
    <row r="2038" spans="2:31" x14ac:dyDescent="0.25">
      <c r="B2038" s="53">
        <f t="shared" si="31"/>
        <v>405</v>
      </c>
      <c r="C2038" s="59"/>
      <c r="D2038" s="16" t="str">
        <f>IF(D2035="","","Срок сдачи"&amp;": ")</f>
        <v/>
      </c>
      <c r="E2038" s="64" t="str">
        <f>IFERROR(VLOOKUP(C$13&amp;$B2038,Aux!$B:$M,6,0),"")</f>
        <v/>
      </c>
      <c r="F2038" s="64"/>
      <c r="G2038" s="63"/>
      <c r="K2038" s="59"/>
      <c r="L2038" s="16" t="str">
        <f>IF(L2035="","","Срок сдачи"&amp;": ")</f>
        <v/>
      </c>
      <c r="M2038" s="64" t="str">
        <f>IFERROR(VLOOKUP(K$13&amp;$B2038,Aux!$B:$M,6,0),"")</f>
        <v/>
      </c>
      <c r="N2038" s="64"/>
      <c r="O2038" s="63"/>
      <c r="S2038" s="59"/>
      <c r="T2038" s="16" t="str">
        <f>IF(T2035="","","Срок сдачи"&amp;": ")</f>
        <v/>
      </c>
      <c r="U2038" s="64" t="str">
        <f>IFERROR(VLOOKUP(S$13&amp;$B2038,Aux!$B:$M,6,0),"")</f>
        <v/>
      </c>
      <c r="V2038" s="64"/>
      <c r="W2038" s="63"/>
      <c r="AA2038" s="59"/>
      <c r="AB2038" s="16" t="str">
        <f>IF(AB2035="","","Срок сдачи"&amp;": ")</f>
        <v/>
      </c>
      <c r="AC2038" s="64" t="str">
        <f>IFERROR(VLOOKUP(AA$13&amp;$B2038,Aux!$B:$M,6,0),"")</f>
        <v/>
      </c>
      <c r="AD2038" s="64"/>
      <c r="AE2038" s="63"/>
    </row>
    <row r="2039" spans="2:31" x14ac:dyDescent="0.25">
      <c r="B2039" s="53">
        <f t="shared" si="31"/>
        <v>405</v>
      </c>
      <c r="C2039" s="7"/>
      <c r="D2039" s="17"/>
      <c r="E2039" s="7"/>
      <c r="F2039" s="18"/>
      <c r="G2039" s="18"/>
      <c r="K2039" s="13"/>
      <c r="L2039" s="17"/>
      <c r="M2039" s="13"/>
      <c r="N2039" s="14"/>
      <c r="O2039" s="14"/>
      <c r="S2039" s="13"/>
      <c r="T2039" s="17"/>
      <c r="U2039" s="13"/>
      <c r="V2039" s="14"/>
      <c r="W2039" s="14"/>
      <c r="AA2039" s="13"/>
      <c r="AB2039" s="17"/>
      <c r="AC2039" s="13"/>
      <c r="AD2039" s="14"/>
      <c r="AE2039" s="30"/>
    </row>
    <row r="2040" spans="2:31" x14ac:dyDescent="0.25">
      <c r="B2040" s="53">
        <f t="shared" si="31"/>
        <v>406</v>
      </c>
      <c r="C2040" s="59" t="str">
        <f>IFERROR(VLOOKUP(C$13&amp;$B2044,Aux!$B:$M,5,0),"")</f>
        <v/>
      </c>
      <c r="D2040" s="60" t="str">
        <f>IFERROR(VLOOKUP(C$13&amp;$B2040,Aux!$B:$M,3,0),"")</f>
        <v/>
      </c>
      <c r="E2040" s="60"/>
      <c r="F2040" s="60"/>
      <c r="G2040" s="61" t="str">
        <f>IFERROR(VLOOKUP(C$13&amp;$B2040,Aux!$B:$M,9,0),"")</f>
        <v/>
      </c>
      <c r="K2040" s="59" t="str">
        <f>IFERROR(VLOOKUP(K$13&amp;$B2044,Aux!$B:$M,5,0),"")</f>
        <v/>
      </c>
      <c r="L2040" s="60" t="str">
        <f>IFERROR(VLOOKUP(K$13&amp;$B2040,Aux!$B:$M,3,0),"")</f>
        <v/>
      </c>
      <c r="M2040" s="60"/>
      <c r="N2040" s="60"/>
      <c r="O2040" s="61" t="str">
        <f>IFERROR(VLOOKUP(K$13&amp;$B2040,Aux!$B:$M,9,0),"")</f>
        <v/>
      </c>
      <c r="S2040" s="59" t="str">
        <f>IFERROR(VLOOKUP(S$13&amp;$B2044,Aux!$B:$M,5,0),"")</f>
        <v/>
      </c>
      <c r="T2040" s="60" t="str">
        <f>IFERROR(VLOOKUP(S$13&amp;$B2040,Aux!$B:$M,3,0),"")</f>
        <v/>
      </c>
      <c r="U2040" s="60"/>
      <c r="V2040" s="60"/>
      <c r="W2040" s="61" t="str">
        <f>IFERROR(VLOOKUP(S$13&amp;$B2040,Aux!$B:$M,9,0),"")</f>
        <v/>
      </c>
      <c r="AA2040" s="59" t="str">
        <f>IFERROR(VLOOKUP(AA$13&amp;$B2044,Aux!$B:$M,5,0),"")</f>
        <v/>
      </c>
      <c r="AB2040" s="60" t="str">
        <f>IFERROR(VLOOKUP(AA$13&amp;$B2040,Aux!$B:$M,3,0),"")</f>
        <v/>
      </c>
      <c r="AC2040" s="60"/>
      <c r="AD2040" s="60"/>
      <c r="AE2040" s="61" t="str">
        <f>IFERROR(VLOOKUP(AA$13&amp;$B2040,Aux!$B:$M,9,0),"")</f>
        <v/>
      </c>
    </row>
    <row r="2041" spans="2:31" x14ac:dyDescent="0.25">
      <c r="B2041" s="53">
        <f t="shared" si="31"/>
        <v>406</v>
      </c>
      <c r="C2041" s="59"/>
      <c r="D2041" s="60"/>
      <c r="E2041" s="60"/>
      <c r="F2041" s="60"/>
      <c r="G2041" s="61"/>
      <c r="K2041" s="59"/>
      <c r="L2041" s="60"/>
      <c r="M2041" s="60"/>
      <c r="N2041" s="60"/>
      <c r="O2041" s="61"/>
      <c r="S2041" s="59"/>
      <c r="T2041" s="60"/>
      <c r="U2041" s="60"/>
      <c r="V2041" s="60"/>
      <c r="W2041" s="61"/>
      <c r="AA2041" s="59"/>
      <c r="AB2041" s="60"/>
      <c r="AC2041" s="60"/>
      <c r="AD2041" s="60"/>
      <c r="AE2041" s="61"/>
    </row>
    <row r="2042" spans="2:31" x14ac:dyDescent="0.25">
      <c r="B2042" s="53">
        <f t="shared" si="31"/>
        <v>406</v>
      </c>
      <c r="C2042" s="59"/>
      <c r="D2042" s="15" t="str">
        <f>IF(D2040="","","Исполнитель"&amp;": ")</f>
        <v/>
      </c>
      <c r="E2042" s="62" t="str">
        <f>IFERROR(VLOOKUP(C$13&amp;$B2042,Aux!$B:$M,4,0),"")</f>
        <v/>
      </c>
      <c r="F2042" s="62"/>
      <c r="G2042" s="63" t="str">
        <f>IFERROR(IF(VLOOKUP(C$13&amp;$B2040,Aux!$B:$M,8,0)="Да","✔","🕓"),"")</f>
        <v/>
      </c>
      <c r="K2042" s="59"/>
      <c r="L2042" s="15" t="str">
        <f>IF(L2040="","","Исполнитель"&amp;": ")</f>
        <v/>
      </c>
      <c r="M2042" s="62" t="str">
        <f>IFERROR(VLOOKUP(K$13&amp;$B2042,Aux!$B:$M,4,0),"")</f>
        <v/>
      </c>
      <c r="N2042" s="62"/>
      <c r="O2042" s="63" t="str">
        <f>IFERROR(IF(VLOOKUP(K$13&amp;$B2040,Aux!$B:$M,8,0)="Да","✔","🕓"),"")</f>
        <v/>
      </c>
      <c r="S2042" s="59"/>
      <c r="T2042" s="15" t="str">
        <f>IF(T2040="","","Исполнитель"&amp;": ")</f>
        <v/>
      </c>
      <c r="U2042" s="62" t="str">
        <f>IFERROR(VLOOKUP(S$13&amp;$B2042,Aux!$B:$M,4,0),"")</f>
        <v/>
      </c>
      <c r="V2042" s="62"/>
      <c r="W2042" s="63" t="str">
        <f>IFERROR(IF(VLOOKUP(S$13&amp;$B2040,Aux!$B:$M,8,0)="Да","✔","🕓"),"")</f>
        <v/>
      </c>
      <c r="AA2042" s="59"/>
      <c r="AB2042" s="15" t="str">
        <f>IF(AB2040="","","Исполнитель"&amp;": ")</f>
        <v/>
      </c>
      <c r="AC2042" s="62" t="str">
        <f>IFERROR(VLOOKUP(AA$13&amp;$B2042,Aux!$B:$M,4,0),"")</f>
        <v/>
      </c>
      <c r="AD2042" s="62"/>
      <c r="AE2042" s="63" t="str">
        <f>IFERROR(IF(VLOOKUP(AA$13&amp;$B2040,Aux!$B:$M,8,0)="Да","✔","🕓"),"")</f>
        <v/>
      </c>
    </row>
    <row r="2043" spans="2:31" x14ac:dyDescent="0.25">
      <c r="B2043" s="53">
        <f t="shared" si="31"/>
        <v>406</v>
      </c>
      <c r="C2043" s="59"/>
      <c r="D2043" s="16" t="str">
        <f>IF(D2040="","","Срок сдачи"&amp;": ")</f>
        <v/>
      </c>
      <c r="E2043" s="64" t="str">
        <f>IFERROR(VLOOKUP(C$13&amp;$B2043,Aux!$B:$M,6,0),"")</f>
        <v/>
      </c>
      <c r="F2043" s="64"/>
      <c r="G2043" s="63"/>
      <c r="K2043" s="59"/>
      <c r="L2043" s="16" t="str">
        <f>IF(L2040="","","Срок сдачи"&amp;": ")</f>
        <v/>
      </c>
      <c r="M2043" s="64" t="str">
        <f>IFERROR(VLOOKUP(K$13&amp;$B2043,Aux!$B:$M,6,0),"")</f>
        <v/>
      </c>
      <c r="N2043" s="64"/>
      <c r="O2043" s="63"/>
      <c r="S2043" s="59"/>
      <c r="T2043" s="16" t="str">
        <f>IF(T2040="","","Срок сдачи"&amp;": ")</f>
        <v/>
      </c>
      <c r="U2043" s="64" t="str">
        <f>IFERROR(VLOOKUP(S$13&amp;$B2043,Aux!$B:$M,6,0),"")</f>
        <v/>
      </c>
      <c r="V2043" s="64"/>
      <c r="W2043" s="63"/>
      <c r="AA2043" s="59"/>
      <c r="AB2043" s="16" t="str">
        <f>IF(AB2040="","","Срок сдачи"&amp;": ")</f>
        <v/>
      </c>
      <c r="AC2043" s="64" t="str">
        <f>IFERROR(VLOOKUP(AA$13&amp;$B2043,Aux!$B:$M,6,0),"")</f>
        <v/>
      </c>
      <c r="AD2043" s="64"/>
      <c r="AE2043" s="63"/>
    </row>
    <row r="2044" spans="2:31" x14ac:dyDescent="0.25">
      <c r="B2044" s="53">
        <f t="shared" si="31"/>
        <v>406</v>
      </c>
      <c r="C2044" s="7"/>
      <c r="D2044" s="17"/>
      <c r="E2044" s="7"/>
      <c r="F2044" s="18"/>
      <c r="G2044" s="18"/>
      <c r="K2044" s="13"/>
      <c r="L2044" s="17"/>
      <c r="M2044" s="13"/>
      <c r="N2044" s="14"/>
      <c r="O2044" s="14"/>
      <c r="S2044" s="13"/>
      <c r="T2044" s="17"/>
      <c r="U2044" s="13"/>
      <c r="V2044" s="14"/>
      <c r="W2044" s="14"/>
      <c r="AA2044" s="13"/>
      <c r="AB2044" s="17"/>
      <c r="AC2044" s="13"/>
      <c r="AD2044" s="14"/>
      <c r="AE2044" s="30"/>
    </row>
    <row r="2045" spans="2:31" x14ac:dyDescent="0.25">
      <c r="B2045" s="53">
        <f t="shared" si="31"/>
        <v>407</v>
      </c>
      <c r="C2045" s="59" t="str">
        <f>IFERROR(VLOOKUP(C$13&amp;$B2049,Aux!$B:$M,5,0),"")</f>
        <v/>
      </c>
      <c r="D2045" s="60" t="str">
        <f>IFERROR(VLOOKUP(C$13&amp;$B2045,Aux!$B:$M,3,0),"")</f>
        <v/>
      </c>
      <c r="E2045" s="60"/>
      <c r="F2045" s="60"/>
      <c r="G2045" s="61" t="str">
        <f>IFERROR(VLOOKUP(C$13&amp;$B2045,Aux!$B:$M,9,0),"")</f>
        <v/>
      </c>
      <c r="K2045" s="59" t="str">
        <f>IFERROR(VLOOKUP(K$13&amp;$B2049,Aux!$B:$M,5,0),"")</f>
        <v/>
      </c>
      <c r="L2045" s="60" t="str">
        <f>IFERROR(VLOOKUP(K$13&amp;$B2045,Aux!$B:$M,3,0),"")</f>
        <v/>
      </c>
      <c r="M2045" s="60"/>
      <c r="N2045" s="60"/>
      <c r="O2045" s="61" t="str">
        <f>IFERROR(VLOOKUP(K$13&amp;$B2045,Aux!$B:$M,9,0),"")</f>
        <v/>
      </c>
      <c r="S2045" s="59" t="str">
        <f>IFERROR(VLOOKUP(S$13&amp;$B2049,Aux!$B:$M,5,0),"")</f>
        <v/>
      </c>
      <c r="T2045" s="60" t="str">
        <f>IFERROR(VLOOKUP(S$13&amp;$B2045,Aux!$B:$M,3,0),"")</f>
        <v/>
      </c>
      <c r="U2045" s="60"/>
      <c r="V2045" s="60"/>
      <c r="W2045" s="61" t="str">
        <f>IFERROR(VLOOKUP(S$13&amp;$B2045,Aux!$B:$M,9,0),"")</f>
        <v/>
      </c>
      <c r="AA2045" s="59" t="str">
        <f>IFERROR(VLOOKUP(AA$13&amp;$B2049,Aux!$B:$M,5,0),"")</f>
        <v/>
      </c>
      <c r="AB2045" s="60" t="str">
        <f>IFERROR(VLOOKUP(AA$13&amp;$B2045,Aux!$B:$M,3,0),"")</f>
        <v/>
      </c>
      <c r="AC2045" s="60"/>
      <c r="AD2045" s="60"/>
      <c r="AE2045" s="61" t="str">
        <f>IFERROR(VLOOKUP(AA$13&amp;$B2045,Aux!$B:$M,9,0),"")</f>
        <v/>
      </c>
    </row>
    <row r="2046" spans="2:31" x14ac:dyDescent="0.25">
      <c r="B2046" s="53">
        <f t="shared" si="31"/>
        <v>407</v>
      </c>
      <c r="C2046" s="59"/>
      <c r="D2046" s="60"/>
      <c r="E2046" s="60"/>
      <c r="F2046" s="60"/>
      <c r="G2046" s="61"/>
      <c r="K2046" s="59"/>
      <c r="L2046" s="60"/>
      <c r="M2046" s="60"/>
      <c r="N2046" s="60"/>
      <c r="O2046" s="61"/>
      <c r="S2046" s="59"/>
      <c r="T2046" s="60"/>
      <c r="U2046" s="60"/>
      <c r="V2046" s="60"/>
      <c r="W2046" s="61"/>
      <c r="AA2046" s="59"/>
      <c r="AB2046" s="60"/>
      <c r="AC2046" s="60"/>
      <c r="AD2046" s="60"/>
      <c r="AE2046" s="61"/>
    </row>
    <row r="2047" spans="2:31" x14ac:dyDescent="0.25">
      <c r="B2047" s="53">
        <f t="shared" si="31"/>
        <v>407</v>
      </c>
      <c r="C2047" s="59"/>
      <c r="D2047" s="15" t="str">
        <f>IF(D2045="","","Исполнитель"&amp;": ")</f>
        <v/>
      </c>
      <c r="E2047" s="62" t="str">
        <f>IFERROR(VLOOKUP(C$13&amp;$B2047,Aux!$B:$M,4,0),"")</f>
        <v/>
      </c>
      <c r="F2047" s="62"/>
      <c r="G2047" s="63" t="str">
        <f>IFERROR(IF(VLOOKUP(C$13&amp;$B2045,Aux!$B:$M,8,0)="Да","✔","🕓"),"")</f>
        <v/>
      </c>
      <c r="K2047" s="59"/>
      <c r="L2047" s="15" t="str">
        <f>IF(L2045="","","Исполнитель"&amp;": ")</f>
        <v/>
      </c>
      <c r="M2047" s="62" t="str">
        <f>IFERROR(VLOOKUP(K$13&amp;$B2047,Aux!$B:$M,4,0),"")</f>
        <v/>
      </c>
      <c r="N2047" s="62"/>
      <c r="O2047" s="63" t="str">
        <f>IFERROR(IF(VLOOKUP(K$13&amp;$B2045,Aux!$B:$M,8,0)="Да","✔","🕓"),"")</f>
        <v/>
      </c>
      <c r="S2047" s="59"/>
      <c r="T2047" s="15" t="str">
        <f>IF(T2045="","","Исполнитель"&amp;": ")</f>
        <v/>
      </c>
      <c r="U2047" s="62" t="str">
        <f>IFERROR(VLOOKUP(S$13&amp;$B2047,Aux!$B:$M,4,0),"")</f>
        <v/>
      </c>
      <c r="V2047" s="62"/>
      <c r="W2047" s="63" t="str">
        <f>IFERROR(IF(VLOOKUP(S$13&amp;$B2045,Aux!$B:$M,8,0)="Да","✔","🕓"),"")</f>
        <v/>
      </c>
      <c r="AA2047" s="59"/>
      <c r="AB2047" s="15" t="str">
        <f>IF(AB2045="","","Исполнитель"&amp;": ")</f>
        <v/>
      </c>
      <c r="AC2047" s="62" t="str">
        <f>IFERROR(VLOOKUP(AA$13&amp;$B2047,Aux!$B:$M,4,0),"")</f>
        <v/>
      </c>
      <c r="AD2047" s="62"/>
      <c r="AE2047" s="63" t="str">
        <f>IFERROR(IF(VLOOKUP(AA$13&amp;$B2045,Aux!$B:$M,8,0)="Да","✔","🕓"),"")</f>
        <v/>
      </c>
    </row>
    <row r="2048" spans="2:31" x14ac:dyDescent="0.25">
      <c r="B2048" s="53">
        <f t="shared" si="31"/>
        <v>407</v>
      </c>
      <c r="C2048" s="59"/>
      <c r="D2048" s="16" t="str">
        <f>IF(D2045="","","Срок сдачи"&amp;": ")</f>
        <v/>
      </c>
      <c r="E2048" s="64" t="str">
        <f>IFERROR(VLOOKUP(C$13&amp;$B2048,Aux!$B:$M,6,0),"")</f>
        <v/>
      </c>
      <c r="F2048" s="64"/>
      <c r="G2048" s="63"/>
      <c r="K2048" s="59"/>
      <c r="L2048" s="16" t="str">
        <f>IF(L2045="","","Срок сдачи"&amp;": ")</f>
        <v/>
      </c>
      <c r="M2048" s="64" t="str">
        <f>IFERROR(VLOOKUP(K$13&amp;$B2048,Aux!$B:$M,6,0),"")</f>
        <v/>
      </c>
      <c r="N2048" s="64"/>
      <c r="O2048" s="63"/>
      <c r="S2048" s="59"/>
      <c r="T2048" s="16" t="str">
        <f>IF(T2045="","","Срок сдачи"&amp;": ")</f>
        <v/>
      </c>
      <c r="U2048" s="64" t="str">
        <f>IFERROR(VLOOKUP(S$13&amp;$B2048,Aux!$B:$M,6,0),"")</f>
        <v/>
      </c>
      <c r="V2048" s="64"/>
      <c r="W2048" s="63"/>
      <c r="AA2048" s="59"/>
      <c r="AB2048" s="16" t="str">
        <f>IF(AB2045="","","Срок сдачи"&amp;": ")</f>
        <v/>
      </c>
      <c r="AC2048" s="64" t="str">
        <f>IFERROR(VLOOKUP(AA$13&amp;$B2048,Aux!$B:$M,6,0),"")</f>
        <v/>
      </c>
      <c r="AD2048" s="64"/>
      <c r="AE2048" s="63"/>
    </row>
    <row r="2049" spans="2:31" x14ac:dyDescent="0.25">
      <c r="B2049" s="53">
        <f t="shared" si="31"/>
        <v>407</v>
      </c>
      <c r="C2049" s="7"/>
      <c r="D2049" s="17"/>
      <c r="E2049" s="7"/>
      <c r="F2049" s="18"/>
      <c r="G2049" s="18"/>
      <c r="K2049" s="13"/>
      <c r="L2049" s="17"/>
      <c r="M2049" s="13"/>
      <c r="N2049" s="14"/>
      <c r="O2049" s="14"/>
      <c r="S2049" s="13"/>
      <c r="T2049" s="17"/>
      <c r="U2049" s="13"/>
      <c r="V2049" s="14"/>
      <c r="W2049" s="14"/>
      <c r="AA2049" s="13"/>
      <c r="AB2049" s="17"/>
      <c r="AC2049" s="13"/>
      <c r="AD2049" s="14"/>
      <c r="AE2049" s="30"/>
    </row>
    <row r="2050" spans="2:31" x14ac:dyDescent="0.25">
      <c r="B2050" s="53">
        <f t="shared" si="31"/>
        <v>408</v>
      </c>
      <c r="C2050" s="59" t="str">
        <f>IFERROR(VLOOKUP(C$13&amp;$B2054,Aux!$B:$M,5,0),"")</f>
        <v/>
      </c>
      <c r="D2050" s="60" t="str">
        <f>IFERROR(VLOOKUP(C$13&amp;$B2050,Aux!$B:$M,3,0),"")</f>
        <v/>
      </c>
      <c r="E2050" s="60"/>
      <c r="F2050" s="60"/>
      <c r="G2050" s="61" t="str">
        <f>IFERROR(VLOOKUP(C$13&amp;$B2050,Aux!$B:$M,9,0),"")</f>
        <v/>
      </c>
      <c r="K2050" s="59" t="str">
        <f>IFERROR(VLOOKUP(K$13&amp;$B2054,Aux!$B:$M,5,0),"")</f>
        <v/>
      </c>
      <c r="L2050" s="60" t="str">
        <f>IFERROR(VLOOKUP(K$13&amp;$B2050,Aux!$B:$M,3,0),"")</f>
        <v/>
      </c>
      <c r="M2050" s="60"/>
      <c r="N2050" s="60"/>
      <c r="O2050" s="61" t="str">
        <f>IFERROR(VLOOKUP(K$13&amp;$B2050,Aux!$B:$M,9,0),"")</f>
        <v/>
      </c>
      <c r="S2050" s="59" t="str">
        <f>IFERROR(VLOOKUP(S$13&amp;$B2054,Aux!$B:$M,5,0),"")</f>
        <v/>
      </c>
      <c r="T2050" s="60" t="str">
        <f>IFERROR(VLOOKUP(S$13&amp;$B2050,Aux!$B:$M,3,0),"")</f>
        <v/>
      </c>
      <c r="U2050" s="60"/>
      <c r="V2050" s="60"/>
      <c r="W2050" s="61" t="str">
        <f>IFERROR(VLOOKUP(S$13&amp;$B2050,Aux!$B:$M,9,0),"")</f>
        <v/>
      </c>
      <c r="AA2050" s="59" t="str">
        <f>IFERROR(VLOOKUP(AA$13&amp;$B2054,Aux!$B:$M,5,0),"")</f>
        <v/>
      </c>
      <c r="AB2050" s="60" t="str">
        <f>IFERROR(VLOOKUP(AA$13&amp;$B2050,Aux!$B:$M,3,0),"")</f>
        <v/>
      </c>
      <c r="AC2050" s="60"/>
      <c r="AD2050" s="60"/>
      <c r="AE2050" s="61" t="str">
        <f>IFERROR(VLOOKUP(AA$13&amp;$B2050,Aux!$B:$M,9,0),"")</f>
        <v/>
      </c>
    </row>
    <row r="2051" spans="2:31" x14ac:dyDescent="0.25">
      <c r="B2051" s="53">
        <f t="shared" si="31"/>
        <v>408</v>
      </c>
      <c r="C2051" s="59"/>
      <c r="D2051" s="60"/>
      <c r="E2051" s="60"/>
      <c r="F2051" s="60"/>
      <c r="G2051" s="61"/>
      <c r="K2051" s="59"/>
      <c r="L2051" s="60"/>
      <c r="M2051" s="60"/>
      <c r="N2051" s="60"/>
      <c r="O2051" s="61"/>
      <c r="S2051" s="59"/>
      <c r="T2051" s="60"/>
      <c r="U2051" s="60"/>
      <c r="V2051" s="60"/>
      <c r="W2051" s="61"/>
      <c r="AA2051" s="59"/>
      <c r="AB2051" s="60"/>
      <c r="AC2051" s="60"/>
      <c r="AD2051" s="60"/>
      <c r="AE2051" s="61"/>
    </row>
    <row r="2052" spans="2:31" x14ac:dyDescent="0.25">
      <c r="B2052" s="53">
        <f t="shared" si="31"/>
        <v>408</v>
      </c>
      <c r="C2052" s="59"/>
      <c r="D2052" s="15" t="str">
        <f>IF(D2050="","","Исполнитель"&amp;": ")</f>
        <v/>
      </c>
      <c r="E2052" s="62" t="str">
        <f>IFERROR(VLOOKUP(C$13&amp;$B2052,Aux!$B:$M,4,0),"")</f>
        <v/>
      </c>
      <c r="F2052" s="62"/>
      <c r="G2052" s="63" t="str">
        <f>IFERROR(IF(VLOOKUP(C$13&amp;$B2050,Aux!$B:$M,8,0)="Да","✔","🕓"),"")</f>
        <v/>
      </c>
      <c r="K2052" s="59"/>
      <c r="L2052" s="15" t="str">
        <f>IF(L2050="","","Исполнитель"&amp;": ")</f>
        <v/>
      </c>
      <c r="M2052" s="62" t="str">
        <f>IFERROR(VLOOKUP(K$13&amp;$B2052,Aux!$B:$M,4,0),"")</f>
        <v/>
      </c>
      <c r="N2052" s="62"/>
      <c r="O2052" s="63" t="str">
        <f>IFERROR(IF(VLOOKUP(K$13&amp;$B2050,Aux!$B:$M,8,0)="Да","✔","🕓"),"")</f>
        <v/>
      </c>
      <c r="S2052" s="59"/>
      <c r="T2052" s="15" t="str">
        <f>IF(T2050="","","Исполнитель"&amp;": ")</f>
        <v/>
      </c>
      <c r="U2052" s="62" t="str">
        <f>IFERROR(VLOOKUP(S$13&amp;$B2052,Aux!$B:$M,4,0),"")</f>
        <v/>
      </c>
      <c r="V2052" s="62"/>
      <c r="W2052" s="63" t="str">
        <f>IFERROR(IF(VLOOKUP(S$13&amp;$B2050,Aux!$B:$M,8,0)="Да","✔","🕓"),"")</f>
        <v/>
      </c>
      <c r="AA2052" s="59"/>
      <c r="AB2052" s="15" t="str">
        <f>IF(AB2050="","","Исполнитель"&amp;": ")</f>
        <v/>
      </c>
      <c r="AC2052" s="62" t="str">
        <f>IFERROR(VLOOKUP(AA$13&amp;$B2052,Aux!$B:$M,4,0),"")</f>
        <v/>
      </c>
      <c r="AD2052" s="62"/>
      <c r="AE2052" s="63" t="str">
        <f>IFERROR(IF(VLOOKUP(AA$13&amp;$B2050,Aux!$B:$M,8,0)="Да","✔","🕓"),"")</f>
        <v/>
      </c>
    </row>
    <row r="2053" spans="2:31" x14ac:dyDescent="0.25">
      <c r="B2053" s="53">
        <f t="shared" si="31"/>
        <v>408</v>
      </c>
      <c r="C2053" s="59"/>
      <c r="D2053" s="16" t="str">
        <f>IF(D2050="","","Срок сдачи"&amp;": ")</f>
        <v/>
      </c>
      <c r="E2053" s="64" t="str">
        <f>IFERROR(VLOOKUP(C$13&amp;$B2053,Aux!$B:$M,6,0),"")</f>
        <v/>
      </c>
      <c r="F2053" s="64"/>
      <c r="G2053" s="63"/>
      <c r="K2053" s="59"/>
      <c r="L2053" s="16" t="str">
        <f>IF(L2050="","","Срок сдачи"&amp;": ")</f>
        <v/>
      </c>
      <c r="M2053" s="64" t="str">
        <f>IFERROR(VLOOKUP(K$13&amp;$B2053,Aux!$B:$M,6,0),"")</f>
        <v/>
      </c>
      <c r="N2053" s="64"/>
      <c r="O2053" s="63"/>
      <c r="S2053" s="59"/>
      <c r="T2053" s="16" t="str">
        <f>IF(T2050="","","Срок сдачи"&amp;": ")</f>
        <v/>
      </c>
      <c r="U2053" s="64" t="str">
        <f>IFERROR(VLOOKUP(S$13&amp;$B2053,Aux!$B:$M,6,0),"")</f>
        <v/>
      </c>
      <c r="V2053" s="64"/>
      <c r="W2053" s="63"/>
      <c r="AA2053" s="59"/>
      <c r="AB2053" s="16" t="str">
        <f>IF(AB2050="","","Срок сдачи"&amp;": ")</f>
        <v/>
      </c>
      <c r="AC2053" s="64" t="str">
        <f>IFERROR(VLOOKUP(AA$13&amp;$B2053,Aux!$B:$M,6,0),"")</f>
        <v/>
      </c>
      <c r="AD2053" s="64"/>
      <c r="AE2053" s="63"/>
    </row>
    <row r="2054" spans="2:31" x14ac:dyDescent="0.25">
      <c r="B2054" s="53">
        <f t="shared" si="31"/>
        <v>408</v>
      </c>
      <c r="C2054" s="7"/>
      <c r="D2054" s="17"/>
      <c r="E2054" s="7"/>
      <c r="F2054" s="18"/>
      <c r="G2054" s="18"/>
      <c r="K2054" s="13"/>
      <c r="L2054" s="17"/>
      <c r="M2054" s="13"/>
      <c r="N2054" s="14"/>
      <c r="O2054" s="14"/>
      <c r="S2054" s="13"/>
      <c r="T2054" s="17"/>
      <c r="U2054" s="13"/>
      <c r="V2054" s="14"/>
      <c r="W2054" s="14"/>
      <c r="AA2054" s="13"/>
      <c r="AB2054" s="17"/>
      <c r="AC2054" s="13"/>
      <c r="AD2054" s="14"/>
      <c r="AE2054" s="30"/>
    </row>
    <row r="2055" spans="2:31" x14ac:dyDescent="0.25">
      <c r="B2055" s="53">
        <f t="shared" si="31"/>
        <v>409</v>
      </c>
      <c r="C2055" s="59" t="str">
        <f>IFERROR(VLOOKUP(C$13&amp;$B2059,Aux!$B:$M,5,0),"")</f>
        <v/>
      </c>
      <c r="D2055" s="60" t="str">
        <f>IFERROR(VLOOKUP(C$13&amp;$B2055,Aux!$B:$M,3,0),"")</f>
        <v/>
      </c>
      <c r="E2055" s="60"/>
      <c r="F2055" s="60"/>
      <c r="G2055" s="61" t="str">
        <f>IFERROR(VLOOKUP(C$13&amp;$B2055,Aux!$B:$M,9,0),"")</f>
        <v/>
      </c>
      <c r="K2055" s="59" t="str">
        <f>IFERROR(VLOOKUP(K$13&amp;$B2059,Aux!$B:$M,5,0),"")</f>
        <v/>
      </c>
      <c r="L2055" s="60" t="str">
        <f>IFERROR(VLOOKUP(K$13&amp;$B2055,Aux!$B:$M,3,0),"")</f>
        <v/>
      </c>
      <c r="M2055" s="60"/>
      <c r="N2055" s="60"/>
      <c r="O2055" s="61" t="str">
        <f>IFERROR(VLOOKUP(K$13&amp;$B2055,Aux!$B:$M,9,0),"")</f>
        <v/>
      </c>
      <c r="S2055" s="59" t="str">
        <f>IFERROR(VLOOKUP(S$13&amp;$B2059,Aux!$B:$M,5,0),"")</f>
        <v/>
      </c>
      <c r="T2055" s="60" t="str">
        <f>IFERROR(VLOOKUP(S$13&amp;$B2055,Aux!$B:$M,3,0),"")</f>
        <v/>
      </c>
      <c r="U2055" s="60"/>
      <c r="V2055" s="60"/>
      <c r="W2055" s="61" t="str">
        <f>IFERROR(VLOOKUP(S$13&amp;$B2055,Aux!$B:$M,9,0),"")</f>
        <v/>
      </c>
      <c r="AA2055" s="59" t="str">
        <f>IFERROR(VLOOKUP(AA$13&amp;$B2059,Aux!$B:$M,5,0),"")</f>
        <v/>
      </c>
      <c r="AB2055" s="60" t="str">
        <f>IFERROR(VLOOKUP(AA$13&amp;$B2055,Aux!$B:$M,3,0),"")</f>
        <v/>
      </c>
      <c r="AC2055" s="60"/>
      <c r="AD2055" s="60"/>
      <c r="AE2055" s="61" t="str">
        <f>IFERROR(VLOOKUP(AA$13&amp;$B2055,Aux!$B:$M,9,0),"")</f>
        <v/>
      </c>
    </row>
    <row r="2056" spans="2:31" x14ac:dyDescent="0.25">
      <c r="B2056" s="53">
        <f t="shared" si="31"/>
        <v>409</v>
      </c>
      <c r="C2056" s="59"/>
      <c r="D2056" s="60"/>
      <c r="E2056" s="60"/>
      <c r="F2056" s="60"/>
      <c r="G2056" s="61"/>
      <c r="K2056" s="59"/>
      <c r="L2056" s="60"/>
      <c r="M2056" s="60"/>
      <c r="N2056" s="60"/>
      <c r="O2056" s="61"/>
      <c r="S2056" s="59"/>
      <c r="T2056" s="60"/>
      <c r="U2056" s="60"/>
      <c r="V2056" s="60"/>
      <c r="W2056" s="61"/>
      <c r="AA2056" s="59"/>
      <c r="AB2056" s="60"/>
      <c r="AC2056" s="60"/>
      <c r="AD2056" s="60"/>
      <c r="AE2056" s="61"/>
    </row>
    <row r="2057" spans="2:31" x14ac:dyDescent="0.25">
      <c r="B2057" s="53">
        <f t="shared" si="31"/>
        <v>409</v>
      </c>
      <c r="C2057" s="59"/>
      <c r="D2057" s="15" t="str">
        <f>IF(D2055="","","Исполнитель"&amp;": ")</f>
        <v/>
      </c>
      <c r="E2057" s="62" t="str">
        <f>IFERROR(VLOOKUP(C$13&amp;$B2057,Aux!$B:$M,4,0),"")</f>
        <v/>
      </c>
      <c r="F2057" s="62"/>
      <c r="G2057" s="63" t="str">
        <f>IFERROR(IF(VLOOKUP(C$13&amp;$B2055,Aux!$B:$M,8,0)="Да","✔","🕓"),"")</f>
        <v/>
      </c>
      <c r="K2057" s="59"/>
      <c r="L2057" s="15" t="str">
        <f>IF(L2055="","","Исполнитель"&amp;": ")</f>
        <v/>
      </c>
      <c r="M2057" s="62" t="str">
        <f>IFERROR(VLOOKUP(K$13&amp;$B2057,Aux!$B:$M,4,0),"")</f>
        <v/>
      </c>
      <c r="N2057" s="62"/>
      <c r="O2057" s="63" t="str">
        <f>IFERROR(IF(VLOOKUP(K$13&amp;$B2055,Aux!$B:$M,8,0)="Да","✔","🕓"),"")</f>
        <v/>
      </c>
      <c r="S2057" s="59"/>
      <c r="T2057" s="15" t="str">
        <f>IF(T2055="","","Исполнитель"&amp;": ")</f>
        <v/>
      </c>
      <c r="U2057" s="62" t="str">
        <f>IFERROR(VLOOKUP(S$13&amp;$B2057,Aux!$B:$M,4,0),"")</f>
        <v/>
      </c>
      <c r="V2057" s="62"/>
      <c r="W2057" s="63" t="str">
        <f>IFERROR(IF(VLOOKUP(S$13&amp;$B2055,Aux!$B:$M,8,0)="Да","✔","🕓"),"")</f>
        <v/>
      </c>
      <c r="AA2057" s="59"/>
      <c r="AB2057" s="15" t="str">
        <f>IF(AB2055="","","Исполнитель"&amp;": ")</f>
        <v/>
      </c>
      <c r="AC2057" s="62" t="str">
        <f>IFERROR(VLOOKUP(AA$13&amp;$B2057,Aux!$B:$M,4,0),"")</f>
        <v/>
      </c>
      <c r="AD2057" s="62"/>
      <c r="AE2057" s="63" t="str">
        <f>IFERROR(IF(VLOOKUP(AA$13&amp;$B2055,Aux!$B:$M,8,0)="Да","✔","🕓"),"")</f>
        <v/>
      </c>
    </row>
    <row r="2058" spans="2:31" x14ac:dyDescent="0.25">
      <c r="B2058" s="53">
        <f t="shared" si="31"/>
        <v>409</v>
      </c>
      <c r="C2058" s="59"/>
      <c r="D2058" s="16" t="str">
        <f>IF(D2055="","","Срок сдачи"&amp;": ")</f>
        <v/>
      </c>
      <c r="E2058" s="64" t="str">
        <f>IFERROR(VLOOKUP(C$13&amp;$B2058,Aux!$B:$M,6,0),"")</f>
        <v/>
      </c>
      <c r="F2058" s="64"/>
      <c r="G2058" s="63"/>
      <c r="K2058" s="59"/>
      <c r="L2058" s="16" t="str">
        <f>IF(L2055="","","Срок сдачи"&amp;": ")</f>
        <v/>
      </c>
      <c r="M2058" s="64" t="str">
        <f>IFERROR(VLOOKUP(K$13&amp;$B2058,Aux!$B:$M,6,0),"")</f>
        <v/>
      </c>
      <c r="N2058" s="64"/>
      <c r="O2058" s="63"/>
      <c r="S2058" s="59"/>
      <c r="T2058" s="16" t="str">
        <f>IF(T2055="","","Срок сдачи"&amp;": ")</f>
        <v/>
      </c>
      <c r="U2058" s="64" t="str">
        <f>IFERROR(VLOOKUP(S$13&amp;$B2058,Aux!$B:$M,6,0),"")</f>
        <v/>
      </c>
      <c r="V2058" s="64"/>
      <c r="W2058" s="63"/>
      <c r="AA2058" s="59"/>
      <c r="AB2058" s="16" t="str">
        <f>IF(AB2055="","","Срок сдачи"&amp;": ")</f>
        <v/>
      </c>
      <c r="AC2058" s="64" t="str">
        <f>IFERROR(VLOOKUP(AA$13&amp;$B2058,Aux!$B:$M,6,0),"")</f>
        <v/>
      </c>
      <c r="AD2058" s="64"/>
      <c r="AE2058" s="63"/>
    </row>
    <row r="2059" spans="2:31" x14ac:dyDescent="0.25">
      <c r="B2059" s="53">
        <f t="shared" si="31"/>
        <v>409</v>
      </c>
      <c r="C2059" s="7"/>
      <c r="D2059" s="17"/>
      <c r="E2059" s="7"/>
      <c r="F2059" s="18"/>
      <c r="G2059" s="18"/>
      <c r="K2059" s="13"/>
      <c r="L2059" s="17"/>
      <c r="M2059" s="13"/>
      <c r="N2059" s="14"/>
      <c r="O2059" s="14"/>
      <c r="S2059" s="13"/>
      <c r="T2059" s="17"/>
      <c r="U2059" s="13"/>
      <c r="V2059" s="14"/>
      <c r="W2059" s="14"/>
      <c r="AA2059" s="13"/>
      <c r="AB2059" s="17"/>
      <c r="AC2059" s="13"/>
      <c r="AD2059" s="14"/>
      <c r="AE2059" s="30"/>
    </row>
    <row r="2060" spans="2:31" x14ac:dyDescent="0.25">
      <c r="B2060" s="53">
        <f t="shared" si="31"/>
        <v>410</v>
      </c>
      <c r="C2060" s="59" t="str">
        <f>IFERROR(VLOOKUP(C$13&amp;$B2064,Aux!$B:$M,5,0),"")</f>
        <v/>
      </c>
      <c r="D2060" s="60" t="str">
        <f>IFERROR(VLOOKUP(C$13&amp;$B2060,Aux!$B:$M,3,0),"")</f>
        <v/>
      </c>
      <c r="E2060" s="60"/>
      <c r="F2060" s="60"/>
      <c r="G2060" s="61" t="str">
        <f>IFERROR(VLOOKUP(C$13&amp;$B2060,Aux!$B:$M,9,0),"")</f>
        <v/>
      </c>
      <c r="K2060" s="59" t="str">
        <f>IFERROR(VLOOKUP(K$13&amp;$B2064,Aux!$B:$M,5,0),"")</f>
        <v/>
      </c>
      <c r="L2060" s="60" t="str">
        <f>IFERROR(VLOOKUP(K$13&amp;$B2060,Aux!$B:$M,3,0),"")</f>
        <v/>
      </c>
      <c r="M2060" s="60"/>
      <c r="N2060" s="60"/>
      <c r="O2060" s="61" t="str">
        <f>IFERROR(VLOOKUP(K$13&amp;$B2060,Aux!$B:$M,9,0),"")</f>
        <v/>
      </c>
      <c r="S2060" s="59" t="str">
        <f>IFERROR(VLOOKUP(S$13&amp;$B2064,Aux!$B:$M,5,0),"")</f>
        <v/>
      </c>
      <c r="T2060" s="60" t="str">
        <f>IFERROR(VLOOKUP(S$13&amp;$B2060,Aux!$B:$M,3,0),"")</f>
        <v/>
      </c>
      <c r="U2060" s="60"/>
      <c r="V2060" s="60"/>
      <c r="W2060" s="61" t="str">
        <f>IFERROR(VLOOKUP(S$13&amp;$B2060,Aux!$B:$M,9,0),"")</f>
        <v/>
      </c>
      <c r="AA2060" s="59" t="str">
        <f>IFERROR(VLOOKUP(AA$13&amp;$B2064,Aux!$B:$M,5,0),"")</f>
        <v/>
      </c>
      <c r="AB2060" s="60" t="str">
        <f>IFERROR(VLOOKUP(AA$13&amp;$B2060,Aux!$B:$M,3,0),"")</f>
        <v/>
      </c>
      <c r="AC2060" s="60"/>
      <c r="AD2060" s="60"/>
      <c r="AE2060" s="61" t="str">
        <f>IFERROR(VLOOKUP(AA$13&amp;$B2060,Aux!$B:$M,9,0),"")</f>
        <v/>
      </c>
    </row>
    <row r="2061" spans="2:31" x14ac:dyDescent="0.25">
      <c r="B2061" s="53">
        <f t="shared" si="31"/>
        <v>410</v>
      </c>
      <c r="C2061" s="59"/>
      <c r="D2061" s="60"/>
      <c r="E2061" s="60"/>
      <c r="F2061" s="60"/>
      <c r="G2061" s="61"/>
      <c r="K2061" s="59"/>
      <c r="L2061" s="60"/>
      <c r="M2061" s="60"/>
      <c r="N2061" s="60"/>
      <c r="O2061" s="61"/>
      <c r="S2061" s="59"/>
      <c r="T2061" s="60"/>
      <c r="U2061" s="60"/>
      <c r="V2061" s="60"/>
      <c r="W2061" s="61"/>
      <c r="AA2061" s="59"/>
      <c r="AB2061" s="60"/>
      <c r="AC2061" s="60"/>
      <c r="AD2061" s="60"/>
      <c r="AE2061" s="61"/>
    </row>
    <row r="2062" spans="2:31" x14ac:dyDescent="0.25">
      <c r="B2062" s="53">
        <f t="shared" si="31"/>
        <v>410</v>
      </c>
      <c r="C2062" s="59"/>
      <c r="D2062" s="15" t="str">
        <f>IF(D2060="","","Исполнитель"&amp;": ")</f>
        <v/>
      </c>
      <c r="E2062" s="62" t="str">
        <f>IFERROR(VLOOKUP(C$13&amp;$B2062,Aux!$B:$M,4,0),"")</f>
        <v/>
      </c>
      <c r="F2062" s="62"/>
      <c r="G2062" s="63" t="str">
        <f>IFERROR(IF(VLOOKUP(C$13&amp;$B2060,Aux!$B:$M,8,0)="Да","✔","🕓"),"")</f>
        <v/>
      </c>
      <c r="K2062" s="59"/>
      <c r="L2062" s="15" t="str">
        <f>IF(L2060="","","Исполнитель"&amp;": ")</f>
        <v/>
      </c>
      <c r="M2062" s="62" t="str">
        <f>IFERROR(VLOOKUP(K$13&amp;$B2062,Aux!$B:$M,4,0),"")</f>
        <v/>
      </c>
      <c r="N2062" s="62"/>
      <c r="O2062" s="63" t="str">
        <f>IFERROR(IF(VLOOKUP(K$13&amp;$B2060,Aux!$B:$M,8,0)="Да","✔","🕓"),"")</f>
        <v/>
      </c>
      <c r="S2062" s="59"/>
      <c r="T2062" s="15" t="str">
        <f>IF(T2060="","","Исполнитель"&amp;": ")</f>
        <v/>
      </c>
      <c r="U2062" s="62" t="str">
        <f>IFERROR(VLOOKUP(S$13&amp;$B2062,Aux!$B:$M,4,0),"")</f>
        <v/>
      </c>
      <c r="V2062" s="62"/>
      <c r="W2062" s="63" t="str">
        <f>IFERROR(IF(VLOOKUP(S$13&amp;$B2060,Aux!$B:$M,8,0)="Да","✔","🕓"),"")</f>
        <v/>
      </c>
      <c r="AA2062" s="59"/>
      <c r="AB2062" s="15" t="str">
        <f>IF(AB2060="","","Исполнитель"&amp;": ")</f>
        <v/>
      </c>
      <c r="AC2062" s="62" t="str">
        <f>IFERROR(VLOOKUP(AA$13&amp;$B2062,Aux!$B:$M,4,0),"")</f>
        <v/>
      </c>
      <c r="AD2062" s="62"/>
      <c r="AE2062" s="63" t="str">
        <f>IFERROR(IF(VLOOKUP(AA$13&amp;$B2060,Aux!$B:$M,8,0)="Да","✔","🕓"),"")</f>
        <v/>
      </c>
    </row>
    <row r="2063" spans="2:31" x14ac:dyDescent="0.25">
      <c r="B2063" s="53">
        <f t="shared" si="31"/>
        <v>410</v>
      </c>
      <c r="C2063" s="59"/>
      <c r="D2063" s="16" t="str">
        <f>IF(D2060="","","Срок сдачи"&amp;": ")</f>
        <v/>
      </c>
      <c r="E2063" s="64" t="str">
        <f>IFERROR(VLOOKUP(C$13&amp;$B2063,Aux!$B:$M,6,0),"")</f>
        <v/>
      </c>
      <c r="F2063" s="64"/>
      <c r="G2063" s="63"/>
      <c r="K2063" s="59"/>
      <c r="L2063" s="16" t="str">
        <f>IF(L2060="","","Срок сдачи"&amp;": ")</f>
        <v/>
      </c>
      <c r="M2063" s="64" t="str">
        <f>IFERROR(VLOOKUP(K$13&amp;$B2063,Aux!$B:$M,6,0),"")</f>
        <v/>
      </c>
      <c r="N2063" s="64"/>
      <c r="O2063" s="63"/>
      <c r="S2063" s="59"/>
      <c r="T2063" s="16" t="str">
        <f>IF(T2060="","","Срок сдачи"&amp;": ")</f>
        <v/>
      </c>
      <c r="U2063" s="64" t="str">
        <f>IFERROR(VLOOKUP(S$13&amp;$B2063,Aux!$B:$M,6,0),"")</f>
        <v/>
      </c>
      <c r="V2063" s="64"/>
      <c r="W2063" s="63"/>
      <c r="AA2063" s="59"/>
      <c r="AB2063" s="16" t="str">
        <f>IF(AB2060="","","Срок сдачи"&amp;": ")</f>
        <v/>
      </c>
      <c r="AC2063" s="64" t="str">
        <f>IFERROR(VLOOKUP(AA$13&amp;$B2063,Aux!$B:$M,6,0),"")</f>
        <v/>
      </c>
      <c r="AD2063" s="64"/>
      <c r="AE2063" s="63"/>
    </row>
    <row r="2064" spans="2:31" x14ac:dyDescent="0.25">
      <c r="B2064" s="53">
        <f t="shared" si="31"/>
        <v>410</v>
      </c>
      <c r="C2064" s="7"/>
      <c r="D2064" s="17"/>
      <c r="E2064" s="7"/>
      <c r="F2064" s="18"/>
      <c r="G2064" s="18"/>
      <c r="K2064" s="13"/>
      <c r="L2064" s="17"/>
      <c r="M2064" s="13"/>
      <c r="N2064" s="14"/>
      <c r="O2064" s="14"/>
      <c r="S2064" s="13"/>
      <c r="T2064" s="17"/>
      <c r="U2064" s="13"/>
      <c r="V2064" s="14"/>
      <c r="W2064" s="14"/>
      <c r="AA2064" s="13"/>
      <c r="AB2064" s="17"/>
      <c r="AC2064" s="13"/>
      <c r="AD2064" s="14"/>
      <c r="AE2064" s="30"/>
    </row>
    <row r="2065" spans="2:31" x14ac:dyDescent="0.25">
      <c r="B2065" s="53">
        <f t="shared" si="31"/>
        <v>411</v>
      </c>
      <c r="C2065" s="59" t="str">
        <f>IFERROR(VLOOKUP(C$13&amp;$B2069,Aux!$B:$M,5,0),"")</f>
        <v/>
      </c>
      <c r="D2065" s="60" t="str">
        <f>IFERROR(VLOOKUP(C$13&amp;$B2065,Aux!$B:$M,3,0),"")</f>
        <v/>
      </c>
      <c r="E2065" s="60"/>
      <c r="F2065" s="60"/>
      <c r="G2065" s="61" t="str">
        <f>IFERROR(VLOOKUP(C$13&amp;$B2065,Aux!$B:$M,9,0),"")</f>
        <v/>
      </c>
      <c r="K2065" s="59" t="str">
        <f>IFERROR(VLOOKUP(K$13&amp;$B2069,Aux!$B:$M,5,0),"")</f>
        <v/>
      </c>
      <c r="L2065" s="60" t="str">
        <f>IFERROR(VLOOKUP(K$13&amp;$B2065,Aux!$B:$M,3,0),"")</f>
        <v/>
      </c>
      <c r="M2065" s="60"/>
      <c r="N2065" s="60"/>
      <c r="O2065" s="61" t="str">
        <f>IFERROR(VLOOKUP(K$13&amp;$B2065,Aux!$B:$M,9,0),"")</f>
        <v/>
      </c>
      <c r="S2065" s="59" t="str">
        <f>IFERROR(VLOOKUP(S$13&amp;$B2069,Aux!$B:$M,5,0),"")</f>
        <v/>
      </c>
      <c r="T2065" s="60" t="str">
        <f>IFERROR(VLOOKUP(S$13&amp;$B2065,Aux!$B:$M,3,0),"")</f>
        <v/>
      </c>
      <c r="U2065" s="60"/>
      <c r="V2065" s="60"/>
      <c r="W2065" s="61" t="str">
        <f>IFERROR(VLOOKUP(S$13&amp;$B2065,Aux!$B:$M,9,0),"")</f>
        <v/>
      </c>
      <c r="AA2065" s="59" t="str">
        <f>IFERROR(VLOOKUP(AA$13&amp;$B2069,Aux!$B:$M,5,0),"")</f>
        <v/>
      </c>
      <c r="AB2065" s="60" t="str">
        <f>IFERROR(VLOOKUP(AA$13&amp;$B2065,Aux!$B:$M,3,0),"")</f>
        <v/>
      </c>
      <c r="AC2065" s="60"/>
      <c r="AD2065" s="60"/>
      <c r="AE2065" s="61" t="str">
        <f>IFERROR(VLOOKUP(AA$13&amp;$B2065,Aux!$B:$M,9,0),"")</f>
        <v/>
      </c>
    </row>
    <row r="2066" spans="2:31" x14ac:dyDescent="0.25">
      <c r="B2066" s="53">
        <f t="shared" si="31"/>
        <v>411</v>
      </c>
      <c r="C2066" s="59"/>
      <c r="D2066" s="60"/>
      <c r="E2066" s="60"/>
      <c r="F2066" s="60"/>
      <c r="G2066" s="61"/>
      <c r="K2066" s="59"/>
      <c r="L2066" s="60"/>
      <c r="M2066" s="60"/>
      <c r="N2066" s="60"/>
      <c r="O2066" s="61"/>
      <c r="S2066" s="59"/>
      <c r="T2066" s="60"/>
      <c r="U2066" s="60"/>
      <c r="V2066" s="60"/>
      <c r="W2066" s="61"/>
      <c r="AA2066" s="59"/>
      <c r="AB2066" s="60"/>
      <c r="AC2066" s="60"/>
      <c r="AD2066" s="60"/>
      <c r="AE2066" s="61"/>
    </row>
    <row r="2067" spans="2:31" x14ac:dyDescent="0.25">
      <c r="B2067" s="53">
        <f t="shared" si="31"/>
        <v>411</v>
      </c>
      <c r="C2067" s="59"/>
      <c r="D2067" s="15" t="str">
        <f>IF(D2065="","","Исполнитель"&amp;": ")</f>
        <v/>
      </c>
      <c r="E2067" s="62" t="str">
        <f>IFERROR(VLOOKUP(C$13&amp;$B2067,Aux!$B:$M,4,0),"")</f>
        <v/>
      </c>
      <c r="F2067" s="62"/>
      <c r="G2067" s="63" t="str">
        <f>IFERROR(IF(VLOOKUP(C$13&amp;$B2065,Aux!$B:$M,8,0)="Да","✔","🕓"),"")</f>
        <v/>
      </c>
      <c r="K2067" s="59"/>
      <c r="L2067" s="15" t="str">
        <f>IF(L2065="","","Исполнитель"&amp;": ")</f>
        <v/>
      </c>
      <c r="M2067" s="62" t="str">
        <f>IFERROR(VLOOKUP(K$13&amp;$B2067,Aux!$B:$M,4,0),"")</f>
        <v/>
      </c>
      <c r="N2067" s="62"/>
      <c r="O2067" s="63" t="str">
        <f>IFERROR(IF(VLOOKUP(K$13&amp;$B2065,Aux!$B:$M,8,0)="Да","✔","🕓"),"")</f>
        <v/>
      </c>
      <c r="S2067" s="59"/>
      <c r="T2067" s="15" t="str">
        <f>IF(T2065="","","Исполнитель"&amp;": ")</f>
        <v/>
      </c>
      <c r="U2067" s="62" t="str">
        <f>IFERROR(VLOOKUP(S$13&amp;$B2067,Aux!$B:$M,4,0),"")</f>
        <v/>
      </c>
      <c r="V2067" s="62"/>
      <c r="W2067" s="63" t="str">
        <f>IFERROR(IF(VLOOKUP(S$13&amp;$B2065,Aux!$B:$M,8,0)="Да","✔","🕓"),"")</f>
        <v/>
      </c>
      <c r="AA2067" s="59"/>
      <c r="AB2067" s="15" t="str">
        <f>IF(AB2065="","","Исполнитель"&amp;": ")</f>
        <v/>
      </c>
      <c r="AC2067" s="62" t="str">
        <f>IFERROR(VLOOKUP(AA$13&amp;$B2067,Aux!$B:$M,4,0),"")</f>
        <v/>
      </c>
      <c r="AD2067" s="62"/>
      <c r="AE2067" s="63" t="str">
        <f>IFERROR(IF(VLOOKUP(AA$13&amp;$B2065,Aux!$B:$M,8,0)="Да","✔","🕓"),"")</f>
        <v/>
      </c>
    </row>
    <row r="2068" spans="2:31" x14ac:dyDescent="0.25">
      <c r="B2068" s="53">
        <f t="shared" si="31"/>
        <v>411</v>
      </c>
      <c r="C2068" s="59"/>
      <c r="D2068" s="16" t="str">
        <f>IF(D2065="","","Срок сдачи"&amp;": ")</f>
        <v/>
      </c>
      <c r="E2068" s="64" t="str">
        <f>IFERROR(VLOOKUP(C$13&amp;$B2068,Aux!$B:$M,6,0),"")</f>
        <v/>
      </c>
      <c r="F2068" s="64"/>
      <c r="G2068" s="63"/>
      <c r="K2068" s="59"/>
      <c r="L2068" s="16" t="str">
        <f>IF(L2065="","","Срок сдачи"&amp;": ")</f>
        <v/>
      </c>
      <c r="M2068" s="64" t="str">
        <f>IFERROR(VLOOKUP(K$13&amp;$B2068,Aux!$B:$M,6,0),"")</f>
        <v/>
      </c>
      <c r="N2068" s="64"/>
      <c r="O2068" s="63"/>
      <c r="S2068" s="59"/>
      <c r="T2068" s="16" t="str">
        <f>IF(T2065="","","Срок сдачи"&amp;": ")</f>
        <v/>
      </c>
      <c r="U2068" s="64" t="str">
        <f>IFERROR(VLOOKUP(S$13&amp;$B2068,Aux!$B:$M,6,0),"")</f>
        <v/>
      </c>
      <c r="V2068" s="64"/>
      <c r="W2068" s="63"/>
      <c r="AA2068" s="59"/>
      <c r="AB2068" s="16" t="str">
        <f>IF(AB2065="","","Срок сдачи"&amp;": ")</f>
        <v/>
      </c>
      <c r="AC2068" s="64" t="str">
        <f>IFERROR(VLOOKUP(AA$13&amp;$B2068,Aux!$B:$M,6,0),"")</f>
        <v/>
      </c>
      <c r="AD2068" s="64"/>
      <c r="AE2068" s="63"/>
    </row>
    <row r="2069" spans="2:31" x14ac:dyDescent="0.25">
      <c r="B2069" s="53">
        <f t="shared" ref="B2069:B2132" si="32">B2064+1</f>
        <v>411</v>
      </c>
      <c r="C2069" s="7"/>
      <c r="D2069" s="17"/>
      <c r="E2069" s="7"/>
      <c r="F2069" s="18"/>
      <c r="G2069" s="18"/>
      <c r="K2069" s="13"/>
      <c r="L2069" s="17"/>
      <c r="M2069" s="13"/>
      <c r="N2069" s="14"/>
      <c r="O2069" s="14"/>
      <c r="S2069" s="13"/>
      <c r="T2069" s="17"/>
      <c r="U2069" s="13"/>
      <c r="V2069" s="14"/>
      <c r="W2069" s="14"/>
      <c r="AA2069" s="13"/>
      <c r="AB2069" s="17"/>
      <c r="AC2069" s="13"/>
      <c r="AD2069" s="14"/>
      <c r="AE2069" s="30"/>
    </row>
    <row r="2070" spans="2:31" x14ac:dyDescent="0.25">
      <c r="B2070" s="53">
        <f t="shared" si="32"/>
        <v>412</v>
      </c>
      <c r="C2070" s="59" t="str">
        <f>IFERROR(VLOOKUP(C$13&amp;$B2074,Aux!$B:$M,5,0),"")</f>
        <v/>
      </c>
      <c r="D2070" s="60" t="str">
        <f>IFERROR(VLOOKUP(C$13&amp;$B2070,Aux!$B:$M,3,0),"")</f>
        <v/>
      </c>
      <c r="E2070" s="60"/>
      <c r="F2070" s="60"/>
      <c r="G2070" s="61" t="str">
        <f>IFERROR(VLOOKUP(C$13&amp;$B2070,Aux!$B:$M,9,0),"")</f>
        <v/>
      </c>
      <c r="K2070" s="59" t="str">
        <f>IFERROR(VLOOKUP(K$13&amp;$B2074,Aux!$B:$M,5,0),"")</f>
        <v/>
      </c>
      <c r="L2070" s="60" t="str">
        <f>IFERROR(VLOOKUP(K$13&amp;$B2070,Aux!$B:$M,3,0),"")</f>
        <v/>
      </c>
      <c r="M2070" s="60"/>
      <c r="N2070" s="60"/>
      <c r="O2070" s="61" t="str">
        <f>IFERROR(VLOOKUP(K$13&amp;$B2070,Aux!$B:$M,9,0),"")</f>
        <v/>
      </c>
      <c r="S2070" s="59" t="str">
        <f>IFERROR(VLOOKUP(S$13&amp;$B2074,Aux!$B:$M,5,0),"")</f>
        <v/>
      </c>
      <c r="T2070" s="60" t="str">
        <f>IFERROR(VLOOKUP(S$13&amp;$B2070,Aux!$B:$M,3,0),"")</f>
        <v/>
      </c>
      <c r="U2070" s="60"/>
      <c r="V2070" s="60"/>
      <c r="W2070" s="61" t="str">
        <f>IFERROR(VLOOKUP(S$13&amp;$B2070,Aux!$B:$M,9,0),"")</f>
        <v/>
      </c>
      <c r="AA2070" s="59" t="str">
        <f>IFERROR(VLOOKUP(AA$13&amp;$B2074,Aux!$B:$M,5,0),"")</f>
        <v/>
      </c>
      <c r="AB2070" s="60" t="str">
        <f>IFERROR(VLOOKUP(AA$13&amp;$B2070,Aux!$B:$M,3,0),"")</f>
        <v/>
      </c>
      <c r="AC2070" s="60"/>
      <c r="AD2070" s="60"/>
      <c r="AE2070" s="61" t="str">
        <f>IFERROR(VLOOKUP(AA$13&amp;$B2070,Aux!$B:$M,9,0),"")</f>
        <v/>
      </c>
    </row>
    <row r="2071" spans="2:31" x14ac:dyDescent="0.25">
      <c r="B2071" s="53">
        <f t="shared" si="32"/>
        <v>412</v>
      </c>
      <c r="C2071" s="59"/>
      <c r="D2071" s="60"/>
      <c r="E2071" s="60"/>
      <c r="F2071" s="60"/>
      <c r="G2071" s="61"/>
      <c r="K2071" s="59"/>
      <c r="L2071" s="60"/>
      <c r="M2071" s="60"/>
      <c r="N2071" s="60"/>
      <c r="O2071" s="61"/>
      <c r="S2071" s="59"/>
      <c r="T2071" s="60"/>
      <c r="U2071" s="60"/>
      <c r="V2071" s="60"/>
      <c r="W2071" s="61"/>
      <c r="AA2071" s="59"/>
      <c r="AB2071" s="60"/>
      <c r="AC2071" s="60"/>
      <c r="AD2071" s="60"/>
      <c r="AE2071" s="61"/>
    </row>
    <row r="2072" spans="2:31" x14ac:dyDescent="0.25">
      <c r="B2072" s="53">
        <f t="shared" si="32"/>
        <v>412</v>
      </c>
      <c r="C2072" s="59"/>
      <c r="D2072" s="15" t="str">
        <f>IF(D2070="","","Исполнитель"&amp;": ")</f>
        <v/>
      </c>
      <c r="E2072" s="62" t="str">
        <f>IFERROR(VLOOKUP(C$13&amp;$B2072,Aux!$B:$M,4,0),"")</f>
        <v/>
      </c>
      <c r="F2072" s="62"/>
      <c r="G2072" s="63" t="str">
        <f>IFERROR(IF(VLOOKUP(C$13&amp;$B2070,Aux!$B:$M,8,0)="Да","✔","🕓"),"")</f>
        <v/>
      </c>
      <c r="K2072" s="59"/>
      <c r="L2072" s="15" t="str">
        <f>IF(L2070="","","Исполнитель"&amp;": ")</f>
        <v/>
      </c>
      <c r="M2072" s="62" t="str">
        <f>IFERROR(VLOOKUP(K$13&amp;$B2072,Aux!$B:$M,4,0),"")</f>
        <v/>
      </c>
      <c r="N2072" s="62"/>
      <c r="O2072" s="63" t="str">
        <f>IFERROR(IF(VLOOKUP(K$13&amp;$B2070,Aux!$B:$M,8,0)="Да","✔","🕓"),"")</f>
        <v/>
      </c>
      <c r="S2072" s="59"/>
      <c r="T2072" s="15" t="str">
        <f>IF(T2070="","","Исполнитель"&amp;": ")</f>
        <v/>
      </c>
      <c r="U2072" s="62" t="str">
        <f>IFERROR(VLOOKUP(S$13&amp;$B2072,Aux!$B:$M,4,0),"")</f>
        <v/>
      </c>
      <c r="V2072" s="62"/>
      <c r="W2072" s="63" t="str">
        <f>IFERROR(IF(VLOOKUP(S$13&amp;$B2070,Aux!$B:$M,8,0)="Да","✔","🕓"),"")</f>
        <v/>
      </c>
      <c r="AA2072" s="59"/>
      <c r="AB2072" s="15" t="str">
        <f>IF(AB2070="","","Исполнитель"&amp;": ")</f>
        <v/>
      </c>
      <c r="AC2072" s="62" t="str">
        <f>IFERROR(VLOOKUP(AA$13&amp;$B2072,Aux!$B:$M,4,0),"")</f>
        <v/>
      </c>
      <c r="AD2072" s="62"/>
      <c r="AE2072" s="63" t="str">
        <f>IFERROR(IF(VLOOKUP(AA$13&amp;$B2070,Aux!$B:$M,8,0)="Да","✔","🕓"),"")</f>
        <v/>
      </c>
    </row>
    <row r="2073" spans="2:31" x14ac:dyDescent="0.25">
      <c r="B2073" s="53">
        <f t="shared" si="32"/>
        <v>412</v>
      </c>
      <c r="C2073" s="59"/>
      <c r="D2073" s="16" t="str">
        <f>IF(D2070="","","Срок сдачи"&amp;": ")</f>
        <v/>
      </c>
      <c r="E2073" s="64" t="str">
        <f>IFERROR(VLOOKUP(C$13&amp;$B2073,Aux!$B:$M,6,0),"")</f>
        <v/>
      </c>
      <c r="F2073" s="64"/>
      <c r="G2073" s="63"/>
      <c r="K2073" s="59"/>
      <c r="L2073" s="16" t="str">
        <f>IF(L2070="","","Срок сдачи"&amp;": ")</f>
        <v/>
      </c>
      <c r="M2073" s="64" t="str">
        <f>IFERROR(VLOOKUP(K$13&amp;$B2073,Aux!$B:$M,6,0),"")</f>
        <v/>
      </c>
      <c r="N2073" s="64"/>
      <c r="O2073" s="63"/>
      <c r="S2073" s="59"/>
      <c r="T2073" s="16" t="str">
        <f>IF(T2070="","","Срок сдачи"&amp;": ")</f>
        <v/>
      </c>
      <c r="U2073" s="64" t="str">
        <f>IFERROR(VLOOKUP(S$13&amp;$B2073,Aux!$B:$M,6,0),"")</f>
        <v/>
      </c>
      <c r="V2073" s="64"/>
      <c r="W2073" s="63"/>
      <c r="AA2073" s="59"/>
      <c r="AB2073" s="16" t="str">
        <f>IF(AB2070="","","Срок сдачи"&amp;": ")</f>
        <v/>
      </c>
      <c r="AC2073" s="64" t="str">
        <f>IFERROR(VLOOKUP(AA$13&amp;$B2073,Aux!$B:$M,6,0),"")</f>
        <v/>
      </c>
      <c r="AD2073" s="64"/>
      <c r="AE2073" s="63"/>
    </row>
    <row r="2074" spans="2:31" x14ac:dyDescent="0.25">
      <c r="B2074" s="53">
        <f t="shared" si="32"/>
        <v>412</v>
      </c>
      <c r="C2074" s="7"/>
      <c r="D2074" s="17"/>
      <c r="E2074" s="7"/>
      <c r="F2074" s="18"/>
      <c r="G2074" s="18"/>
      <c r="K2074" s="13"/>
      <c r="L2074" s="17"/>
      <c r="M2074" s="13"/>
      <c r="N2074" s="14"/>
      <c r="O2074" s="14"/>
      <c r="S2074" s="13"/>
      <c r="T2074" s="17"/>
      <c r="U2074" s="13"/>
      <c r="V2074" s="14"/>
      <c r="W2074" s="14"/>
      <c r="AA2074" s="13"/>
      <c r="AB2074" s="17"/>
      <c r="AC2074" s="13"/>
      <c r="AD2074" s="14"/>
      <c r="AE2074" s="30"/>
    </row>
    <row r="2075" spans="2:31" x14ac:dyDescent="0.25">
      <c r="B2075" s="53">
        <f t="shared" si="32"/>
        <v>413</v>
      </c>
      <c r="C2075" s="59" t="str">
        <f>IFERROR(VLOOKUP(C$13&amp;$B2079,Aux!$B:$M,5,0),"")</f>
        <v/>
      </c>
      <c r="D2075" s="60" t="str">
        <f>IFERROR(VLOOKUP(C$13&amp;$B2075,Aux!$B:$M,3,0),"")</f>
        <v/>
      </c>
      <c r="E2075" s="60"/>
      <c r="F2075" s="60"/>
      <c r="G2075" s="61" t="str">
        <f>IFERROR(VLOOKUP(C$13&amp;$B2075,Aux!$B:$M,9,0),"")</f>
        <v/>
      </c>
      <c r="K2075" s="59" t="str">
        <f>IFERROR(VLOOKUP(K$13&amp;$B2079,Aux!$B:$M,5,0),"")</f>
        <v/>
      </c>
      <c r="L2075" s="60" t="str">
        <f>IFERROR(VLOOKUP(K$13&amp;$B2075,Aux!$B:$M,3,0),"")</f>
        <v/>
      </c>
      <c r="M2075" s="60"/>
      <c r="N2075" s="60"/>
      <c r="O2075" s="61" t="str">
        <f>IFERROR(VLOOKUP(K$13&amp;$B2075,Aux!$B:$M,9,0),"")</f>
        <v/>
      </c>
      <c r="S2075" s="59" t="str">
        <f>IFERROR(VLOOKUP(S$13&amp;$B2079,Aux!$B:$M,5,0),"")</f>
        <v/>
      </c>
      <c r="T2075" s="60" t="str">
        <f>IFERROR(VLOOKUP(S$13&amp;$B2075,Aux!$B:$M,3,0),"")</f>
        <v/>
      </c>
      <c r="U2075" s="60"/>
      <c r="V2075" s="60"/>
      <c r="W2075" s="61" t="str">
        <f>IFERROR(VLOOKUP(S$13&amp;$B2075,Aux!$B:$M,9,0),"")</f>
        <v/>
      </c>
      <c r="AA2075" s="59" t="str">
        <f>IFERROR(VLOOKUP(AA$13&amp;$B2079,Aux!$B:$M,5,0),"")</f>
        <v/>
      </c>
      <c r="AB2075" s="60" t="str">
        <f>IFERROR(VLOOKUP(AA$13&amp;$B2075,Aux!$B:$M,3,0),"")</f>
        <v/>
      </c>
      <c r="AC2075" s="60"/>
      <c r="AD2075" s="60"/>
      <c r="AE2075" s="61" t="str">
        <f>IFERROR(VLOOKUP(AA$13&amp;$B2075,Aux!$B:$M,9,0),"")</f>
        <v/>
      </c>
    </row>
    <row r="2076" spans="2:31" x14ac:dyDescent="0.25">
      <c r="B2076" s="53">
        <f t="shared" si="32"/>
        <v>413</v>
      </c>
      <c r="C2076" s="59"/>
      <c r="D2076" s="60"/>
      <c r="E2076" s="60"/>
      <c r="F2076" s="60"/>
      <c r="G2076" s="61"/>
      <c r="K2076" s="59"/>
      <c r="L2076" s="60"/>
      <c r="M2076" s="60"/>
      <c r="N2076" s="60"/>
      <c r="O2076" s="61"/>
      <c r="S2076" s="59"/>
      <c r="T2076" s="60"/>
      <c r="U2076" s="60"/>
      <c r="V2076" s="60"/>
      <c r="W2076" s="61"/>
      <c r="AA2076" s="59"/>
      <c r="AB2076" s="60"/>
      <c r="AC2076" s="60"/>
      <c r="AD2076" s="60"/>
      <c r="AE2076" s="61"/>
    </row>
    <row r="2077" spans="2:31" x14ac:dyDescent="0.25">
      <c r="B2077" s="53">
        <f t="shared" si="32"/>
        <v>413</v>
      </c>
      <c r="C2077" s="59"/>
      <c r="D2077" s="15" t="str">
        <f>IF(D2075="","","Исполнитель"&amp;": ")</f>
        <v/>
      </c>
      <c r="E2077" s="62" t="str">
        <f>IFERROR(VLOOKUP(C$13&amp;$B2077,Aux!$B:$M,4,0),"")</f>
        <v/>
      </c>
      <c r="F2077" s="62"/>
      <c r="G2077" s="63" t="str">
        <f>IFERROR(IF(VLOOKUP(C$13&amp;$B2075,Aux!$B:$M,8,0)="Да","✔","🕓"),"")</f>
        <v/>
      </c>
      <c r="K2077" s="59"/>
      <c r="L2077" s="15" t="str">
        <f>IF(L2075="","","Исполнитель"&amp;": ")</f>
        <v/>
      </c>
      <c r="M2077" s="62" t="str">
        <f>IFERROR(VLOOKUP(K$13&amp;$B2077,Aux!$B:$M,4,0),"")</f>
        <v/>
      </c>
      <c r="N2077" s="62"/>
      <c r="O2077" s="63" t="str">
        <f>IFERROR(IF(VLOOKUP(K$13&amp;$B2075,Aux!$B:$M,8,0)="Да","✔","🕓"),"")</f>
        <v/>
      </c>
      <c r="S2077" s="59"/>
      <c r="T2077" s="15" t="str">
        <f>IF(T2075="","","Исполнитель"&amp;": ")</f>
        <v/>
      </c>
      <c r="U2077" s="62" t="str">
        <f>IFERROR(VLOOKUP(S$13&amp;$B2077,Aux!$B:$M,4,0),"")</f>
        <v/>
      </c>
      <c r="V2077" s="62"/>
      <c r="W2077" s="63" t="str">
        <f>IFERROR(IF(VLOOKUP(S$13&amp;$B2075,Aux!$B:$M,8,0)="Да","✔","🕓"),"")</f>
        <v/>
      </c>
      <c r="AA2077" s="59"/>
      <c r="AB2077" s="15" t="str">
        <f>IF(AB2075="","","Исполнитель"&amp;": ")</f>
        <v/>
      </c>
      <c r="AC2077" s="62" t="str">
        <f>IFERROR(VLOOKUP(AA$13&amp;$B2077,Aux!$B:$M,4,0),"")</f>
        <v/>
      </c>
      <c r="AD2077" s="62"/>
      <c r="AE2077" s="63" t="str">
        <f>IFERROR(IF(VLOOKUP(AA$13&amp;$B2075,Aux!$B:$M,8,0)="Да","✔","🕓"),"")</f>
        <v/>
      </c>
    </row>
    <row r="2078" spans="2:31" x14ac:dyDescent="0.25">
      <c r="B2078" s="53">
        <f t="shared" si="32"/>
        <v>413</v>
      </c>
      <c r="C2078" s="59"/>
      <c r="D2078" s="16" t="str">
        <f>IF(D2075="","","Срок сдачи"&amp;": ")</f>
        <v/>
      </c>
      <c r="E2078" s="64" t="str">
        <f>IFERROR(VLOOKUP(C$13&amp;$B2078,Aux!$B:$M,6,0),"")</f>
        <v/>
      </c>
      <c r="F2078" s="64"/>
      <c r="G2078" s="63"/>
      <c r="K2078" s="59"/>
      <c r="L2078" s="16" t="str">
        <f>IF(L2075="","","Срок сдачи"&amp;": ")</f>
        <v/>
      </c>
      <c r="M2078" s="64" t="str">
        <f>IFERROR(VLOOKUP(K$13&amp;$B2078,Aux!$B:$M,6,0),"")</f>
        <v/>
      </c>
      <c r="N2078" s="64"/>
      <c r="O2078" s="63"/>
      <c r="S2078" s="59"/>
      <c r="T2078" s="16" t="str">
        <f>IF(T2075="","","Срок сдачи"&amp;": ")</f>
        <v/>
      </c>
      <c r="U2078" s="64" t="str">
        <f>IFERROR(VLOOKUP(S$13&amp;$B2078,Aux!$B:$M,6,0),"")</f>
        <v/>
      </c>
      <c r="V2078" s="64"/>
      <c r="W2078" s="63"/>
      <c r="AA2078" s="59"/>
      <c r="AB2078" s="16" t="str">
        <f>IF(AB2075="","","Срок сдачи"&amp;": ")</f>
        <v/>
      </c>
      <c r="AC2078" s="64" t="str">
        <f>IFERROR(VLOOKUP(AA$13&amp;$B2078,Aux!$B:$M,6,0),"")</f>
        <v/>
      </c>
      <c r="AD2078" s="64"/>
      <c r="AE2078" s="63"/>
    </row>
    <row r="2079" spans="2:31" x14ac:dyDescent="0.25">
      <c r="B2079" s="53">
        <f t="shared" si="32"/>
        <v>413</v>
      </c>
      <c r="C2079" s="7"/>
      <c r="D2079" s="17"/>
      <c r="E2079" s="7"/>
      <c r="F2079" s="18"/>
      <c r="G2079" s="18"/>
      <c r="K2079" s="13"/>
      <c r="L2079" s="17"/>
      <c r="M2079" s="13"/>
      <c r="N2079" s="14"/>
      <c r="O2079" s="14"/>
      <c r="S2079" s="13"/>
      <c r="T2079" s="17"/>
      <c r="U2079" s="13"/>
      <c r="V2079" s="14"/>
      <c r="W2079" s="14"/>
      <c r="AA2079" s="13"/>
      <c r="AB2079" s="17"/>
      <c r="AC2079" s="13"/>
      <c r="AD2079" s="14"/>
      <c r="AE2079" s="30"/>
    </row>
    <row r="2080" spans="2:31" x14ac:dyDescent="0.25">
      <c r="B2080" s="53">
        <f t="shared" si="32"/>
        <v>414</v>
      </c>
      <c r="C2080" s="59" t="str">
        <f>IFERROR(VLOOKUP(C$13&amp;$B2084,Aux!$B:$M,5,0),"")</f>
        <v/>
      </c>
      <c r="D2080" s="60" t="str">
        <f>IFERROR(VLOOKUP(C$13&amp;$B2080,Aux!$B:$M,3,0),"")</f>
        <v/>
      </c>
      <c r="E2080" s="60"/>
      <c r="F2080" s="60"/>
      <c r="G2080" s="61" t="str">
        <f>IFERROR(VLOOKUP(C$13&amp;$B2080,Aux!$B:$M,9,0),"")</f>
        <v/>
      </c>
      <c r="K2080" s="59" t="str">
        <f>IFERROR(VLOOKUP(K$13&amp;$B2084,Aux!$B:$M,5,0),"")</f>
        <v/>
      </c>
      <c r="L2080" s="60" t="str">
        <f>IFERROR(VLOOKUP(K$13&amp;$B2080,Aux!$B:$M,3,0),"")</f>
        <v/>
      </c>
      <c r="M2080" s="60"/>
      <c r="N2080" s="60"/>
      <c r="O2080" s="61" t="str">
        <f>IFERROR(VLOOKUP(K$13&amp;$B2080,Aux!$B:$M,9,0),"")</f>
        <v/>
      </c>
      <c r="S2080" s="59" t="str">
        <f>IFERROR(VLOOKUP(S$13&amp;$B2084,Aux!$B:$M,5,0),"")</f>
        <v/>
      </c>
      <c r="T2080" s="60" t="str">
        <f>IFERROR(VLOOKUP(S$13&amp;$B2080,Aux!$B:$M,3,0),"")</f>
        <v/>
      </c>
      <c r="U2080" s="60"/>
      <c r="V2080" s="60"/>
      <c r="W2080" s="61" t="str">
        <f>IFERROR(VLOOKUP(S$13&amp;$B2080,Aux!$B:$M,9,0),"")</f>
        <v/>
      </c>
      <c r="AA2080" s="59" t="str">
        <f>IFERROR(VLOOKUP(AA$13&amp;$B2084,Aux!$B:$M,5,0),"")</f>
        <v/>
      </c>
      <c r="AB2080" s="60" t="str">
        <f>IFERROR(VLOOKUP(AA$13&amp;$B2080,Aux!$B:$M,3,0),"")</f>
        <v/>
      </c>
      <c r="AC2080" s="60"/>
      <c r="AD2080" s="60"/>
      <c r="AE2080" s="61" t="str">
        <f>IFERROR(VLOOKUP(AA$13&amp;$B2080,Aux!$B:$M,9,0),"")</f>
        <v/>
      </c>
    </row>
    <row r="2081" spans="2:31" x14ac:dyDescent="0.25">
      <c r="B2081" s="53">
        <f t="shared" si="32"/>
        <v>414</v>
      </c>
      <c r="C2081" s="59"/>
      <c r="D2081" s="60"/>
      <c r="E2081" s="60"/>
      <c r="F2081" s="60"/>
      <c r="G2081" s="61"/>
      <c r="K2081" s="59"/>
      <c r="L2081" s="60"/>
      <c r="M2081" s="60"/>
      <c r="N2081" s="60"/>
      <c r="O2081" s="61"/>
      <c r="S2081" s="59"/>
      <c r="T2081" s="60"/>
      <c r="U2081" s="60"/>
      <c r="V2081" s="60"/>
      <c r="W2081" s="61"/>
      <c r="AA2081" s="59"/>
      <c r="AB2081" s="60"/>
      <c r="AC2081" s="60"/>
      <c r="AD2081" s="60"/>
      <c r="AE2081" s="61"/>
    </row>
    <row r="2082" spans="2:31" x14ac:dyDescent="0.25">
      <c r="B2082" s="53">
        <f t="shared" si="32"/>
        <v>414</v>
      </c>
      <c r="C2082" s="59"/>
      <c r="D2082" s="15" t="str">
        <f>IF(D2080="","","Исполнитель"&amp;": ")</f>
        <v/>
      </c>
      <c r="E2082" s="62" t="str">
        <f>IFERROR(VLOOKUP(C$13&amp;$B2082,Aux!$B:$M,4,0),"")</f>
        <v/>
      </c>
      <c r="F2082" s="62"/>
      <c r="G2082" s="63" t="str">
        <f>IFERROR(IF(VLOOKUP(C$13&amp;$B2080,Aux!$B:$M,8,0)="Да","✔","🕓"),"")</f>
        <v/>
      </c>
      <c r="K2082" s="59"/>
      <c r="L2082" s="15" t="str">
        <f>IF(L2080="","","Исполнитель"&amp;": ")</f>
        <v/>
      </c>
      <c r="M2082" s="62" t="str">
        <f>IFERROR(VLOOKUP(K$13&amp;$B2082,Aux!$B:$M,4,0),"")</f>
        <v/>
      </c>
      <c r="N2082" s="62"/>
      <c r="O2082" s="63" t="str">
        <f>IFERROR(IF(VLOOKUP(K$13&amp;$B2080,Aux!$B:$M,8,0)="Да","✔","🕓"),"")</f>
        <v/>
      </c>
      <c r="S2082" s="59"/>
      <c r="T2082" s="15" t="str">
        <f>IF(T2080="","","Исполнитель"&amp;": ")</f>
        <v/>
      </c>
      <c r="U2082" s="62" t="str">
        <f>IFERROR(VLOOKUP(S$13&amp;$B2082,Aux!$B:$M,4,0),"")</f>
        <v/>
      </c>
      <c r="V2082" s="62"/>
      <c r="W2082" s="63" t="str">
        <f>IFERROR(IF(VLOOKUP(S$13&amp;$B2080,Aux!$B:$M,8,0)="Да","✔","🕓"),"")</f>
        <v/>
      </c>
      <c r="AA2082" s="59"/>
      <c r="AB2082" s="15" t="str">
        <f>IF(AB2080="","","Исполнитель"&amp;": ")</f>
        <v/>
      </c>
      <c r="AC2082" s="62" t="str">
        <f>IFERROR(VLOOKUP(AA$13&amp;$B2082,Aux!$B:$M,4,0),"")</f>
        <v/>
      </c>
      <c r="AD2082" s="62"/>
      <c r="AE2082" s="63" t="str">
        <f>IFERROR(IF(VLOOKUP(AA$13&amp;$B2080,Aux!$B:$M,8,0)="Да","✔","🕓"),"")</f>
        <v/>
      </c>
    </row>
    <row r="2083" spans="2:31" x14ac:dyDescent="0.25">
      <c r="B2083" s="53">
        <f t="shared" si="32"/>
        <v>414</v>
      </c>
      <c r="C2083" s="59"/>
      <c r="D2083" s="16" t="str">
        <f>IF(D2080="","","Срок сдачи"&amp;": ")</f>
        <v/>
      </c>
      <c r="E2083" s="64" t="str">
        <f>IFERROR(VLOOKUP(C$13&amp;$B2083,Aux!$B:$M,6,0),"")</f>
        <v/>
      </c>
      <c r="F2083" s="64"/>
      <c r="G2083" s="63"/>
      <c r="K2083" s="59"/>
      <c r="L2083" s="16" t="str">
        <f>IF(L2080="","","Срок сдачи"&amp;": ")</f>
        <v/>
      </c>
      <c r="M2083" s="64" t="str">
        <f>IFERROR(VLOOKUP(K$13&amp;$B2083,Aux!$B:$M,6,0),"")</f>
        <v/>
      </c>
      <c r="N2083" s="64"/>
      <c r="O2083" s="63"/>
      <c r="S2083" s="59"/>
      <c r="T2083" s="16" t="str">
        <f>IF(T2080="","","Срок сдачи"&amp;": ")</f>
        <v/>
      </c>
      <c r="U2083" s="64" t="str">
        <f>IFERROR(VLOOKUP(S$13&amp;$B2083,Aux!$B:$M,6,0),"")</f>
        <v/>
      </c>
      <c r="V2083" s="64"/>
      <c r="W2083" s="63"/>
      <c r="AA2083" s="59"/>
      <c r="AB2083" s="16" t="str">
        <f>IF(AB2080="","","Срок сдачи"&amp;": ")</f>
        <v/>
      </c>
      <c r="AC2083" s="64" t="str">
        <f>IFERROR(VLOOKUP(AA$13&amp;$B2083,Aux!$B:$M,6,0),"")</f>
        <v/>
      </c>
      <c r="AD2083" s="64"/>
      <c r="AE2083" s="63"/>
    </row>
    <row r="2084" spans="2:31" x14ac:dyDescent="0.25">
      <c r="B2084" s="53">
        <f t="shared" si="32"/>
        <v>414</v>
      </c>
      <c r="C2084" s="7"/>
      <c r="D2084" s="17"/>
      <c r="E2084" s="7"/>
      <c r="F2084" s="18"/>
      <c r="G2084" s="18"/>
      <c r="K2084" s="13"/>
      <c r="L2084" s="17"/>
      <c r="M2084" s="13"/>
      <c r="N2084" s="14"/>
      <c r="O2084" s="14"/>
      <c r="S2084" s="13"/>
      <c r="T2084" s="17"/>
      <c r="U2084" s="13"/>
      <c r="V2084" s="14"/>
      <c r="W2084" s="14"/>
      <c r="AA2084" s="13"/>
      <c r="AB2084" s="17"/>
      <c r="AC2084" s="13"/>
      <c r="AD2084" s="14"/>
      <c r="AE2084" s="30"/>
    </row>
    <row r="2085" spans="2:31" x14ac:dyDescent="0.25">
      <c r="B2085" s="53">
        <f t="shared" si="32"/>
        <v>415</v>
      </c>
      <c r="C2085" s="59" t="str">
        <f>IFERROR(VLOOKUP(C$13&amp;$B2089,Aux!$B:$M,5,0),"")</f>
        <v/>
      </c>
      <c r="D2085" s="60" t="str">
        <f>IFERROR(VLOOKUP(C$13&amp;$B2085,Aux!$B:$M,3,0),"")</f>
        <v/>
      </c>
      <c r="E2085" s="60"/>
      <c r="F2085" s="60"/>
      <c r="G2085" s="61" t="str">
        <f>IFERROR(VLOOKUP(C$13&amp;$B2085,Aux!$B:$M,9,0),"")</f>
        <v/>
      </c>
      <c r="K2085" s="59" t="str">
        <f>IFERROR(VLOOKUP(K$13&amp;$B2089,Aux!$B:$M,5,0),"")</f>
        <v/>
      </c>
      <c r="L2085" s="60" t="str">
        <f>IFERROR(VLOOKUP(K$13&amp;$B2085,Aux!$B:$M,3,0),"")</f>
        <v/>
      </c>
      <c r="M2085" s="60"/>
      <c r="N2085" s="60"/>
      <c r="O2085" s="61" t="str">
        <f>IFERROR(VLOOKUP(K$13&amp;$B2085,Aux!$B:$M,9,0),"")</f>
        <v/>
      </c>
      <c r="S2085" s="59" t="str">
        <f>IFERROR(VLOOKUP(S$13&amp;$B2089,Aux!$B:$M,5,0),"")</f>
        <v/>
      </c>
      <c r="T2085" s="60" t="str">
        <f>IFERROR(VLOOKUP(S$13&amp;$B2085,Aux!$B:$M,3,0),"")</f>
        <v/>
      </c>
      <c r="U2085" s="60"/>
      <c r="V2085" s="60"/>
      <c r="W2085" s="61" t="str">
        <f>IFERROR(VLOOKUP(S$13&amp;$B2085,Aux!$B:$M,9,0),"")</f>
        <v/>
      </c>
      <c r="AA2085" s="59" t="str">
        <f>IFERROR(VLOOKUP(AA$13&amp;$B2089,Aux!$B:$M,5,0),"")</f>
        <v/>
      </c>
      <c r="AB2085" s="60" t="str">
        <f>IFERROR(VLOOKUP(AA$13&amp;$B2085,Aux!$B:$M,3,0),"")</f>
        <v/>
      </c>
      <c r="AC2085" s="60"/>
      <c r="AD2085" s="60"/>
      <c r="AE2085" s="61" t="str">
        <f>IFERROR(VLOOKUP(AA$13&amp;$B2085,Aux!$B:$M,9,0),"")</f>
        <v/>
      </c>
    </row>
    <row r="2086" spans="2:31" x14ac:dyDescent="0.25">
      <c r="B2086" s="53">
        <f t="shared" si="32"/>
        <v>415</v>
      </c>
      <c r="C2086" s="59"/>
      <c r="D2086" s="60"/>
      <c r="E2086" s="60"/>
      <c r="F2086" s="60"/>
      <c r="G2086" s="61"/>
      <c r="K2086" s="59"/>
      <c r="L2086" s="60"/>
      <c r="M2086" s="60"/>
      <c r="N2086" s="60"/>
      <c r="O2086" s="61"/>
      <c r="S2086" s="59"/>
      <c r="T2086" s="60"/>
      <c r="U2086" s="60"/>
      <c r="V2086" s="60"/>
      <c r="W2086" s="61"/>
      <c r="AA2086" s="59"/>
      <c r="AB2086" s="60"/>
      <c r="AC2086" s="60"/>
      <c r="AD2086" s="60"/>
      <c r="AE2086" s="61"/>
    </row>
    <row r="2087" spans="2:31" x14ac:dyDescent="0.25">
      <c r="B2087" s="53">
        <f t="shared" si="32"/>
        <v>415</v>
      </c>
      <c r="C2087" s="59"/>
      <c r="D2087" s="15" t="str">
        <f>IF(D2085="","","Исполнитель"&amp;": ")</f>
        <v/>
      </c>
      <c r="E2087" s="62" t="str">
        <f>IFERROR(VLOOKUP(C$13&amp;$B2087,Aux!$B:$M,4,0),"")</f>
        <v/>
      </c>
      <c r="F2087" s="62"/>
      <c r="G2087" s="63" t="str">
        <f>IFERROR(IF(VLOOKUP(C$13&amp;$B2085,Aux!$B:$M,8,0)="Да","✔","🕓"),"")</f>
        <v/>
      </c>
      <c r="K2087" s="59"/>
      <c r="L2087" s="15" t="str">
        <f>IF(L2085="","","Исполнитель"&amp;": ")</f>
        <v/>
      </c>
      <c r="M2087" s="62" t="str">
        <f>IFERROR(VLOOKUP(K$13&amp;$B2087,Aux!$B:$M,4,0),"")</f>
        <v/>
      </c>
      <c r="N2087" s="62"/>
      <c r="O2087" s="63" t="str">
        <f>IFERROR(IF(VLOOKUP(K$13&amp;$B2085,Aux!$B:$M,8,0)="Да","✔","🕓"),"")</f>
        <v/>
      </c>
      <c r="S2087" s="59"/>
      <c r="T2087" s="15" t="str">
        <f>IF(T2085="","","Исполнитель"&amp;": ")</f>
        <v/>
      </c>
      <c r="U2087" s="62" t="str">
        <f>IFERROR(VLOOKUP(S$13&amp;$B2087,Aux!$B:$M,4,0),"")</f>
        <v/>
      </c>
      <c r="V2087" s="62"/>
      <c r="W2087" s="63" t="str">
        <f>IFERROR(IF(VLOOKUP(S$13&amp;$B2085,Aux!$B:$M,8,0)="Да","✔","🕓"),"")</f>
        <v/>
      </c>
      <c r="AA2087" s="59"/>
      <c r="AB2087" s="15" t="str">
        <f>IF(AB2085="","","Исполнитель"&amp;": ")</f>
        <v/>
      </c>
      <c r="AC2087" s="62" t="str">
        <f>IFERROR(VLOOKUP(AA$13&amp;$B2087,Aux!$B:$M,4,0),"")</f>
        <v/>
      </c>
      <c r="AD2087" s="62"/>
      <c r="AE2087" s="63" t="str">
        <f>IFERROR(IF(VLOOKUP(AA$13&amp;$B2085,Aux!$B:$M,8,0)="Да","✔","🕓"),"")</f>
        <v/>
      </c>
    </row>
    <row r="2088" spans="2:31" x14ac:dyDescent="0.25">
      <c r="B2088" s="53">
        <f t="shared" si="32"/>
        <v>415</v>
      </c>
      <c r="C2088" s="59"/>
      <c r="D2088" s="16" t="str">
        <f>IF(D2085="","","Срок сдачи"&amp;": ")</f>
        <v/>
      </c>
      <c r="E2088" s="64" t="str">
        <f>IFERROR(VLOOKUP(C$13&amp;$B2088,Aux!$B:$M,6,0),"")</f>
        <v/>
      </c>
      <c r="F2088" s="64"/>
      <c r="G2088" s="63"/>
      <c r="K2088" s="59"/>
      <c r="L2088" s="16" t="str">
        <f>IF(L2085="","","Срок сдачи"&amp;": ")</f>
        <v/>
      </c>
      <c r="M2088" s="64" t="str">
        <f>IFERROR(VLOOKUP(K$13&amp;$B2088,Aux!$B:$M,6,0),"")</f>
        <v/>
      </c>
      <c r="N2088" s="64"/>
      <c r="O2088" s="63"/>
      <c r="S2088" s="59"/>
      <c r="T2088" s="16" t="str">
        <f>IF(T2085="","","Срок сдачи"&amp;": ")</f>
        <v/>
      </c>
      <c r="U2088" s="64" t="str">
        <f>IFERROR(VLOOKUP(S$13&amp;$B2088,Aux!$B:$M,6,0),"")</f>
        <v/>
      </c>
      <c r="V2088" s="64"/>
      <c r="W2088" s="63"/>
      <c r="AA2088" s="59"/>
      <c r="AB2088" s="16" t="str">
        <f>IF(AB2085="","","Срок сдачи"&amp;": ")</f>
        <v/>
      </c>
      <c r="AC2088" s="64" t="str">
        <f>IFERROR(VLOOKUP(AA$13&amp;$B2088,Aux!$B:$M,6,0),"")</f>
        <v/>
      </c>
      <c r="AD2088" s="64"/>
      <c r="AE2088" s="63"/>
    </row>
    <row r="2089" spans="2:31" x14ac:dyDescent="0.25">
      <c r="B2089" s="53">
        <f t="shared" si="32"/>
        <v>415</v>
      </c>
      <c r="C2089" s="7"/>
      <c r="D2089" s="17"/>
      <c r="E2089" s="7"/>
      <c r="F2089" s="18"/>
      <c r="G2089" s="18"/>
      <c r="K2089" s="13"/>
      <c r="L2089" s="17"/>
      <c r="M2089" s="13"/>
      <c r="N2089" s="14"/>
      <c r="O2089" s="14"/>
      <c r="S2089" s="13"/>
      <c r="T2089" s="17"/>
      <c r="U2089" s="13"/>
      <c r="V2089" s="14"/>
      <c r="W2089" s="14"/>
      <c r="AA2089" s="13"/>
      <c r="AB2089" s="17"/>
      <c r="AC2089" s="13"/>
      <c r="AD2089" s="14"/>
      <c r="AE2089" s="30"/>
    </row>
    <row r="2090" spans="2:31" x14ac:dyDescent="0.25">
      <c r="B2090" s="53">
        <f t="shared" si="32"/>
        <v>416</v>
      </c>
      <c r="C2090" s="59" t="str">
        <f>IFERROR(VLOOKUP(C$13&amp;$B2094,Aux!$B:$M,5,0),"")</f>
        <v/>
      </c>
      <c r="D2090" s="60" t="str">
        <f>IFERROR(VLOOKUP(C$13&amp;$B2090,Aux!$B:$M,3,0),"")</f>
        <v/>
      </c>
      <c r="E2090" s="60"/>
      <c r="F2090" s="60"/>
      <c r="G2090" s="61" t="str">
        <f>IFERROR(VLOOKUP(C$13&amp;$B2090,Aux!$B:$M,9,0),"")</f>
        <v/>
      </c>
      <c r="K2090" s="59" t="str">
        <f>IFERROR(VLOOKUP(K$13&amp;$B2094,Aux!$B:$M,5,0),"")</f>
        <v/>
      </c>
      <c r="L2090" s="60" t="str">
        <f>IFERROR(VLOOKUP(K$13&amp;$B2090,Aux!$B:$M,3,0),"")</f>
        <v/>
      </c>
      <c r="M2090" s="60"/>
      <c r="N2090" s="60"/>
      <c r="O2090" s="61" t="str">
        <f>IFERROR(VLOOKUP(K$13&amp;$B2090,Aux!$B:$M,9,0),"")</f>
        <v/>
      </c>
      <c r="S2090" s="59" t="str">
        <f>IFERROR(VLOOKUP(S$13&amp;$B2094,Aux!$B:$M,5,0),"")</f>
        <v/>
      </c>
      <c r="T2090" s="60" t="str">
        <f>IFERROR(VLOOKUP(S$13&amp;$B2090,Aux!$B:$M,3,0),"")</f>
        <v/>
      </c>
      <c r="U2090" s="60"/>
      <c r="V2090" s="60"/>
      <c r="W2090" s="61" t="str">
        <f>IFERROR(VLOOKUP(S$13&amp;$B2090,Aux!$B:$M,9,0),"")</f>
        <v/>
      </c>
      <c r="AA2090" s="59" t="str">
        <f>IFERROR(VLOOKUP(AA$13&amp;$B2094,Aux!$B:$M,5,0),"")</f>
        <v/>
      </c>
      <c r="AB2090" s="60" t="str">
        <f>IFERROR(VLOOKUP(AA$13&amp;$B2090,Aux!$B:$M,3,0),"")</f>
        <v/>
      </c>
      <c r="AC2090" s="60"/>
      <c r="AD2090" s="60"/>
      <c r="AE2090" s="61" t="str">
        <f>IFERROR(VLOOKUP(AA$13&amp;$B2090,Aux!$B:$M,9,0),"")</f>
        <v/>
      </c>
    </row>
    <row r="2091" spans="2:31" x14ac:dyDescent="0.25">
      <c r="B2091" s="53">
        <f t="shared" si="32"/>
        <v>416</v>
      </c>
      <c r="C2091" s="59"/>
      <c r="D2091" s="60"/>
      <c r="E2091" s="60"/>
      <c r="F2091" s="60"/>
      <c r="G2091" s="61"/>
      <c r="K2091" s="59"/>
      <c r="L2091" s="60"/>
      <c r="M2091" s="60"/>
      <c r="N2091" s="60"/>
      <c r="O2091" s="61"/>
      <c r="S2091" s="59"/>
      <c r="T2091" s="60"/>
      <c r="U2091" s="60"/>
      <c r="V2091" s="60"/>
      <c r="W2091" s="61"/>
      <c r="AA2091" s="59"/>
      <c r="AB2091" s="60"/>
      <c r="AC2091" s="60"/>
      <c r="AD2091" s="60"/>
      <c r="AE2091" s="61"/>
    </row>
    <row r="2092" spans="2:31" x14ac:dyDescent="0.25">
      <c r="B2092" s="53">
        <f t="shared" si="32"/>
        <v>416</v>
      </c>
      <c r="C2092" s="59"/>
      <c r="D2092" s="15" t="str">
        <f>IF(D2090="","","Исполнитель"&amp;": ")</f>
        <v/>
      </c>
      <c r="E2092" s="62" t="str">
        <f>IFERROR(VLOOKUP(C$13&amp;$B2092,Aux!$B:$M,4,0),"")</f>
        <v/>
      </c>
      <c r="F2092" s="62"/>
      <c r="G2092" s="63" t="str">
        <f>IFERROR(IF(VLOOKUP(C$13&amp;$B2090,Aux!$B:$M,8,0)="Да","✔","🕓"),"")</f>
        <v/>
      </c>
      <c r="K2092" s="59"/>
      <c r="L2092" s="15" t="str">
        <f>IF(L2090="","","Исполнитель"&amp;": ")</f>
        <v/>
      </c>
      <c r="M2092" s="62" t="str">
        <f>IFERROR(VLOOKUP(K$13&amp;$B2092,Aux!$B:$M,4,0),"")</f>
        <v/>
      </c>
      <c r="N2092" s="62"/>
      <c r="O2092" s="63" t="str">
        <f>IFERROR(IF(VLOOKUP(K$13&amp;$B2090,Aux!$B:$M,8,0)="Да","✔","🕓"),"")</f>
        <v/>
      </c>
      <c r="S2092" s="59"/>
      <c r="T2092" s="15" t="str">
        <f>IF(T2090="","","Исполнитель"&amp;": ")</f>
        <v/>
      </c>
      <c r="U2092" s="62" t="str">
        <f>IFERROR(VLOOKUP(S$13&amp;$B2092,Aux!$B:$M,4,0),"")</f>
        <v/>
      </c>
      <c r="V2092" s="62"/>
      <c r="W2092" s="63" t="str">
        <f>IFERROR(IF(VLOOKUP(S$13&amp;$B2090,Aux!$B:$M,8,0)="Да","✔","🕓"),"")</f>
        <v/>
      </c>
      <c r="AA2092" s="59"/>
      <c r="AB2092" s="15" t="str">
        <f>IF(AB2090="","","Исполнитель"&amp;": ")</f>
        <v/>
      </c>
      <c r="AC2092" s="62" t="str">
        <f>IFERROR(VLOOKUP(AA$13&amp;$B2092,Aux!$B:$M,4,0),"")</f>
        <v/>
      </c>
      <c r="AD2092" s="62"/>
      <c r="AE2092" s="63" t="str">
        <f>IFERROR(IF(VLOOKUP(AA$13&amp;$B2090,Aux!$B:$M,8,0)="Да","✔","🕓"),"")</f>
        <v/>
      </c>
    </row>
    <row r="2093" spans="2:31" x14ac:dyDescent="0.25">
      <c r="B2093" s="53">
        <f t="shared" si="32"/>
        <v>416</v>
      </c>
      <c r="C2093" s="59"/>
      <c r="D2093" s="16" t="str">
        <f>IF(D2090="","","Срок сдачи"&amp;": ")</f>
        <v/>
      </c>
      <c r="E2093" s="64" t="str">
        <f>IFERROR(VLOOKUP(C$13&amp;$B2093,Aux!$B:$M,6,0),"")</f>
        <v/>
      </c>
      <c r="F2093" s="64"/>
      <c r="G2093" s="63"/>
      <c r="K2093" s="59"/>
      <c r="L2093" s="16" t="str">
        <f>IF(L2090="","","Срок сдачи"&amp;": ")</f>
        <v/>
      </c>
      <c r="M2093" s="64" t="str">
        <f>IFERROR(VLOOKUP(K$13&amp;$B2093,Aux!$B:$M,6,0),"")</f>
        <v/>
      </c>
      <c r="N2093" s="64"/>
      <c r="O2093" s="63"/>
      <c r="S2093" s="59"/>
      <c r="T2093" s="16" t="str">
        <f>IF(T2090="","","Срок сдачи"&amp;": ")</f>
        <v/>
      </c>
      <c r="U2093" s="64" t="str">
        <f>IFERROR(VLOOKUP(S$13&amp;$B2093,Aux!$B:$M,6,0),"")</f>
        <v/>
      </c>
      <c r="V2093" s="64"/>
      <c r="W2093" s="63"/>
      <c r="AA2093" s="59"/>
      <c r="AB2093" s="16" t="str">
        <f>IF(AB2090="","","Срок сдачи"&amp;": ")</f>
        <v/>
      </c>
      <c r="AC2093" s="64" t="str">
        <f>IFERROR(VLOOKUP(AA$13&amp;$B2093,Aux!$B:$M,6,0),"")</f>
        <v/>
      </c>
      <c r="AD2093" s="64"/>
      <c r="AE2093" s="63"/>
    </row>
    <row r="2094" spans="2:31" x14ac:dyDescent="0.25">
      <c r="B2094" s="53">
        <f t="shared" si="32"/>
        <v>416</v>
      </c>
      <c r="C2094" s="7"/>
      <c r="D2094" s="17"/>
      <c r="E2094" s="7"/>
      <c r="F2094" s="18"/>
      <c r="G2094" s="18"/>
      <c r="K2094" s="13"/>
      <c r="L2094" s="17"/>
      <c r="M2094" s="13"/>
      <c r="N2094" s="14"/>
      <c r="O2094" s="14"/>
      <c r="S2094" s="13"/>
      <c r="T2094" s="17"/>
      <c r="U2094" s="13"/>
      <c r="V2094" s="14"/>
      <c r="W2094" s="14"/>
      <c r="AA2094" s="13"/>
      <c r="AB2094" s="17"/>
      <c r="AC2094" s="13"/>
      <c r="AD2094" s="14"/>
      <c r="AE2094" s="30"/>
    </row>
    <row r="2095" spans="2:31" x14ac:dyDescent="0.25">
      <c r="B2095" s="53">
        <f t="shared" si="32"/>
        <v>417</v>
      </c>
      <c r="C2095" s="59" t="str">
        <f>IFERROR(VLOOKUP(C$13&amp;$B2099,Aux!$B:$M,5,0),"")</f>
        <v/>
      </c>
      <c r="D2095" s="60" t="str">
        <f>IFERROR(VLOOKUP(C$13&amp;$B2095,Aux!$B:$M,3,0),"")</f>
        <v/>
      </c>
      <c r="E2095" s="60"/>
      <c r="F2095" s="60"/>
      <c r="G2095" s="61" t="str">
        <f>IFERROR(VLOOKUP(C$13&amp;$B2095,Aux!$B:$M,9,0),"")</f>
        <v/>
      </c>
      <c r="K2095" s="59" t="str">
        <f>IFERROR(VLOOKUP(K$13&amp;$B2099,Aux!$B:$M,5,0),"")</f>
        <v/>
      </c>
      <c r="L2095" s="60" t="str">
        <f>IFERROR(VLOOKUP(K$13&amp;$B2095,Aux!$B:$M,3,0),"")</f>
        <v/>
      </c>
      <c r="M2095" s="60"/>
      <c r="N2095" s="60"/>
      <c r="O2095" s="61" t="str">
        <f>IFERROR(VLOOKUP(K$13&amp;$B2095,Aux!$B:$M,9,0),"")</f>
        <v/>
      </c>
      <c r="S2095" s="59" t="str">
        <f>IFERROR(VLOOKUP(S$13&amp;$B2099,Aux!$B:$M,5,0),"")</f>
        <v/>
      </c>
      <c r="T2095" s="60" t="str">
        <f>IFERROR(VLOOKUP(S$13&amp;$B2095,Aux!$B:$M,3,0),"")</f>
        <v/>
      </c>
      <c r="U2095" s="60"/>
      <c r="V2095" s="60"/>
      <c r="W2095" s="61" t="str">
        <f>IFERROR(VLOOKUP(S$13&amp;$B2095,Aux!$B:$M,9,0),"")</f>
        <v/>
      </c>
      <c r="AA2095" s="59" t="str">
        <f>IFERROR(VLOOKUP(AA$13&amp;$B2099,Aux!$B:$M,5,0),"")</f>
        <v/>
      </c>
      <c r="AB2095" s="60" t="str">
        <f>IFERROR(VLOOKUP(AA$13&amp;$B2095,Aux!$B:$M,3,0),"")</f>
        <v/>
      </c>
      <c r="AC2095" s="60"/>
      <c r="AD2095" s="60"/>
      <c r="AE2095" s="61" t="str">
        <f>IFERROR(VLOOKUP(AA$13&amp;$B2095,Aux!$B:$M,9,0),"")</f>
        <v/>
      </c>
    </row>
    <row r="2096" spans="2:31" x14ac:dyDescent="0.25">
      <c r="B2096" s="53">
        <f t="shared" si="32"/>
        <v>417</v>
      </c>
      <c r="C2096" s="59"/>
      <c r="D2096" s="60"/>
      <c r="E2096" s="60"/>
      <c r="F2096" s="60"/>
      <c r="G2096" s="61"/>
      <c r="K2096" s="59"/>
      <c r="L2096" s="60"/>
      <c r="M2096" s="60"/>
      <c r="N2096" s="60"/>
      <c r="O2096" s="61"/>
      <c r="S2096" s="59"/>
      <c r="T2096" s="60"/>
      <c r="U2096" s="60"/>
      <c r="V2096" s="60"/>
      <c r="W2096" s="61"/>
      <c r="AA2096" s="59"/>
      <c r="AB2096" s="60"/>
      <c r="AC2096" s="60"/>
      <c r="AD2096" s="60"/>
      <c r="AE2096" s="61"/>
    </row>
    <row r="2097" spans="2:31" x14ac:dyDescent="0.25">
      <c r="B2097" s="53">
        <f t="shared" si="32"/>
        <v>417</v>
      </c>
      <c r="C2097" s="59"/>
      <c r="D2097" s="15" t="str">
        <f>IF(D2095="","","Исполнитель"&amp;": ")</f>
        <v/>
      </c>
      <c r="E2097" s="62" t="str">
        <f>IFERROR(VLOOKUP(C$13&amp;$B2097,Aux!$B:$M,4,0),"")</f>
        <v/>
      </c>
      <c r="F2097" s="62"/>
      <c r="G2097" s="63" t="str">
        <f>IFERROR(IF(VLOOKUP(C$13&amp;$B2095,Aux!$B:$M,8,0)="Да","✔","🕓"),"")</f>
        <v/>
      </c>
      <c r="K2097" s="59"/>
      <c r="L2097" s="15" t="str">
        <f>IF(L2095="","","Исполнитель"&amp;": ")</f>
        <v/>
      </c>
      <c r="M2097" s="62" t="str">
        <f>IFERROR(VLOOKUP(K$13&amp;$B2097,Aux!$B:$M,4,0),"")</f>
        <v/>
      </c>
      <c r="N2097" s="62"/>
      <c r="O2097" s="63" t="str">
        <f>IFERROR(IF(VLOOKUP(K$13&amp;$B2095,Aux!$B:$M,8,0)="Да","✔","🕓"),"")</f>
        <v/>
      </c>
      <c r="S2097" s="59"/>
      <c r="T2097" s="15" t="str">
        <f>IF(T2095="","","Исполнитель"&amp;": ")</f>
        <v/>
      </c>
      <c r="U2097" s="62" t="str">
        <f>IFERROR(VLOOKUP(S$13&amp;$B2097,Aux!$B:$M,4,0),"")</f>
        <v/>
      </c>
      <c r="V2097" s="62"/>
      <c r="W2097" s="63" t="str">
        <f>IFERROR(IF(VLOOKUP(S$13&amp;$B2095,Aux!$B:$M,8,0)="Да","✔","🕓"),"")</f>
        <v/>
      </c>
      <c r="AA2097" s="59"/>
      <c r="AB2097" s="15" t="str">
        <f>IF(AB2095="","","Исполнитель"&amp;": ")</f>
        <v/>
      </c>
      <c r="AC2097" s="62" t="str">
        <f>IFERROR(VLOOKUP(AA$13&amp;$B2097,Aux!$B:$M,4,0),"")</f>
        <v/>
      </c>
      <c r="AD2097" s="62"/>
      <c r="AE2097" s="63" t="str">
        <f>IFERROR(IF(VLOOKUP(AA$13&amp;$B2095,Aux!$B:$M,8,0)="Да","✔","🕓"),"")</f>
        <v/>
      </c>
    </row>
    <row r="2098" spans="2:31" x14ac:dyDescent="0.25">
      <c r="B2098" s="53">
        <f t="shared" si="32"/>
        <v>417</v>
      </c>
      <c r="C2098" s="59"/>
      <c r="D2098" s="16" t="str">
        <f>IF(D2095="","","Срок сдачи"&amp;": ")</f>
        <v/>
      </c>
      <c r="E2098" s="64" t="str">
        <f>IFERROR(VLOOKUP(C$13&amp;$B2098,Aux!$B:$M,6,0),"")</f>
        <v/>
      </c>
      <c r="F2098" s="64"/>
      <c r="G2098" s="63"/>
      <c r="K2098" s="59"/>
      <c r="L2098" s="16" t="str">
        <f>IF(L2095="","","Срок сдачи"&amp;": ")</f>
        <v/>
      </c>
      <c r="M2098" s="64" t="str">
        <f>IFERROR(VLOOKUP(K$13&amp;$B2098,Aux!$B:$M,6,0),"")</f>
        <v/>
      </c>
      <c r="N2098" s="64"/>
      <c r="O2098" s="63"/>
      <c r="S2098" s="59"/>
      <c r="T2098" s="16" t="str">
        <f>IF(T2095="","","Срок сдачи"&amp;": ")</f>
        <v/>
      </c>
      <c r="U2098" s="64" t="str">
        <f>IFERROR(VLOOKUP(S$13&amp;$B2098,Aux!$B:$M,6,0),"")</f>
        <v/>
      </c>
      <c r="V2098" s="64"/>
      <c r="W2098" s="63"/>
      <c r="AA2098" s="59"/>
      <c r="AB2098" s="16" t="str">
        <f>IF(AB2095="","","Срок сдачи"&amp;": ")</f>
        <v/>
      </c>
      <c r="AC2098" s="64" t="str">
        <f>IFERROR(VLOOKUP(AA$13&amp;$B2098,Aux!$B:$M,6,0),"")</f>
        <v/>
      </c>
      <c r="AD2098" s="64"/>
      <c r="AE2098" s="63"/>
    </row>
    <row r="2099" spans="2:31" x14ac:dyDescent="0.25">
      <c r="B2099" s="53">
        <f t="shared" si="32"/>
        <v>417</v>
      </c>
      <c r="C2099" s="7"/>
      <c r="D2099" s="17"/>
      <c r="E2099" s="7"/>
      <c r="F2099" s="18"/>
      <c r="G2099" s="18"/>
      <c r="K2099" s="13"/>
      <c r="L2099" s="17"/>
      <c r="M2099" s="13"/>
      <c r="N2099" s="14"/>
      <c r="O2099" s="14"/>
      <c r="S2099" s="13"/>
      <c r="T2099" s="17"/>
      <c r="U2099" s="13"/>
      <c r="V2099" s="14"/>
      <c r="W2099" s="14"/>
      <c r="AA2099" s="13"/>
      <c r="AB2099" s="17"/>
      <c r="AC2099" s="13"/>
      <c r="AD2099" s="14"/>
      <c r="AE2099" s="30"/>
    </row>
    <row r="2100" spans="2:31" x14ac:dyDescent="0.25">
      <c r="B2100" s="53">
        <f t="shared" si="32"/>
        <v>418</v>
      </c>
      <c r="C2100" s="59" t="str">
        <f>IFERROR(VLOOKUP(C$13&amp;$B2104,Aux!$B:$M,5,0),"")</f>
        <v/>
      </c>
      <c r="D2100" s="60" t="str">
        <f>IFERROR(VLOOKUP(C$13&amp;$B2100,Aux!$B:$M,3,0),"")</f>
        <v/>
      </c>
      <c r="E2100" s="60"/>
      <c r="F2100" s="60"/>
      <c r="G2100" s="61" t="str">
        <f>IFERROR(VLOOKUP(C$13&amp;$B2100,Aux!$B:$M,9,0),"")</f>
        <v/>
      </c>
      <c r="K2100" s="59" t="str">
        <f>IFERROR(VLOOKUP(K$13&amp;$B2104,Aux!$B:$M,5,0),"")</f>
        <v/>
      </c>
      <c r="L2100" s="60" t="str">
        <f>IFERROR(VLOOKUP(K$13&amp;$B2100,Aux!$B:$M,3,0),"")</f>
        <v/>
      </c>
      <c r="M2100" s="60"/>
      <c r="N2100" s="60"/>
      <c r="O2100" s="61" t="str">
        <f>IFERROR(VLOOKUP(K$13&amp;$B2100,Aux!$B:$M,9,0),"")</f>
        <v/>
      </c>
      <c r="S2100" s="59" t="str">
        <f>IFERROR(VLOOKUP(S$13&amp;$B2104,Aux!$B:$M,5,0),"")</f>
        <v/>
      </c>
      <c r="T2100" s="60" t="str">
        <f>IFERROR(VLOOKUP(S$13&amp;$B2100,Aux!$B:$M,3,0),"")</f>
        <v/>
      </c>
      <c r="U2100" s="60"/>
      <c r="V2100" s="60"/>
      <c r="W2100" s="61" t="str">
        <f>IFERROR(VLOOKUP(S$13&amp;$B2100,Aux!$B:$M,9,0),"")</f>
        <v/>
      </c>
      <c r="AA2100" s="59" t="str">
        <f>IFERROR(VLOOKUP(AA$13&amp;$B2104,Aux!$B:$M,5,0),"")</f>
        <v/>
      </c>
      <c r="AB2100" s="60" t="str">
        <f>IFERROR(VLOOKUP(AA$13&amp;$B2100,Aux!$B:$M,3,0),"")</f>
        <v/>
      </c>
      <c r="AC2100" s="60"/>
      <c r="AD2100" s="60"/>
      <c r="AE2100" s="61" t="str">
        <f>IFERROR(VLOOKUP(AA$13&amp;$B2100,Aux!$B:$M,9,0),"")</f>
        <v/>
      </c>
    </row>
    <row r="2101" spans="2:31" x14ac:dyDescent="0.25">
      <c r="B2101" s="53">
        <f t="shared" si="32"/>
        <v>418</v>
      </c>
      <c r="C2101" s="59"/>
      <c r="D2101" s="60"/>
      <c r="E2101" s="60"/>
      <c r="F2101" s="60"/>
      <c r="G2101" s="61"/>
      <c r="K2101" s="59"/>
      <c r="L2101" s="60"/>
      <c r="M2101" s="60"/>
      <c r="N2101" s="60"/>
      <c r="O2101" s="61"/>
      <c r="S2101" s="59"/>
      <c r="T2101" s="60"/>
      <c r="U2101" s="60"/>
      <c r="V2101" s="60"/>
      <c r="W2101" s="61"/>
      <c r="AA2101" s="59"/>
      <c r="AB2101" s="60"/>
      <c r="AC2101" s="60"/>
      <c r="AD2101" s="60"/>
      <c r="AE2101" s="61"/>
    </row>
    <row r="2102" spans="2:31" x14ac:dyDescent="0.25">
      <c r="B2102" s="53">
        <f t="shared" si="32"/>
        <v>418</v>
      </c>
      <c r="C2102" s="59"/>
      <c r="D2102" s="15" t="str">
        <f>IF(D2100="","","Исполнитель"&amp;": ")</f>
        <v/>
      </c>
      <c r="E2102" s="62" t="str">
        <f>IFERROR(VLOOKUP(C$13&amp;$B2102,Aux!$B:$M,4,0),"")</f>
        <v/>
      </c>
      <c r="F2102" s="62"/>
      <c r="G2102" s="63" t="str">
        <f>IFERROR(IF(VLOOKUP(C$13&amp;$B2100,Aux!$B:$M,8,0)="Да","✔","🕓"),"")</f>
        <v/>
      </c>
      <c r="K2102" s="59"/>
      <c r="L2102" s="15" t="str">
        <f>IF(L2100="","","Исполнитель"&amp;": ")</f>
        <v/>
      </c>
      <c r="M2102" s="62" t="str">
        <f>IFERROR(VLOOKUP(K$13&amp;$B2102,Aux!$B:$M,4,0),"")</f>
        <v/>
      </c>
      <c r="N2102" s="62"/>
      <c r="O2102" s="63" t="str">
        <f>IFERROR(IF(VLOOKUP(K$13&amp;$B2100,Aux!$B:$M,8,0)="Да","✔","🕓"),"")</f>
        <v/>
      </c>
      <c r="S2102" s="59"/>
      <c r="T2102" s="15" t="str">
        <f>IF(T2100="","","Исполнитель"&amp;": ")</f>
        <v/>
      </c>
      <c r="U2102" s="62" t="str">
        <f>IFERROR(VLOOKUP(S$13&amp;$B2102,Aux!$B:$M,4,0),"")</f>
        <v/>
      </c>
      <c r="V2102" s="62"/>
      <c r="W2102" s="63" t="str">
        <f>IFERROR(IF(VLOOKUP(S$13&amp;$B2100,Aux!$B:$M,8,0)="Да","✔","🕓"),"")</f>
        <v/>
      </c>
      <c r="AA2102" s="59"/>
      <c r="AB2102" s="15" t="str">
        <f>IF(AB2100="","","Исполнитель"&amp;": ")</f>
        <v/>
      </c>
      <c r="AC2102" s="62" t="str">
        <f>IFERROR(VLOOKUP(AA$13&amp;$B2102,Aux!$B:$M,4,0),"")</f>
        <v/>
      </c>
      <c r="AD2102" s="62"/>
      <c r="AE2102" s="63" t="str">
        <f>IFERROR(IF(VLOOKUP(AA$13&amp;$B2100,Aux!$B:$M,8,0)="Да","✔","🕓"),"")</f>
        <v/>
      </c>
    </row>
    <row r="2103" spans="2:31" x14ac:dyDescent="0.25">
      <c r="B2103" s="53">
        <f t="shared" si="32"/>
        <v>418</v>
      </c>
      <c r="C2103" s="59"/>
      <c r="D2103" s="16" t="str">
        <f>IF(D2100="","","Срок сдачи"&amp;": ")</f>
        <v/>
      </c>
      <c r="E2103" s="64" t="str">
        <f>IFERROR(VLOOKUP(C$13&amp;$B2103,Aux!$B:$M,6,0),"")</f>
        <v/>
      </c>
      <c r="F2103" s="64"/>
      <c r="G2103" s="63"/>
      <c r="K2103" s="59"/>
      <c r="L2103" s="16" t="str">
        <f>IF(L2100="","","Срок сдачи"&amp;": ")</f>
        <v/>
      </c>
      <c r="M2103" s="64" t="str">
        <f>IFERROR(VLOOKUP(K$13&amp;$B2103,Aux!$B:$M,6,0),"")</f>
        <v/>
      </c>
      <c r="N2103" s="64"/>
      <c r="O2103" s="63"/>
      <c r="S2103" s="59"/>
      <c r="T2103" s="16" t="str">
        <f>IF(T2100="","","Срок сдачи"&amp;": ")</f>
        <v/>
      </c>
      <c r="U2103" s="64" t="str">
        <f>IFERROR(VLOOKUP(S$13&amp;$B2103,Aux!$B:$M,6,0),"")</f>
        <v/>
      </c>
      <c r="V2103" s="64"/>
      <c r="W2103" s="63"/>
      <c r="AA2103" s="59"/>
      <c r="AB2103" s="16" t="str">
        <f>IF(AB2100="","","Срок сдачи"&amp;": ")</f>
        <v/>
      </c>
      <c r="AC2103" s="64" t="str">
        <f>IFERROR(VLOOKUP(AA$13&amp;$B2103,Aux!$B:$M,6,0),"")</f>
        <v/>
      </c>
      <c r="AD2103" s="64"/>
      <c r="AE2103" s="63"/>
    </row>
    <row r="2104" spans="2:31" x14ac:dyDescent="0.25">
      <c r="B2104" s="53">
        <f t="shared" si="32"/>
        <v>418</v>
      </c>
      <c r="C2104" s="7"/>
      <c r="D2104" s="17"/>
      <c r="E2104" s="7"/>
      <c r="F2104" s="18"/>
      <c r="G2104" s="18"/>
      <c r="K2104" s="13"/>
      <c r="L2104" s="17"/>
      <c r="M2104" s="13"/>
      <c r="N2104" s="14"/>
      <c r="O2104" s="14"/>
      <c r="S2104" s="13"/>
      <c r="T2104" s="17"/>
      <c r="U2104" s="13"/>
      <c r="V2104" s="14"/>
      <c r="W2104" s="14"/>
      <c r="AA2104" s="13"/>
      <c r="AB2104" s="17"/>
      <c r="AC2104" s="13"/>
      <c r="AD2104" s="14"/>
      <c r="AE2104" s="30"/>
    </row>
    <row r="2105" spans="2:31" x14ac:dyDescent="0.25">
      <c r="B2105" s="53">
        <f t="shared" si="32"/>
        <v>419</v>
      </c>
      <c r="C2105" s="59" t="str">
        <f>IFERROR(VLOOKUP(C$13&amp;$B2109,Aux!$B:$M,5,0),"")</f>
        <v/>
      </c>
      <c r="D2105" s="60" t="str">
        <f>IFERROR(VLOOKUP(C$13&amp;$B2105,Aux!$B:$M,3,0),"")</f>
        <v/>
      </c>
      <c r="E2105" s="60"/>
      <c r="F2105" s="60"/>
      <c r="G2105" s="61" t="str">
        <f>IFERROR(VLOOKUP(C$13&amp;$B2105,Aux!$B:$M,9,0),"")</f>
        <v/>
      </c>
      <c r="K2105" s="59" t="str">
        <f>IFERROR(VLOOKUP(K$13&amp;$B2109,Aux!$B:$M,5,0),"")</f>
        <v/>
      </c>
      <c r="L2105" s="60" t="str">
        <f>IFERROR(VLOOKUP(K$13&amp;$B2105,Aux!$B:$M,3,0),"")</f>
        <v/>
      </c>
      <c r="M2105" s="60"/>
      <c r="N2105" s="60"/>
      <c r="O2105" s="61" t="str">
        <f>IFERROR(VLOOKUP(K$13&amp;$B2105,Aux!$B:$M,9,0),"")</f>
        <v/>
      </c>
      <c r="S2105" s="59" t="str">
        <f>IFERROR(VLOOKUP(S$13&amp;$B2109,Aux!$B:$M,5,0),"")</f>
        <v/>
      </c>
      <c r="T2105" s="60" t="str">
        <f>IFERROR(VLOOKUP(S$13&amp;$B2105,Aux!$B:$M,3,0),"")</f>
        <v/>
      </c>
      <c r="U2105" s="60"/>
      <c r="V2105" s="60"/>
      <c r="W2105" s="61" t="str">
        <f>IFERROR(VLOOKUP(S$13&amp;$B2105,Aux!$B:$M,9,0),"")</f>
        <v/>
      </c>
      <c r="AA2105" s="59" t="str">
        <f>IFERROR(VLOOKUP(AA$13&amp;$B2109,Aux!$B:$M,5,0),"")</f>
        <v/>
      </c>
      <c r="AB2105" s="60" t="str">
        <f>IFERROR(VLOOKUP(AA$13&amp;$B2105,Aux!$B:$M,3,0),"")</f>
        <v/>
      </c>
      <c r="AC2105" s="60"/>
      <c r="AD2105" s="60"/>
      <c r="AE2105" s="61" t="str">
        <f>IFERROR(VLOOKUP(AA$13&amp;$B2105,Aux!$B:$M,9,0),"")</f>
        <v/>
      </c>
    </row>
    <row r="2106" spans="2:31" x14ac:dyDescent="0.25">
      <c r="B2106" s="53">
        <f t="shared" si="32"/>
        <v>419</v>
      </c>
      <c r="C2106" s="59"/>
      <c r="D2106" s="60"/>
      <c r="E2106" s="60"/>
      <c r="F2106" s="60"/>
      <c r="G2106" s="61"/>
      <c r="K2106" s="59"/>
      <c r="L2106" s="60"/>
      <c r="M2106" s="60"/>
      <c r="N2106" s="60"/>
      <c r="O2106" s="61"/>
      <c r="S2106" s="59"/>
      <c r="T2106" s="60"/>
      <c r="U2106" s="60"/>
      <c r="V2106" s="60"/>
      <c r="W2106" s="61"/>
      <c r="AA2106" s="59"/>
      <c r="AB2106" s="60"/>
      <c r="AC2106" s="60"/>
      <c r="AD2106" s="60"/>
      <c r="AE2106" s="61"/>
    </row>
    <row r="2107" spans="2:31" x14ac:dyDescent="0.25">
      <c r="B2107" s="53">
        <f t="shared" si="32"/>
        <v>419</v>
      </c>
      <c r="C2107" s="59"/>
      <c r="D2107" s="15" t="str">
        <f>IF(D2105="","","Исполнитель"&amp;": ")</f>
        <v/>
      </c>
      <c r="E2107" s="62" t="str">
        <f>IFERROR(VLOOKUP(C$13&amp;$B2107,Aux!$B:$M,4,0),"")</f>
        <v/>
      </c>
      <c r="F2107" s="62"/>
      <c r="G2107" s="63" t="str">
        <f>IFERROR(IF(VLOOKUP(C$13&amp;$B2105,Aux!$B:$M,8,0)="Да","✔","🕓"),"")</f>
        <v/>
      </c>
      <c r="K2107" s="59"/>
      <c r="L2107" s="15" t="str">
        <f>IF(L2105="","","Исполнитель"&amp;": ")</f>
        <v/>
      </c>
      <c r="M2107" s="62" t="str">
        <f>IFERROR(VLOOKUP(K$13&amp;$B2107,Aux!$B:$M,4,0),"")</f>
        <v/>
      </c>
      <c r="N2107" s="62"/>
      <c r="O2107" s="63" t="str">
        <f>IFERROR(IF(VLOOKUP(K$13&amp;$B2105,Aux!$B:$M,8,0)="Да","✔","🕓"),"")</f>
        <v/>
      </c>
      <c r="S2107" s="59"/>
      <c r="T2107" s="15" t="str">
        <f>IF(T2105="","","Исполнитель"&amp;": ")</f>
        <v/>
      </c>
      <c r="U2107" s="62" t="str">
        <f>IFERROR(VLOOKUP(S$13&amp;$B2107,Aux!$B:$M,4,0),"")</f>
        <v/>
      </c>
      <c r="V2107" s="62"/>
      <c r="W2107" s="63" t="str">
        <f>IFERROR(IF(VLOOKUP(S$13&amp;$B2105,Aux!$B:$M,8,0)="Да","✔","🕓"),"")</f>
        <v/>
      </c>
      <c r="AA2107" s="59"/>
      <c r="AB2107" s="15" t="str">
        <f>IF(AB2105="","","Исполнитель"&amp;": ")</f>
        <v/>
      </c>
      <c r="AC2107" s="62" t="str">
        <f>IFERROR(VLOOKUP(AA$13&amp;$B2107,Aux!$B:$M,4,0),"")</f>
        <v/>
      </c>
      <c r="AD2107" s="62"/>
      <c r="AE2107" s="63" t="str">
        <f>IFERROR(IF(VLOOKUP(AA$13&amp;$B2105,Aux!$B:$M,8,0)="Да","✔","🕓"),"")</f>
        <v/>
      </c>
    </row>
    <row r="2108" spans="2:31" x14ac:dyDescent="0.25">
      <c r="B2108" s="53">
        <f t="shared" si="32"/>
        <v>419</v>
      </c>
      <c r="C2108" s="59"/>
      <c r="D2108" s="16" t="str">
        <f>IF(D2105="","","Срок сдачи"&amp;": ")</f>
        <v/>
      </c>
      <c r="E2108" s="64" t="str">
        <f>IFERROR(VLOOKUP(C$13&amp;$B2108,Aux!$B:$M,6,0),"")</f>
        <v/>
      </c>
      <c r="F2108" s="64"/>
      <c r="G2108" s="63"/>
      <c r="K2108" s="59"/>
      <c r="L2108" s="16" t="str">
        <f>IF(L2105="","","Срок сдачи"&amp;": ")</f>
        <v/>
      </c>
      <c r="M2108" s="64" t="str">
        <f>IFERROR(VLOOKUP(K$13&amp;$B2108,Aux!$B:$M,6,0),"")</f>
        <v/>
      </c>
      <c r="N2108" s="64"/>
      <c r="O2108" s="63"/>
      <c r="S2108" s="59"/>
      <c r="T2108" s="16" t="str">
        <f>IF(T2105="","","Срок сдачи"&amp;": ")</f>
        <v/>
      </c>
      <c r="U2108" s="64" t="str">
        <f>IFERROR(VLOOKUP(S$13&amp;$B2108,Aux!$B:$M,6,0),"")</f>
        <v/>
      </c>
      <c r="V2108" s="64"/>
      <c r="W2108" s="63"/>
      <c r="AA2108" s="59"/>
      <c r="AB2108" s="16" t="str">
        <f>IF(AB2105="","","Срок сдачи"&amp;": ")</f>
        <v/>
      </c>
      <c r="AC2108" s="64" t="str">
        <f>IFERROR(VLOOKUP(AA$13&amp;$B2108,Aux!$B:$M,6,0),"")</f>
        <v/>
      </c>
      <c r="AD2108" s="64"/>
      <c r="AE2108" s="63"/>
    </row>
    <row r="2109" spans="2:31" x14ac:dyDescent="0.25">
      <c r="B2109" s="53">
        <f t="shared" si="32"/>
        <v>419</v>
      </c>
      <c r="C2109" s="7"/>
      <c r="D2109" s="17"/>
      <c r="E2109" s="7"/>
      <c r="F2109" s="18"/>
      <c r="G2109" s="18"/>
      <c r="K2109" s="13"/>
      <c r="L2109" s="17"/>
      <c r="M2109" s="13"/>
      <c r="N2109" s="14"/>
      <c r="O2109" s="14"/>
      <c r="S2109" s="13"/>
      <c r="T2109" s="17"/>
      <c r="U2109" s="13"/>
      <c r="V2109" s="14"/>
      <c r="W2109" s="14"/>
      <c r="AA2109" s="13"/>
      <c r="AB2109" s="17"/>
      <c r="AC2109" s="13"/>
      <c r="AD2109" s="14"/>
      <c r="AE2109" s="30"/>
    </row>
    <row r="2110" spans="2:31" x14ac:dyDescent="0.25">
      <c r="B2110" s="53">
        <f t="shared" si="32"/>
        <v>420</v>
      </c>
      <c r="C2110" s="59" t="str">
        <f>IFERROR(VLOOKUP(C$13&amp;$B2114,Aux!$B:$M,5,0),"")</f>
        <v/>
      </c>
      <c r="D2110" s="60" t="str">
        <f>IFERROR(VLOOKUP(C$13&amp;$B2110,Aux!$B:$M,3,0),"")</f>
        <v/>
      </c>
      <c r="E2110" s="60"/>
      <c r="F2110" s="60"/>
      <c r="G2110" s="61" t="str">
        <f>IFERROR(VLOOKUP(C$13&amp;$B2110,Aux!$B:$M,9,0),"")</f>
        <v/>
      </c>
      <c r="K2110" s="59" t="str">
        <f>IFERROR(VLOOKUP(K$13&amp;$B2114,Aux!$B:$M,5,0),"")</f>
        <v/>
      </c>
      <c r="L2110" s="60" t="str">
        <f>IFERROR(VLOOKUP(K$13&amp;$B2110,Aux!$B:$M,3,0),"")</f>
        <v/>
      </c>
      <c r="M2110" s="60"/>
      <c r="N2110" s="60"/>
      <c r="O2110" s="61" t="str">
        <f>IFERROR(VLOOKUP(K$13&amp;$B2110,Aux!$B:$M,9,0),"")</f>
        <v/>
      </c>
      <c r="S2110" s="59" t="str">
        <f>IFERROR(VLOOKUP(S$13&amp;$B2114,Aux!$B:$M,5,0),"")</f>
        <v/>
      </c>
      <c r="T2110" s="60" t="str">
        <f>IFERROR(VLOOKUP(S$13&amp;$B2110,Aux!$B:$M,3,0),"")</f>
        <v/>
      </c>
      <c r="U2110" s="60"/>
      <c r="V2110" s="60"/>
      <c r="W2110" s="61" t="str">
        <f>IFERROR(VLOOKUP(S$13&amp;$B2110,Aux!$B:$M,9,0),"")</f>
        <v/>
      </c>
      <c r="AA2110" s="59" t="str">
        <f>IFERROR(VLOOKUP(AA$13&amp;$B2114,Aux!$B:$M,5,0),"")</f>
        <v/>
      </c>
      <c r="AB2110" s="60" t="str">
        <f>IFERROR(VLOOKUP(AA$13&amp;$B2110,Aux!$B:$M,3,0),"")</f>
        <v/>
      </c>
      <c r="AC2110" s="60"/>
      <c r="AD2110" s="60"/>
      <c r="AE2110" s="61" t="str">
        <f>IFERROR(VLOOKUP(AA$13&amp;$B2110,Aux!$B:$M,9,0),"")</f>
        <v/>
      </c>
    </row>
    <row r="2111" spans="2:31" x14ac:dyDescent="0.25">
      <c r="B2111" s="53">
        <f t="shared" si="32"/>
        <v>420</v>
      </c>
      <c r="C2111" s="59"/>
      <c r="D2111" s="60"/>
      <c r="E2111" s="60"/>
      <c r="F2111" s="60"/>
      <c r="G2111" s="61"/>
      <c r="K2111" s="59"/>
      <c r="L2111" s="60"/>
      <c r="M2111" s="60"/>
      <c r="N2111" s="60"/>
      <c r="O2111" s="61"/>
      <c r="S2111" s="59"/>
      <c r="T2111" s="60"/>
      <c r="U2111" s="60"/>
      <c r="V2111" s="60"/>
      <c r="W2111" s="61"/>
      <c r="AA2111" s="59"/>
      <c r="AB2111" s="60"/>
      <c r="AC2111" s="60"/>
      <c r="AD2111" s="60"/>
      <c r="AE2111" s="61"/>
    </row>
    <row r="2112" spans="2:31" x14ac:dyDescent="0.25">
      <c r="B2112" s="53">
        <f t="shared" si="32"/>
        <v>420</v>
      </c>
      <c r="C2112" s="59"/>
      <c r="D2112" s="15" t="str">
        <f>IF(D2110="","","Исполнитель"&amp;": ")</f>
        <v/>
      </c>
      <c r="E2112" s="62" t="str">
        <f>IFERROR(VLOOKUP(C$13&amp;$B2112,Aux!$B:$M,4,0),"")</f>
        <v/>
      </c>
      <c r="F2112" s="62"/>
      <c r="G2112" s="63" t="str">
        <f>IFERROR(IF(VLOOKUP(C$13&amp;$B2110,Aux!$B:$M,8,0)="Да","✔","🕓"),"")</f>
        <v/>
      </c>
      <c r="K2112" s="59"/>
      <c r="L2112" s="15" t="str">
        <f>IF(L2110="","","Исполнитель"&amp;": ")</f>
        <v/>
      </c>
      <c r="M2112" s="62" t="str">
        <f>IFERROR(VLOOKUP(K$13&amp;$B2112,Aux!$B:$M,4,0),"")</f>
        <v/>
      </c>
      <c r="N2112" s="62"/>
      <c r="O2112" s="63" t="str">
        <f>IFERROR(IF(VLOOKUP(K$13&amp;$B2110,Aux!$B:$M,8,0)="Да","✔","🕓"),"")</f>
        <v/>
      </c>
      <c r="S2112" s="59"/>
      <c r="T2112" s="15" t="str">
        <f>IF(T2110="","","Исполнитель"&amp;": ")</f>
        <v/>
      </c>
      <c r="U2112" s="62" t="str">
        <f>IFERROR(VLOOKUP(S$13&amp;$B2112,Aux!$B:$M,4,0),"")</f>
        <v/>
      </c>
      <c r="V2112" s="62"/>
      <c r="W2112" s="63" t="str">
        <f>IFERROR(IF(VLOOKUP(S$13&amp;$B2110,Aux!$B:$M,8,0)="Да","✔","🕓"),"")</f>
        <v/>
      </c>
      <c r="AA2112" s="59"/>
      <c r="AB2112" s="15" t="str">
        <f>IF(AB2110="","","Исполнитель"&amp;": ")</f>
        <v/>
      </c>
      <c r="AC2112" s="62" t="str">
        <f>IFERROR(VLOOKUP(AA$13&amp;$B2112,Aux!$B:$M,4,0),"")</f>
        <v/>
      </c>
      <c r="AD2112" s="62"/>
      <c r="AE2112" s="63" t="str">
        <f>IFERROR(IF(VLOOKUP(AA$13&amp;$B2110,Aux!$B:$M,8,0)="Да","✔","🕓"),"")</f>
        <v/>
      </c>
    </row>
    <row r="2113" spans="2:31" x14ac:dyDescent="0.25">
      <c r="B2113" s="53">
        <f t="shared" si="32"/>
        <v>420</v>
      </c>
      <c r="C2113" s="59"/>
      <c r="D2113" s="16" t="str">
        <f>IF(D2110="","","Срок сдачи"&amp;": ")</f>
        <v/>
      </c>
      <c r="E2113" s="64" t="str">
        <f>IFERROR(VLOOKUP(C$13&amp;$B2113,Aux!$B:$M,6,0),"")</f>
        <v/>
      </c>
      <c r="F2113" s="64"/>
      <c r="G2113" s="63"/>
      <c r="K2113" s="59"/>
      <c r="L2113" s="16" t="str">
        <f>IF(L2110="","","Срок сдачи"&amp;": ")</f>
        <v/>
      </c>
      <c r="M2113" s="64" t="str">
        <f>IFERROR(VLOOKUP(K$13&amp;$B2113,Aux!$B:$M,6,0),"")</f>
        <v/>
      </c>
      <c r="N2113" s="64"/>
      <c r="O2113" s="63"/>
      <c r="S2113" s="59"/>
      <c r="T2113" s="16" t="str">
        <f>IF(T2110="","","Срок сдачи"&amp;": ")</f>
        <v/>
      </c>
      <c r="U2113" s="64" t="str">
        <f>IFERROR(VLOOKUP(S$13&amp;$B2113,Aux!$B:$M,6,0),"")</f>
        <v/>
      </c>
      <c r="V2113" s="64"/>
      <c r="W2113" s="63"/>
      <c r="AA2113" s="59"/>
      <c r="AB2113" s="16" t="str">
        <f>IF(AB2110="","","Срок сдачи"&amp;": ")</f>
        <v/>
      </c>
      <c r="AC2113" s="64" t="str">
        <f>IFERROR(VLOOKUP(AA$13&amp;$B2113,Aux!$B:$M,6,0),"")</f>
        <v/>
      </c>
      <c r="AD2113" s="64"/>
      <c r="AE2113" s="63"/>
    </row>
    <row r="2114" spans="2:31" x14ac:dyDescent="0.25">
      <c r="B2114" s="53">
        <f t="shared" si="32"/>
        <v>420</v>
      </c>
      <c r="C2114" s="7"/>
      <c r="D2114" s="17"/>
      <c r="E2114" s="7"/>
      <c r="F2114" s="18"/>
      <c r="G2114" s="18"/>
      <c r="K2114" s="13"/>
      <c r="L2114" s="17"/>
      <c r="M2114" s="13"/>
      <c r="N2114" s="14"/>
      <c r="O2114" s="14"/>
      <c r="S2114" s="13"/>
      <c r="T2114" s="17"/>
      <c r="U2114" s="13"/>
      <c r="V2114" s="14"/>
      <c r="W2114" s="14"/>
      <c r="AA2114" s="13"/>
      <c r="AB2114" s="17"/>
      <c r="AC2114" s="13"/>
      <c r="AD2114" s="14"/>
      <c r="AE2114" s="30"/>
    </row>
    <row r="2115" spans="2:31" x14ac:dyDescent="0.25">
      <c r="B2115" s="53">
        <f t="shared" si="32"/>
        <v>421</v>
      </c>
      <c r="C2115" s="59" t="str">
        <f>IFERROR(VLOOKUP(C$13&amp;$B2119,Aux!$B:$M,5,0),"")</f>
        <v/>
      </c>
      <c r="D2115" s="60" t="str">
        <f>IFERROR(VLOOKUP(C$13&amp;$B2115,Aux!$B:$M,3,0),"")</f>
        <v/>
      </c>
      <c r="E2115" s="60"/>
      <c r="F2115" s="60"/>
      <c r="G2115" s="61" t="str">
        <f>IFERROR(VLOOKUP(C$13&amp;$B2115,Aux!$B:$M,9,0),"")</f>
        <v/>
      </c>
      <c r="K2115" s="59" t="str">
        <f>IFERROR(VLOOKUP(K$13&amp;$B2119,Aux!$B:$M,5,0),"")</f>
        <v/>
      </c>
      <c r="L2115" s="60" t="str">
        <f>IFERROR(VLOOKUP(K$13&amp;$B2115,Aux!$B:$M,3,0),"")</f>
        <v/>
      </c>
      <c r="M2115" s="60"/>
      <c r="N2115" s="60"/>
      <c r="O2115" s="61" t="str">
        <f>IFERROR(VLOOKUP(K$13&amp;$B2115,Aux!$B:$M,9,0),"")</f>
        <v/>
      </c>
      <c r="S2115" s="59" t="str">
        <f>IFERROR(VLOOKUP(S$13&amp;$B2119,Aux!$B:$M,5,0),"")</f>
        <v/>
      </c>
      <c r="T2115" s="60" t="str">
        <f>IFERROR(VLOOKUP(S$13&amp;$B2115,Aux!$B:$M,3,0),"")</f>
        <v/>
      </c>
      <c r="U2115" s="60"/>
      <c r="V2115" s="60"/>
      <c r="W2115" s="61" t="str">
        <f>IFERROR(VLOOKUP(S$13&amp;$B2115,Aux!$B:$M,9,0),"")</f>
        <v/>
      </c>
      <c r="AA2115" s="59" t="str">
        <f>IFERROR(VLOOKUP(AA$13&amp;$B2119,Aux!$B:$M,5,0),"")</f>
        <v/>
      </c>
      <c r="AB2115" s="60" t="str">
        <f>IFERROR(VLOOKUP(AA$13&amp;$B2115,Aux!$B:$M,3,0),"")</f>
        <v/>
      </c>
      <c r="AC2115" s="60"/>
      <c r="AD2115" s="60"/>
      <c r="AE2115" s="61" t="str">
        <f>IFERROR(VLOOKUP(AA$13&amp;$B2115,Aux!$B:$M,9,0),"")</f>
        <v/>
      </c>
    </row>
    <row r="2116" spans="2:31" x14ac:dyDescent="0.25">
      <c r="B2116" s="53">
        <f t="shared" si="32"/>
        <v>421</v>
      </c>
      <c r="C2116" s="59"/>
      <c r="D2116" s="60"/>
      <c r="E2116" s="60"/>
      <c r="F2116" s="60"/>
      <c r="G2116" s="61"/>
      <c r="K2116" s="59"/>
      <c r="L2116" s="60"/>
      <c r="M2116" s="60"/>
      <c r="N2116" s="60"/>
      <c r="O2116" s="61"/>
      <c r="S2116" s="59"/>
      <c r="T2116" s="60"/>
      <c r="U2116" s="60"/>
      <c r="V2116" s="60"/>
      <c r="W2116" s="61"/>
      <c r="AA2116" s="59"/>
      <c r="AB2116" s="60"/>
      <c r="AC2116" s="60"/>
      <c r="AD2116" s="60"/>
      <c r="AE2116" s="61"/>
    </row>
    <row r="2117" spans="2:31" x14ac:dyDescent="0.25">
      <c r="B2117" s="53">
        <f t="shared" si="32"/>
        <v>421</v>
      </c>
      <c r="C2117" s="59"/>
      <c r="D2117" s="15" t="str">
        <f>IF(D2115="","","Исполнитель"&amp;": ")</f>
        <v/>
      </c>
      <c r="E2117" s="62" t="str">
        <f>IFERROR(VLOOKUP(C$13&amp;$B2117,Aux!$B:$M,4,0),"")</f>
        <v/>
      </c>
      <c r="F2117" s="62"/>
      <c r="G2117" s="63" t="str">
        <f>IFERROR(IF(VLOOKUP(C$13&amp;$B2115,Aux!$B:$M,8,0)="Да","✔","🕓"),"")</f>
        <v/>
      </c>
      <c r="K2117" s="59"/>
      <c r="L2117" s="15" t="str">
        <f>IF(L2115="","","Исполнитель"&amp;": ")</f>
        <v/>
      </c>
      <c r="M2117" s="62" t="str">
        <f>IFERROR(VLOOKUP(K$13&amp;$B2117,Aux!$B:$M,4,0),"")</f>
        <v/>
      </c>
      <c r="N2117" s="62"/>
      <c r="O2117" s="63" t="str">
        <f>IFERROR(IF(VLOOKUP(K$13&amp;$B2115,Aux!$B:$M,8,0)="Да","✔","🕓"),"")</f>
        <v/>
      </c>
      <c r="S2117" s="59"/>
      <c r="T2117" s="15" t="str">
        <f>IF(T2115="","","Исполнитель"&amp;": ")</f>
        <v/>
      </c>
      <c r="U2117" s="62" t="str">
        <f>IFERROR(VLOOKUP(S$13&amp;$B2117,Aux!$B:$M,4,0),"")</f>
        <v/>
      </c>
      <c r="V2117" s="62"/>
      <c r="W2117" s="63" t="str">
        <f>IFERROR(IF(VLOOKUP(S$13&amp;$B2115,Aux!$B:$M,8,0)="Да","✔","🕓"),"")</f>
        <v/>
      </c>
      <c r="AA2117" s="59"/>
      <c r="AB2117" s="15" t="str">
        <f>IF(AB2115="","","Исполнитель"&amp;": ")</f>
        <v/>
      </c>
      <c r="AC2117" s="62" t="str">
        <f>IFERROR(VLOOKUP(AA$13&amp;$B2117,Aux!$B:$M,4,0),"")</f>
        <v/>
      </c>
      <c r="AD2117" s="62"/>
      <c r="AE2117" s="63" t="str">
        <f>IFERROR(IF(VLOOKUP(AA$13&amp;$B2115,Aux!$B:$M,8,0)="Да","✔","🕓"),"")</f>
        <v/>
      </c>
    </row>
    <row r="2118" spans="2:31" x14ac:dyDescent="0.25">
      <c r="B2118" s="53">
        <f t="shared" si="32"/>
        <v>421</v>
      </c>
      <c r="C2118" s="59"/>
      <c r="D2118" s="16" t="str">
        <f>IF(D2115="","","Срок сдачи"&amp;": ")</f>
        <v/>
      </c>
      <c r="E2118" s="64" t="str">
        <f>IFERROR(VLOOKUP(C$13&amp;$B2118,Aux!$B:$M,6,0),"")</f>
        <v/>
      </c>
      <c r="F2118" s="64"/>
      <c r="G2118" s="63"/>
      <c r="K2118" s="59"/>
      <c r="L2118" s="16" t="str">
        <f>IF(L2115="","","Срок сдачи"&amp;": ")</f>
        <v/>
      </c>
      <c r="M2118" s="64" t="str">
        <f>IFERROR(VLOOKUP(K$13&amp;$B2118,Aux!$B:$M,6,0),"")</f>
        <v/>
      </c>
      <c r="N2118" s="64"/>
      <c r="O2118" s="63"/>
      <c r="S2118" s="59"/>
      <c r="T2118" s="16" t="str">
        <f>IF(T2115="","","Срок сдачи"&amp;": ")</f>
        <v/>
      </c>
      <c r="U2118" s="64" t="str">
        <f>IFERROR(VLOOKUP(S$13&amp;$B2118,Aux!$B:$M,6,0),"")</f>
        <v/>
      </c>
      <c r="V2118" s="64"/>
      <c r="W2118" s="63"/>
      <c r="AA2118" s="59"/>
      <c r="AB2118" s="16" t="str">
        <f>IF(AB2115="","","Срок сдачи"&amp;": ")</f>
        <v/>
      </c>
      <c r="AC2118" s="64" t="str">
        <f>IFERROR(VLOOKUP(AA$13&amp;$B2118,Aux!$B:$M,6,0),"")</f>
        <v/>
      </c>
      <c r="AD2118" s="64"/>
      <c r="AE2118" s="63"/>
    </row>
    <row r="2119" spans="2:31" x14ac:dyDescent="0.25">
      <c r="B2119" s="53">
        <f t="shared" si="32"/>
        <v>421</v>
      </c>
      <c r="C2119" s="7"/>
      <c r="D2119" s="17"/>
      <c r="E2119" s="7"/>
      <c r="F2119" s="18"/>
      <c r="G2119" s="18"/>
      <c r="K2119" s="13"/>
      <c r="L2119" s="17"/>
      <c r="M2119" s="13"/>
      <c r="N2119" s="14"/>
      <c r="O2119" s="14"/>
      <c r="S2119" s="13"/>
      <c r="T2119" s="17"/>
      <c r="U2119" s="13"/>
      <c r="V2119" s="14"/>
      <c r="W2119" s="14"/>
      <c r="AA2119" s="13"/>
      <c r="AB2119" s="17"/>
      <c r="AC2119" s="13"/>
      <c r="AD2119" s="14"/>
      <c r="AE2119" s="30"/>
    </row>
    <row r="2120" spans="2:31" x14ac:dyDescent="0.25">
      <c r="B2120" s="53">
        <f t="shared" si="32"/>
        <v>422</v>
      </c>
      <c r="C2120" s="59" t="str">
        <f>IFERROR(VLOOKUP(C$13&amp;$B2124,Aux!$B:$M,5,0),"")</f>
        <v/>
      </c>
      <c r="D2120" s="60" t="str">
        <f>IFERROR(VLOOKUP(C$13&amp;$B2120,Aux!$B:$M,3,0),"")</f>
        <v/>
      </c>
      <c r="E2120" s="60"/>
      <c r="F2120" s="60"/>
      <c r="G2120" s="61" t="str">
        <f>IFERROR(VLOOKUP(C$13&amp;$B2120,Aux!$B:$M,9,0),"")</f>
        <v/>
      </c>
      <c r="K2120" s="59" t="str">
        <f>IFERROR(VLOOKUP(K$13&amp;$B2124,Aux!$B:$M,5,0),"")</f>
        <v/>
      </c>
      <c r="L2120" s="60" t="str">
        <f>IFERROR(VLOOKUP(K$13&amp;$B2120,Aux!$B:$M,3,0),"")</f>
        <v/>
      </c>
      <c r="M2120" s="60"/>
      <c r="N2120" s="60"/>
      <c r="O2120" s="61" t="str">
        <f>IFERROR(VLOOKUP(K$13&amp;$B2120,Aux!$B:$M,9,0),"")</f>
        <v/>
      </c>
      <c r="S2120" s="59" t="str">
        <f>IFERROR(VLOOKUP(S$13&amp;$B2124,Aux!$B:$M,5,0),"")</f>
        <v/>
      </c>
      <c r="T2120" s="60" t="str">
        <f>IFERROR(VLOOKUP(S$13&amp;$B2120,Aux!$B:$M,3,0),"")</f>
        <v/>
      </c>
      <c r="U2120" s="60"/>
      <c r="V2120" s="60"/>
      <c r="W2120" s="61" t="str">
        <f>IFERROR(VLOOKUP(S$13&amp;$B2120,Aux!$B:$M,9,0),"")</f>
        <v/>
      </c>
      <c r="AA2120" s="59" t="str">
        <f>IFERROR(VLOOKUP(AA$13&amp;$B2124,Aux!$B:$M,5,0),"")</f>
        <v/>
      </c>
      <c r="AB2120" s="60" t="str">
        <f>IFERROR(VLOOKUP(AA$13&amp;$B2120,Aux!$B:$M,3,0),"")</f>
        <v/>
      </c>
      <c r="AC2120" s="60"/>
      <c r="AD2120" s="60"/>
      <c r="AE2120" s="61" t="str">
        <f>IFERROR(VLOOKUP(AA$13&amp;$B2120,Aux!$B:$M,9,0),"")</f>
        <v/>
      </c>
    </row>
    <row r="2121" spans="2:31" x14ac:dyDescent="0.25">
      <c r="B2121" s="53">
        <f t="shared" si="32"/>
        <v>422</v>
      </c>
      <c r="C2121" s="59"/>
      <c r="D2121" s="60"/>
      <c r="E2121" s="60"/>
      <c r="F2121" s="60"/>
      <c r="G2121" s="61"/>
      <c r="K2121" s="59"/>
      <c r="L2121" s="60"/>
      <c r="M2121" s="60"/>
      <c r="N2121" s="60"/>
      <c r="O2121" s="61"/>
      <c r="S2121" s="59"/>
      <c r="T2121" s="60"/>
      <c r="U2121" s="60"/>
      <c r="V2121" s="60"/>
      <c r="W2121" s="61"/>
      <c r="AA2121" s="59"/>
      <c r="AB2121" s="60"/>
      <c r="AC2121" s="60"/>
      <c r="AD2121" s="60"/>
      <c r="AE2121" s="61"/>
    </row>
    <row r="2122" spans="2:31" x14ac:dyDescent="0.25">
      <c r="B2122" s="53">
        <f t="shared" si="32"/>
        <v>422</v>
      </c>
      <c r="C2122" s="59"/>
      <c r="D2122" s="15" t="str">
        <f>IF(D2120="","","Исполнитель"&amp;": ")</f>
        <v/>
      </c>
      <c r="E2122" s="62" t="str">
        <f>IFERROR(VLOOKUP(C$13&amp;$B2122,Aux!$B:$M,4,0),"")</f>
        <v/>
      </c>
      <c r="F2122" s="62"/>
      <c r="G2122" s="63" t="str">
        <f>IFERROR(IF(VLOOKUP(C$13&amp;$B2120,Aux!$B:$M,8,0)="Да","✔","🕓"),"")</f>
        <v/>
      </c>
      <c r="K2122" s="59"/>
      <c r="L2122" s="15" t="str">
        <f>IF(L2120="","","Исполнитель"&amp;": ")</f>
        <v/>
      </c>
      <c r="M2122" s="62" t="str">
        <f>IFERROR(VLOOKUP(K$13&amp;$B2122,Aux!$B:$M,4,0),"")</f>
        <v/>
      </c>
      <c r="N2122" s="62"/>
      <c r="O2122" s="63" t="str">
        <f>IFERROR(IF(VLOOKUP(K$13&amp;$B2120,Aux!$B:$M,8,0)="Да","✔","🕓"),"")</f>
        <v/>
      </c>
      <c r="S2122" s="59"/>
      <c r="T2122" s="15" t="str">
        <f>IF(T2120="","","Исполнитель"&amp;": ")</f>
        <v/>
      </c>
      <c r="U2122" s="62" t="str">
        <f>IFERROR(VLOOKUP(S$13&amp;$B2122,Aux!$B:$M,4,0),"")</f>
        <v/>
      </c>
      <c r="V2122" s="62"/>
      <c r="W2122" s="63" t="str">
        <f>IFERROR(IF(VLOOKUP(S$13&amp;$B2120,Aux!$B:$M,8,0)="Да","✔","🕓"),"")</f>
        <v/>
      </c>
      <c r="AA2122" s="59"/>
      <c r="AB2122" s="15" t="str">
        <f>IF(AB2120="","","Исполнитель"&amp;": ")</f>
        <v/>
      </c>
      <c r="AC2122" s="62" t="str">
        <f>IFERROR(VLOOKUP(AA$13&amp;$B2122,Aux!$B:$M,4,0),"")</f>
        <v/>
      </c>
      <c r="AD2122" s="62"/>
      <c r="AE2122" s="63" t="str">
        <f>IFERROR(IF(VLOOKUP(AA$13&amp;$B2120,Aux!$B:$M,8,0)="Да","✔","🕓"),"")</f>
        <v/>
      </c>
    </row>
    <row r="2123" spans="2:31" x14ac:dyDescent="0.25">
      <c r="B2123" s="53">
        <f t="shared" si="32"/>
        <v>422</v>
      </c>
      <c r="C2123" s="59"/>
      <c r="D2123" s="16" t="str">
        <f>IF(D2120="","","Срок сдачи"&amp;": ")</f>
        <v/>
      </c>
      <c r="E2123" s="64" t="str">
        <f>IFERROR(VLOOKUP(C$13&amp;$B2123,Aux!$B:$M,6,0),"")</f>
        <v/>
      </c>
      <c r="F2123" s="64"/>
      <c r="G2123" s="63"/>
      <c r="K2123" s="59"/>
      <c r="L2123" s="16" t="str">
        <f>IF(L2120="","","Срок сдачи"&amp;": ")</f>
        <v/>
      </c>
      <c r="M2123" s="64" t="str">
        <f>IFERROR(VLOOKUP(K$13&amp;$B2123,Aux!$B:$M,6,0),"")</f>
        <v/>
      </c>
      <c r="N2123" s="64"/>
      <c r="O2123" s="63"/>
      <c r="S2123" s="59"/>
      <c r="T2123" s="16" t="str">
        <f>IF(T2120="","","Срок сдачи"&amp;": ")</f>
        <v/>
      </c>
      <c r="U2123" s="64" t="str">
        <f>IFERROR(VLOOKUP(S$13&amp;$B2123,Aux!$B:$M,6,0),"")</f>
        <v/>
      </c>
      <c r="V2123" s="64"/>
      <c r="W2123" s="63"/>
      <c r="AA2123" s="59"/>
      <c r="AB2123" s="16" t="str">
        <f>IF(AB2120="","","Срок сдачи"&amp;": ")</f>
        <v/>
      </c>
      <c r="AC2123" s="64" t="str">
        <f>IFERROR(VLOOKUP(AA$13&amp;$B2123,Aux!$B:$M,6,0),"")</f>
        <v/>
      </c>
      <c r="AD2123" s="64"/>
      <c r="AE2123" s="63"/>
    </row>
    <row r="2124" spans="2:31" x14ac:dyDescent="0.25">
      <c r="B2124" s="53">
        <f t="shared" si="32"/>
        <v>422</v>
      </c>
      <c r="C2124" s="7"/>
      <c r="D2124" s="17"/>
      <c r="E2124" s="7"/>
      <c r="F2124" s="18"/>
      <c r="G2124" s="18"/>
      <c r="K2124" s="13"/>
      <c r="L2124" s="17"/>
      <c r="M2124" s="13"/>
      <c r="N2124" s="14"/>
      <c r="O2124" s="14"/>
      <c r="S2124" s="13"/>
      <c r="T2124" s="17"/>
      <c r="U2124" s="13"/>
      <c r="V2124" s="14"/>
      <c r="W2124" s="14"/>
      <c r="AA2124" s="13"/>
      <c r="AB2124" s="17"/>
      <c r="AC2124" s="13"/>
      <c r="AD2124" s="14"/>
      <c r="AE2124" s="30"/>
    </row>
    <row r="2125" spans="2:31" x14ac:dyDescent="0.25">
      <c r="B2125" s="53">
        <f t="shared" si="32"/>
        <v>423</v>
      </c>
      <c r="C2125" s="59" t="str">
        <f>IFERROR(VLOOKUP(C$13&amp;$B2129,Aux!$B:$M,5,0),"")</f>
        <v/>
      </c>
      <c r="D2125" s="60" t="str">
        <f>IFERROR(VLOOKUP(C$13&amp;$B2125,Aux!$B:$M,3,0),"")</f>
        <v/>
      </c>
      <c r="E2125" s="60"/>
      <c r="F2125" s="60"/>
      <c r="G2125" s="61" t="str">
        <f>IFERROR(VLOOKUP(C$13&amp;$B2125,Aux!$B:$M,9,0),"")</f>
        <v/>
      </c>
      <c r="K2125" s="59" t="str">
        <f>IFERROR(VLOOKUP(K$13&amp;$B2129,Aux!$B:$M,5,0),"")</f>
        <v/>
      </c>
      <c r="L2125" s="60" t="str">
        <f>IFERROR(VLOOKUP(K$13&amp;$B2125,Aux!$B:$M,3,0),"")</f>
        <v/>
      </c>
      <c r="M2125" s="60"/>
      <c r="N2125" s="60"/>
      <c r="O2125" s="61" t="str">
        <f>IFERROR(VLOOKUP(K$13&amp;$B2125,Aux!$B:$M,9,0),"")</f>
        <v/>
      </c>
      <c r="S2125" s="59" t="str">
        <f>IFERROR(VLOOKUP(S$13&amp;$B2129,Aux!$B:$M,5,0),"")</f>
        <v/>
      </c>
      <c r="T2125" s="60" t="str">
        <f>IFERROR(VLOOKUP(S$13&amp;$B2125,Aux!$B:$M,3,0),"")</f>
        <v/>
      </c>
      <c r="U2125" s="60"/>
      <c r="V2125" s="60"/>
      <c r="W2125" s="61" t="str">
        <f>IFERROR(VLOOKUP(S$13&amp;$B2125,Aux!$B:$M,9,0),"")</f>
        <v/>
      </c>
      <c r="AA2125" s="59" t="str">
        <f>IFERROR(VLOOKUP(AA$13&amp;$B2129,Aux!$B:$M,5,0),"")</f>
        <v/>
      </c>
      <c r="AB2125" s="60" t="str">
        <f>IFERROR(VLOOKUP(AA$13&amp;$B2125,Aux!$B:$M,3,0),"")</f>
        <v/>
      </c>
      <c r="AC2125" s="60"/>
      <c r="AD2125" s="60"/>
      <c r="AE2125" s="61" t="str">
        <f>IFERROR(VLOOKUP(AA$13&amp;$B2125,Aux!$B:$M,9,0),"")</f>
        <v/>
      </c>
    </row>
    <row r="2126" spans="2:31" x14ac:dyDescent="0.25">
      <c r="B2126" s="53">
        <f t="shared" si="32"/>
        <v>423</v>
      </c>
      <c r="C2126" s="59"/>
      <c r="D2126" s="60"/>
      <c r="E2126" s="60"/>
      <c r="F2126" s="60"/>
      <c r="G2126" s="61"/>
      <c r="K2126" s="59"/>
      <c r="L2126" s="60"/>
      <c r="M2126" s="60"/>
      <c r="N2126" s="60"/>
      <c r="O2126" s="61"/>
      <c r="S2126" s="59"/>
      <c r="T2126" s="60"/>
      <c r="U2126" s="60"/>
      <c r="V2126" s="60"/>
      <c r="W2126" s="61"/>
      <c r="AA2126" s="59"/>
      <c r="AB2126" s="60"/>
      <c r="AC2126" s="60"/>
      <c r="AD2126" s="60"/>
      <c r="AE2126" s="61"/>
    </row>
    <row r="2127" spans="2:31" x14ac:dyDescent="0.25">
      <c r="B2127" s="53">
        <f t="shared" si="32"/>
        <v>423</v>
      </c>
      <c r="C2127" s="59"/>
      <c r="D2127" s="15" t="str">
        <f>IF(D2125="","","Исполнитель"&amp;": ")</f>
        <v/>
      </c>
      <c r="E2127" s="62" t="str">
        <f>IFERROR(VLOOKUP(C$13&amp;$B2127,Aux!$B:$M,4,0),"")</f>
        <v/>
      </c>
      <c r="F2127" s="62"/>
      <c r="G2127" s="63" t="str">
        <f>IFERROR(IF(VLOOKUP(C$13&amp;$B2125,Aux!$B:$M,8,0)="Да","✔","🕓"),"")</f>
        <v/>
      </c>
      <c r="K2127" s="59"/>
      <c r="L2127" s="15" t="str">
        <f>IF(L2125="","","Исполнитель"&amp;": ")</f>
        <v/>
      </c>
      <c r="M2127" s="62" t="str">
        <f>IFERROR(VLOOKUP(K$13&amp;$B2127,Aux!$B:$M,4,0),"")</f>
        <v/>
      </c>
      <c r="N2127" s="62"/>
      <c r="O2127" s="63" t="str">
        <f>IFERROR(IF(VLOOKUP(K$13&amp;$B2125,Aux!$B:$M,8,0)="Да","✔","🕓"),"")</f>
        <v/>
      </c>
      <c r="S2127" s="59"/>
      <c r="T2127" s="15" t="str">
        <f>IF(T2125="","","Исполнитель"&amp;": ")</f>
        <v/>
      </c>
      <c r="U2127" s="62" t="str">
        <f>IFERROR(VLOOKUP(S$13&amp;$B2127,Aux!$B:$M,4,0),"")</f>
        <v/>
      </c>
      <c r="V2127" s="62"/>
      <c r="W2127" s="63" t="str">
        <f>IFERROR(IF(VLOOKUP(S$13&amp;$B2125,Aux!$B:$M,8,0)="Да","✔","🕓"),"")</f>
        <v/>
      </c>
      <c r="AA2127" s="59"/>
      <c r="AB2127" s="15" t="str">
        <f>IF(AB2125="","","Исполнитель"&amp;": ")</f>
        <v/>
      </c>
      <c r="AC2127" s="62" t="str">
        <f>IFERROR(VLOOKUP(AA$13&amp;$B2127,Aux!$B:$M,4,0),"")</f>
        <v/>
      </c>
      <c r="AD2127" s="62"/>
      <c r="AE2127" s="63" t="str">
        <f>IFERROR(IF(VLOOKUP(AA$13&amp;$B2125,Aux!$B:$M,8,0)="Да","✔","🕓"),"")</f>
        <v/>
      </c>
    </row>
    <row r="2128" spans="2:31" x14ac:dyDescent="0.25">
      <c r="B2128" s="53">
        <f t="shared" si="32"/>
        <v>423</v>
      </c>
      <c r="C2128" s="59"/>
      <c r="D2128" s="16" t="str">
        <f>IF(D2125="","","Срок сдачи"&amp;": ")</f>
        <v/>
      </c>
      <c r="E2128" s="64" t="str">
        <f>IFERROR(VLOOKUP(C$13&amp;$B2128,Aux!$B:$M,6,0),"")</f>
        <v/>
      </c>
      <c r="F2128" s="64"/>
      <c r="G2128" s="63"/>
      <c r="K2128" s="59"/>
      <c r="L2128" s="16" t="str">
        <f>IF(L2125="","","Срок сдачи"&amp;": ")</f>
        <v/>
      </c>
      <c r="M2128" s="64" t="str">
        <f>IFERROR(VLOOKUP(K$13&amp;$B2128,Aux!$B:$M,6,0),"")</f>
        <v/>
      </c>
      <c r="N2128" s="64"/>
      <c r="O2128" s="63"/>
      <c r="S2128" s="59"/>
      <c r="T2128" s="16" t="str">
        <f>IF(T2125="","","Срок сдачи"&amp;": ")</f>
        <v/>
      </c>
      <c r="U2128" s="64" t="str">
        <f>IFERROR(VLOOKUP(S$13&amp;$B2128,Aux!$B:$M,6,0),"")</f>
        <v/>
      </c>
      <c r="V2128" s="64"/>
      <c r="W2128" s="63"/>
      <c r="AA2128" s="59"/>
      <c r="AB2128" s="16" t="str">
        <f>IF(AB2125="","","Срок сдачи"&amp;": ")</f>
        <v/>
      </c>
      <c r="AC2128" s="64" t="str">
        <f>IFERROR(VLOOKUP(AA$13&amp;$B2128,Aux!$B:$M,6,0),"")</f>
        <v/>
      </c>
      <c r="AD2128" s="64"/>
      <c r="AE2128" s="63"/>
    </row>
    <row r="2129" spans="2:31" x14ac:dyDescent="0.25">
      <c r="B2129" s="53">
        <f t="shared" si="32"/>
        <v>423</v>
      </c>
      <c r="C2129" s="7"/>
      <c r="D2129" s="17"/>
      <c r="E2129" s="7"/>
      <c r="F2129" s="18"/>
      <c r="G2129" s="18"/>
      <c r="K2129" s="13"/>
      <c r="L2129" s="17"/>
      <c r="M2129" s="13"/>
      <c r="N2129" s="14"/>
      <c r="O2129" s="14"/>
      <c r="S2129" s="13"/>
      <c r="T2129" s="17"/>
      <c r="U2129" s="13"/>
      <c r="V2129" s="14"/>
      <c r="W2129" s="14"/>
      <c r="AA2129" s="13"/>
      <c r="AB2129" s="17"/>
      <c r="AC2129" s="13"/>
      <c r="AD2129" s="14"/>
      <c r="AE2129" s="30"/>
    </row>
    <row r="2130" spans="2:31" x14ac:dyDescent="0.25">
      <c r="B2130" s="53">
        <f t="shared" si="32"/>
        <v>424</v>
      </c>
      <c r="C2130" s="59" t="str">
        <f>IFERROR(VLOOKUP(C$13&amp;$B2134,Aux!$B:$M,5,0),"")</f>
        <v/>
      </c>
      <c r="D2130" s="60" t="str">
        <f>IFERROR(VLOOKUP(C$13&amp;$B2130,Aux!$B:$M,3,0),"")</f>
        <v/>
      </c>
      <c r="E2130" s="60"/>
      <c r="F2130" s="60"/>
      <c r="G2130" s="61" t="str">
        <f>IFERROR(VLOOKUP(C$13&amp;$B2130,Aux!$B:$M,9,0),"")</f>
        <v/>
      </c>
      <c r="K2130" s="59" t="str">
        <f>IFERROR(VLOOKUP(K$13&amp;$B2134,Aux!$B:$M,5,0),"")</f>
        <v/>
      </c>
      <c r="L2130" s="60" t="str">
        <f>IFERROR(VLOOKUP(K$13&amp;$B2130,Aux!$B:$M,3,0),"")</f>
        <v/>
      </c>
      <c r="M2130" s="60"/>
      <c r="N2130" s="60"/>
      <c r="O2130" s="61" t="str">
        <f>IFERROR(VLOOKUP(K$13&amp;$B2130,Aux!$B:$M,9,0),"")</f>
        <v/>
      </c>
      <c r="S2130" s="59" t="str">
        <f>IFERROR(VLOOKUP(S$13&amp;$B2134,Aux!$B:$M,5,0),"")</f>
        <v/>
      </c>
      <c r="T2130" s="60" t="str">
        <f>IFERROR(VLOOKUP(S$13&amp;$B2130,Aux!$B:$M,3,0),"")</f>
        <v/>
      </c>
      <c r="U2130" s="60"/>
      <c r="V2130" s="60"/>
      <c r="W2130" s="61" t="str">
        <f>IFERROR(VLOOKUP(S$13&amp;$B2130,Aux!$B:$M,9,0),"")</f>
        <v/>
      </c>
      <c r="AA2130" s="59" t="str">
        <f>IFERROR(VLOOKUP(AA$13&amp;$B2134,Aux!$B:$M,5,0),"")</f>
        <v/>
      </c>
      <c r="AB2130" s="60" t="str">
        <f>IFERROR(VLOOKUP(AA$13&amp;$B2130,Aux!$B:$M,3,0),"")</f>
        <v/>
      </c>
      <c r="AC2130" s="60"/>
      <c r="AD2130" s="60"/>
      <c r="AE2130" s="61" t="str">
        <f>IFERROR(VLOOKUP(AA$13&amp;$B2130,Aux!$B:$M,9,0),"")</f>
        <v/>
      </c>
    </row>
    <row r="2131" spans="2:31" x14ac:dyDescent="0.25">
      <c r="B2131" s="53">
        <f t="shared" si="32"/>
        <v>424</v>
      </c>
      <c r="C2131" s="59"/>
      <c r="D2131" s="60"/>
      <c r="E2131" s="60"/>
      <c r="F2131" s="60"/>
      <c r="G2131" s="61"/>
      <c r="K2131" s="59"/>
      <c r="L2131" s="60"/>
      <c r="M2131" s="60"/>
      <c r="N2131" s="60"/>
      <c r="O2131" s="61"/>
      <c r="S2131" s="59"/>
      <c r="T2131" s="60"/>
      <c r="U2131" s="60"/>
      <c r="V2131" s="60"/>
      <c r="W2131" s="61"/>
      <c r="AA2131" s="59"/>
      <c r="AB2131" s="60"/>
      <c r="AC2131" s="60"/>
      <c r="AD2131" s="60"/>
      <c r="AE2131" s="61"/>
    </row>
    <row r="2132" spans="2:31" x14ac:dyDescent="0.25">
      <c r="B2132" s="53">
        <f t="shared" si="32"/>
        <v>424</v>
      </c>
      <c r="C2132" s="59"/>
      <c r="D2132" s="15" t="str">
        <f>IF(D2130="","","Исполнитель"&amp;": ")</f>
        <v/>
      </c>
      <c r="E2132" s="62" t="str">
        <f>IFERROR(VLOOKUP(C$13&amp;$B2132,Aux!$B:$M,4,0),"")</f>
        <v/>
      </c>
      <c r="F2132" s="62"/>
      <c r="G2132" s="63" t="str">
        <f>IFERROR(IF(VLOOKUP(C$13&amp;$B2130,Aux!$B:$M,8,0)="Да","✔","🕓"),"")</f>
        <v/>
      </c>
      <c r="K2132" s="59"/>
      <c r="L2132" s="15" t="str">
        <f>IF(L2130="","","Исполнитель"&amp;": ")</f>
        <v/>
      </c>
      <c r="M2132" s="62" t="str">
        <f>IFERROR(VLOOKUP(K$13&amp;$B2132,Aux!$B:$M,4,0),"")</f>
        <v/>
      </c>
      <c r="N2132" s="62"/>
      <c r="O2132" s="63" t="str">
        <f>IFERROR(IF(VLOOKUP(K$13&amp;$B2130,Aux!$B:$M,8,0)="Да","✔","🕓"),"")</f>
        <v/>
      </c>
      <c r="S2132" s="59"/>
      <c r="T2132" s="15" t="str">
        <f>IF(T2130="","","Исполнитель"&amp;": ")</f>
        <v/>
      </c>
      <c r="U2132" s="62" t="str">
        <f>IFERROR(VLOOKUP(S$13&amp;$B2132,Aux!$B:$M,4,0),"")</f>
        <v/>
      </c>
      <c r="V2132" s="62"/>
      <c r="W2132" s="63" t="str">
        <f>IFERROR(IF(VLOOKUP(S$13&amp;$B2130,Aux!$B:$M,8,0)="Да","✔","🕓"),"")</f>
        <v/>
      </c>
      <c r="AA2132" s="59"/>
      <c r="AB2132" s="15" t="str">
        <f>IF(AB2130="","","Исполнитель"&amp;": ")</f>
        <v/>
      </c>
      <c r="AC2132" s="62" t="str">
        <f>IFERROR(VLOOKUP(AA$13&amp;$B2132,Aux!$B:$M,4,0),"")</f>
        <v/>
      </c>
      <c r="AD2132" s="62"/>
      <c r="AE2132" s="63" t="str">
        <f>IFERROR(IF(VLOOKUP(AA$13&amp;$B2130,Aux!$B:$M,8,0)="Да","✔","🕓"),"")</f>
        <v/>
      </c>
    </row>
    <row r="2133" spans="2:31" x14ac:dyDescent="0.25">
      <c r="B2133" s="53">
        <f t="shared" ref="B2133:B2196" si="33">B2128+1</f>
        <v>424</v>
      </c>
      <c r="C2133" s="59"/>
      <c r="D2133" s="16" t="str">
        <f>IF(D2130="","","Срок сдачи"&amp;": ")</f>
        <v/>
      </c>
      <c r="E2133" s="64" t="str">
        <f>IFERROR(VLOOKUP(C$13&amp;$B2133,Aux!$B:$M,6,0),"")</f>
        <v/>
      </c>
      <c r="F2133" s="64"/>
      <c r="G2133" s="63"/>
      <c r="K2133" s="59"/>
      <c r="L2133" s="16" t="str">
        <f>IF(L2130="","","Срок сдачи"&amp;": ")</f>
        <v/>
      </c>
      <c r="M2133" s="64" t="str">
        <f>IFERROR(VLOOKUP(K$13&amp;$B2133,Aux!$B:$M,6,0),"")</f>
        <v/>
      </c>
      <c r="N2133" s="64"/>
      <c r="O2133" s="63"/>
      <c r="S2133" s="59"/>
      <c r="T2133" s="16" t="str">
        <f>IF(T2130="","","Срок сдачи"&amp;": ")</f>
        <v/>
      </c>
      <c r="U2133" s="64" t="str">
        <f>IFERROR(VLOOKUP(S$13&amp;$B2133,Aux!$B:$M,6,0),"")</f>
        <v/>
      </c>
      <c r="V2133" s="64"/>
      <c r="W2133" s="63"/>
      <c r="AA2133" s="59"/>
      <c r="AB2133" s="16" t="str">
        <f>IF(AB2130="","","Срок сдачи"&amp;": ")</f>
        <v/>
      </c>
      <c r="AC2133" s="64" t="str">
        <f>IFERROR(VLOOKUP(AA$13&amp;$B2133,Aux!$B:$M,6,0),"")</f>
        <v/>
      </c>
      <c r="AD2133" s="64"/>
      <c r="AE2133" s="63"/>
    </row>
    <row r="2134" spans="2:31" x14ac:dyDescent="0.25">
      <c r="B2134" s="53">
        <f t="shared" si="33"/>
        <v>424</v>
      </c>
      <c r="C2134" s="7"/>
      <c r="D2134" s="17"/>
      <c r="E2134" s="7"/>
      <c r="F2134" s="18"/>
      <c r="G2134" s="18"/>
      <c r="K2134" s="13"/>
      <c r="L2134" s="17"/>
      <c r="M2134" s="13"/>
      <c r="N2134" s="14"/>
      <c r="O2134" s="14"/>
      <c r="S2134" s="13"/>
      <c r="T2134" s="17"/>
      <c r="U2134" s="13"/>
      <c r="V2134" s="14"/>
      <c r="W2134" s="14"/>
      <c r="AA2134" s="13"/>
      <c r="AB2134" s="17"/>
      <c r="AC2134" s="13"/>
      <c r="AD2134" s="14"/>
      <c r="AE2134" s="30"/>
    </row>
    <row r="2135" spans="2:31" x14ac:dyDescent="0.25">
      <c r="B2135" s="53">
        <f t="shared" si="33"/>
        <v>425</v>
      </c>
      <c r="C2135" s="59" t="str">
        <f>IFERROR(VLOOKUP(C$13&amp;$B2139,Aux!$B:$M,5,0),"")</f>
        <v/>
      </c>
      <c r="D2135" s="60" t="str">
        <f>IFERROR(VLOOKUP(C$13&amp;$B2135,Aux!$B:$M,3,0),"")</f>
        <v/>
      </c>
      <c r="E2135" s="60"/>
      <c r="F2135" s="60"/>
      <c r="G2135" s="61" t="str">
        <f>IFERROR(VLOOKUP(C$13&amp;$B2135,Aux!$B:$M,9,0),"")</f>
        <v/>
      </c>
      <c r="K2135" s="59" t="str">
        <f>IFERROR(VLOOKUP(K$13&amp;$B2139,Aux!$B:$M,5,0),"")</f>
        <v/>
      </c>
      <c r="L2135" s="60" t="str">
        <f>IFERROR(VLOOKUP(K$13&amp;$B2135,Aux!$B:$M,3,0),"")</f>
        <v/>
      </c>
      <c r="M2135" s="60"/>
      <c r="N2135" s="60"/>
      <c r="O2135" s="61" t="str">
        <f>IFERROR(VLOOKUP(K$13&amp;$B2135,Aux!$B:$M,9,0),"")</f>
        <v/>
      </c>
      <c r="S2135" s="59" t="str">
        <f>IFERROR(VLOOKUP(S$13&amp;$B2139,Aux!$B:$M,5,0),"")</f>
        <v/>
      </c>
      <c r="T2135" s="60" t="str">
        <f>IFERROR(VLOOKUP(S$13&amp;$B2135,Aux!$B:$M,3,0),"")</f>
        <v/>
      </c>
      <c r="U2135" s="60"/>
      <c r="V2135" s="60"/>
      <c r="W2135" s="61" t="str">
        <f>IFERROR(VLOOKUP(S$13&amp;$B2135,Aux!$B:$M,9,0),"")</f>
        <v/>
      </c>
      <c r="AA2135" s="59" t="str">
        <f>IFERROR(VLOOKUP(AA$13&amp;$B2139,Aux!$B:$M,5,0),"")</f>
        <v/>
      </c>
      <c r="AB2135" s="60" t="str">
        <f>IFERROR(VLOOKUP(AA$13&amp;$B2135,Aux!$B:$M,3,0),"")</f>
        <v/>
      </c>
      <c r="AC2135" s="60"/>
      <c r="AD2135" s="60"/>
      <c r="AE2135" s="61" t="str">
        <f>IFERROR(VLOOKUP(AA$13&amp;$B2135,Aux!$B:$M,9,0),"")</f>
        <v/>
      </c>
    </row>
    <row r="2136" spans="2:31" x14ac:dyDescent="0.25">
      <c r="B2136" s="53">
        <f t="shared" si="33"/>
        <v>425</v>
      </c>
      <c r="C2136" s="59"/>
      <c r="D2136" s="60"/>
      <c r="E2136" s="60"/>
      <c r="F2136" s="60"/>
      <c r="G2136" s="61"/>
      <c r="K2136" s="59"/>
      <c r="L2136" s="60"/>
      <c r="M2136" s="60"/>
      <c r="N2136" s="60"/>
      <c r="O2136" s="61"/>
      <c r="S2136" s="59"/>
      <c r="T2136" s="60"/>
      <c r="U2136" s="60"/>
      <c r="V2136" s="60"/>
      <c r="W2136" s="61"/>
      <c r="AA2136" s="59"/>
      <c r="AB2136" s="60"/>
      <c r="AC2136" s="60"/>
      <c r="AD2136" s="60"/>
      <c r="AE2136" s="61"/>
    </row>
    <row r="2137" spans="2:31" x14ac:dyDescent="0.25">
      <c r="B2137" s="53">
        <f t="shared" si="33"/>
        <v>425</v>
      </c>
      <c r="C2137" s="59"/>
      <c r="D2137" s="15" t="str">
        <f>IF(D2135="","","Исполнитель"&amp;": ")</f>
        <v/>
      </c>
      <c r="E2137" s="62" t="str">
        <f>IFERROR(VLOOKUP(C$13&amp;$B2137,Aux!$B:$M,4,0),"")</f>
        <v/>
      </c>
      <c r="F2137" s="62"/>
      <c r="G2137" s="63" t="str">
        <f>IFERROR(IF(VLOOKUP(C$13&amp;$B2135,Aux!$B:$M,8,0)="Да","✔","🕓"),"")</f>
        <v/>
      </c>
      <c r="K2137" s="59"/>
      <c r="L2137" s="15" t="str">
        <f>IF(L2135="","","Исполнитель"&amp;": ")</f>
        <v/>
      </c>
      <c r="M2137" s="62" t="str">
        <f>IFERROR(VLOOKUP(K$13&amp;$B2137,Aux!$B:$M,4,0),"")</f>
        <v/>
      </c>
      <c r="N2137" s="62"/>
      <c r="O2137" s="63" t="str">
        <f>IFERROR(IF(VLOOKUP(K$13&amp;$B2135,Aux!$B:$M,8,0)="Да","✔","🕓"),"")</f>
        <v/>
      </c>
      <c r="S2137" s="59"/>
      <c r="T2137" s="15" t="str">
        <f>IF(T2135="","","Исполнитель"&amp;": ")</f>
        <v/>
      </c>
      <c r="U2137" s="62" t="str">
        <f>IFERROR(VLOOKUP(S$13&amp;$B2137,Aux!$B:$M,4,0),"")</f>
        <v/>
      </c>
      <c r="V2137" s="62"/>
      <c r="W2137" s="63" t="str">
        <f>IFERROR(IF(VLOOKUP(S$13&amp;$B2135,Aux!$B:$M,8,0)="Да","✔","🕓"),"")</f>
        <v/>
      </c>
      <c r="AA2137" s="59"/>
      <c r="AB2137" s="15" t="str">
        <f>IF(AB2135="","","Исполнитель"&amp;": ")</f>
        <v/>
      </c>
      <c r="AC2137" s="62" t="str">
        <f>IFERROR(VLOOKUP(AA$13&amp;$B2137,Aux!$B:$M,4,0),"")</f>
        <v/>
      </c>
      <c r="AD2137" s="62"/>
      <c r="AE2137" s="63" t="str">
        <f>IFERROR(IF(VLOOKUP(AA$13&amp;$B2135,Aux!$B:$M,8,0)="Да","✔","🕓"),"")</f>
        <v/>
      </c>
    </row>
    <row r="2138" spans="2:31" x14ac:dyDescent="0.25">
      <c r="B2138" s="53">
        <f t="shared" si="33"/>
        <v>425</v>
      </c>
      <c r="C2138" s="59"/>
      <c r="D2138" s="16" t="str">
        <f>IF(D2135="","","Срок сдачи"&amp;": ")</f>
        <v/>
      </c>
      <c r="E2138" s="64" t="str">
        <f>IFERROR(VLOOKUP(C$13&amp;$B2138,Aux!$B:$M,6,0),"")</f>
        <v/>
      </c>
      <c r="F2138" s="64"/>
      <c r="G2138" s="63"/>
      <c r="K2138" s="59"/>
      <c r="L2138" s="16" t="str">
        <f>IF(L2135="","","Срок сдачи"&amp;": ")</f>
        <v/>
      </c>
      <c r="M2138" s="64" t="str">
        <f>IFERROR(VLOOKUP(K$13&amp;$B2138,Aux!$B:$M,6,0),"")</f>
        <v/>
      </c>
      <c r="N2138" s="64"/>
      <c r="O2138" s="63"/>
      <c r="S2138" s="59"/>
      <c r="T2138" s="16" t="str">
        <f>IF(T2135="","","Срок сдачи"&amp;": ")</f>
        <v/>
      </c>
      <c r="U2138" s="64" t="str">
        <f>IFERROR(VLOOKUP(S$13&amp;$B2138,Aux!$B:$M,6,0),"")</f>
        <v/>
      </c>
      <c r="V2138" s="64"/>
      <c r="W2138" s="63"/>
      <c r="AA2138" s="59"/>
      <c r="AB2138" s="16" t="str">
        <f>IF(AB2135="","","Срок сдачи"&amp;": ")</f>
        <v/>
      </c>
      <c r="AC2138" s="64" t="str">
        <f>IFERROR(VLOOKUP(AA$13&amp;$B2138,Aux!$B:$M,6,0),"")</f>
        <v/>
      </c>
      <c r="AD2138" s="64"/>
      <c r="AE2138" s="63"/>
    </row>
    <row r="2139" spans="2:31" x14ac:dyDescent="0.25">
      <c r="B2139" s="53">
        <f t="shared" si="33"/>
        <v>425</v>
      </c>
      <c r="C2139" s="7"/>
      <c r="D2139" s="17"/>
      <c r="E2139" s="7"/>
      <c r="F2139" s="18"/>
      <c r="G2139" s="18"/>
      <c r="K2139" s="13"/>
      <c r="L2139" s="17"/>
      <c r="M2139" s="13"/>
      <c r="N2139" s="14"/>
      <c r="O2139" s="14"/>
      <c r="S2139" s="13"/>
      <c r="T2139" s="17"/>
      <c r="U2139" s="13"/>
      <c r="V2139" s="14"/>
      <c r="W2139" s="14"/>
      <c r="AA2139" s="13"/>
      <c r="AB2139" s="17"/>
      <c r="AC2139" s="13"/>
      <c r="AD2139" s="14"/>
      <c r="AE2139" s="30"/>
    </row>
    <row r="2140" spans="2:31" x14ac:dyDescent="0.25">
      <c r="B2140" s="53">
        <f t="shared" si="33"/>
        <v>426</v>
      </c>
      <c r="C2140" s="59" t="str">
        <f>IFERROR(VLOOKUP(C$13&amp;$B2144,Aux!$B:$M,5,0),"")</f>
        <v/>
      </c>
      <c r="D2140" s="60" t="str">
        <f>IFERROR(VLOOKUP(C$13&amp;$B2140,Aux!$B:$M,3,0),"")</f>
        <v/>
      </c>
      <c r="E2140" s="60"/>
      <c r="F2140" s="60"/>
      <c r="G2140" s="61" t="str">
        <f>IFERROR(VLOOKUP(C$13&amp;$B2140,Aux!$B:$M,9,0),"")</f>
        <v/>
      </c>
      <c r="K2140" s="59" t="str">
        <f>IFERROR(VLOOKUP(K$13&amp;$B2144,Aux!$B:$M,5,0),"")</f>
        <v/>
      </c>
      <c r="L2140" s="60" t="str">
        <f>IFERROR(VLOOKUP(K$13&amp;$B2140,Aux!$B:$M,3,0),"")</f>
        <v/>
      </c>
      <c r="M2140" s="60"/>
      <c r="N2140" s="60"/>
      <c r="O2140" s="61" t="str">
        <f>IFERROR(VLOOKUP(K$13&amp;$B2140,Aux!$B:$M,9,0),"")</f>
        <v/>
      </c>
      <c r="S2140" s="59" t="str">
        <f>IFERROR(VLOOKUP(S$13&amp;$B2144,Aux!$B:$M,5,0),"")</f>
        <v/>
      </c>
      <c r="T2140" s="60" t="str">
        <f>IFERROR(VLOOKUP(S$13&amp;$B2140,Aux!$B:$M,3,0),"")</f>
        <v/>
      </c>
      <c r="U2140" s="60"/>
      <c r="V2140" s="60"/>
      <c r="W2140" s="61" t="str">
        <f>IFERROR(VLOOKUP(S$13&amp;$B2140,Aux!$B:$M,9,0),"")</f>
        <v/>
      </c>
      <c r="AA2140" s="59" t="str">
        <f>IFERROR(VLOOKUP(AA$13&amp;$B2144,Aux!$B:$M,5,0),"")</f>
        <v/>
      </c>
      <c r="AB2140" s="60" t="str">
        <f>IFERROR(VLOOKUP(AA$13&amp;$B2140,Aux!$B:$M,3,0),"")</f>
        <v/>
      </c>
      <c r="AC2140" s="60"/>
      <c r="AD2140" s="60"/>
      <c r="AE2140" s="61" t="str">
        <f>IFERROR(VLOOKUP(AA$13&amp;$B2140,Aux!$B:$M,9,0),"")</f>
        <v/>
      </c>
    </row>
    <row r="2141" spans="2:31" x14ac:dyDescent="0.25">
      <c r="B2141" s="53">
        <f t="shared" si="33"/>
        <v>426</v>
      </c>
      <c r="C2141" s="59"/>
      <c r="D2141" s="60"/>
      <c r="E2141" s="60"/>
      <c r="F2141" s="60"/>
      <c r="G2141" s="61"/>
      <c r="K2141" s="59"/>
      <c r="L2141" s="60"/>
      <c r="M2141" s="60"/>
      <c r="N2141" s="60"/>
      <c r="O2141" s="61"/>
      <c r="S2141" s="59"/>
      <c r="T2141" s="60"/>
      <c r="U2141" s="60"/>
      <c r="V2141" s="60"/>
      <c r="W2141" s="61"/>
      <c r="AA2141" s="59"/>
      <c r="AB2141" s="60"/>
      <c r="AC2141" s="60"/>
      <c r="AD2141" s="60"/>
      <c r="AE2141" s="61"/>
    </row>
    <row r="2142" spans="2:31" x14ac:dyDescent="0.25">
      <c r="B2142" s="53">
        <f t="shared" si="33"/>
        <v>426</v>
      </c>
      <c r="C2142" s="59"/>
      <c r="D2142" s="15" t="str">
        <f>IF(D2140="","","Исполнитель"&amp;": ")</f>
        <v/>
      </c>
      <c r="E2142" s="62" t="str">
        <f>IFERROR(VLOOKUP(C$13&amp;$B2142,Aux!$B:$M,4,0),"")</f>
        <v/>
      </c>
      <c r="F2142" s="62"/>
      <c r="G2142" s="63" t="str">
        <f>IFERROR(IF(VLOOKUP(C$13&amp;$B2140,Aux!$B:$M,8,0)="Да","✔","🕓"),"")</f>
        <v/>
      </c>
      <c r="K2142" s="59"/>
      <c r="L2142" s="15" t="str">
        <f>IF(L2140="","","Исполнитель"&amp;": ")</f>
        <v/>
      </c>
      <c r="M2142" s="62" t="str">
        <f>IFERROR(VLOOKUP(K$13&amp;$B2142,Aux!$B:$M,4,0),"")</f>
        <v/>
      </c>
      <c r="N2142" s="62"/>
      <c r="O2142" s="63" t="str">
        <f>IFERROR(IF(VLOOKUP(K$13&amp;$B2140,Aux!$B:$M,8,0)="Да","✔","🕓"),"")</f>
        <v/>
      </c>
      <c r="S2142" s="59"/>
      <c r="T2142" s="15" t="str">
        <f>IF(T2140="","","Исполнитель"&amp;": ")</f>
        <v/>
      </c>
      <c r="U2142" s="62" t="str">
        <f>IFERROR(VLOOKUP(S$13&amp;$B2142,Aux!$B:$M,4,0),"")</f>
        <v/>
      </c>
      <c r="V2142" s="62"/>
      <c r="W2142" s="63" t="str">
        <f>IFERROR(IF(VLOOKUP(S$13&amp;$B2140,Aux!$B:$M,8,0)="Да","✔","🕓"),"")</f>
        <v/>
      </c>
      <c r="AA2142" s="59"/>
      <c r="AB2142" s="15" t="str">
        <f>IF(AB2140="","","Исполнитель"&amp;": ")</f>
        <v/>
      </c>
      <c r="AC2142" s="62" t="str">
        <f>IFERROR(VLOOKUP(AA$13&amp;$B2142,Aux!$B:$M,4,0),"")</f>
        <v/>
      </c>
      <c r="AD2142" s="62"/>
      <c r="AE2142" s="63" t="str">
        <f>IFERROR(IF(VLOOKUP(AA$13&amp;$B2140,Aux!$B:$M,8,0)="Да","✔","🕓"),"")</f>
        <v/>
      </c>
    </row>
    <row r="2143" spans="2:31" x14ac:dyDescent="0.25">
      <c r="B2143" s="53">
        <f t="shared" si="33"/>
        <v>426</v>
      </c>
      <c r="C2143" s="59"/>
      <c r="D2143" s="16" t="str">
        <f>IF(D2140="","","Срок сдачи"&amp;": ")</f>
        <v/>
      </c>
      <c r="E2143" s="64" t="str">
        <f>IFERROR(VLOOKUP(C$13&amp;$B2143,Aux!$B:$M,6,0),"")</f>
        <v/>
      </c>
      <c r="F2143" s="64"/>
      <c r="G2143" s="63"/>
      <c r="K2143" s="59"/>
      <c r="L2143" s="16" t="str">
        <f>IF(L2140="","","Срок сдачи"&amp;": ")</f>
        <v/>
      </c>
      <c r="M2143" s="64" t="str">
        <f>IFERROR(VLOOKUP(K$13&amp;$B2143,Aux!$B:$M,6,0),"")</f>
        <v/>
      </c>
      <c r="N2143" s="64"/>
      <c r="O2143" s="63"/>
      <c r="S2143" s="59"/>
      <c r="T2143" s="16" t="str">
        <f>IF(T2140="","","Срок сдачи"&amp;": ")</f>
        <v/>
      </c>
      <c r="U2143" s="64" t="str">
        <f>IFERROR(VLOOKUP(S$13&amp;$B2143,Aux!$B:$M,6,0),"")</f>
        <v/>
      </c>
      <c r="V2143" s="64"/>
      <c r="W2143" s="63"/>
      <c r="AA2143" s="59"/>
      <c r="AB2143" s="16" t="str">
        <f>IF(AB2140="","","Срок сдачи"&amp;": ")</f>
        <v/>
      </c>
      <c r="AC2143" s="64" t="str">
        <f>IFERROR(VLOOKUP(AA$13&amp;$B2143,Aux!$B:$M,6,0),"")</f>
        <v/>
      </c>
      <c r="AD2143" s="64"/>
      <c r="AE2143" s="63"/>
    </row>
    <row r="2144" spans="2:31" x14ac:dyDescent="0.25">
      <c r="B2144" s="53">
        <f t="shared" si="33"/>
        <v>426</v>
      </c>
      <c r="C2144" s="7"/>
      <c r="D2144" s="17"/>
      <c r="E2144" s="7"/>
      <c r="F2144" s="18"/>
      <c r="G2144" s="18"/>
      <c r="K2144" s="13"/>
      <c r="L2144" s="17"/>
      <c r="M2144" s="13"/>
      <c r="N2144" s="14"/>
      <c r="O2144" s="14"/>
      <c r="S2144" s="13"/>
      <c r="T2144" s="17"/>
      <c r="U2144" s="13"/>
      <c r="V2144" s="14"/>
      <c r="W2144" s="14"/>
      <c r="AA2144" s="13"/>
      <c r="AB2144" s="17"/>
      <c r="AC2144" s="13"/>
      <c r="AD2144" s="14"/>
      <c r="AE2144" s="30"/>
    </row>
    <row r="2145" spans="2:31" x14ac:dyDescent="0.25">
      <c r="B2145" s="53">
        <f t="shared" si="33"/>
        <v>427</v>
      </c>
      <c r="C2145" s="59" t="str">
        <f>IFERROR(VLOOKUP(C$13&amp;$B2149,Aux!$B:$M,5,0),"")</f>
        <v/>
      </c>
      <c r="D2145" s="60" t="str">
        <f>IFERROR(VLOOKUP(C$13&amp;$B2145,Aux!$B:$M,3,0),"")</f>
        <v/>
      </c>
      <c r="E2145" s="60"/>
      <c r="F2145" s="60"/>
      <c r="G2145" s="61" t="str">
        <f>IFERROR(VLOOKUP(C$13&amp;$B2145,Aux!$B:$M,9,0),"")</f>
        <v/>
      </c>
      <c r="K2145" s="59" t="str">
        <f>IFERROR(VLOOKUP(K$13&amp;$B2149,Aux!$B:$M,5,0),"")</f>
        <v/>
      </c>
      <c r="L2145" s="60" t="str">
        <f>IFERROR(VLOOKUP(K$13&amp;$B2145,Aux!$B:$M,3,0),"")</f>
        <v/>
      </c>
      <c r="M2145" s="60"/>
      <c r="N2145" s="60"/>
      <c r="O2145" s="61" t="str">
        <f>IFERROR(VLOOKUP(K$13&amp;$B2145,Aux!$B:$M,9,0),"")</f>
        <v/>
      </c>
      <c r="S2145" s="59" t="str">
        <f>IFERROR(VLOOKUP(S$13&amp;$B2149,Aux!$B:$M,5,0),"")</f>
        <v/>
      </c>
      <c r="T2145" s="60" t="str">
        <f>IFERROR(VLOOKUP(S$13&amp;$B2145,Aux!$B:$M,3,0),"")</f>
        <v/>
      </c>
      <c r="U2145" s="60"/>
      <c r="V2145" s="60"/>
      <c r="W2145" s="61" t="str">
        <f>IFERROR(VLOOKUP(S$13&amp;$B2145,Aux!$B:$M,9,0),"")</f>
        <v/>
      </c>
      <c r="AA2145" s="59" t="str">
        <f>IFERROR(VLOOKUP(AA$13&amp;$B2149,Aux!$B:$M,5,0),"")</f>
        <v/>
      </c>
      <c r="AB2145" s="60" t="str">
        <f>IFERROR(VLOOKUP(AA$13&amp;$B2145,Aux!$B:$M,3,0),"")</f>
        <v/>
      </c>
      <c r="AC2145" s="60"/>
      <c r="AD2145" s="60"/>
      <c r="AE2145" s="61" t="str">
        <f>IFERROR(VLOOKUP(AA$13&amp;$B2145,Aux!$B:$M,9,0),"")</f>
        <v/>
      </c>
    </row>
    <row r="2146" spans="2:31" x14ac:dyDescent="0.25">
      <c r="B2146" s="53">
        <f t="shared" si="33"/>
        <v>427</v>
      </c>
      <c r="C2146" s="59"/>
      <c r="D2146" s="60"/>
      <c r="E2146" s="60"/>
      <c r="F2146" s="60"/>
      <c r="G2146" s="61"/>
      <c r="K2146" s="59"/>
      <c r="L2146" s="60"/>
      <c r="M2146" s="60"/>
      <c r="N2146" s="60"/>
      <c r="O2146" s="61"/>
      <c r="S2146" s="59"/>
      <c r="T2146" s="60"/>
      <c r="U2146" s="60"/>
      <c r="V2146" s="60"/>
      <c r="W2146" s="61"/>
      <c r="AA2146" s="59"/>
      <c r="AB2146" s="60"/>
      <c r="AC2146" s="60"/>
      <c r="AD2146" s="60"/>
      <c r="AE2146" s="61"/>
    </row>
    <row r="2147" spans="2:31" x14ac:dyDescent="0.25">
      <c r="B2147" s="53">
        <f t="shared" si="33"/>
        <v>427</v>
      </c>
      <c r="C2147" s="59"/>
      <c r="D2147" s="15" t="str">
        <f>IF(D2145="","","Исполнитель"&amp;": ")</f>
        <v/>
      </c>
      <c r="E2147" s="62" t="str">
        <f>IFERROR(VLOOKUP(C$13&amp;$B2147,Aux!$B:$M,4,0),"")</f>
        <v/>
      </c>
      <c r="F2147" s="62"/>
      <c r="G2147" s="63" t="str">
        <f>IFERROR(IF(VLOOKUP(C$13&amp;$B2145,Aux!$B:$M,8,0)="Да","✔","🕓"),"")</f>
        <v/>
      </c>
      <c r="K2147" s="59"/>
      <c r="L2147" s="15" t="str">
        <f>IF(L2145="","","Исполнитель"&amp;": ")</f>
        <v/>
      </c>
      <c r="M2147" s="62" t="str">
        <f>IFERROR(VLOOKUP(K$13&amp;$B2147,Aux!$B:$M,4,0),"")</f>
        <v/>
      </c>
      <c r="N2147" s="62"/>
      <c r="O2147" s="63" t="str">
        <f>IFERROR(IF(VLOOKUP(K$13&amp;$B2145,Aux!$B:$M,8,0)="Да","✔","🕓"),"")</f>
        <v/>
      </c>
      <c r="S2147" s="59"/>
      <c r="T2147" s="15" t="str">
        <f>IF(T2145="","","Исполнитель"&amp;": ")</f>
        <v/>
      </c>
      <c r="U2147" s="62" t="str">
        <f>IFERROR(VLOOKUP(S$13&amp;$B2147,Aux!$B:$M,4,0),"")</f>
        <v/>
      </c>
      <c r="V2147" s="62"/>
      <c r="W2147" s="63" t="str">
        <f>IFERROR(IF(VLOOKUP(S$13&amp;$B2145,Aux!$B:$M,8,0)="Да","✔","🕓"),"")</f>
        <v/>
      </c>
      <c r="AA2147" s="59"/>
      <c r="AB2147" s="15" t="str">
        <f>IF(AB2145="","","Исполнитель"&amp;": ")</f>
        <v/>
      </c>
      <c r="AC2147" s="62" t="str">
        <f>IFERROR(VLOOKUP(AA$13&amp;$B2147,Aux!$B:$M,4,0),"")</f>
        <v/>
      </c>
      <c r="AD2147" s="62"/>
      <c r="AE2147" s="63" t="str">
        <f>IFERROR(IF(VLOOKUP(AA$13&amp;$B2145,Aux!$B:$M,8,0)="Да","✔","🕓"),"")</f>
        <v/>
      </c>
    </row>
    <row r="2148" spans="2:31" x14ac:dyDescent="0.25">
      <c r="B2148" s="53">
        <f t="shared" si="33"/>
        <v>427</v>
      </c>
      <c r="C2148" s="59"/>
      <c r="D2148" s="16" t="str">
        <f>IF(D2145="","","Срок сдачи"&amp;": ")</f>
        <v/>
      </c>
      <c r="E2148" s="64" t="str">
        <f>IFERROR(VLOOKUP(C$13&amp;$B2148,Aux!$B:$M,6,0),"")</f>
        <v/>
      </c>
      <c r="F2148" s="64"/>
      <c r="G2148" s="63"/>
      <c r="K2148" s="59"/>
      <c r="L2148" s="16" t="str">
        <f>IF(L2145="","","Срок сдачи"&amp;": ")</f>
        <v/>
      </c>
      <c r="M2148" s="64" t="str">
        <f>IFERROR(VLOOKUP(K$13&amp;$B2148,Aux!$B:$M,6,0),"")</f>
        <v/>
      </c>
      <c r="N2148" s="64"/>
      <c r="O2148" s="63"/>
      <c r="S2148" s="59"/>
      <c r="T2148" s="16" t="str">
        <f>IF(T2145="","","Срок сдачи"&amp;": ")</f>
        <v/>
      </c>
      <c r="U2148" s="64" t="str">
        <f>IFERROR(VLOOKUP(S$13&amp;$B2148,Aux!$B:$M,6,0),"")</f>
        <v/>
      </c>
      <c r="V2148" s="64"/>
      <c r="W2148" s="63"/>
      <c r="AA2148" s="59"/>
      <c r="AB2148" s="16" t="str">
        <f>IF(AB2145="","","Срок сдачи"&amp;": ")</f>
        <v/>
      </c>
      <c r="AC2148" s="64" t="str">
        <f>IFERROR(VLOOKUP(AA$13&amp;$B2148,Aux!$B:$M,6,0),"")</f>
        <v/>
      </c>
      <c r="AD2148" s="64"/>
      <c r="AE2148" s="63"/>
    </row>
    <row r="2149" spans="2:31" x14ac:dyDescent="0.25">
      <c r="B2149" s="53">
        <f t="shared" si="33"/>
        <v>427</v>
      </c>
      <c r="C2149" s="7"/>
      <c r="D2149" s="17"/>
      <c r="E2149" s="7"/>
      <c r="F2149" s="18"/>
      <c r="G2149" s="18"/>
      <c r="K2149" s="13"/>
      <c r="L2149" s="17"/>
      <c r="M2149" s="13"/>
      <c r="N2149" s="14"/>
      <c r="O2149" s="14"/>
      <c r="S2149" s="13"/>
      <c r="T2149" s="17"/>
      <c r="U2149" s="13"/>
      <c r="V2149" s="14"/>
      <c r="W2149" s="14"/>
      <c r="AA2149" s="13"/>
      <c r="AB2149" s="17"/>
      <c r="AC2149" s="13"/>
      <c r="AD2149" s="14"/>
      <c r="AE2149" s="30"/>
    </row>
    <row r="2150" spans="2:31" x14ac:dyDescent="0.25">
      <c r="B2150" s="53">
        <f t="shared" si="33"/>
        <v>428</v>
      </c>
      <c r="C2150" s="59" t="str">
        <f>IFERROR(VLOOKUP(C$13&amp;$B2154,Aux!$B:$M,5,0),"")</f>
        <v/>
      </c>
      <c r="D2150" s="60" t="str">
        <f>IFERROR(VLOOKUP(C$13&amp;$B2150,Aux!$B:$M,3,0),"")</f>
        <v/>
      </c>
      <c r="E2150" s="60"/>
      <c r="F2150" s="60"/>
      <c r="G2150" s="61" t="str">
        <f>IFERROR(VLOOKUP(C$13&amp;$B2150,Aux!$B:$M,9,0),"")</f>
        <v/>
      </c>
      <c r="K2150" s="59" t="str">
        <f>IFERROR(VLOOKUP(K$13&amp;$B2154,Aux!$B:$M,5,0),"")</f>
        <v/>
      </c>
      <c r="L2150" s="60" t="str">
        <f>IFERROR(VLOOKUP(K$13&amp;$B2150,Aux!$B:$M,3,0),"")</f>
        <v/>
      </c>
      <c r="M2150" s="60"/>
      <c r="N2150" s="60"/>
      <c r="O2150" s="61" t="str">
        <f>IFERROR(VLOOKUP(K$13&amp;$B2150,Aux!$B:$M,9,0),"")</f>
        <v/>
      </c>
      <c r="S2150" s="59" t="str">
        <f>IFERROR(VLOOKUP(S$13&amp;$B2154,Aux!$B:$M,5,0),"")</f>
        <v/>
      </c>
      <c r="T2150" s="60" t="str">
        <f>IFERROR(VLOOKUP(S$13&amp;$B2150,Aux!$B:$M,3,0),"")</f>
        <v/>
      </c>
      <c r="U2150" s="60"/>
      <c r="V2150" s="60"/>
      <c r="W2150" s="61" t="str">
        <f>IFERROR(VLOOKUP(S$13&amp;$B2150,Aux!$B:$M,9,0),"")</f>
        <v/>
      </c>
      <c r="AA2150" s="59" t="str">
        <f>IFERROR(VLOOKUP(AA$13&amp;$B2154,Aux!$B:$M,5,0),"")</f>
        <v/>
      </c>
      <c r="AB2150" s="60" t="str">
        <f>IFERROR(VLOOKUP(AA$13&amp;$B2150,Aux!$B:$M,3,0),"")</f>
        <v/>
      </c>
      <c r="AC2150" s="60"/>
      <c r="AD2150" s="60"/>
      <c r="AE2150" s="61" t="str">
        <f>IFERROR(VLOOKUP(AA$13&amp;$B2150,Aux!$B:$M,9,0),"")</f>
        <v/>
      </c>
    </row>
    <row r="2151" spans="2:31" x14ac:dyDescent="0.25">
      <c r="B2151" s="53">
        <f t="shared" si="33"/>
        <v>428</v>
      </c>
      <c r="C2151" s="59"/>
      <c r="D2151" s="60"/>
      <c r="E2151" s="60"/>
      <c r="F2151" s="60"/>
      <c r="G2151" s="61"/>
      <c r="K2151" s="59"/>
      <c r="L2151" s="60"/>
      <c r="M2151" s="60"/>
      <c r="N2151" s="60"/>
      <c r="O2151" s="61"/>
      <c r="S2151" s="59"/>
      <c r="T2151" s="60"/>
      <c r="U2151" s="60"/>
      <c r="V2151" s="60"/>
      <c r="W2151" s="61"/>
      <c r="AA2151" s="59"/>
      <c r="AB2151" s="60"/>
      <c r="AC2151" s="60"/>
      <c r="AD2151" s="60"/>
      <c r="AE2151" s="61"/>
    </row>
    <row r="2152" spans="2:31" x14ac:dyDescent="0.25">
      <c r="B2152" s="53">
        <f t="shared" si="33"/>
        <v>428</v>
      </c>
      <c r="C2152" s="59"/>
      <c r="D2152" s="15" t="str">
        <f>IF(D2150="","","Исполнитель"&amp;": ")</f>
        <v/>
      </c>
      <c r="E2152" s="62" t="str">
        <f>IFERROR(VLOOKUP(C$13&amp;$B2152,Aux!$B:$M,4,0),"")</f>
        <v/>
      </c>
      <c r="F2152" s="62"/>
      <c r="G2152" s="63" t="str">
        <f>IFERROR(IF(VLOOKUP(C$13&amp;$B2150,Aux!$B:$M,8,0)="Да","✔","🕓"),"")</f>
        <v/>
      </c>
      <c r="K2152" s="59"/>
      <c r="L2152" s="15" t="str">
        <f>IF(L2150="","","Исполнитель"&amp;": ")</f>
        <v/>
      </c>
      <c r="M2152" s="62" t="str">
        <f>IFERROR(VLOOKUP(K$13&amp;$B2152,Aux!$B:$M,4,0),"")</f>
        <v/>
      </c>
      <c r="N2152" s="62"/>
      <c r="O2152" s="63" t="str">
        <f>IFERROR(IF(VLOOKUP(K$13&amp;$B2150,Aux!$B:$M,8,0)="Да","✔","🕓"),"")</f>
        <v/>
      </c>
      <c r="S2152" s="59"/>
      <c r="T2152" s="15" t="str">
        <f>IF(T2150="","","Исполнитель"&amp;": ")</f>
        <v/>
      </c>
      <c r="U2152" s="62" t="str">
        <f>IFERROR(VLOOKUP(S$13&amp;$B2152,Aux!$B:$M,4,0),"")</f>
        <v/>
      </c>
      <c r="V2152" s="62"/>
      <c r="W2152" s="63" t="str">
        <f>IFERROR(IF(VLOOKUP(S$13&amp;$B2150,Aux!$B:$M,8,0)="Да","✔","🕓"),"")</f>
        <v/>
      </c>
      <c r="AA2152" s="59"/>
      <c r="AB2152" s="15" t="str">
        <f>IF(AB2150="","","Исполнитель"&amp;": ")</f>
        <v/>
      </c>
      <c r="AC2152" s="62" t="str">
        <f>IFERROR(VLOOKUP(AA$13&amp;$B2152,Aux!$B:$M,4,0),"")</f>
        <v/>
      </c>
      <c r="AD2152" s="62"/>
      <c r="AE2152" s="63" t="str">
        <f>IFERROR(IF(VLOOKUP(AA$13&amp;$B2150,Aux!$B:$M,8,0)="Да","✔","🕓"),"")</f>
        <v/>
      </c>
    </row>
    <row r="2153" spans="2:31" x14ac:dyDescent="0.25">
      <c r="B2153" s="53">
        <f t="shared" si="33"/>
        <v>428</v>
      </c>
      <c r="C2153" s="59"/>
      <c r="D2153" s="16" t="str">
        <f>IF(D2150="","","Срок сдачи"&amp;": ")</f>
        <v/>
      </c>
      <c r="E2153" s="64" t="str">
        <f>IFERROR(VLOOKUP(C$13&amp;$B2153,Aux!$B:$M,6,0),"")</f>
        <v/>
      </c>
      <c r="F2153" s="64"/>
      <c r="G2153" s="63"/>
      <c r="K2153" s="59"/>
      <c r="L2153" s="16" t="str">
        <f>IF(L2150="","","Срок сдачи"&amp;": ")</f>
        <v/>
      </c>
      <c r="M2153" s="64" t="str">
        <f>IFERROR(VLOOKUP(K$13&amp;$B2153,Aux!$B:$M,6,0),"")</f>
        <v/>
      </c>
      <c r="N2153" s="64"/>
      <c r="O2153" s="63"/>
      <c r="S2153" s="59"/>
      <c r="T2153" s="16" t="str">
        <f>IF(T2150="","","Срок сдачи"&amp;": ")</f>
        <v/>
      </c>
      <c r="U2153" s="64" t="str">
        <f>IFERROR(VLOOKUP(S$13&amp;$B2153,Aux!$B:$M,6,0),"")</f>
        <v/>
      </c>
      <c r="V2153" s="64"/>
      <c r="W2153" s="63"/>
      <c r="AA2153" s="59"/>
      <c r="AB2153" s="16" t="str">
        <f>IF(AB2150="","","Срок сдачи"&amp;": ")</f>
        <v/>
      </c>
      <c r="AC2153" s="64" t="str">
        <f>IFERROR(VLOOKUP(AA$13&amp;$B2153,Aux!$B:$M,6,0),"")</f>
        <v/>
      </c>
      <c r="AD2153" s="64"/>
      <c r="AE2153" s="63"/>
    </row>
    <row r="2154" spans="2:31" x14ac:dyDescent="0.25">
      <c r="B2154" s="53">
        <f t="shared" si="33"/>
        <v>428</v>
      </c>
      <c r="C2154" s="7"/>
      <c r="D2154" s="17"/>
      <c r="E2154" s="7"/>
      <c r="F2154" s="18"/>
      <c r="G2154" s="18"/>
      <c r="K2154" s="13"/>
      <c r="L2154" s="17"/>
      <c r="M2154" s="13"/>
      <c r="N2154" s="14"/>
      <c r="O2154" s="14"/>
      <c r="S2154" s="13"/>
      <c r="T2154" s="17"/>
      <c r="U2154" s="13"/>
      <c r="V2154" s="14"/>
      <c r="W2154" s="14"/>
      <c r="AA2154" s="13"/>
      <c r="AB2154" s="17"/>
      <c r="AC2154" s="13"/>
      <c r="AD2154" s="14"/>
      <c r="AE2154" s="30"/>
    </row>
    <row r="2155" spans="2:31" x14ac:dyDescent="0.25">
      <c r="B2155" s="53">
        <f t="shared" si="33"/>
        <v>429</v>
      </c>
      <c r="C2155" s="59" t="str">
        <f>IFERROR(VLOOKUP(C$13&amp;$B2159,Aux!$B:$M,5,0),"")</f>
        <v/>
      </c>
      <c r="D2155" s="60" t="str">
        <f>IFERROR(VLOOKUP(C$13&amp;$B2155,Aux!$B:$M,3,0),"")</f>
        <v/>
      </c>
      <c r="E2155" s="60"/>
      <c r="F2155" s="60"/>
      <c r="G2155" s="61" t="str">
        <f>IFERROR(VLOOKUP(C$13&amp;$B2155,Aux!$B:$M,9,0),"")</f>
        <v/>
      </c>
      <c r="K2155" s="59" t="str">
        <f>IFERROR(VLOOKUP(K$13&amp;$B2159,Aux!$B:$M,5,0),"")</f>
        <v/>
      </c>
      <c r="L2155" s="60" t="str">
        <f>IFERROR(VLOOKUP(K$13&amp;$B2155,Aux!$B:$M,3,0),"")</f>
        <v/>
      </c>
      <c r="M2155" s="60"/>
      <c r="N2155" s="60"/>
      <c r="O2155" s="61" t="str">
        <f>IFERROR(VLOOKUP(K$13&amp;$B2155,Aux!$B:$M,9,0),"")</f>
        <v/>
      </c>
      <c r="S2155" s="59" t="str">
        <f>IFERROR(VLOOKUP(S$13&amp;$B2159,Aux!$B:$M,5,0),"")</f>
        <v/>
      </c>
      <c r="T2155" s="60" t="str">
        <f>IFERROR(VLOOKUP(S$13&amp;$B2155,Aux!$B:$M,3,0),"")</f>
        <v/>
      </c>
      <c r="U2155" s="60"/>
      <c r="V2155" s="60"/>
      <c r="W2155" s="61" t="str">
        <f>IFERROR(VLOOKUP(S$13&amp;$B2155,Aux!$B:$M,9,0),"")</f>
        <v/>
      </c>
      <c r="AA2155" s="59" t="str">
        <f>IFERROR(VLOOKUP(AA$13&amp;$B2159,Aux!$B:$M,5,0),"")</f>
        <v/>
      </c>
      <c r="AB2155" s="60" t="str">
        <f>IFERROR(VLOOKUP(AA$13&amp;$B2155,Aux!$B:$M,3,0),"")</f>
        <v/>
      </c>
      <c r="AC2155" s="60"/>
      <c r="AD2155" s="60"/>
      <c r="AE2155" s="61" t="str">
        <f>IFERROR(VLOOKUP(AA$13&amp;$B2155,Aux!$B:$M,9,0),"")</f>
        <v/>
      </c>
    </row>
    <row r="2156" spans="2:31" x14ac:dyDescent="0.25">
      <c r="B2156" s="53">
        <f t="shared" si="33"/>
        <v>429</v>
      </c>
      <c r="C2156" s="59"/>
      <c r="D2156" s="60"/>
      <c r="E2156" s="60"/>
      <c r="F2156" s="60"/>
      <c r="G2156" s="61"/>
      <c r="K2156" s="59"/>
      <c r="L2156" s="60"/>
      <c r="M2156" s="60"/>
      <c r="N2156" s="60"/>
      <c r="O2156" s="61"/>
      <c r="S2156" s="59"/>
      <c r="T2156" s="60"/>
      <c r="U2156" s="60"/>
      <c r="V2156" s="60"/>
      <c r="W2156" s="61"/>
      <c r="AA2156" s="59"/>
      <c r="AB2156" s="60"/>
      <c r="AC2156" s="60"/>
      <c r="AD2156" s="60"/>
      <c r="AE2156" s="61"/>
    </row>
    <row r="2157" spans="2:31" x14ac:dyDescent="0.25">
      <c r="B2157" s="53">
        <f t="shared" si="33"/>
        <v>429</v>
      </c>
      <c r="C2157" s="59"/>
      <c r="D2157" s="15" t="str">
        <f>IF(D2155="","","Исполнитель"&amp;": ")</f>
        <v/>
      </c>
      <c r="E2157" s="62" t="str">
        <f>IFERROR(VLOOKUP(C$13&amp;$B2157,Aux!$B:$M,4,0),"")</f>
        <v/>
      </c>
      <c r="F2157" s="62"/>
      <c r="G2157" s="63" t="str">
        <f>IFERROR(IF(VLOOKUP(C$13&amp;$B2155,Aux!$B:$M,8,0)="Да","✔","🕓"),"")</f>
        <v/>
      </c>
      <c r="K2157" s="59"/>
      <c r="L2157" s="15" t="str">
        <f>IF(L2155="","","Исполнитель"&amp;": ")</f>
        <v/>
      </c>
      <c r="M2157" s="62" t="str">
        <f>IFERROR(VLOOKUP(K$13&amp;$B2157,Aux!$B:$M,4,0),"")</f>
        <v/>
      </c>
      <c r="N2157" s="62"/>
      <c r="O2157" s="63" t="str">
        <f>IFERROR(IF(VLOOKUP(K$13&amp;$B2155,Aux!$B:$M,8,0)="Да","✔","🕓"),"")</f>
        <v/>
      </c>
      <c r="S2157" s="59"/>
      <c r="T2157" s="15" t="str">
        <f>IF(T2155="","","Исполнитель"&amp;": ")</f>
        <v/>
      </c>
      <c r="U2157" s="62" t="str">
        <f>IFERROR(VLOOKUP(S$13&amp;$B2157,Aux!$B:$M,4,0),"")</f>
        <v/>
      </c>
      <c r="V2157" s="62"/>
      <c r="W2157" s="63" t="str">
        <f>IFERROR(IF(VLOOKUP(S$13&amp;$B2155,Aux!$B:$M,8,0)="Да","✔","🕓"),"")</f>
        <v/>
      </c>
      <c r="AA2157" s="59"/>
      <c r="AB2157" s="15" t="str">
        <f>IF(AB2155="","","Исполнитель"&amp;": ")</f>
        <v/>
      </c>
      <c r="AC2157" s="62" t="str">
        <f>IFERROR(VLOOKUP(AA$13&amp;$B2157,Aux!$B:$M,4,0),"")</f>
        <v/>
      </c>
      <c r="AD2157" s="62"/>
      <c r="AE2157" s="63" t="str">
        <f>IFERROR(IF(VLOOKUP(AA$13&amp;$B2155,Aux!$B:$M,8,0)="Да","✔","🕓"),"")</f>
        <v/>
      </c>
    </row>
    <row r="2158" spans="2:31" x14ac:dyDescent="0.25">
      <c r="B2158" s="53">
        <f t="shared" si="33"/>
        <v>429</v>
      </c>
      <c r="C2158" s="59"/>
      <c r="D2158" s="16" t="str">
        <f>IF(D2155="","","Срок сдачи"&amp;": ")</f>
        <v/>
      </c>
      <c r="E2158" s="64" t="str">
        <f>IFERROR(VLOOKUP(C$13&amp;$B2158,Aux!$B:$M,6,0),"")</f>
        <v/>
      </c>
      <c r="F2158" s="64"/>
      <c r="G2158" s="63"/>
      <c r="K2158" s="59"/>
      <c r="L2158" s="16" t="str">
        <f>IF(L2155="","","Срок сдачи"&amp;": ")</f>
        <v/>
      </c>
      <c r="M2158" s="64" t="str">
        <f>IFERROR(VLOOKUP(K$13&amp;$B2158,Aux!$B:$M,6,0),"")</f>
        <v/>
      </c>
      <c r="N2158" s="64"/>
      <c r="O2158" s="63"/>
      <c r="S2158" s="59"/>
      <c r="T2158" s="16" t="str">
        <f>IF(T2155="","","Срок сдачи"&amp;": ")</f>
        <v/>
      </c>
      <c r="U2158" s="64" t="str">
        <f>IFERROR(VLOOKUP(S$13&amp;$B2158,Aux!$B:$M,6,0),"")</f>
        <v/>
      </c>
      <c r="V2158" s="64"/>
      <c r="W2158" s="63"/>
      <c r="AA2158" s="59"/>
      <c r="AB2158" s="16" t="str">
        <f>IF(AB2155="","","Срок сдачи"&amp;": ")</f>
        <v/>
      </c>
      <c r="AC2158" s="64" t="str">
        <f>IFERROR(VLOOKUP(AA$13&amp;$B2158,Aux!$B:$M,6,0),"")</f>
        <v/>
      </c>
      <c r="AD2158" s="64"/>
      <c r="AE2158" s="63"/>
    </row>
    <row r="2159" spans="2:31" x14ac:dyDescent="0.25">
      <c r="B2159" s="53">
        <f t="shared" si="33"/>
        <v>429</v>
      </c>
      <c r="C2159" s="7"/>
      <c r="D2159" s="17"/>
      <c r="E2159" s="7"/>
      <c r="F2159" s="18"/>
      <c r="G2159" s="18"/>
      <c r="K2159" s="13"/>
      <c r="L2159" s="17"/>
      <c r="M2159" s="13"/>
      <c r="N2159" s="14"/>
      <c r="O2159" s="14"/>
      <c r="S2159" s="13"/>
      <c r="T2159" s="17"/>
      <c r="U2159" s="13"/>
      <c r="V2159" s="14"/>
      <c r="W2159" s="14"/>
      <c r="AA2159" s="13"/>
      <c r="AB2159" s="17"/>
      <c r="AC2159" s="13"/>
      <c r="AD2159" s="14"/>
      <c r="AE2159" s="30"/>
    </row>
    <row r="2160" spans="2:31" x14ac:dyDescent="0.25">
      <c r="B2160" s="53">
        <f t="shared" si="33"/>
        <v>430</v>
      </c>
      <c r="C2160" s="59" t="str">
        <f>IFERROR(VLOOKUP(C$13&amp;$B2164,Aux!$B:$M,5,0),"")</f>
        <v/>
      </c>
      <c r="D2160" s="60" t="str">
        <f>IFERROR(VLOOKUP(C$13&amp;$B2160,Aux!$B:$M,3,0),"")</f>
        <v/>
      </c>
      <c r="E2160" s="60"/>
      <c r="F2160" s="60"/>
      <c r="G2160" s="61" t="str">
        <f>IFERROR(VLOOKUP(C$13&amp;$B2160,Aux!$B:$M,9,0),"")</f>
        <v/>
      </c>
      <c r="K2160" s="59" t="str">
        <f>IFERROR(VLOOKUP(K$13&amp;$B2164,Aux!$B:$M,5,0),"")</f>
        <v/>
      </c>
      <c r="L2160" s="60" t="str">
        <f>IFERROR(VLOOKUP(K$13&amp;$B2160,Aux!$B:$M,3,0),"")</f>
        <v/>
      </c>
      <c r="M2160" s="60"/>
      <c r="N2160" s="60"/>
      <c r="O2160" s="61" t="str">
        <f>IFERROR(VLOOKUP(K$13&amp;$B2160,Aux!$B:$M,9,0),"")</f>
        <v/>
      </c>
      <c r="S2160" s="59" t="str">
        <f>IFERROR(VLOOKUP(S$13&amp;$B2164,Aux!$B:$M,5,0),"")</f>
        <v/>
      </c>
      <c r="T2160" s="60" t="str">
        <f>IFERROR(VLOOKUP(S$13&amp;$B2160,Aux!$B:$M,3,0),"")</f>
        <v/>
      </c>
      <c r="U2160" s="60"/>
      <c r="V2160" s="60"/>
      <c r="W2160" s="61" t="str">
        <f>IFERROR(VLOOKUP(S$13&amp;$B2160,Aux!$B:$M,9,0),"")</f>
        <v/>
      </c>
      <c r="AA2160" s="59" t="str">
        <f>IFERROR(VLOOKUP(AA$13&amp;$B2164,Aux!$B:$M,5,0),"")</f>
        <v/>
      </c>
      <c r="AB2160" s="60" t="str">
        <f>IFERROR(VLOOKUP(AA$13&amp;$B2160,Aux!$B:$M,3,0),"")</f>
        <v/>
      </c>
      <c r="AC2160" s="60"/>
      <c r="AD2160" s="60"/>
      <c r="AE2160" s="61" t="str">
        <f>IFERROR(VLOOKUP(AA$13&amp;$B2160,Aux!$B:$M,9,0),"")</f>
        <v/>
      </c>
    </row>
    <row r="2161" spans="2:31" x14ac:dyDescent="0.25">
      <c r="B2161" s="53">
        <f t="shared" si="33"/>
        <v>430</v>
      </c>
      <c r="C2161" s="59"/>
      <c r="D2161" s="60"/>
      <c r="E2161" s="60"/>
      <c r="F2161" s="60"/>
      <c r="G2161" s="61"/>
      <c r="K2161" s="59"/>
      <c r="L2161" s="60"/>
      <c r="M2161" s="60"/>
      <c r="N2161" s="60"/>
      <c r="O2161" s="61"/>
      <c r="S2161" s="59"/>
      <c r="T2161" s="60"/>
      <c r="U2161" s="60"/>
      <c r="V2161" s="60"/>
      <c r="W2161" s="61"/>
      <c r="AA2161" s="59"/>
      <c r="AB2161" s="60"/>
      <c r="AC2161" s="60"/>
      <c r="AD2161" s="60"/>
      <c r="AE2161" s="61"/>
    </row>
    <row r="2162" spans="2:31" x14ac:dyDescent="0.25">
      <c r="B2162" s="53">
        <f t="shared" si="33"/>
        <v>430</v>
      </c>
      <c r="C2162" s="59"/>
      <c r="D2162" s="15" t="str">
        <f>IF(D2160="","","Исполнитель"&amp;": ")</f>
        <v/>
      </c>
      <c r="E2162" s="62" t="str">
        <f>IFERROR(VLOOKUP(C$13&amp;$B2162,Aux!$B:$M,4,0),"")</f>
        <v/>
      </c>
      <c r="F2162" s="62"/>
      <c r="G2162" s="63" t="str">
        <f>IFERROR(IF(VLOOKUP(C$13&amp;$B2160,Aux!$B:$M,8,0)="Да","✔","🕓"),"")</f>
        <v/>
      </c>
      <c r="K2162" s="59"/>
      <c r="L2162" s="15" t="str">
        <f>IF(L2160="","","Исполнитель"&amp;": ")</f>
        <v/>
      </c>
      <c r="M2162" s="62" t="str">
        <f>IFERROR(VLOOKUP(K$13&amp;$B2162,Aux!$B:$M,4,0),"")</f>
        <v/>
      </c>
      <c r="N2162" s="62"/>
      <c r="O2162" s="63" t="str">
        <f>IFERROR(IF(VLOOKUP(K$13&amp;$B2160,Aux!$B:$M,8,0)="Да","✔","🕓"),"")</f>
        <v/>
      </c>
      <c r="S2162" s="59"/>
      <c r="T2162" s="15" t="str">
        <f>IF(T2160="","","Исполнитель"&amp;": ")</f>
        <v/>
      </c>
      <c r="U2162" s="62" t="str">
        <f>IFERROR(VLOOKUP(S$13&amp;$B2162,Aux!$B:$M,4,0),"")</f>
        <v/>
      </c>
      <c r="V2162" s="62"/>
      <c r="W2162" s="63" t="str">
        <f>IFERROR(IF(VLOOKUP(S$13&amp;$B2160,Aux!$B:$M,8,0)="Да","✔","🕓"),"")</f>
        <v/>
      </c>
      <c r="AA2162" s="59"/>
      <c r="AB2162" s="15" t="str">
        <f>IF(AB2160="","","Исполнитель"&amp;": ")</f>
        <v/>
      </c>
      <c r="AC2162" s="62" t="str">
        <f>IFERROR(VLOOKUP(AA$13&amp;$B2162,Aux!$B:$M,4,0),"")</f>
        <v/>
      </c>
      <c r="AD2162" s="62"/>
      <c r="AE2162" s="63" t="str">
        <f>IFERROR(IF(VLOOKUP(AA$13&amp;$B2160,Aux!$B:$M,8,0)="Да","✔","🕓"),"")</f>
        <v/>
      </c>
    </row>
    <row r="2163" spans="2:31" x14ac:dyDescent="0.25">
      <c r="B2163" s="53">
        <f t="shared" si="33"/>
        <v>430</v>
      </c>
      <c r="C2163" s="59"/>
      <c r="D2163" s="16" t="str">
        <f>IF(D2160="","","Срок сдачи"&amp;": ")</f>
        <v/>
      </c>
      <c r="E2163" s="64" t="str">
        <f>IFERROR(VLOOKUP(C$13&amp;$B2163,Aux!$B:$M,6,0),"")</f>
        <v/>
      </c>
      <c r="F2163" s="64"/>
      <c r="G2163" s="63"/>
      <c r="K2163" s="59"/>
      <c r="L2163" s="16" t="str">
        <f>IF(L2160="","","Срок сдачи"&amp;": ")</f>
        <v/>
      </c>
      <c r="M2163" s="64" t="str">
        <f>IFERROR(VLOOKUP(K$13&amp;$B2163,Aux!$B:$M,6,0),"")</f>
        <v/>
      </c>
      <c r="N2163" s="64"/>
      <c r="O2163" s="63"/>
      <c r="S2163" s="59"/>
      <c r="T2163" s="16" t="str">
        <f>IF(T2160="","","Срок сдачи"&amp;": ")</f>
        <v/>
      </c>
      <c r="U2163" s="64" t="str">
        <f>IFERROR(VLOOKUP(S$13&amp;$B2163,Aux!$B:$M,6,0),"")</f>
        <v/>
      </c>
      <c r="V2163" s="64"/>
      <c r="W2163" s="63"/>
      <c r="AA2163" s="59"/>
      <c r="AB2163" s="16" t="str">
        <f>IF(AB2160="","","Срок сдачи"&amp;": ")</f>
        <v/>
      </c>
      <c r="AC2163" s="64" t="str">
        <f>IFERROR(VLOOKUP(AA$13&amp;$B2163,Aux!$B:$M,6,0),"")</f>
        <v/>
      </c>
      <c r="AD2163" s="64"/>
      <c r="AE2163" s="63"/>
    </row>
    <row r="2164" spans="2:31" x14ac:dyDescent="0.25">
      <c r="B2164" s="53">
        <f t="shared" si="33"/>
        <v>430</v>
      </c>
      <c r="C2164" s="7"/>
      <c r="D2164" s="17"/>
      <c r="E2164" s="7"/>
      <c r="F2164" s="18"/>
      <c r="G2164" s="18"/>
      <c r="K2164" s="13"/>
      <c r="L2164" s="17"/>
      <c r="M2164" s="13"/>
      <c r="N2164" s="14"/>
      <c r="O2164" s="14"/>
      <c r="S2164" s="13"/>
      <c r="T2164" s="17"/>
      <c r="U2164" s="13"/>
      <c r="V2164" s="14"/>
      <c r="W2164" s="14"/>
      <c r="AA2164" s="13"/>
      <c r="AB2164" s="17"/>
      <c r="AC2164" s="13"/>
      <c r="AD2164" s="14"/>
      <c r="AE2164" s="30"/>
    </row>
    <row r="2165" spans="2:31" x14ac:dyDescent="0.25">
      <c r="B2165" s="53">
        <f t="shared" si="33"/>
        <v>431</v>
      </c>
      <c r="C2165" s="59" t="str">
        <f>IFERROR(VLOOKUP(C$13&amp;$B2169,Aux!$B:$M,5,0),"")</f>
        <v/>
      </c>
      <c r="D2165" s="60" t="str">
        <f>IFERROR(VLOOKUP(C$13&amp;$B2165,Aux!$B:$M,3,0),"")</f>
        <v/>
      </c>
      <c r="E2165" s="60"/>
      <c r="F2165" s="60"/>
      <c r="G2165" s="61" t="str">
        <f>IFERROR(VLOOKUP(C$13&amp;$B2165,Aux!$B:$M,9,0),"")</f>
        <v/>
      </c>
      <c r="K2165" s="59" t="str">
        <f>IFERROR(VLOOKUP(K$13&amp;$B2169,Aux!$B:$M,5,0),"")</f>
        <v/>
      </c>
      <c r="L2165" s="60" t="str">
        <f>IFERROR(VLOOKUP(K$13&amp;$B2165,Aux!$B:$M,3,0),"")</f>
        <v/>
      </c>
      <c r="M2165" s="60"/>
      <c r="N2165" s="60"/>
      <c r="O2165" s="61" t="str">
        <f>IFERROR(VLOOKUP(K$13&amp;$B2165,Aux!$B:$M,9,0),"")</f>
        <v/>
      </c>
      <c r="S2165" s="59" t="str">
        <f>IFERROR(VLOOKUP(S$13&amp;$B2169,Aux!$B:$M,5,0),"")</f>
        <v/>
      </c>
      <c r="T2165" s="60" t="str">
        <f>IFERROR(VLOOKUP(S$13&amp;$B2165,Aux!$B:$M,3,0),"")</f>
        <v/>
      </c>
      <c r="U2165" s="60"/>
      <c r="V2165" s="60"/>
      <c r="W2165" s="61" t="str">
        <f>IFERROR(VLOOKUP(S$13&amp;$B2165,Aux!$B:$M,9,0),"")</f>
        <v/>
      </c>
      <c r="AA2165" s="59" t="str">
        <f>IFERROR(VLOOKUP(AA$13&amp;$B2169,Aux!$B:$M,5,0),"")</f>
        <v/>
      </c>
      <c r="AB2165" s="60" t="str">
        <f>IFERROR(VLOOKUP(AA$13&amp;$B2165,Aux!$B:$M,3,0),"")</f>
        <v/>
      </c>
      <c r="AC2165" s="60"/>
      <c r="AD2165" s="60"/>
      <c r="AE2165" s="61" t="str">
        <f>IFERROR(VLOOKUP(AA$13&amp;$B2165,Aux!$B:$M,9,0),"")</f>
        <v/>
      </c>
    </row>
    <row r="2166" spans="2:31" x14ac:dyDescent="0.25">
      <c r="B2166" s="53">
        <f t="shared" si="33"/>
        <v>431</v>
      </c>
      <c r="C2166" s="59"/>
      <c r="D2166" s="60"/>
      <c r="E2166" s="60"/>
      <c r="F2166" s="60"/>
      <c r="G2166" s="61"/>
      <c r="K2166" s="59"/>
      <c r="L2166" s="60"/>
      <c r="M2166" s="60"/>
      <c r="N2166" s="60"/>
      <c r="O2166" s="61"/>
      <c r="S2166" s="59"/>
      <c r="T2166" s="60"/>
      <c r="U2166" s="60"/>
      <c r="V2166" s="60"/>
      <c r="W2166" s="61"/>
      <c r="AA2166" s="59"/>
      <c r="AB2166" s="60"/>
      <c r="AC2166" s="60"/>
      <c r="AD2166" s="60"/>
      <c r="AE2166" s="61"/>
    </row>
    <row r="2167" spans="2:31" x14ac:dyDescent="0.25">
      <c r="B2167" s="53">
        <f t="shared" si="33"/>
        <v>431</v>
      </c>
      <c r="C2167" s="59"/>
      <c r="D2167" s="15" t="str">
        <f>IF(D2165="","","Исполнитель"&amp;": ")</f>
        <v/>
      </c>
      <c r="E2167" s="62" t="str">
        <f>IFERROR(VLOOKUP(C$13&amp;$B2167,Aux!$B:$M,4,0),"")</f>
        <v/>
      </c>
      <c r="F2167" s="62"/>
      <c r="G2167" s="63" t="str">
        <f>IFERROR(IF(VLOOKUP(C$13&amp;$B2165,Aux!$B:$M,8,0)="Да","✔","🕓"),"")</f>
        <v/>
      </c>
      <c r="K2167" s="59"/>
      <c r="L2167" s="15" t="str">
        <f>IF(L2165="","","Исполнитель"&amp;": ")</f>
        <v/>
      </c>
      <c r="M2167" s="62" t="str">
        <f>IFERROR(VLOOKUP(K$13&amp;$B2167,Aux!$B:$M,4,0),"")</f>
        <v/>
      </c>
      <c r="N2167" s="62"/>
      <c r="O2167" s="63" t="str">
        <f>IFERROR(IF(VLOOKUP(K$13&amp;$B2165,Aux!$B:$M,8,0)="Да","✔","🕓"),"")</f>
        <v/>
      </c>
      <c r="S2167" s="59"/>
      <c r="T2167" s="15" t="str">
        <f>IF(T2165="","","Исполнитель"&amp;": ")</f>
        <v/>
      </c>
      <c r="U2167" s="62" t="str">
        <f>IFERROR(VLOOKUP(S$13&amp;$B2167,Aux!$B:$M,4,0),"")</f>
        <v/>
      </c>
      <c r="V2167" s="62"/>
      <c r="W2167" s="63" t="str">
        <f>IFERROR(IF(VLOOKUP(S$13&amp;$B2165,Aux!$B:$M,8,0)="Да","✔","🕓"),"")</f>
        <v/>
      </c>
      <c r="AA2167" s="59"/>
      <c r="AB2167" s="15" t="str">
        <f>IF(AB2165="","","Исполнитель"&amp;": ")</f>
        <v/>
      </c>
      <c r="AC2167" s="62" t="str">
        <f>IFERROR(VLOOKUP(AA$13&amp;$B2167,Aux!$B:$M,4,0),"")</f>
        <v/>
      </c>
      <c r="AD2167" s="62"/>
      <c r="AE2167" s="63" t="str">
        <f>IFERROR(IF(VLOOKUP(AA$13&amp;$B2165,Aux!$B:$M,8,0)="Да","✔","🕓"),"")</f>
        <v/>
      </c>
    </row>
    <row r="2168" spans="2:31" x14ac:dyDescent="0.25">
      <c r="B2168" s="53">
        <f t="shared" si="33"/>
        <v>431</v>
      </c>
      <c r="C2168" s="59"/>
      <c r="D2168" s="16" t="str">
        <f>IF(D2165="","","Срок сдачи"&amp;": ")</f>
        <v/>
      </c>
      <c r="E2168" s="64" t="str">
        <f>IFERROR(VLOOKUP(C$13&amp;$B2168,Aux!$B:$M,6,0),"")</f>
        <v/>
      </c>
      <c r="F2168" s="64"/>
      <c r="G2168" s="63"/>
      <c r="K2168" s="59"/>
      <c r="L2168" s="16" t="str">
        <f>IF(L2165="","","Срок сдачи"&amp;": ")</f>
        <v/>
      </c>
      <c r="M2168" s="64" t="str">
        <f>IFERROR(VLOOKUP(K$13&amp;$B2168,Aux!$B:$M,6,0),"")</f>
        <v/>
      </c>
      <c r="N2168" s="64"/>
      <c r="O2168" s="63"/>
      <c r="S2168" s="59"/>
      <c r="T2168" s="16" t="str">
        <f>IF(T2165="","","Срок сдачи"&amp;": ")</f>
        <v/>
      </c>
      <c r="U2168" s="64" t="str">
        <f>IFERROR(VLOOKUP(S$13&amp;$B2168,Aux!$B:$M,6,0),"")</f>
        <v/>
      </c>
      <c r="V2168" s="64"/>
      <c r="W2168" s="63"/>
      <c r="AA2168" s="59"/>
      <c r="AB2168" s="16" t="str">
        <f>IF(AB2165="","","Срок сдачи"&amp;": ")</f>
        <v/>
      </c>
      <c r="AC2168" s="64" t="str">
        <f>IFERROR(VLOOKUP(AA$13&amp;$B2168,Aux!$B:$M,6,0),"")</f>
        <v/>
      </c>
      <c r="AD2168" s="64"/>
      <c r="AE2168" s="63"/>
    </row>
    <row r="2169" spans="2:31" x14ac:dyDescent="0.25">
      <c r="B2169" s="53">
        <f t="shared" si="33"/>
        <v>431</v>
      </c>
      <c r="C2169" s="7"/>
      <c r="D2169" s="17"/>
      <c r="E2169" s="7"/>
      <c r="F2169" s="18"/>
      <c r="G2169" s="18"/>
      <c r="K2169" s="13"/>
      <c r="L2169" s="17"/>
      <c r="M2169" s="13"/>
      <c r="N2169" s="14"/>
      <c r="O2169" s="14"/>
      <c r="S2169" s="13"/>
      <c r="T2169" s="17"/>
      <c r="U2169" s="13"/>
      <c r="V2169" s="14"/>
      <c r="W2169" s="14"/>
      <c r="AA2169" s="13"/>
      <c r="AB2169" s="17"/>
      <c r="AC2169" s="13"/>
      <c r="AD2169" s="14"/>
      <c r="AE2169" s="30"/>
    </row>
    <row r="2170" spans="2:31" x14ac:dyDescent="0.25">
      <c r="B2170" s="53">
        <f t="shared" si="33"/>
        <v>432</v>
      </c>
      <c r="C2170" s="59" t="str">
        <f>IFERROR(VLOOKUP(C$13&amp;$B2174,Aux!$B:$M,5,0),"")</f>
        <v/>
      </c>
      <c r="D2170" s="60" t="str">
        <f>IFERROR(VLOOKUP(C$13&amp;$B2170,Aux!$B:$M,3,0),"")</f>
        <v/>
      </c>
      <c r="E2170" s="60"/>
      <c r="F2170" s="60"/>
      <c r="G2170" s="61" t="str">
        <f>IFERROR(VLOOKUP(C$13&amp;$B2170,Aux!$B:$M,9,0),"")</f>
        <v/>
      </c>
      <c r="K2170" s="59" t="str">
        <f>IFERROR(VLOOKUP(K$13&amp;$B2174,Aux!$B:$M,5,0),"")</f>
        <v/>
      </c>
      <c r="L2170" s="60" t="str">
        <f>IFERROR(VLOOKUP(K$13&amp;$B2170,Aux!$B:$M,3,0),"")</f>
        <v/>
      </c>
      <c r="M2170" s="60"/>
      <c r="N2170" s="60"/>
      <c r="O2170" s="61" t="str">
        <f>IFERROR(VLOOKUP(K$13&amp;$B2170,Aux!$B:$M,9,0),"")</f>
        <v/>
      </c>
      <c r="S2170" s="59" t="str">
        <f>IFERROR(VLOOKUP(S$13&amp;$B2174,Aux!$B:$M,5,0),"")</f>
        <v/>
      </c>
      <c r="T2170" s="60" t="str">
        <f>IFERROR(VLOOKUP(S$13&amp;$B2170,Aux!$B:$M,3,0),"")</f>
        <v/>
      </c>
      <c r="U2170" s="60"/>
      <c r="V2170" s="60"/>
      <c r="W2170" s="61" t="str">
        <f>IFERROR(VLOOKUP(S$13&amp;$B2170,Aux!$B:$M,9,0),"")</f>
        <v/>
      </c>
      <c r="AA2170" s="59" t="str">
        <f>IFERROR(VLOOKUP(AA$13&amp;$B2174,Aux!$B:$M,5,0),"")</f>
        <v/>
      </c>
      <c r="AB2170" s="60" t="str">
        <f>IFERROR(VLOOKUP(AA$13&amp;$B2170,Aux!$B:$M,3,0),"")</f>
        <v/>
      </c>
      <c r="AC2170" s="60"/>
      <c r="AD2170" s="60"/>
      <c r="AE2170" s="61" t="str">
        <f>IFERROR(VLOOKUP(AA$13&amp;$B2170,Aux!$B:$M,9,0),"")</f>
        <v/>
      </c>
    </row>
    <row r="2171" spans="2:31" x14ac:dyDescent="0.25">
      <c r="B2171" s="53">
        <f t="shared" si="33"/>
        <v>432</v>
      </c>
      <c r="C2171" s="59"/>
      <c r="D2171" s="60"/>
      <c r="E2171" s="60"/>
      <c r="F2171" s="60"/>
      <c r="G2171" s="61"/>
      <c r="K2171" s="59"/>
      <c r="L2171" s="60"/>
      <c r="M2171" s="60"/>
      <c r="N2171" s="60"/>
      <c r="O2171" s="61"/>
      <c r="S2171" s="59"/>
      <c r="T2171" s="60"/>
      <c r="U2171" s="60"/>
      <c r="V2171" s="60"/>
      <c r="W2171" s="61"/>
      <c r="AA2171" s="59"/>
      <c r="AB2171" s="60"/>
      <c r="AC2171" s="60"/>
      <c r="AD2171" s="60"/>
      <c r="AE2171" s="61"/>
    </row>
    <row r="2172" spans="2:31" x14ac:dyDescent="0.25">
      <c r="B2172" s="53">
        <f t="shared" si="33"/>
        <v>432</v>
      </c>
      <c r="C2172" s="59"/>
      <c r="D2172" s="15" t="str">
        <f>IF(D2170="","","Исполнитель"&amp;": ")</f>
        <v/>
      </c>
      <c r="E2172" s="62" t="str">
        <f>IFERROR(VLOOKUP(C$13&amp;$B2172,Aux!$B:$M,4,0),"")</f>
        <v/>
      </c>
      <c r="F2172" s="62"/>
      <c r="G2172" s="63" t="str">
        <f>IFERROR(IF(VLOOKUP(C$13&amp;$B2170,Aux!$B:$M,8,0)="Да","✔","🕓"),"")</f>
        <v/>
      </c>
      <c r="K2172" s="59"/>
      <c r="L2172" s="15" t="str">
        <f>IF(L2170="","","Исполнитель"&amp;": ")</f>
        <v/>
      </c>
      <c r="M2172" s="62" t="str">
        <f>IFERROR(VLOOKUP(K$13&amp;$B2172,Aux!$B:$M,4,0),"")</f>
        <v/>
      </c>
      <c r="N2172" s="62"/>
      <c r="O2172" s="63" t="str">
        <f>IFERROR(IF(VLOOKUP(K$13&amp;$B2170,Aux!$B:$M,8,0)="Да","✔","🕓"),"")</f>
        <v/>
      </c>
      <c r="S2172" s="59"/>
      <c r="T2172" s="15" t="str">
        <f>IF(T2170="","","Исполнитель"&amp;": ")</f>
        <v/>
      </c>
      <c r="U2172" s="62" t="str">
        <f>IFERROR(VLOOKUP(S$13&amp;$B2172,Aux!$B:$M,4,0),"")</f>
        <v/>
      </c>
      <c r="V2172" s="62"/>
      <c r="W2172" s="63" t="str">
        <f>IFERROR(IF(VLOOKUP(S$13&amp;$B2170,Aux!$B:$M,8,0)="Да","✔","🕓"),"")</f>
        <v/>
      </c>
      <c r="AA2172" s="59"/>
      <c r="AB2172" s="15" t="str">
        <f>IF(AB2170="","","Исполнитель"&amp;": ")</f>
        <v/>
      </c>
      <c r="AC2172" s="62" t="str">
        <f>IFERROR(VLOOKUP(AA$13&amp;$B2172,Aux!$B:$M,4,0),"")</f>
        <v/>
      </c>
      <c r="AD2172" s="62"/>
      <c r="AE2172" s="63" t="str">
        <f>IFERROR(IF(VLOOKUP(AA$13&amp;$B2170,Aux!$B:$M,8,0)="Да","✔","🕓"),"")</f>
        <v/>
      </c>
    </row>
    <row r="2173" spans="2:31" x14ac:dyDescent="0.25">
      <c r="B2173" s="53">
        <f t="shared" si="33"/>
        <v>432</v>
      </c>
      <c r="C2173" s="59"/>
      <c r="D2173" s="16" t="str">
        <f>IF(D2170="","","Срок сдачи"&amp;": ")</f>
        <v/>
      </c>
      <c r="E2173" s="64" t="str">
        <f>IFERROR(VLOOKUP(C$13&amp;$B2173,Aux!$B:$M,6,0),"")</f>
        <v/>
      </c>
      <c r="F2173" s="64"/>
      <c r="G2173" s="63"/>
      <c r="K2173" s="59"/>
      <c r="L2173" s="16" t="str">
        <f>IF(L2170="","","Срок сдачи"&amp;": ")</f>
        <v/>
      </c>
      <c r="M2173" s="64" t="str">
        <f>IFERROR(VLOOKUP(K$13&amp;$B2173,Aux!$B:$M,6,0),"")</f>
        <v/>
      </c>
      <c r="N2173" s="64"/>
      <c r="O2173" s="63"/>
      <c r="S2173" s="59"/>
      <c r="T2173" s="16" t="str">
        <f>IF(T2170="","","Срок сдачи"&amp;": ")</f>
        <v/>
      </c>
      <c r="U2173" s="64" t="str">
        <f>IFERROR(VLOOKUP(S$13&amp;$B2173,Aux!$B:$M,6,0),"")</f>
        <v/>
      </c>
      <c r="V2173" s="64"/>
      <c r="W2173" s="63"/>
      <c r="AA2173" s="59"/>
      <c r="AB2173" s="16" t="str">
        <f>IF(AB2170="","","Срок сдачи"&amp;": ")</f>
        <v/>
      </c>
      <c r="AC2173" s="64" t="str">
        <f>IFERROR(VLOOKUP(AA$13&amp;$B2173,Aux!$B:$M,6,0),"")</f>
        <v/>
      </c>
      <c r="AD2173" s="64"/>
      <c r="AE2173" s="63"/>
    </row>
    <row r="2174" spans="2:31" x14ac:dyDescent="0.25">
      <c r="B2174" s="53">
        <f t="shared" si="33"/>
        <v>432</v>
      </c>
      <c r="C2174" s="7"/>
      <c r="D2174" s="17"/>
      <c r="E2174" s="7"/>
      <c r="F2174" s="18"/>
      <c r="G2174" s="18"/>
      <c r="K2174" s="13"/>
      <c r="L2174" s="17"/>
      <c r="M2174" s="13"/>
      <c r="N2174" s="14"/>
      <c r="O2174" s="14"/>
      <c r="S2174" s="13"/>
      <c r="T2174" s="17"/>
      <c r="U2174" s="13"/>
      <c r="V2174" s="14"/>
      <c r="W2174" s="14"/>
      <c r="AA2174" s="13"/>
      <c r="AB2174" s="17"/>
      <c r="AC2174" s="13"/>
      <c r="AD2174" s="14"/>
      <c r="AE2174" s="30"/>
    </row>
    <row r="2175" spans="2:31" x14ac:dyDescent="0.25">
      <c r="B2175" s="53">
        <f t="shared" si="33"/>
        <v>433</v>
      </c>
      <c r="C2175" s="59" t="str">
        <f>IFERROR(VLOOKUP(C$13&amp;$B2179,Aux!$B:$M,5,0),"")</f>
        <v/>
      </c>
      <c r="D2175" s="60" t="str">
        <f>IFERROR(VLOOKUP(C$13&amp;$B2175,Aux!$B:$M,3,0),"")</f>
        <v/>
      </c>
      <c r="E2175" s="60"/>
      <c r="F2175" s="60"/>
      <c r="G2175" s="61" t="str">
        <f>IFERROR(VLOOKUP(C$13&amp;$B2175,Aux!$B:$M,9,0),"")</f>
        <v/>
      </c>
      <c r="K2175" s="59" t="str">
        <f>IFERROR(VLOOKUP(K$13&amp;$B2179,Aux!$B:$M,5,0),"")</f>
        <v/>
      </c>
      <c r="L2175" s="60" t="str">
        <f>IFERROR(VLOOKUP(K$13&amp;$B2175,Aux!$B:$M,3,0),"")</f>
        <v/>
      </c>
      <c r="M2175" s="60"/>
      <c r="N2175" s="60"/>
      <c r="O2175" s="61" t="str">
        <f>IFERROR(VLOOKUP(K$13&amp;$B2175,Aux!$B:$M,9,0),"")</f>
        <v/>
      </c>
      <c r="S2175" s="59" t="str">
        <f>IFERROR(VLOOKUP(S$13&amp;$B2179,Aux!$B:$M,5,0),"")</f>
        <v/>
      </c>
      <c r="T2175" s="60" t="str">
        <f>IFERROR(VLOOKUP(S$13&amp;$B2175,Aux!$B:$M,3,0),"")</f>
        <v/>
      </c>
      <c r="U2175" s="60"/>
      <c r="V2175" s="60"/>
      <c r="W2175" s="61" t="str">
        <f>IFERROR(VLOOKUP(S$13&amp;$B2175,Aux!$B:$M,9,0),"")</f>
        <v/>
      </c>
      <c r="AA2175" s="59" t="str">
        <f>IFERROR(VLOOKUP(AA$13&amp;$B2179,Aux!$B:$M,5,0),"")</f>
        <v/>
      </c>
      <c r="AB2175" s="60" t="str">
        <f>IFERROR(VLOOKUP(AA$13&amp;$B2175,Aux!$B:$M,3,0),"")</f>
        <v/>
      </c>
      <c r="AC2175" s="60"/>
      <c r="AD2175" s="60"/>
      <c r="AE2175" s="61" t="str">
        <f>IFERROR(VLOOKUP(AA$13&amp;$B2175,Aux!$B:$M,9,0),"")</f>
        <v/>
      </c>
    </row>
    <row r="2176" spans="2:31" x14ac:dyDescent="0.25">
      <c r="B2176" s="53">
        <f t="shared" si="33"/>
        <v>433</v>
      </c>
      <c r="C2176" s="59"/>
      <c r="D2176" s="60"/>
      <c r="E2176" s="60"/>
      <c r="F2176" s="60"/>
      <c r="G2176" s="61"/>
      <c r="K2176" s="59"/>
      <c r="L2176" s="60"/>
      <c r="M2176" s="60"/>
      <c r="N2176" s="60"/>
      <c r="O2176" s="61"/>
      <c r="S2176" s="59"/>
      <c r="T2176" s="60"/>
      <c r="U2176" s="60"/>
      <c r="V2176" s="60"/>
      <c r="W2176" s="61"/>
      <c r="AA2176" s="59"/>
      <c r="AB2176" s="60"/>
      <c r="AC2176" s="60"/>
      <c r="AD2176" s="60"/>
      <c r="AE2176" s="61"/>
    </row>
    <row r="2177" spans="2:31" x14ac:dyDescent="0.25">
      <c r="B2177" s="53">
        <f t="shared" si="33"/>
        <v>433</v>
      </c>
      <c r="C2177" s="59"/>
      <c r="D2177" s="15" t="str">
        <f>IF(D2175="","","Исполнитель"&amp;": ")</f>
        <v/>
      </c>
      <c r="E2177" s="62" t="str">
        <f>IFERROR(VLOOKUP(C$13&amp;$B2177,Aux!$B:$M,4,0),"")</f>
        <v/>
      </c>
      <c r="F2177" s="62"/>
      <c r="G2177" s="63" t="str">
        <f>IFERROR(IF(VLOOKUP(C$13&amp;$B2175,Aux!$B:$M,8,0)="Да","✔","🕓"),"")</f>
        <v/>
      </c>
      <c r="K2177" s="59"/>
      <c r="L2177" s="15" t="str">
        <f>IF(L2175="","","Исполнитель"&amp;": ")</f>
        <v/>
      </c>
      <c r="M2177" s="62" t="str">
        <f>IFERROR(VLOOKUP(K$13&amp;$B2177,Aux!$B:$M,4,0),"")</f>
        <v/>
      </c>
      <c r="N2177" s="62"/>
      <c r="O2177" s="63" t="str">
        <f>IFERROR(IF(VLOOKUP(K$13&amp;$B2175,Aux!$B:$M,8,0)="Да","✔","🕓"),"")</f>
        <v/>
      </c>
      <c r="S2177" s="59"/>
      <c r="T2177" s="15" t="str">
        <f>IF(T2175="","","Исполнитель"&amp;": ")</f>
        <v/>
      </c>
      <c r="U2177" s="62" t="str">
        <f>IFERROR(VLOOKUP(S$13&amp;$B2177,Aux!$B:$M,4,0),"")</f>
        <v/>
      </c>
      <c r="V2177" s="62"/>
      <c r="W2177" s="63" t="str">
        <f>IFERROR(IF(VLOOKUP(S$13&amp;$B2175,Aux!$B:$M,8,0)="Да","✔","🕓"),"")</f>
        <v/>
      </c>
      <c r="AA2177" s="59"/>
      <c r="AB2177" s="15" t="str">
        <f>IF(AB2175="","","Исполнитель"&amp;": ")</f>
        <v/>
      </c>
      <c r="AC2177" s="62" t="str">
        <f>IFERROR(VLOOKUP(AA$13&amp;$B2177,Aux!$B:$M,4,0),"")</f>
        <v/>
      </c>
      <c r="AD2177" s="62"/>
      <c r="AE2177" s="63" t="str">
        <f>IFERROR(IF(VLOOKUP(AA$13&amp;$B2175,Aux!$B:$M,8,0)="Да","✔","🕓"),"")</f>
        <v/>
      </c>
    </row>
    <row r="2178" spans="2:31" x14ac:dyDescent="0.25">
      <c r="B2178" s="53">
        <f t="shared" si="33"/>
        <v>433</v>
      </c>
      <c r="C2178" s="59"/>
      <c r="D2178" s="16" t="str">
        <f>IF(D2175="","","Срок сдачи"&amp;": ")</f>
        <v/>
      </c>
      <c r="E2178" s="64" t="str">
        <f>IFERROR(VLOOKUP(C$13&amp;$B2178,Aux!$B:$M,6,0),"")</f>
        <v/>
      </c>
      <c r="F2178" s="64"/>
      <c r="G2178" s="63"/>
      <c r="K2178" s="59"/>
      <c r="L2178" s="16" t="str">
        <f>IF(L2175="","","Срок сдачи"&amp;": ")</f>
        <v/>
      </c>
      <c r="M2178" s="64" t="str">
        <f>IFERROR(VLOOKUP(K$13&amp;$B2178,Aux!$B:$M,6,0),"")</f>
        <v/>
      </c>
      <c r="N2178" s="64"/>
      <c r="O2178" s="63"/>
      <c r="S2178" s="59"/>
      <c r="T2178" s="16" t="str">
        <f>IF(T2175="","","Срок сдачи"&amp;": ")</f>
        <v/>
      </c>
      <c r="U2178" s="64" t="str">
        <f>IFERROR(VLOOKUP(S$13&amp;$B2178,Aux!$B:$M,6,0),"")</f>
        <v/>
      </c>
      <c r="V2178" s="64"/>
      <c r="W2178" s="63"/>
      <c r="AA2178" s="59"/>
      <c r="AB2178" s="16" t="str">
        <f>IF(AB2175="","","Срок сдачи"&amp;": ")</f>
        <v/>
      </c>
      <c r="AC2178" s="64" t="str">
        <f>IFERROR(VLOOKUP(AA$13&amp;$B2178,Aux!$B:$M,6,0),"")</f>
        <v/>
      </c>
      <c r="AD2178" s="64"/>
      <c r="AE2178" s="63"/>
    </row>
    <row r="2179" spans="2:31" x14ac:dyDescent="0.25">
      <c r="B2179" s="53">
        <f t="shared" si="33"/>
        <v>433</v>
      </c>
      <c r="C2179" s="7"/>
      <c r="D2179" s="17"/>
      <c r="E2179" s="7"/>
      <c r="F2179" s="18"/>
      <c r="G2179" s="18"/>
      <c r="K2179" s="13"/>
      <c r="L2179" s="17"/>
      <c r="M2179" s="13"/>
      <c r="N2179" s="14"/>
      <c r="O2179" s="14"/>
      <c r="S2179" s="13"/>
      <c r="T2179" s="17"/>
      <c r="U2179" s="13"/>
      <c r="V2179" s="14"/>
      <c r="W2179" s="14"/>
      <c r="AA2179" s="13"/>
      <c r="AB2179" s="17"/>
      <c r="AC2179" s="13"/>
      <c r="AD2179" s="14"/>
      <c r="AE2179" s="30"/>
    </row>
    <row r="2180" spans="2:31" x14ac:dyDescent="0.25">
      <c r="B2180" s="53">
        <f t="shared" si="33"/>
        <v>434</v>
      </c>
      <c r="C2180" s="59" t="str">
        <f>IFERROR(VLOOKUP(C$13&amp;$B2184,Aux!$B:$M,5,0),"")</f>
        <v/>
      </c>
      <c r="D2180" s="60" t="str">
        <f>IFERROR(VLOOKUP(C$13&amp;$B2180,Aux!$B:$M,3,0),"")</f>
        <v/>
      </c>
      <c r="E2180" s="60"/>
      <c r="F2180" s="60"/>
      <c r="G2180" s="61" t="str">
        <f>IFERROR(VLOOKUP(C$13&amp;$B2180,Aux!$B:$M,9,0),"")</f>
        <v/>
      </c>
      <c r="K2180" s="59" t="str">
        <f>IFERROR(VLOOKUP(K$13&amp;$B2184,Aux!$B:$M,5,0),"")</f>
        <v/>
      </c>
      <c r="L2180" s="60" t="str">
        <f>IFERROR(VLOOKUP(K$13&amp;$B2180,Aux!$B:$M,3,0),"")</f>
        <v/>
      </c>
      <c r="M2180" s="60"/>
      <c r="N2180" s="60"/>
      <c r="O2180" s="61" t="str">
        <f>IFERROR(VLOOKUP(K$13&amp;$B2180,Aux!$B:$M,9,0),"")</f>
        <v/>
      </c>
      <c r="S2180" s="59" t="str">
        <f>IFERROR(VLOOKUP(S$13&amp;$B2184,Aux!$B:$M,5,0),"")</f>
        <v/>
      </c>
      <c r="T2180" s="60" t="str">
        <f>IFERROR(VLOOKUP(S$13&amp;$B2180,Aux!$B:$M,3,0),"")</f>
        <v/>
      </c>
      <c r="U2180" s="60"/>
      <c r="V2180" s="60"/>
      <c r="W2180" s="61" t="str">
        <f>IFERROR(VLOOKUP(S$13&amp;$B2180,Aux!$B:$M,9,0),"")</f>
        <v/>
      </c>
      <c r="AA2180" s="59" t="str">
        <f>IFERROR(VLOOKUP(AA$13&amp;$B2184,Aux!$B:$M,5,0),"")</f>
        <v/>
      </c>
      <c r="AB2180" s="60" t="str">
        <f>IFERROR(VLOOKUP(AA$13&amp;$B2180,Aux!$B:$M,3,0),"")</f>
        <v/>
      </c>
      <c r="AC2180" s="60"/>
      <c r="AD2180" s="60"/>
      <c r="AE2180" s="61" t="str">
        <f>IFERROR(VLOOKUP(AA$13&amp;$B2180,Aux!$B:$M,9,0),"")</f>
        <v/>
      </c>
    </row>
    <row r="2181" spans="2:31" x14ac:dyDescent="0.25">
      <c r="B2181" s="53">
        <f t="shared" si="33"/>
        <v>434</v>
      </c>
      <c r="C2181" s="59"/>
      <c r="D2181" s="60"/>
      <c r="E2181" s="60"/>
      <c r="F2181" s="60"/>
      <c r="G2181" s="61"/>
      <c r="K2181" s="59"/>
      <c r="L2181" s="60"/>
      <c r="M2181" s="60"/>
      <c r="N2181" s="60"/>
      <c r="O2181" s="61"/>
      <c r="S2181" s="59"/>
      <c r="T2181" s="60"/>
      <c r="U2181" s="60"/>
      <c r="V2181" s="60"/>
      <c r="W2181" s="61"/>
      <c r="AA2181" s="59"/>
      <c r="AB2181" s="60"/>
      <c r="AC2181" s="60"/>
      <c r="AD2181" s="60"/>
      <c r="AE2181" s="61"/>
    </row>
    <row r="2182" spans="2:31" x14ac:dyDescent="0.25">
      <c r="B2182" s="53">
        <f t="shared" si="33"/>
        <v>434</v>
      </c>
      <c r="C2182" s="59"/>
      <c r="D2182" s="15" t="str">
        <f>IF(D2180="","","Исполнитель"&amp;": ")</f>
        <v/>
      </c>
      <c r="E2182" s="62" t="str">
        <f>IFERROR(VLOOKUP(C$13&amp;$B2182,Aux!$B:$M,4,0),"")</f>
        <v/>
      </c>
      <c r="F2182" s="62"/>
      <c r="G2182" s="63" t="str">
        <f>IFERROR(IF(VLOOKUP(C$13&amp;$B2180,Aux!$B:$M,8,0)="Да","✔","🕓"),"")</f>
        <v/>
      </c>
      <c r="K2182" s="59"/>
      <c r="L2182" s="15" t="str">
        <f>IF(L2180="","","Исполнитель"&amp;": ")</f>
        <v/>
      </c>
      <c r="M2182" s="62" t="str">
        <f>IFERROR(VLOOKUP(K$13&amp;$B2182,Aux!$B:$M,4,0),"")</f>
        <v/>
      </c>
      <c r="N2182" s="62"/>
      <c r="O2182" s="63" t="str">
        <f>IFERROR(IF(VLOOKUP(K$13&amp;$B2180,Aux!$B:$M,8,0)="Да","✔","🕓"),"")</f>
        <v/>
      </c>
      <c r="S2182" s="59"/>
      <c r="T2182" s="15" t="str">
        <f>IF(T2180="","","Исполнитель"&amp;": ")</f>
        <v/>
      </c>
      <c r="U2182" s="62" t="str">
        <f>IFERROR(VLOOKUP(S$13&amp;$B2182,Aux!$B:$M,4,0),"")</f>
        <v/>
      </c>
      <c r="V2182" s="62"/>
      <c r="W2182" s="63" t="str">
        <f>IFERROR(IF(VLOOKUP(S$13&amp;$B2180,Aux!$B:$M,8,0)="Да","✔","🕓"),"")</f>
        <v/>
      </c>
      <c r="AA2182" s="59"/>
      <c r="AB2182" s="15" t="str">
        <f>IF(AB2180="","","Исполнитель"&amp;": ")</f>
        <v/>
      </c>
      <c r="AC2182" s="62" t="str">
        <f>IFERROR(VLOOKUP(AA$13&amp;$B2182,Aux!$B:$M,4,0),"")</f>
        <v/>
      </c>
      <c r="AD2182" s="62"/>
      <c r="AE2182" s="63" t="str">
        <f>IFERROR(IF(VLOOKUP(AA$13&amp;$B2180,Aux!$B:$M,8,0)="Да","✔","🕓"),"")</f>
        <v/>
      </c>
    </row>
    <row r="2183" spans="2:31" x14ac:dyDescent="0.25">
      <c r="B2183" s="53">
        <f t="shared" si="33"/>
        <v>434</v>
      </c>
      <c r="C2183" s="59"/>
      <c r="D2183" s="16" t="str">
        <f>IF(D2180="","","Срок сдачи"&amp;": ")</f>
        <v/>
      </c>
      <c r="E2183" s="64" t="str">
        <f>IFERROR(VLOOKUP(C$13&amp;$B2183,Aux!$B:$M,6,0),"")</f>
        <v/>
      </c>
      <c r="F2183" s="64"/>
      <c r="G2183" s="63"/>
      <c r="K2183" s="59"/>
      <c r="L2183" s="16" t="str">
        <f>IF(L2180="","","Срок сдачи"&amp;": ")</f>
        <v/>
      </c>
      <c r="M2183" s="64" t="str">
        <f>IFERROR(VLOOKUP(K$13&amp;$B2183,Aux!$B:$M,6,0),"")</f>
        <v/>
      </c>
      <c r="N2183" s="64"/>
      <c r="O2183" s="63"/>
      <c r="S2183" s="59"/>
      <c r="T2183" s="16" t="str">
        <f>IF(T2180="","","Срок сдачи"&amp;": ")</f>
        <v/>
      </c>
      <c r="U2183" s="64" t="str">
        <f>IFERROR(VLOOKUP(S$13&amp;$B2183,Aux!$B:$M,6,0),"")</f>
        <v/>
      </c>
      <c r="V2183" s="64"/>
      <c r="W2183" s="63"/>
      <c r="AA2183" s="59"/>
      <c r="AB2183" s="16" t="str">
        <f>IF(AB2180="","","Срок сдачи"&amp;": ")</f>
        <v/>
      </c>
      <c r="AC2183" s="64" t="str">
        <f>IFERROR(VLOOKUP(AA$13&amp;$B2183,Aux!$B:$M,6,0),"")</f>
        <v/>
      </c>
      <c r="AD2183" s="64"/>
      <c r="AE2183" s="63"/>
    </row>
    <row r="2184" spans="2:31" x14ac:dyDescent="0.25">
      <c r="B2184" s="53">
        <f t="shared" si="33"/>
        <v>434</v>
      </c>
      <c r="C2184" s="7"/>
      <c r="D2184" s="17"/>
      <c r="E2184" s="7"/>
      <c r="F2184" s="18"/>
      <c r="G2184" s="18"/>
      <c r="K2184" s="13"/>
      <c r="L2184" s="17"/>
      <c r="M2184" s="13"/>
      <c r="N2184" s="14"/>
      <c r="O2184" s="14"/>
      <c r="S2184" s="13"/>
      <c r="T2184" s="17"/>
      <c r="U2184" s="13"/>
      <c r="V2184" s="14"/>
      <c r="W2184" s="14"/>
      <c r="AA2184" s="13"/>
      <c r="AB2184" s="17"/>
      <c r="AC2184" s="13"/>
      <c r="AD2184" s="14"/>
      <c r="AE2184" s="30"/>
    </row>
    <row r="2185" spans="2:31" x14ac:dyDescent="0.25">
      <c r="B2185" s="53">
        <f t="shared" si="33"/>
        <v>435</v>
      </c>
      <c r="C2185" s="59" t="str">
        <f>IFERROR(VLOOKUP(C$13&amp;$B2189,Aux!$B:$M,5,0),"")</f>
        <v/>
      </c>
      <c r="D2185" s="60" t="str">
        <f>IFERROR(VLOOKUP(C$13&amp;$B2185,Aux!$B:$M,3,0),"")</f>
        <v/>
      </c>
      <c r="E2185" s="60"/>
      <c r="F2185" s="60"/>
      <c r="G2185" s="61" t="str">
        <f>IFERROR(VLOOKUP(C$13&amp;$B2185,Aux!$B:$M,9,0),"")</f>
        <v/>
      </c>
      <c r="K2185" s="59" t="str">
        <f>IFERROR(VLOOKUP(K$13&amp;$B2189,Aux!$B:$M,5,0),"")</f>
        <v/>
      </c>
      <c r="L2185" s="60" t="str">
        <f>IFERROR(VLOOKUP(K$13&amp;$B2185,Aux!$B:$M,3,0),"")</f>
        <v/>
      </c>
      <c r="M2185" s="60"/>
      <c r="N2185" s="60"/>
      <c r="O2185" s="61" t="str">
        <f>IFERROR(VLOOKUP(K$13&amp;$B2185,Aux!$B:$M,9,0),"")</f>
        <v/>
      </c>
      <c r="S2185" s="59" t="str">
        <f>IFERROR(VLOOKUP(S$13&amp;$B2189,Aux!$B:$M,5,0),"")</f>
        <v/>
      </c>
      <c r="T2185" s="60" t="str">
        <f>IFERROR(VLOOKUP(S$13&amp;$B2185,Aux!$B:$M,3,0),"")</f>
        <v/>
      </c>
      <c r="U2185" s="60"/>
      <c r="V2185" s="60"/>
      <c r="W2185" s="61" t="str">
        <f>IFERROR(VLOOKUP(S$13&amp;$B2185,Aux!$B:$M,9,0),"")</f>
        <v/>
      </c>
      <c r="AA2185" s="59" t="str">
        <f>IFERROR(VLOOKUP(AA$13&amp;$B2189,Aux!$B:$M,5,0),"")</f>
        <v/>
      </c>
      <c r="AB2185" s="60" t="str">
        <f>IFERROR(VLOOKUP(AA$13&amp;$B2185,Aux!$B:$M,3,0),"")</f>
        <v/>
      </c>
      <c r="AC2185" s="60"/>
      <c r="AD2185" s="60"/>
      <c r="AE2185" s="61" t="str">
        <f>IFERROR(VLOOKUP(AA$13&amp;$B2185,Aux!$B:$M,9,0),"")</f>
        <v/>
      </c>
    </row>
    <row r="2186" spans="2:31" x14ac:dyDescent="0.25">
      <c r="B2186" s="53">
        <f t="shared" si="33"/>
        <v>435</v>
      </c>
      <c r="C2186" s="59"/>
      <c r="D2186" s="60"/>
      <c r="E2186" s="60"/>
      <c r="F2186" s="60"/>
      <c r="G2186" s="61"/>
      <c r="K2186" s="59"/>
      <c r="L2186" s="60"/>
      <c r="M2186" s="60"/>
      <c r="N2186" s="60"/>
      <c r="O2186" s="61"/>
      <c r="S2186" s="59"/>
      <c r="T2186" s="60"/>
      <c r="U2186" s="60"/>
      <c r="V2186" s="60"/>
      <c r="W2186" s="61"/>
      <c r="AA2186" s="59"/>
      <c r="AB2186" s="60"/>
      <c r="AC2186" s="60"/>
      <c r="AD2186" s="60"/>
      <c r="AE2186" s="61"/>
    </row>
    <row r="2187" spans="2:31" x14ac:dyDescent="0.25">
      <c r="B2187" s="53">
        <f t="shared" si="33"/>
        <v>435</v>
      </c>
      <c r="C2187" s="59"/>
      <c r="D2187" s="15" t="str">
        <f>IF(D2185="","","Исполнитель"&amp;": ")</f>
        <v/>
      </c>
      <c r="E2187" s="62" t="str">
        <f>IFERROR(VLOOKUP(C$13&amp;$B2187,Aux!$B:$M,4,0),"")</f>
        <v/>
      </c>
      <c r="F2187" s="62"/>
      <c r="G2187" s="63" t="str">
        <f>IFERROR(IF(VLOOKUP(C$13&amp;$B2185,Aux!$B:$M,8,0)="Да","✔","🕓"),"")</f>
        <v/>
      </c>
      <c r="K2187" s="59"/>
      <c r="L2187" s="15" t="str">
        <f>IF(L2185="","","Исполнитель"&amp;": ")</f>
        <v/>
      </c>
      <c r="M2187" s="62" t="str">
        <f>IFERROR(VLOOKUP(K$13&amp;$B2187,Aux!$B:$M,4,0),"")</f>
        <v/>
      </c>
      <c r="N2187" s="62"/>
      <c r="O2187" s="63" t="str">
        <f>IFERROR(IF(VLOOKUP(K$13&amp;$B2185,Aux!$B:$M,8,0)="Да","✔","🕓"),"")</f>
        <v/>
      </c>
      <c r="S2187" s="59"/>
      <c r="T2187" s="15" t="str">
        <f>IF(T2185="","","Исполнитель"&amp;": ")</f>
        <v/>
      </c>
      <c r="U2187" s="62" t="str">
        <f>IFERROR(VLOOKUP(S$13&amp;$B2187,Aux!$B:$M,4,0),"")</f>
        <v/>
      </c>
      <c r="V2187" s="62"/>
      <c r="W2187" s="63" t="str">
        <f>IFERROR(IF(VLOOKUP(S$13&amp;$B2185,Aux!$B:$M,8,0)="Да","✔","🕓"),"")</f>
        <v/>
      </c>
      <c r="AA2187" s="59"/>
      <c r="AB2187" s="15" t="str">
        <f>IF(AB2185="","","Исполнитель"&amp;": ")</f>
        <v/>
      </c>
      <c r="AC2187" s="62" t="str">
        <f>IFERROR(VLOOKUP(AA$13&amp;$B2187,Aux!$B:$M,4,0),"")</f>
        <v/>
      </c>
      <c r="AD2187" s="62"/>
      <c r="AE2187" s="63" t="str">
        <f>IFERROR(IF(VLOOKUP(AA$13&amp;$B2185,Aux!$B:$M,8,0)="Да","✔","🕓"),"")</f>
        <v/>
      </c>
    </row>
    <row r="2188" spans="2:31" x14ac:dyDescent="0.25">
      <c r="B2188" s="53">
        <f t="shared" si="33"/>
        <v>435</v>
      </c>
      <c r="C2188" s="59"/>
      <c r="D2188" s="16" t="str">
        <f>IF(D2185="","","Срок сдачи"&amp;": ")</f>
        <v/>
      </c>
      <c r="E2188" s="64" t="str">
        <f>IFERROR(VLOOKUP(C$13&amp;$B2188,Aux!$B:$M,6,0),"")</f>
        <v/>
      </c>
      <c r="F2188" s="64"/>
      <c r="G2188" s="63"/>
      <c r="K2188" s="59"/>
      <c r="L2188" s="16" t="str">
        <f>IF(L2185="","","Срок сдачи"&amp;": ")</f>
        <v/>
      </c>
      <c r="M2188" s="64" t="str">
        <f>IFERROR(VLOOKUP(K$13&amp;$B2188,Aux!$B:$M,6,0),"")</f>
        <v/>
      </c>
      <c r="N2188" s="64"/>
      <c r="O2188" s="63"/>
      <c r="S2188" s="59"/>
      <c r="T2188" s="16" t="str">
        <f>IF(T2185="","","Срок сдачи"&amp;": ")</f>
        <v/>
      </c>
      <c r="U2188" s="64" t="str">
        <f>IFERROR(VLOOKUP(S$13&amp;$B2188,Aux!$B:$M,6,0),"")</f>
        <v/>
      </c>
      <c r="V2188" s="64"/>
      <c r="W2188" s="63"/>
      <c r="AA2188" s="59"/>
      <c r="AB2188" s="16" t="str">
        <f>IF(AB2185="","","Срок сдачи"&amp;": ")</f>
        <v/>
      </c>
      <c r="AC2188" s="64" t="str">
        <f>IFERROR(VLOOKUP(AA$13&amp;$B2188,Aux!$B:$M,6,0),"")</f>
        <v/>
      </c>
      <c r="AD2188" s="64"/>
      <c r="AE2188" s="63"/>
    </row>
    <row r="2189" spans="2:31" x14ac:dyDescent="0.25">
      <c r="B2189" s="53">
        <f t="shared" si="33"/>
        <v>435</v>
      </c>
      <c r="C2189" s="7"/>
      <c r="D2189" s="17"/>
      <c r="E2189" s="7"/>
      <c r="F2189" s="18"/>
      <c r="G2189" s="18"/>
      <c r="K2189" s="13"/>
      <c r="L2189" s="17"/>
      <c r="M2189" s="13"/>
      <c r="N2189" s="14"/>
      <c r="O2189" s="14"/>
      <c r="S2189" s="13"/>
      <c r="T2189" s="17"/>
      <c r="U2189" s="13"/>
      <c r="V2189" s="14"/>
      <c r="W2189" s="14"/>
      <c r="AA2189" s="13"/>
      <c r="AB2189" s="17"/>
      <c r="AC2189" s="13"/>
      <c r="AD2189" s="14"/>
      <c r="AE2189" s="30"/>
    </row>
    <row r="2190" spans="2:31" x14ac:dyDescent="0.25">
      <c r="B2190" s="53">
        <f t="shared" si="33"/>
        <v>436</v>
      </c>
      <c r="C2190" s="59" t="str">
        <f>IFERROR(VLOOKUP(C$13&amp;$B2194,Aux!$B:$M,5,0),"")</f>
        <v/>
      </c>
      <c r="D2190" s="60" t="str">
        <f>IFERROR(VLOOKUP(C$13&amp;$B2190,Aux!$B:$M,3,0),"")</f>
        <v/>
      </c>
      <c r="E2190" s="60"/>
      <c r="F2190" s="60"/>
      <c r="G2190" s="61" t="str">
        <f>IFERROR(VLOOKUP(C$13&amp;$B2190,Aux!$B:$M,9,0),"")</f>
        <v/>
      </c>
      <c r="K2190" s="59" t="str">
        <f>IFERROR(VLOOKUP(K$13&amp;$B2194,Aux!$B:$M,5,0),"")</f>
        <v/>
      </c>
      <c r="L2190" s="60" t="str">
        <f>IFERROR(VLOOKUP(K$13&amp;$B2190,Aux!$B:$M,3,0),"")</f>
        <v/>
      </c>
      <c r="M2190" s="60"/>
      <c r="N2190" s="60"/>
      <c r="O2190" s="61" t="str">
        <f>IFERROR(VLOOKUP(K$13&amp;$B2190,Aux!$B:$M,9,0),"")</f>
        <v/>
      </c>
      <c r="S2190" s="59" t="str">
        <f>IFERROR(VLOOKUP(S$13&amp;$B2194,Aux!$B:$M,5,0),"")</f>
        <v/>
      </c>
      <c r="T2190" s="60" t="str">
        <f>IFERROR(VLOOKUP(S$13&amp;$B2190,Aux!$B:$M,3,0),"")</f>
        <v/>
      </c>
      <c r="U2190" s="60"/>
      <c r="V2190" s="60"/>
      <c r="W2190" s="61" t="str">
        <f>IFERROR(VLOOKUP(S$13&amp;$B2190,Aux!$B:$M,9,0),"")</f>
        <v/>
      </c>
      <c r="AA2190" s="59" t="str">
        <f>IFERROR(VLOOKUP(AA$13&amp;$B2194,Aux!$B:$M,5,0),"")</f>
        <v/>
      </c>
      <c r="AB2190" s="60" t="str">
        <f>IFERROR(VLOOKUP(AA$13&amp;$B2190,Aux!$B:$M,3,0),"")</f>
        <v/>
      </c>
      <c r="AC2190" s="60"/>
      <c r="AD2190" s="60"/>
      <c r="AE2190" s="61" t="str">
        <f>IFERROR(VLOOKUP(AA$13&amp;$B2190,Aux!$B:$M,9,0),"")</f>
        <v/>
      </c>
    </row>
    <row r="2191" spans="2:31" x14ac:dyDescent="0.25">
      <c r="B2191" s="53">
        <f t="shared" si="33"/>
        <v>436</v>
      </c>
      <c r="C2191" s="59"/>
      <c r="D2191" s="60"/>
      <c r="E2191" s="60"/>
      <c r="F2191" s="60"/>
      <c r="G2191" s="61"/>
      <c r="K2191" s="59"/>
      <c r="L2191" s="60"/>
      <c r="M2191" s="60"/>
      <c r="N2191" s="60"/>
      <c r="O2191" s="61"/>
      <c r="S2191" s="59"/>
      <c r="T2191" s="60"/>
      <c r="U2191" s="60"/>
      <c r="V2191" s="60"/>
      <c r="W2191" s="61"/>
      <c r="AA2191" s="59"/>
      <c r="AB2191" s="60"/>
      <c r="AC2191" s="60"/>
      <c r="AD2191" s="60"/>
      <c r="AE2191" s="61"/>
    </row>
    <row r="2192" spans="2:31" x14ac:dyDescent="0.25">
      <c r="B2192" s="53">
        <f t="shared" si="33"/>
        <v>436</v>
      </c>
      <c r="C2192" s="59"/>
      <c r="D2192" s="15" t="str">
        <f>IF(D2190="","","Исполнитель"&amp;": ")</f>
        <v/>
      </c>
      <c r="E2192" s="62" t="str">
        <f>IFERROR(VLOOKUP(C$13&amp;$B2192,Aux!$B:$M,4,0),"")</f>
        <v/>
      </c>
      <c r="F2192" s="62"/>
      <c r="G2192" s="63" t="str">
        <f>IFERROR(IF(VLOOKUP(C$13&amp;$B2190,Aux!$B:$M,8,0)="Да","✔","🕓"),"")</f>
        <v/>
      </c>
      <c r="K2192" s="59"/>
      <c r="L2192" s="15" t="str">
        <f>IF(L2190="","","Исполнитель"&amp;": ")</f>
        <v/>
      </c>
      <c r="M2192" s="62" t="str">
        <f>IFERROR(VLOOKUP(K$13&amp;$B2192,Aux!$B:$M,4,0),"")</f>
        <v/>
      </c>
      <c r="N2192" s="62"/>
      <c r="O2192" s="63" t="str">
        <f>IFERROR(IF(VLOOKUP(K$13&amp;$B2190,Aux!$B:$M,8,0)="Да","✔","🕓"),"")</f>
        <v/>
      </c>
      <c r="S2192" s="59"/>
      <c r="T2192" s="15" t="str">
        <f>IF(T2190="","","Исполнитель"&amp;": ")</f>
        <v/>
      </c>
      <c r="U2192" s="62" t="str">
        <f>IFERROR(VLOOKUP(S$13&amp;$B2192,Aux!$B:$M,4,0),"")</f>
        <v/>
      </c>
      <c r="V2192" s="62"/>
      <c r="W2192" s="63" t="str">
        <f>IFERROR(IF(VLOOKUP(S$13&amp;$B2190,Aux!$B:$M,8,0)="Да","✔","🕓"),"")</f>
        <v/>
      </c>
      <c r="AA2192" s="59"/>
      <c r="AB2192" s="15" t="str">
        <f>IF(AB2190="","","Исполнитель"&amp;": ")</f>
        <v/>
      </c>
      <c r="AC2192" s="62" t="str">
        <f>IFERROR(VLOOKUP(AA$13&amp;$B2192,Aux!$B:$M,4,0),"")</f>
        <v/>
      </c>
      <c r="AD2192" s="62"/>
      <c r="AE2192" s="63" t="str">
        <f>IFERROR(IF(VLOOKUP(AA$13&amp;$B2190,Aux!$B:$M,8,0)="Да","✔","🕓"),"")</f>
        <v/>
      </c>
    </row>
    <row r="2193" spans="2:31" x14ac:dyDescent="0.25">
      <c r="B2193" s="53">
        <f t="shared" si="33"/>
        <v>436</v>
      </c>
      <c r="C2193" s="59"/>
      <c r="D2193" s="16" t="str">
        <f>IF(D2190="","","Срок сдачи"&amp;": ")</f>
        <v/>
      </c>
      <c r="E2193" s="64" t="str">
        <f>IFERROR(VLOOKUP(C$13&amp;$B2193,Aux!$B:$M,6,0),"")</f>
        <v/>
      </c>
      <c r="F2193" s="64"/>
      <c r="G2193" s="63"/>
      <c r="K2193" s="59"/>
      <c r="L2193" s="16" t="str">
        <f>IF(L2190="","","Срок сдачи"&amp;": ")</f>
        <v/>
      </c>
      <c r="M2193" s="64" t="str">
        <f>IFERROR(VLOOKUP(K$13&amp;$B2193,Aux!$B:$M,6,0),"")</f>
        <v/>
      </c>
      <c r="N2193" s="64"/>
      <c r="O2193" s="63"/>
      <c r="S2193" s="59"/>
      <c r="T2193" s="16" t="str">
        <f>IF(T2190="","","Срок сдачи"&amp;": ")</f>
        <v/>
      </c>
      <c r="U2193" s="64" t="str">
        <f>IFERROR(VLOOKUP(S$13&amp;$B2193,Aux!$B:$M,6,0),"")</f>
        <v/>
      </c>
      <c r="V2193" s="64"/>
      <c r="W2193" s="63"/>
      <c r="AA2193" s="59"/>
      <c r="AB2193" s="16" t="str">
        <f>IF(AB2190="","","Срок сдачи"&amp;": ")</f>
        <v/>
      </c>
      <c r="AC2193" s="64" t="str">
        <f>IFERROR(VLOOKUP(AA$13&amp;$B2193,Aux!$B:$M,6,0),"")</f>
        <v/>
      </c>
      <c r="AD2193" s="64"/>
      <c r="AE2193" s="63"/>
    </row>
    <row r="2194" spans="2:31" x14ac:dyDescent="0.25">
      <c r="B2194" s="53">
        <f t="shared" si="33"/>
        <v>436</v>
      </c>
      <c r="C2194" s="7"/>
      <c r="D2194" s="17"/>
      <c r="E2194" s="7"/>
      <c r="F2194" s="18"/>
      <c r="G2194" s="18"/>
      <c r="K2194" s="13"/>
      <c r="L2194" s="17"/>
      <c r="M2194" s="13"/>
      <c r="N2194" s="14"/>
      <c r="O2194" s="14"/>
      <c r="S2194" s="13"/>
      <c r="T2194" s="17"/>
      <c r="U2194" s="13"/>
      <c r="V2194" s="14"/>
      <c r="W2194" s="14"/>
      <c r="AA2194" s="13"/>
      <c r="AB2194" s="17"/>
      <c r="AC2194" s="13"/>
      <c r="AD2194" s="14"/>
      <c r="AE2194" s="30"/>
    </row>
    <row r="2195" spans="2:31" x14ac:dyDescent="0.25">
      <c r="B2195" s="53">
        <f t="shared" si="33"/>
        <v>437</v>
      </c>
      <c r="C2195" s="59" t="str">
        <f>IFERROR(VLOOKUP(C$13&amp;$B2199,Aux!$B:$M,5,0),"")</f>
        <v/>
      </c>
      <c r="D2195" s="60" t="str">
        <f>IFERROR(VLOOKUP(C$13&amp;$B2195,Aux!$B:$M,3,0),"")</f>
        <v/>
      </c>
      <c r="E2195" s="60"/>
      <c r="F2195" s="60"/>
      <c r="G2195" s="61" t="str">
        <f>IFERROR(VLOOKUP(C$13&amp;$B2195,Aux!$B:$M,9,0),"")</f>
        <v/>
      </c>
      <c r="K2195" s="59" t="str">
        <f>IFERROR(VLOOKUP(K$13&amp;$B2199,Aux!$B:$M,5,0),"")</f>
        <v/>
      </c>
      <c r="L2195" s="60" t="str">
        <f>IFERROR(VLOOKUP(K$13&amp;$B2195,Aux!$B:$M,3,0),"")</f>
        <v/>
      </c>
      <c r="M2195" s="60"/>
      <c r="N2195" s="60"/>
      <c r="O2195" s="61" t="str">
        <f>IFERROR(VLOOKUP(K$13&amp;$B2195,Aux!$B:$M,9,0),"")</f>
        <v/>
      </c>
      <c r="S2195" s="59" t="str">
        <f>IFERROR(VLOOKUP(S$13&amp;$B2199,Aux!$B:$M,5,0),"")</f>
        <v/>
      </c>
      <c r="T2195" s="60" t="str">
        <f>IFERROR(VLOOKUP(S$13&amp;$B2195,Aux!$B:$M,3,0),"")</f>
        <v/>
      </c>
      <c r="U2195" s="60"/>
      <c r="V2195" s="60"/>
      <c r="W2195" s="61" t="str">
        <f>IFERROR(VLOOKUP(S$13&amp;$B2195,Aux!$B:$M,9,0),"")</f>
        <v/>
      </c>
      <c r="AA2195" s="59" t="str">
        <f>IFERROR(VLOOKUP(AA$13&amp;$B2199,Aux!$B:$M,5,0),"")</f>
        <v/>
      </c>
      <c r="AB2195" s="60" t="str">
        <f>IFERROR(VLOOKUP(AA$13&amp;$B2195,Aux!$B:$M,3,0),"")</f>
        <v/>
      </c>
      <c r="AC2195" s="60"/>
      <c r="AD2195" s="60"/>
      <c r="AE2195" s="61" t="str">
        <f>IFERROR(VLOOKUP(AA$13&amp;$B2195,Aux!$B:$M,9,0),"")</f>
        <v/>
      </c>
    </row>
    <row r="2196" spans="2:31" x14ac:dyDescent="0.25">
      <c r="B2196" s="53">
        <f t="shared" si="33"/>
        <v>437</v>
      </c>
      <c r="C2196" s="59"/>
      <c r="D2196" s="60"/>
      <c r="E2196" s="60"/>
      <c r="F2196" s="60"/>
      <c r="G2196" s="61"/>
      <c r="K2196" s="59"/>
      <c r="L2196" s="60"/>
      <c r="M2196" s="60"/>
      <c r="N2196" s="60"/>
      <c r="O2196" s="61"/>
      <c r="S2196" s="59"/>
      <c r="T2196" s="60"/>
      <c r="U2196" s="60"/>
      <c r="V2196" s="60"/>
      <c r="W2196" s="61"/>
      <c r="AA2196" s="59"/>
      <c r="AB2196" s="60"/>
      <c r="AC2196" s="60"/>
      <c r="AD2196" s="60"/>
      <c r="AE2196" s="61"/>
    </row>
    <row r="2197" spans="2:31" x14ac:dyDescent="0.25">
      <c r="B2197" s="53">
        <f t="shared" ref="B2197:B2260" si="34">B2192+1</f>
        <v>437</v>
      </c>
      <c r="C2197" s="59"/>
      <c r="D2197" s="15" t="str">
        <f>IF(D2195="","","Исполнитель"&amp;": ")</f>
        <v/>
      </c>
      <c r="E2197" s="62" t="str">
        <f>IFERROR(VLOOKUP(C$13&amp;$B2197,Aux!$B:$M,4,0),"")</f>
        <v/>
      </c>
      <c r="F2197" s="62"/>
      <c r="G2197" s="63" t="str">
        <f>IFERROR(IF(VLOOKUP(C$13&amp;$B2195,Aux!$B:$M,8,0)="Да","✔","🕓"),"")</f>
        <v/>
      </c>
      <c r="K2197" s="59"/>
      <c r="L2197" s="15" t="str">
        <f>IF(L2195="","","Исполнитель"&amp;": ")</f>
        <v/>
      </c>
      <c r="M2197" s="62" t="str">
        <f>IFERROR(VLOOKUP(K$13&amp;$B2197,Aux!$B:$M,4,0),"")</f>
        <v/>
      </c>
      <c r="N2197" s="62"/>
      <c r="O2197" s="63" t="str">
        <f>IFERROR(IF(VLOOKUP(K$13&amp;$B2195,Aux!$B:$M,8,0)="Да","✔","🕓"),"")</f>
        <v/>
      </c>
      <c r="S2197" s="59"/>
      <c r="T2197" s="15" t="str">
        <f>IF(T2195="","","Исполнитель"&amp;": ")</f>
        <v/>
      </c>
      <c r="U2197" s="62" t="str">
        <f>IFERROR(VLOOKUP(S$13&amp;$B2197,Aux!$B:$M,4,0),"")</f>
        <v/>
      </c>
      <c r="V2197" s="62"/>
      <c r="W2197" s="63" t="str">
        <f>IFERROR(IF(VLOOKUP(S$13&amp;$B2195,Aux!$B:$M,8,0)="Да","✔","🕓"),"")</f>
        <v/>
      </c>
      <c r="AA2197" s="59"/>
      <c r="AB2197" s="15" t="str">
        <f>IF(AB2195="","","Исполнитель"&amp;": ")</f>
        <v/>
      </c>
      <c r="AC2197" s="62" t="str">
        <f>IFERROR(VLOOKUP(AA$13&amp;$B2197,Aux!$B:$M,4,0),"")</f>
        <v/>
      </c>
      <c r="AD2197" s="62"/>
      <c r="AE2197" s="63" t="str">
        <f>IFERROR(IF(VLOOKUP(AA$13&amp;$B2195,Aux!$B:$M,8,0)="Да","✔","🕓"),"")</f>
        <v/>
      </c>
    </row>
    <row r="2198" spans="2:31" x14ac:dyDescent="0.25">
      <c r="B2198" s="53">
        <f t="shared" si="34"/>
        <v>437</v>
      </c>
      <c r="C2198" s="59"/>
      <c r="D2198" s="16" t="str">
        <f>IF(D2195="","","Срок сдачи"&amp;": ")</f>
        <v/>
      </c>
      <c r="E2198" s="64" t="str">
        <f>IFERROR(VLOOKUP(C$13&amp;$B2198,Aux!$B:$M,6,0),"")</f>
        <v/>
      </c>
      <c r="F2198" s="64"/>
      <c r="G2198" s="63"/>
      <c r="K2198" s="59"/>
      <c r="L2198" s="16" t="str">
        <f>IF(L2195="","","Срок сдачи"&amp;": ")</f>
        <v/>
      </c>
      <c r="M2198" s="64" t="str">
        <f>IFERROR(VLOOKUP(K$13&amp;$B2198,Aux!$B:$M,6,0),"")</f>
        <v/>
      </c>
      <c r="N2198" s="64"/>
      <c r="O2198" s="63"/>
      <c r="S2198" s="59"/>
      <c r="T2198" s="16" t="str">
        <f>IF(T2195="","","Срок сдачи"&amp;": ")</f>
        <v/>
      </c>
      <c r="U2198" s="64" t="str">
        <f>IFERROR(VLOOKUP(S$13&amp;$B2198,Aux!$B:$M,6,0),"")</f>
        <v/>
      </c>
      <c r="V2198" s="64"/>
      <c r="W2198" s="63"/>
      <c r="AA2198" s="59"/>
      <c r="AB2198" s="16" t="str">
        <f>IF(AB2195="","","Срок сдачи"&amp;": ")</f>
        <v/>
      </c>
      <c r="AC2198" s="64" t="str">
        <f>IFERROR(VLOOKUP(AA$13&amp;$B2198,Aux!$B:$M,6,0),"")</f>
        <v/>
      </c>
      <c r="AD2198" s="64"/>
      <c r="AE2198" s="63"/>
    </row>
    <row r="2199" spans="2:31" x14ac:dyDescent="0.25">
      <c r="B2199" s="53">
        <f t="shared" si="34"/>
        <v>437</v>
      </c>
      <c r="C2199" s="7"/>
      <c r="D2199" s="17"/>
      <c r="E2199" s="7"/>
      <c r="F2199" s="18"/>
      <c r="G2199" s="18"/>
      <c r="K2199" s="13"/>
      <c r="L2199" s="17"/>
      <c r="M2199" s="13"/>
      <c r="N2199" s="14"/>
      <c r="O2199" s="14"/>
      <c r="S2199" s="13"/>
      <c r="T2199" s="17"/>
      <c r="U2199" s="13"/>
      <c r="V2199" s="14"/>
      <c r="W2199" s="14"/>
      <c r="AA2199" s="13"/>
      <c r="AB2199" s="17"/>
      <c r="AC2199" s="13"/>
      <c r="AD2199" s="14"/>
      <c r="AE2199" s="30"/>
    </row>
    <row r="2200" spans="2:31" x14ac:dyDescent="0.25">
      <c r="B2200" s="53">
        <f t="shared" si="34"/>
        <v>438</v>
      </c>
      <c r="C2200" s="59" t="str">
        <f>IFERROR(VLOOKUP(C$13&amp;$B2204,Aux!$B:$M,5,0),"")</f>
        <v/>
      </c>
      <c r="D2200" s="60" t="str">
        <f>IFERROR(VLOOKUP(C$13&amp;$B2200,Aux!$B:$M,3,0),"")</f>
        <v/>
      </c>
      <c r="E2200" s="60"/>
      <c r="F2200" s="60"/>
      <c r="G2200" s="61" t="str">
        <f>IFERROR(VLOOKUP(C$13&amp;$B2200,Aux!$B:$M,9,0),"")</f>
        <v/>
      </c>
      <c r="K2200" s="59" t="str">
        <f>IFERROR(VLOOKUP(K$13&amp;$B2204,Aux!$B:$M,5,0),"")</f>
        <v/>
      </c>
      <c r="L2200" s="60" t="str">
        <f>IFERROR(VLOOKUP(K$13&amp;$B2200,Aux!$B:$M,3,0),"")</f>
        <v/>
      </c>
      <c r="M2200" s="60"/>
      <c r="N2200" s="60"/>
      <c r="O2200" s="61" t="str">
        <f>IFERROR(VLOOKUP(K$13&amp;$B2200,Aux!$B:$M,9,0),"")</f>
        <v/>
      </c>
      <c r="S2200" s="59" t="str">
        <f>IFERROR(VLOOKUP(S$13&amp;$B2204,Aux!$B:$M,5,0),"")</f>
        <v/>
      </c>
      <c r="T2200" s="60" t="str">
        <f>IFERROR(VLOOKUP(S$13&amp;$B2200,Aux!$B:$M,3,0),"")</f>
        <v/>
      </c>
      <c r="U2200" s="60"/>
      <c r="V2200" s="60"/>
      <c r="W2200" s="61" t="str">
        <f>IFERROR(VLOOKUP(S$13&amp;$B2200,Aux!$B:$M,9,0),"")</f>
        <v/>
      </c>
      <c r="AA2200" s="59" t="str">
        <f>IFERROR(VLOOKUP(AA$13&amp;$B2204,Aux!$B:$M,5,0),"")</f>
        <v/>
      </c>
      <c r="AB2200" s="60" t="str">
        <f>IFERROR(VLOOKUP(AA$13&amp;$B2200,Aux!$B:$M,3,0),"")</f>
        <v/>
      </c>
      <c r="AC2200" s="60"/>
      <c r="AD2200" s="60"/>
      <c r="AE2200" s="61" t="str">
        <f>IFERROR(VLOOKUP(AA$13&amp;$B2200,Aux!$B:$M,9,0),"")</f>
        <v/>
      </c>
    </row>
    <row r="2201" spans="2:31" x14ac:dyDescent="0.25">
      <c r="B2201" s="53">
        <f t="shared" si="34"/>
        <v>438</v>
      </c>
      <c r="C2201" s="59"/>
      <c r="D2201" s="60"/>
      <c r="E2201" s="60"/>
      <c r="F2201" s="60"/>
      <c r="G2201" s="61"/>
      <c r="K2201" s="59"/>
      <c r="L2201" s="60"/>
      <c r="M2201" s="60"/>
      <c r="N2201" s="60"/>
      <c r="O2201" s="61"/>
      <c r="S2201" s="59"/>
      <c r="T2201" s="60"/>
      <c r="U2201" s="60"/>
      <c r="V2201" s="60"/>
      <c r="W2201" s="61"/>
      <c r="AA2201" s="59"/>
      <c r="AB2201" s="60"/>
      <c r="AC2201" s="60"/>
      <c r="AD2201" s="60"/>
      <c r="AE2201" s="61"/>
    </row>
    <row r="2202" spans="2:31" x14ac:dyDescent="0.25">
      <c r="B2202" s="53">
        <f t="shared" si="34"/>
        <v>438</v>
      </c>
      <c r="C2202" s="59"/>
      <c r="D2202" s="15" t="str">
        <f>IF(D2200="","","Исполнитель"&amp;": ")</f>
        <v/>
      </c>
      <c r="E2202" s="62" t="str">
        <f>IFERROR(VLOOKUP(C$13&amp;$B2202,Aux!$B:$M,4,0),"")</f>
        <v/>
      </c>
      <c r="F2202" s="62"/>
      <c r="G2202" s="63" t="str">
        <f>IFERROR(IF(VLOOKUP(C$13&amp;$B2200,Aux!$B:$M,8,0)="Да","✔","🕓"),"")</f>
        <v/>
      </c>
      <c r="K2202" s="59"/>
      <c r="L2202" s="15" t="str">
        <f>IF(L2200="","","Исполнитель"&amp;": ")</f>
        <v/>
      </c>
      <c r="M2202" s="62" t="str">
        <f>IFERROR(VLOOKUP(K$13&amp;$B2202,Aux!$B:$M,4,0),"")</f>
        <v/>
      </c>
      <c r="N2202" s="62"/>
      <c r="O2202" s="63" t="str">
        <f>IFERROR(IF(VLOOKUP(K$13&amp;$B2200,Aux!$B:$M,8,0)="Да","✔","🕓"),"")</f>
        <v/>
      </c>
      <c r="S2202" s="59"/>
      <c r="T2202" s="15" t="str">
        <f>IF(T2200="","","Исполнитель"&amp;": ")</f>
        <v/>
      </c>
      <c r="U2202" s="62" t="str">
        <f>IFERROR(VLOOKUP(S$13&amp;$B2202,Aux!$B:$M,4,0),"")</f>
        <v/>
      </c>
      <c r="V2202" s="62"/>
      <c r="W2202" s="63" t="str">
        <f>IFERROR(IF(VLOOKUP(S$13&amp;$B2200,Aux!$B:$M,8,0)="Да","✔","🕓"),"")</f>
        <v/>
      </c>
      <c r="AA2202" s="59"/>
      <c r="AB2202" s="15" t="str">
        <f>IF(AB2200="","","Исполнитель"&amp;": ")</f>
        <v/>
      </c>
      <c r="AC2202" s="62" t="str">
        <f>IFERROR(VLOOKUP(AA$13&amp;$B2202,Aux!$B:$M,4,0),"")</f>
        <v/>
      </c>
      <c r="AD2202" s="62"/>
      <c r="AE2202" s="63" t="str">
        <f>IFERROR(IF(VLOOKUP(AA$13&amp;$B2200,Aux!$B:$M,8,0)="Да","✔","🕓"),"")</f>
        <v/>
      </c>
    </row>
    <row r="2203" spans="2:31" x14ac:dyDescent="0.25">
      <c r="B2203" s="53">
        <f t="shared" si="34"/>
        <v>438</v>
      </c>
      <c r="C2203" s="59"/>
      <c r="D2203" s="16" t="str">
        <f>IF(D2200="","","Срок сдачи"&amp;": ")</f>
        <v/>
      </c>
      <c r="E2203" s="64" t="str">
        <f>IFERROR(VLOOKUP(C$13&amp;$B2203,Aux!$B:$M,6,0),"")</f>
        <v/>
      </c>
      <c r="F2203" s="64"/>
      <c r="G2203" s="63"/>
      <c r="K2203" s="59"/>
      <c r="L2203" s="16" t="str">
        <f>IF(L2200="","","Срок сдачи"&amp;": ")</f>
        <v/>
      </c>
      <c r="M2203" s="64" t="str">
        <f>IFERROR(VLOOKUP(K$13&amp;$B2203,Aux!$B:$M,6,0),"")</f>
        <v/>
      </c>
      <c r="N2203" s="64"/>
      <c r="O2203" s="63"/>
      <c r="S2203" s="59"/>
      <c r="T2203" s="16" t="str">
        <f>IF(T2200="","","Срок сдачи"&amp;": ")</f>
        <v/>
      </c>
      <c r="U2203" s="64" t="str">
        <f>IFERROR(VLOOKUP(S$13&amp;$B2203,Aux!$B:$M,6,0),"")</f>
        <v/>
      </c>
      <c r="V2203" s="64"/>
      <c r="W2203" s="63"/>
      <c r="AA2203" s="59"/>
      <c r="AB2203" s="16" t="str">
        <f>IF(AB2200="","","Срок сдачи"&amp;": ")</f>
        <v/>
      </c>
      <c r="AC2203" s="64" t="str">
        <f>IFERROR(VLOOKUP(AA$13&amp;$B2203,Aux!$B:$M,6,0),"")</f>
        <v/>
      </c>
      <c r="AD2203" s="64"/>
      <c r="AE2203" s="63"/>
    </row>
    <row r="2204" spans="2:31" x14ac:dyDescent="0.25">
      <c r="B2204" s="53">
        <f t="shared" si="34"/>
        <v>438</v>
      </c>
      <c r="C2204" s="7"/>
      <c r="D2204" s="17"/>
      <c r="E2204" s="7"/>
      <c r="F2204" s="18"/>
      <c r="G2204" s="18"/>
      <c r="K2204" s="13"/>
      <c r="L2204" s="17"/>
      <c r="M2204" s="13"/>
      <c r="N2204" s="14"/>
      <c r="O2204" s="14"/>
      <c r="S2204" s="13"/>
      <c r="T2204" s="17"/>
      <c r="U2204" s="13"/>
      <c r="V2204" s="14"/>
      <c r="W2204" s="14"/>
      <c r="AA2204" s="13"/>
      <c r="AB2204" s="17"/>
      <c r="AC2204" s="13"/>
      <c r="AD2204" s="14"/>
      <c r="AE2204" s="30"/>
    </row>
    <row r="2205" spans="2:31" x14ac:dyDescent="0.25">
      <c r="B2205" s="53">
        <f t="shared" si="34"/>
        <v>439</v>
      </c>
      <c r="C2205" s="59" t="str">
        <f>IFERROR(VLOOKUP(C$13&amp;$B2209,Aux!$B:$M,5,0),"")</f>
        <v/>
      </c>
      <c r="D2205" s="60" t="str">
        <f>IFERROR(VLOOKUP(C$13&amp;$B2205,Aux!$B:$M,3,0),"")</f>
        <v/>
      </c>
      <c r="E2205" s="60"/>
      <c r="F2205" s="60"/>
      <c r="G2205" s="61" t="str">
        <f>IFERROR(VLOOKUP(C$13&amp;$B2205,Aux!$B:$M,9,0),"")</f>
        <v/>
      </c>
      <c r="K2205" s="59" t="str">
        <f>IFERROR(VLOOKUP(K$13&amp;$B2209,Aux!$B:$M,5,0),"")</f>
        <v/>
      </c>
      <c r="L2205" s="60" t="str">
        <f>IFERROR(VLOOKUP(K$13&amp;$B2205,Aux!$B:$M,3,0),"")</f>
        <v/>
      </c>
      <c r="M2205" s="60"/>
      <c r="N2205" s="60"/>
      <c r="O2205" s="61" t="str">
        <f>IFERROR(VLOOKUP(K$13&amp;$B2205,Aux!$B:$M,9,0),"")</f>
        <v/>
      </c>
      <c r="S2205" s="59" t="str">
        <f>IFERROR(VLOOKUP(S$13&amp;$B2209,Aux!$B:$M,5,0),"")</f>
        <v/>
      </c>
      <c r="T2205" s="60" t="str">
        <f>IFERROR(VLOOKUP(S$13&amp;$B2205,Aux!$B:$M,3,0),"")</f>
        <v/>
      </c>
      <c r="U2205" s="60"/>
      <c r="V2205" s="60"/>
      <c r="W2205" s="61" t="str">
        <f>IFERROR(VLOOKUP(S$13&amp;$B2205,Aux!$B:$M,9,0),"")</f>
        <v/>
      </c>
      <c r="AA2205" s="59" t="str">
        <f>IFERROR(VLOOKUP(AA$13&amp;$B2209,Aux!$B:$M,5,0),"")</f>
        <v/>
      </c>
      <c r="AB2205" s="60" t="str">
        <f>IFERROR(VLOOKUP(AA$13&amp;$B2205,Aux!$B:$M,3,0),"")</f>
        <v/>
      </c>
      <c r="AC2205" s="60"/>
      <c r="AD2205" s="60"/>
      <c r="AE2205" s="61" t="str">
        <f>IFERROR(VLOOKUP(AA$13&amp;$B2205,Aux!$B:$M,9,0),"")</f>
        <v/>
      </c>
    </row>
    <row r="2206" spans="2:31" x14ac:dyDescent="0.25">
      <c r="B2206" s="53">
        <f t="shared" si="34"/>
        <v>439</v>
      </c>
      <c r="C2206" s="59"/>
      <c r="D2206" s="60"/>
      <c r="E2206" s="60"/>
      <c r="F2206" s="60"/>
      <c r="G2206" s="61"/>
      <c r="K2206" s="59"/>
      <c r="L2206" s="60"/>
      <c r="M2206" s="60"/>
      <c r="N2206" s="60"/>
      <c r="O2206" s="61"/>
      <c r="S2206" s="59"/>
      <c r="T2206" s="60"/>
      <c r="U2206" s="60"/>
      <c r="V2206" s="60"/>
      <c r="W2206" s="61"/>
      <c r="AA2206" s="59"/>
      <c r="AB2206" s="60"/>
      <c r="AC2206" s="60"/>
      <c r="AD2206" s="60"/>
      <c r="AE2206" s="61"/>
    </row>
    <row r="2207" spans="2:31" x14ac:dyDescent="0.25">
      <c r="B2207" s="53">
        <f t="shared" si="34"/>
        <v>439</v>
      </c>
      <c r="C2207" s="59"/>
      <c r="D2207" s="15" t="str">
        <f>IF(D2205="","","Исполнитель"&amp;": ")</f>
        <v/>
      </c>
      <c r="E2207" s="62" t="str">
        <f>IFERROR(VLOOKUP(C$13&amp;$B2207,Aux!$B:$M,4,0),"")</f>
        <v/>
      </c>
      <c r="F2207" s="62"/>
      <c r="G2207" s="63" t="str">
        <f>IFERROR(IF(VLOOKUP(C$13&amp;$B2205,Aux!$B:$M,8,0)="Да","✔","🕓"),"")</f>
        <v/>
      </c>
      <c r="K2207" s="59"/>
      <c r="L2207" s="15" t="str">
        <f>IF(L2205="","","Исполнитель"&amp;": ")</f>
        <v/>
      </c>
      <c r="M2207" s="62" t="str">
        <f>IFERROR(VLOOKUP(K$13&amp;$B2207,Aux!$B:$M,4,0),"")</f>
        <v/>
      </c>
      <c r="N2207" s="62"/>
      <c r="O2207" s="63" t="str">
        <f>IFERROR(IF(VLOOKUP(K$13&amp;$B2205,Aux!$B:$M,8,0)="Да","✔","🕓"),"")</f>
        <v/>
      </c>
      <c r="S2207" s="59"/>
      <c r="T2207" s="15" t="str">
        <f>IF(T2205="","","Исполнитель"&amp;": ")</f>
        <v/>
      </c>
      <c r="U2207" s="62" t="str">
        <f>IFERROR(VLOOKUP(S$13&amp;$B2207,Aux!$B:$M,4,0),"")</f>
        <v/>
      </c>
      <c r="V2207" s="62"/>
      <c r="W2207" s="63" t="str">
        <f>IFERROR(IF(VLOOKUP(S$13&amp;$B2205,Aux!$B:$M,8,0)="Да","✔","🕓"),"")</f>
        <v/>
      </c>
      <c r="AA2207" s="59"/>
      <c r="AB2207" s="15" t="str">
        <f>IF(AB2205="","","Исполнитель"&amp;": ")</f>
        <v/>
      </c>
      <c r="AC2207" s="62" t="str">
        <f>IFERROR(VLOOKUP(AA$13&amp;$B2207,Aux!$B:$M,4,0),"")</f>
        <v/>
      </c>
      <c r="AD2207" s="62"/>
      <c r="AE2207" s="63" t="str">
        <f>IFERROR(IF(VLOOKUP(AA$13&amp;$B2205,Aux!$B:$M,8,0)="Да","✔","🕓"),"")</f>
        <v/>
      </c>
    </row>
    <row r="2208" spans="2:31" x14ac:dyDescent="0.25">
      <c r="B2208" s="53">
        <f t="shared" si="34"/>
        <v>439</v>
      </c>
      <c r="C2208" s="59"/>
      <c r="D2208" s="16" t="str">
        <f>IF(D2205="","","Срок сдачи"&amp;": ")</f>
        <v/>
      </c>
      <c r="E2208" s="64" t="str">
        <f>IFERROR(VLOOKUP(C$13&amp;$B2208,Aux!$B:$M,6,0),"")</f>
        <v/>
      </c>
      <c r="F2208" s="64"/>
      <c r="G2208" s="63"/>
      <c r="K2208" s="59"/>
      <c r="L2208" s="16" t="str">
        <f>IF(L2205="","","Срок сдачи"&amp;": ")</f>
        <v/>
      </c>
      <c r="M2208" s="64" t="str">
        <f>IFERROR(VLOOKUP(K$13&amp;$B2208,Aux!$B:$M,6,0),"")</f>
        <v/>
      </c>
      <c r="N2208" s="64"/>
      <c r="O2208" s="63"/>
      <c r="S2208" s="59"/>
      <c r="T2208" s="16" t="str">
        <f>IF(T2205="","","Срок сдачи"&amp;": ")</f>
        <v/>
      </c>
      <c r="U2208" s="64" t="str">
        <f>IFERROR(VLOOKUP(S$13&amp;$B2208,Aux!$B:$M,6,0),"")</f>
        <v/>
      </c>
      <c r="V2208" s="64"/>
      <c r="W2208" s="63"/>
      <c r="AA2208" s="59"/>
      <c r="AB2208" s="16" t="str">
        <f>IF(AB2205="","","Срок сдачи"&amp;": ")</f>
        <v/>
      </c>
      <c r="AC2208" s="64" t="str">
        <f>IFERROR(VLOOKUP(AA$13&amp;$B2208,Aux!$B:$M,6,0),"")</f>
        <v/>
      </c>
      <c r="AD2208" s="64"/>
      <c r="AE2208" s="63"/>
    </row>
    <row r="2209" spans="2:31" x14ac:dyDescent="0.25">
      <c r="B2209" s="53">
        <f t="shared" si="34"/>
        <v>439</v>
      </c>
      <c r="C2209" s="7"/>
      <c r="D2209" s="17"/>
      <c r="E2209" s="7"/>
      <c r="F2209" s="18"/>
      <c r="G2209" s="18"/>
      <c r="K2209" s="13"/>
      <c r="L2209" s="17"/>
      <c r="M2209" s="13"/>
      <c r="N2209" s="14"/>
      <c r="O2209" s="14"/>
      <c r="S2209" s="13"/>
      <c r="T2209" s="17"/>
      <c r="U2209" s="13"/>
      <c r="V2209" s="14"/>
      <c r="W2209" s="14"/>
      <c r="AA2209" s="13"/>
      <c r="AB2209" s="17"/>
      <c r="AC2209" s="13"/>
      <c r="AD2209" s="14"/>
      <c r="AE2209" s="30"/>
    </row>
    <row r="2210" spans="2:31" x14ac:dyDescent="0.25">
      <c r="B2210" s="53">
        <f t="shared" si="34"/>
        <v>440</v>
      </c>
      <c r="C2210" s="59" t="str">
        <f>IFERROR(VLOOKUP(C$13&amp;$B2214,Aux!$B:$M,5,0),"")</f>
        <v/>
      </c>
      <c r="D2210" s="60" t="str">
        <f>IFERROR(VLOOKUP(C$13&amp;$B2210,Aux!$B:$M,3,0),"")</f>
        <v/>
      </c>
      <c r="E2210" s="60"/>
      <c r="F2210" s="60"/>
      <c r="G2210" s="61" t="str">
        <f>IFERROR(VLOOKUP(C$13&amp;$B2210,Aux!$B:$M,9,0),"")</f>
        <v/>
      </c>
      <c r="K2210" s="59" t="str">
        <f>IFERROR(VLOOKUP(K$13&amp;$B2214,Aux!$B:$M,5,0),"")</f>
        <v/>
      </c>
      <c r="L2210" s="60" t="str">
        <f>IFERROR(VLOOKUP(K$13&amp;$B2210,Aux!$B:$M,3,0),"")</f>
        <v/>
      </c>
      <c r="M2210" s="60"/>
      <c r="N2210" s="60"/>
      <c r="O2210" s="61" t="str">
        <f>IFERROR(VLOOKUP(K$13&amp;$B2210,Aux!$B:$M,9,0),"")</f>
        <v/>
      </c>
      <c r="S2210" s="59" t="str">
        <f>IFERROR(VLOOKUP(S$13&amp;$B2214,Aux!$B:$M,5,0),"")</f>
        <v/>
      </c>
      <c r="T2210" s="60" t="str">
        <f>IFERROR(VLOOKUP(S$13&amp;$B2210,Aux!$B:$M,3,0),"")</f>
        <v/>
      </c>
      <c r="U2210" s="60"/>
      <c r="V2210" s="60"/>
      <c r="W2210" s="61" t="str">
        <f>IFERROR(VLOOKUP(S$13&amp;$B2210,Aux!$B:$M,9,0),"")</f>
        <v/>
      </c>
      <c r="AA2210" s="59" t="str">
        <f>IFERROR(VLOOKUP(AA$13&amp;$B2214,Aux!$B:$M,5,0),"")</f>
        <v/>
      </c>
      <c r="AB2210" s="60" t="str">
        <f>IFERROR(VLOOKUP(AA$13&amp;$B2210,Aux!$B:$M,3,0),"")</f>
        <v/>
      </c>
      <c r="AC2210" s="60"/>
      <c r="AD2210" s="60"/>
      <c r="AE2210" s="61" t="str">
        <f>IFERROR(VLOOKUP(AA$13&amp;$B2210,Aux!$B:$M,9,0),"")</f>
        <v/>
      </c>
    </row>
    <row r="2211" spans="2:31" x14ac:dyDescent="0.25">
      <c r="B2211" s="53">
        <f t="shared" si="34"/>
        <v>440</v>
      </c>
      <c r="C2211" s="59"/>
      <c r="D2211" s="60"/>
      <c r="E2211" s="60"/>
      <c r="F2211" s="60"/>
      <c r="G2211" s="61"/>
      <c r="K2211" s="59"/>
      <c r="L2211" s="60"/>
      <c r="M2211" s="60"/>
      <c r="N2211" s="60"/>
      <c r="O2211" s="61"/>
      <c r="S2211" s="59"/>
      <c r="T2211" s="60"/>
      <c r="U2211" s="60"/>
      <c r="V2211" s="60"/>
      <c r="W2211" s="61"/>
      <c r="AA2211" s="59"/>
      <c r="AB2211" s="60"/>
      <c r="AC2211" s="60"/>
      <c r="AD2211" s="60"/>
      <c r="AE2211" s="61"/>
    </row>
    <row r="2212" spans="2:31" x14ac:dyDescent="0.25">
      <c r="B2212" s="53">
        <f t="shared" si="34"/>
        <v>440</v>
      </c>
      <c r="C2212" s="59"/>
      <c r="D2212" s="15" t="str">
        <f>IF(D2210="","","Исполнитель"&amp;": ")</f>
        <v/>
      </c>
      <c r="E2212" s="62" t="str">
        <f>IFERROR(VLOOKUP(C$13&amp;$B2212,Aux!$B:$M,4,0),"")</f>
        <v/>
      </c>
      <c r="F2212" s="62"/>
      <c r="G2212" s="63" t="str">
        <f>IFERROR(IF(VLOOKUP(C$13&amp;$B2210,Aux!$B:$M,8,0)="Да","✔","🕓"),"")</f>
        <v/>
      </c>
      <c r="K2212" s="59"/>
      <c r="L2212" s="15" t="str">
        <f>IF(L2210="","","Исполнитель"&amp;": ")</f>
        <v/>
      </c>
      <c r="M2212" s="62" t="str">
        <f>IFERROR(VLOOKUP(K$13&amp;$B2212,Aux!$B:$M,4,0),"")</f>
        <v/>
      </c>
      <c r="N2212" s="62"/>
      <c r="O2212" s="63" t="str">
        <f>IFERROR(IF(VLOOKUP(K$13&amp;$B2210,Aux!$B:$M,8,0)="Да","✔","🕓"),"")</f>
        <v/>
      </c>
      <c r="S2212" s="59"/>
      <c r="T2212" s="15" t="str">
        <f>IF(T2210="","","Исполнитель"&amp;": ")</f>
        <v/>
      </c>
      <c r="U2212" s="62" t="str">
        <f>IFERROR(VLOOKUP(S$13&amp;$B2212,Aux!$B:$M,4,0),"")</f>
        <v/>
      </c>
      <c r="V2212" s="62"/>
      <c r="W2212" s="63" t="str">
        <f>IFERROR(IF(VLOOKUP(S$13&amp;$B2210,Aux!$B:$M,8,0)="Да","✔","🕓"),"")</f>
        <v/>
      </c>
      <c r="AA2212" s="59"/>
      <c r="AB2212" s="15" t="str">
        <f>IF(AB2210="","","Исполнитель"&amp;": ")</f>
        <v/>
      </c>
      <c r="AC2212" s="62" t="str">
        <f>IFERROR(VLOOKUP(AA$13&amp;$B2212,Aux!$B:$M,4,0),"")</f>
        <v/>
      </c>
      <c r="AD2212" s="62"/>
      <c r="AE2212" s="63" t="str">
        <f>IFERROR(IF(VLOOKUP(AA$13&amp;$B2210,Aux!$B:$M,8,0)="Да","✔","🕓"),"")</f>
        <v/>
      </c>
    </row>
    <row r="2213" spans="2:31" x14ac:dyDescent="0.25">
      <c r="B2213" s="53">
        <f t="shared" si="34"/>
        <v>440</v>
      </c>
      <c r="C2213" s="59"/>
      <c r="D2213" s="16" t="str">
        <f>IF(D2210="","","Срок сдачи"&amp;": ")</f>
        <v/>
      </c>
      <c r="E2213" s="64" t="str">
        <f>IFERROR(VLOOKUP(C$13&amp;$B2213,Aux!$B:$M,6,0),"")</f>
        <v/>
      </c>
      <c r="F2213" s="64"/>
      <c r="G2213" s="63"/>
      <c r="K2213" s="59"/>
      <c r="L2213" s="16" t="str">
        <f>IF(L2210="","","Срок сдачи"&amp;": ")</f>
        <v/>
      </c>
      <c r="M2213" s="64" t="str">
        <f>IFERROR(VLOOKUP(K$13&amp;$B2213,Aux!$B:$M,6,0),"")</f>
        <v/>
      </c>
      <c r="N2213" s="64"/>
      <c r="O2213" s="63"/>
      <c r="S2213" s="59"/>
      <c r="T2213" s="16" t="str">
        <f>IF(T2210="","","Срок сдачи"&amp;": ")</f>
        <v/>
      </c>
      <c r="U2213" s="64" t="str">
        <f>IFERROR(VLOOKUP(S$13&amp;$B2213,Aux!$B:$M,6,0),"")</f>
        <v/>
      </c>
      <c r="V2213" s="64"/>
      <c r="W2213" s="63"/>
      <c r="AA2213" s="59"/>
      <c r="AB2213" s="16" t="str">
        <f>IF(AB2210="","","Срок сдачи"&amp;": ")</f>
        <v/>
      </c>
      <c r="AC2213" s="64" t="str">
        <f>IFERROR(VLOOKUP(AA$13&amp;$B2213,Aux!$B:$M,6,0),"")</f>
        <v/>
      </c>
      <c r="AD2213" s="64"/>
      <c r="AE2213" s="63"/>
    </row>
    <row r="2214" spans="2:31" x14ac:dyDescent="0.25">
      <c r="B2214" s="53">
        <f t="shared" si="34"/>
        <v>440</v>
      </c>
      <c r="C2214" s="7"/>
      <c r="D2214" s="17"/>
      <c r="E2214" s="7"/>
      <c r="F2214" s="18"/>
      <c r="G2214" s="18"/>
      <c r="K2214" s="13"/>
      <c r="L2214" s="17"/>
      <c r="M2214" s="13"/>
      <c r="N2214" s="14"/>
      <c r="O2214" s="14"/>
      <c r="S2214" s="13"/>
      <c r="T2214" s="17"/>
      <c r="U2214" s="13"/>
      <c r="V2214" s="14"/>
      <c r="W2214" s="14"/>
      <c r="AA2214" s="13"/>
      <c r="AB2214" s="17"/>
      <c r="AC2214" s="13"/>
      <c r="AD2214" s="14"/>
      <c r="AE2214" s="30"/>
    </row>
    <row r="2215" spans="2:31" x14ac:dyDescent="0.25">
      <c r="B2215" s="53">
        <f t="shared" si="34"/>
        <v>441</v>
      </c>
      <c r="C2215" s="59" t="str">
        <f>IFERROR(VLOOKUP(C$13&amp;$B2219,Aux!$B:$M,5,0),"")</f>
        <v/>
      </c>
      <c r="D2215" s="60" t="str">
        <f>IFERROR(VLOOKUP(C$13&amp;$B2215,Aux!$B:$M,3,0),"")</f>
        <v/>
      </c>
      <c r="E2215" s="60"/>
      <c r="F2215" s="60"/>
      <c r="G2215" s="61" t="str">
        <f>IFERROR(VLOOKUP(C$13&amp;$B2215,Aux!$B:$M,9,0),"")</f>
        <v/>
      </c>
      <c r="K2215" s="59" t="str">
        <f>IFERROR(VLOOKUP(K$13&amp;$B2219,Aux!$B:$M,5,0),"")</f>
        <v/>
      </c>
      <c r="L2215" s="60" t="str">
        <f>IFERROR(VLOOKUP(K$13&amp;$B2215,Aux!$B:$M,3,0),"")</f>
        <v/>
      </c>
      <c r="M2215" s="60"/>
      <c r="N2215" s="60"/>
      <c r="O2215" s="61" t="str">
        <f>IFERROR(VLOOKUP(K$13&amp;$B2215,Aux!$B:$M,9,0),"")</f>
        <v/>
      </c>
      <c r="S2215" s="59" t="str">
        <f>IFERROR(VLOOKUP(S$13&amp;$B2219,Aux!$B:$M,5,0),"")</f>
        <v/>
      </c>
      <c r="T2215" s="60" t="str">
        <f>IFERROR(VLOOKUP(S$13&amp;$B2215,Aux!$B:$M,3,0),"")</f>
        <v/>
      </c>
      <c r="U2215" s="60"/>
      <c r="V2215" s="60"/>
      <c r="W2215" s="61" t="str">
        <f>IFERROR(VLOOKUP(S$13&amp;$B2215,Aux!$B:$M,9,0),"")</f>
        <v/>
      </c>
      <c r="AA2215" s="59" t="str">
        <f>IFERROR(VLOOKUP(AA$13&amp;$B2219,Aux!$B:$M,5,0),"")</f>
        <v/>
      </c>
      <c r="AB2215" s="60" t="str">
        <f>IFERROR(VLOOKUP(AA$13&amp;$B2215,Aux!$B:$M,3,0),"")</f>
        <v/>
      </c>
      <c r="AC2215" s="60"/>
      <c r="AD2215" s="60"/>
      <c r="AE2215" s="61" t="str">
        <f>IFERROR(VLOOKUP(AA$13&amp;$B2215,Aux!$B:$M,9,0),"")</f>
        <v/>
      </c>
    </row>
    <row r="2216" spans="2:31" x14ac:dyDescent="0.25">
      <c r="B2216" s="53">
        <f t="shared" si="34"/>
        <v>441</v>
      </c>
      <c r="C2216" s="59"/>
      <c r="D2216" s="60"/>
      <c r="E2216" s="60"/>
      <c r="F2216" s="60"/>
      <c r="G2216" s="61"/>
      <c r="K2216" s="59"/>
      <c r="L2216" s="60"/>
      <c r="M2216" s="60"/>
      <c r="N2216" s="60"/>
      <c r="O2216" s="61"/>
      <c r="S2216" s="59"/>
      <c r="T2216" s="60"/>
      <c r="U2216" s="60"/>
      <c r="V2216" s="60"/>
      <c r="W2216" s="61"/>
      <c r="AA2216" s="59"/>
      <c r="AB2216" s="60"/>
      <c r="AC2216" s="60"/>
      <c r="AD2216" s="60"/>
      <c r="AE2216" s="61"/>
    </row>
    <row r="2217" spans="2:31" x14ac:dyDescent="0.25">
      <c r="B2217" s="53">
        <f t="shared" si="34"/>
        <v>441</v>
      </c>
      <c r="C2217" s="59"/>
      <c r="D2217" s="15" t="str">
        <f>IF(D2215="","","Исполнитель"&amp;": ")</f>
        <v/>
      </c>
      <c r="E2217" s="62" t="str">
        <f>IFERROR(VLOOKUP(C$13&amp;$B2217,Aux!$B:$M,4,0),"")</f>
        <v/>
      </c>
      <c r="F2217" s="62"/>
      <c r="G2217" s="63" t="str">
        <f>IFERROR(IF(VLOOKUP(C$13&amp;$B2215,Aux!$B:$M,8,0)="Да","✔","🕓"),"")</f>
        <v/>
      </c>
      <c r="K2217" s="59"/>
      <c r="L2217" s="15" t="str">
        <f>IF(L2215="","","Исполнитель"&amp;": ")</f>
        <v/>
      </c>
      <c r="M2217" s="62" t="str">
        <f>IFERROR(VLOOKUP(K$13&amp;$B2217,Aux!$B:$M,4,0),"")</f>
        <v/>
      </c>
      <c r="N2217" s="62"/>
      <c r="O2217" s="63" t="str">
        <f>IFERROR(IF(VLOOKUP(K$13&amp;$B2215,Aux!$B:$M,8,0)="Да","✔","🕓"),"")</f>
        <v/>
      </c>
      <c r="S2217" s="59"/>
      <c r="T2217" s="15" t="str">
        <f>IF(T2215="","","Исполнитель"&amp;": ")</f>
        <v/>
      </c>
      <c r="U2217" s="62" t="str">
        <f>IFERROR(VLOOKUP(S$13&amp;$B2217,Aux!$B:$M,4,0),"")</f>
        <v/>
      </c>
      <c r="V2217" s="62"/>
      <c r="W2217" s="63" t="str">
        <f>IFERROR(IF(VLOOKUP(S$13&amp;$B2215,Aux!$B:$M,8,0)="Да","✔","🕓"),"")</f>
        <v/>
      </c>
      <c r="AA2217" s="59"/>
      <c r="AB2217" s="15" t="str">
        <f>IF(AB2215="","","Исполнитель"&amp;": ")</f>
        <v/>
      </c>
      <c r="AC2217" s="62" t="str">
        <f>IFERROR(VLOOKUP(AA$13&amp;$B2217,Aux!$B:$M,4,0),"")</f>
        <v/>
      </c>
      <c r="AD2217" s="62"/>
      <c r="AE2217" s="63" t="str">
        <f>IFERROR(IF(VLOOKUP(AA$13&amp;$B2215,Aux!$B:$M,8,0)="Да","✔","🕓"),"")</f>
        <v/>
      </c>
    </row>
    <row r="2218" spans="2:31" x14ac:dyDescent="0.25">
      <c r="B2218" s="53">
        <f t="shared" si="34"/>
        <v>441</v>
      </c>
      <c r="C2218" s="59"/>
      <c r="D2218" s="16" t="str">
        <f>IF(D2215="","","Срок сдачи"&amp;": ")</f>
        <v/>
      </c>
      <c r="E2218" s="64" t="str">
        <f>IFERROR(VLOOKUP(C$13&amp;$B2218,Aux!$B:$M,6,0),"")</f>
        <v/>
      </c>
      <c r="F2218" s="64"/>
      <c r="G2218" s="63"/>
      <c r="K2218" s="59"/>
      <c r="L2218" s="16" t="str">
        <f>IF(L2215="","","Срок сдачи"&amp;": ")</f>
        <v/>
      </c>
      <c r="M2218" s="64" t="str">
        <f>IFERROR(VLOOKUP(K$13&amp;$B2218,Aux!$B:$M,6,0),"")</f>
        <v/>
      </c>
      <c r="N2218" s="64"/>
      <c r="O2218" s="63"/>
      <c r="S2218" s="59"/>
      <c r="T2218" s="16" t="str">
        <f>IF(T2215="","","Срок сдачи"&amp;": ")</f>
        <v/>
      </c>
      <c r="U2218" s="64" t="str">
        <f>IFERROR(VLOOKUP(S$13&amp;$B2218,Aux!$B:$M,6,0),"")</f>
        <v/>
      </c>
      <c r="V2218" s="64"/>
      <c r="W2218" s="63"/>
      <c r="AA2218" s="59"/>
      <c r="AB2218" s="16" t="str">
        <f>IF(AB2215="","","Срок сдачи"&amp;": ")</f>
        <v/>
      </c>
      <c r="AC2218" s="64" t="str">
        <f>IFERROR(VLOOKUP(AA$13&amp;$B2218,Aux!$B:$M,6,0),"")</f>
        <v/>
      </c>
      <c r="AD2218" s="64"/>
      <c r="AE2218" s="63"/>
    </row>
    <row r="2219" spans="2:31" x14ac:dyDescent="0.25">
      <c r="B2219" s="53">
        <f t="shared" si="34"/>
        <v>441</v>
      </c>
      <c r="C2219" s="7"/>
      <c r="D2219" s="17"/>
      <c r="E2219" s="7"/>
      <c r="F2219" s="18"/>
      <c r="G2219" s="18"/>
      <c r="K2219" s="13"/>
      <c r="L2219" s="17"/>
      <c r="M2219" s="13"/>
      <c r="N2219" s="14"/>
      <c r="O2219" s="14"/>
      <c r="S2219" s="13"/>
      <c r="T2219" s="17"/>
      <c r="U2219" s="13"/>
      <c r="V2219" s="14"/>
      <c r="W2219" s="14"/>
      <c r="AA2219" s="13"/>
      <c r="AB2219" s="17"/>
      <c r="AC2219" s="13"/>
      <c r="AD2219" s="14"/>
      <c r="AE2219" s="30"/>
    </row>
    <row r="2220" spans="2:31" x14ac:dyDescent="0.25">
      <c r="B2220" s="53">
        <f t="shared" si="34"/>
        <v>442</v>
      </c>
      <c r="C2220" s="59" t="str">
        <f>IFERROR(VLOOKUP(C$13&amp;$B2224,Aux!$B:$M,5,0),"")</f>
        <v/>
      </c>
      <c r="D2220" s="60" t="str">
        <f>IFERROR(VLOOKUP(C$13&amp;$B2220,Aux!$B:$M,3,0),"")</f>
        <v/>
      </c>
      <c r="E2220" s="60"/>
      <c r="F2220" s="60"/>
      <c r="G2220" s="61" t="str">
        <f>IFERROR(VLOOKUP(C$13&amp;$B2220,Aux!$B:$M,9,0),"")</f>
        <v/>
      </c>
      <c r="K2220" s="59" t="str">
        <f>IFERROR(VLOOKUP(K$13&amp;$B2224,Aux!$B:$M,5,0),"")</f>
        <v/>
      </c>
      <c r="L2220" s="60" t="str">
        <f>IFERROR(VLOOKUP(K$13&amp;$B2220,Aux!$B:$M,3,0),"")</f>
        <v/>
      </c>
      <c r="M2220" s="60"/>
      <c r="N2220" s="60"/>
      <c r="O2220" s="61" t="str">
        <f>IFERROR(VLOOKUP(K$13&amp;$B2220,Aux!$B:$M,9,0),"")</f>
        <v/>
      </c>
      <c r="S2220" s="59" t="str">
        <f>IFERROR(VLOOKUP(S$13&amp;$B2224,Aux!$B:$M,5,0),"")</f>
        <v/>
      </c>
      <c r="T2220" s="60" t="str">
        <f>IFERROR(VLOOKUP(S$13&amp;$B2220,Aux!$B:$M,3,0),"")</f>
        <v/>
      </c>
      <c r="U2220" s="60"/>
      <c r="V2220" s="60"/>
      <c r="W2220" s="61" t="str">
        <f>IFERROR(VLOOKUP(S$13&amp;$B2220,Aux!$B:$M,9,0),"")</f>
        <v/>
      </c>
      <c r="AA2220" s="59" t="str">
        <f>IFERROR(VLOOKUP(AA$13&amp;$B2224,Aux!$B:$M,5,0),"")</f>
        <v/>
      </c>
      <c r="AB2220" s="60" t="str">
        <f>IFERROR(VLOOKUP(AA$13&amp;$B2220,Aux!$B:$M,3,0),"")</f>
        <v/>
      </c>
      <c r="AC2220" s="60"/>
      <c r="AD2220" s="60"/>
      <c r="AE2220" s="61" t="str">
        <f>IFERROR(VLOOKUP(AA$13&amp;$B2220,Aux!$B:$M,9,0),"")</f>
        <v/>
      </c>
    </row>
    <row r="2221" spans="2:31" x14ac:dyDescent="0.25">
      <c r="B2221" s="53">
        <f t="shared" si="34"/>
        <v>442</v>
      </c>
      <c r="C2221" s="59"/>
      <c r="D2221" s="60"/>
      <c r="E2221" s="60"/>
      <c r="F2221" s="60"/>
      <c r="G2221" s="61"/>
      <c r="K2221" s="59"/>
      <c r="L2221" s="60"/>
      <c r="M2221" s="60"/>
      <c r="N2221" s="60"/>
      <c r="O2221" s="61"/>
      <c r="S2221" s="59"/>
      <c r="T2221" s="60"/>
      <c r="U2221" s="60"/>
      <c r="V2221" s="60"/>
      <c r="W2221" s="61"/>
      <c r="AA2221" s="59"/>
      <c r="AB2221" s="60"/>
      <c r="AC2221" s="60"/>
      <c r="AD2221" s="60"/>
      <c r="AE2221" s="61"/>
    </row>
    <row r="2222" spans="2:31" x14ac:dyDescent="0.25">
      <c r="B2222" s="53">
        <f t="shared" si="34"/>
        <v>442</v>
      </c>
      <c r="C2222" s="59"/>
      <c r="D2222" s="15" t="str">
        <f>IF(D2220="","","Исполнитель"&amp;": ")</f>
        <v/>
      </c>
      <c r="E2222" s="62" t="str">
        <f>IFERROR(VLOOKUP(C$13&amp;$B2222,Aux!$B:$M,4,0),"")</f>
        <v/>
      </c>
      <c r="F2222" s="62"/>
      <c r="G2222" s="63" t="str">
        <f>IFERROR(IF(VLOOKUP(C$13&amp;$B2220,Aux!$B:$M,8,0)="Да","✔","🕓"),"")</f>
        <v/>
      </c>
      <c r="K2222" s="59"/>
      <c r="L2222" s="15" t="str">
        <f>IF(L2220="","","Исполнитель"&amp;": ")</f>
        <v/>
      </c>
      <c r="M2222" s="62" t="str">
        <f>IFERROR(VLOOKUP(K$13&amp;$B2222,Aux!$B:$M,4,0),"")</f>
        <v/>
      </c>
      <c r="N2222" s="62"/>
      <c r="O2222" s="63" t="str">
        <f>IFERROR(IF(VLOOKUP(K$13&amp;$B2220,Aux!$B:$M,8,0)="Да","✔","🕓"),"")</f>
        <v/>
      </c>
      <c r="S2222" s="59"/>
      <c r="T2222" s="15" t="str">
        <f>IF(T2220="","","Исполнитель"&amp;": ")</f>
        <v/>
      </c>
      <c r="U2222" s="62" t="str">
        <f>IFERROR(VLOOKUP(S$13&amp;$B2222,Aux!$B:$M,4,0),"")</f>
        <v/>
      </c>
      <c r="V2222" s="62"/>
      <c r="W2222" s="63" t="str">
        <f>IFERROR(IF(VLOOKUP(S$13&amp;$B2220,Aux!$B:$M,8,0)="Да","✔","🕓"),"")</f>
        <v/>
      </c>
      <c r="AA2222" s="59"/>
      <c r="AB2222" s="15" t="str">
        <f>IF(AB2220="","","Исполнитель"&amp;": ")</f>
        <v/>
      </c>
      <c r="AC2222" s="62" t="str">
        <f>IFERROR(VLOOKUP(AA$13&amp;$B2222,Aux!$B:$M,4,0),"")</f>
        <v/>
      </c>
      <c r="AD2222" s="62"/>
      <c r="AE2222" s="63" t="str">
        <f>IFERROR(IF(VLOOKUP(AA$13&amp;$B2220,Aux!$B:$M,8,0)="Да","✔","🕓"),"")</f>
        <v/>
      </c>
    </row>
    <row r="2223" spans="2:31" x14ac:dyDescent="0.25">
      <c r="B2223" s="53">
        <f t="shared" si="34"/>
        <v>442</v>
      </c>
      <c r="C2223" s="59"/>
      <c r="D2223" s="16" t="str">
        <f>IF(D2220="","","Срок сдачи"&amp;": ")</f>
        <v/>
      </c>
      <c r="E2223" s="64" t="str">
        <f>IFERROR(VLOOKUP(C$13&amp;$B2223,Aux!$B:$M,6,0),"")</f>
        <v/>
      </c>
      <c r="F2223" s="64"/>
      <c r="G2223" s="63"/>
      <c r="K2223" s="59"/>
      <c r="L2223" s="16" t="str">
        <f>IF(L2220="","","Срок сдачи"&amp;": ")</f>
        <v/>
      </c>
      <c r="M2223" s="64" t="str">
        <f>IFERROR(VLOOKUP(K$13&amp;$B2223,Aux!$B:$M,6,0),"")</f>
        <v/>
      </c>
      <c r="N2223" s="64"/>
      <c r="O2223" s="63"/>
      <c r="S2223" s="59"/>
      <c r="T2223" s="16" t="str">
        <f>IF(T2220="","","Срок сдачи"&amp;": ")</f>
        <v/>
      </c>
      <c r="U2223" s="64" t="str">
        <f>IFERROR(VLOOKUP(S$13&amp;$B2223,Aux!$B:$M,6,0),"")</f>
        <v/>
      </c>
      <c r="V2223" s="64"/>
      <c r="W2223" s="63"/>
      <c r="AA2223" s="59"/>
      <c r="AB2223" s="16" t="str">
        <f>IF(AB2220="","","Срок сдачи"&amp;": ")</f>
        <v/>
      </c>
      <c r="AC2223" s="64" t="str">
        <f>IFERROR(VLOOKUP(AA$13&amp;$B2223,Aux!$B:$M,6,0),"")</f>
        <v/>
      </c>
      <c r="AD2223" s="64"/>
      <c r="AE2223" s="63"/>
    </row>
    <row r="2224" spans="2:31" x14ac:dyDescent="0.25">
      <c r="B2224" s="53">
        <f t="shared" si="34"/>
        <v>442</v>
      </c>
      <c r="C2224" s="7"/>
      <c r="D2224" s="17"/>
      <c r="E2224" s="7"/>
      <c r="F2224" s="18"/>
      <c r="G2224" s="18"/>
      <c r="K2224" s="13"/>
      <c r="L2224" s="17"/>
      <c r="M2224" s="13"/>
      <c r="N2224" s="14"/>
      <c r="O2224" s="14"/>
      <c r="S2224" s="13"/>
      <c r="T2224" s="17"/>
      <c r="U2224" s="13"/>
      <c r="V2224" s="14"/>
      <c r="W2224" s="14"/>
      <c r="AA2224" s="13"/>
      <c r="AB2224" s="17"/>
      <c r="AC2224" s="13"/>
      <c r="AD2224" s="14"/>
      <c r="AE2224" s="30"/>
    </row>
    <row r="2225" spans="2:31" x14ac:dyDescent="0.25">
      <c r="B2225" s="53">
        <f t="shared" si="34"/>
        <v>443</v>
      </c>
      <c r="C2225" s="59" t="str">
        <f>IFERROR(VLOOKUP(C$13&amp;$B2229,Aux!$B:$M,5,0),"")</f>
        <v/>
      </c>
      <c r="D2225" s="60" t="str">
        <f>IFERROR(VLOOKUP(C$13&amp;$B2225,Aux!$B:$M,3,0),"")</f>
        <v/>
      </c>
      <c r="E2225" s="60"/>
      <c r="F2225" s="60"/>
      <c r="G2225" s="61" t="str">
        <f>IFERROR(VLOOKUP(C$13&amp;$B2225,Aux!$B:$M,9,0),"")</f>
        <v/>
      </c>
      <c r="K2225" s="59" t="str">
        <f>IFERROR(VLOOKUP(K$13&amp;$B2229,Aux!$B:$M,5,0),"")</f>
        <v/>
      </c>
      <c r="L2225" s="60" t="str">
        <f>IFERROR(VLOOKUP(K$13&amp;$B2225,Aux!$B:$M,3,0),"")</f>
        <v/>
      </c>
      <c r="M2225" s="60"/>
      <c r="N2225" s="60"/>
      <c r="O2225" s="61" t="str">
        <f>IFERROR(VLOOKUP(K$13&amp;$B2225,Aux!$B:$M,9,0),"")</f>
        <v/>
      </c>
      <c r="S2225" s="59" t="str">
        <f>IFERROR(VLOOKUP(S$13&amp;$B2229,Aux!$B:$M,5,0),"")</f>
        <v/>
      </c>
      <c r="T2225" s="60" t="str">
        <f>IFERROR(VLOOKUP(S$13&amp;$B2225,Aux!$B:$M,3,0),"")</f>
        <v/>
      </c>
      <c r="U2225" s="60"/>
      <c r="V2225" s="60"/>
      <c r="W2225" s="61" t="str">
        <f>IFERROR(VLOOKUP(S$13&amp;$B2225,Aux!$B:$M,9,0),"")</f>
        <v/>
      </c>
      <c r="AA2225" s="59" t="str">
        <f>IFERROR(VLOOKUP(AA$13&amp;$B2229,Aux!$B:$M,5,0),"")</f>
        <v/>
      </c>
      <c r="AB2225" s="60" t="str">
        <f>IFERROR(VLOOKUP(AA$13&amp;$B2225,Aux!$B:$M,3,0),"")</f>
        <v/>
      </c>
      <c r="AC2225" s="60"/>
      <c r="AD2225" s="60"/>
      <c r="AE2225" s="61" t="str">
        <f>IFERROR(VLOOKUP(AA$13&amp;$B2225,Aux!$B:$M,9,0),"")</f>
        <v/>
      </c>
    </row>
    <row r="2226" spans="2:31" x14ac:dyDescent="0.25">
      <c r="B2226" s="53">
        <f t="shared" si="34"/>
        <v>443</v>
      </c>
      <c r="C2226" s="59"/>
      <c r="D2226" s="60"/>
      <c r="E2226" s="60"/>
      <c r="F2226" s="60"/>
      <c r="G2226" s="61"/>
      <c r="K2226" s="59"/>
      <c r="L2226" s="60"/>
      <c r="M2226" s="60"/>
      <c r="N2226" s="60"/>
      <c r="O2226" s="61"/>
      <c r="S2226" s="59"/>
      <c r="T2226" s="60"/>
      <c r="U2226" s="60"/>
      <c r="V2226" s="60"/>
      <c r="W2226" s="61"/>
      <c r="AA2226" s="59"/>
      <c r="AB2226" s="60"/>
      <c r="AC2226" s="60"/>
      <c r="AD2226" s="60"/>
      <c r="AE2226" s="61"/>
    </row>
    <row r="2227" spans="2:31" x14ac:dyDescent="0.25">
      <c r="B2227" s="53">
        <f t="shared" si="34"/>
        <v>443</v>
      </c>
      <c r="C2227" s="59"/>
      <c r="D2227" s="15" t="str">
        <f>IF(D2225="","","Исполнитель"&amp;": ")</f>
        <v/>
      </c>
      <c r="E2227" s="62" t="str">
        <f>IFERROR(VLOOKUP(C$13&amp;$B2227,Aux!$B:$M,4,0),"")</f>
        <v/>
      </c>
      <c r="F2227" s="62"/>
      <c r="G2227" s="63" t="str">
        <f>IFERROR(IF(VLOOKUP(C$13&amp;$B2225,Aux!$B:$M,8,0)="Да","✔","🕓"),"")</f>
        <v/>
      </c>
      <c r="K2227" s="59"/>
      <c r="L2227" s="15" t="str">
        <f>IF(L2225="","","Исполнитель"&amp;": ")</f>
        <v/>
      </c>
      <c r="M2227" s="62" t="str">
        <f>IFERROR(VLOOKUP(K$13&amp;$B2227,Aux!$B:$M,4,0),"")</f>
        <v/>
      </c>
      <c r="N2227" s="62"/>
      <c r="O2227" s="63" t="str">
        <f>IFERROR(IF(VLOOKUP(K$13&amp;$B2225,Aux!$B:$M,8,0)="Да","✔","🕓"),"")</f>
        <v/>
      </c>
      <c r="S2227" s="59"/>
      <c r="T2227" s="15" t="str">
        <f>IF(T2225="","","Исполнитель"&amp;": ")</f>
        <v/>
      </c>
      <c r="U2227" s="62" t="str">
        <f>IFERROR(VLOOKUP(S$13&amp;$B2227,Aux!$B:$M,4,0),"")</f>
        <v/>
      </c>
      <c r="V2227" s="62"/>
      <c r="W2227" s="63" t="str">
        <f>IFERROR(IF(VLOOKUP(S$13&amp;$B2225,Aux!$B:$M,8,0)="Да","✔","🕓"),"")</f>
        <v/>
      </c>
      <c r="AA2227" s="59"/>
      <c r="AB2227" s="15" t="str">
        <f>IF(AB2225="","","Исполнитель"&amp;": ")</f>
        <v/>
      </c>
      <c r="AC2227" s="62" t="str">
        <f>IFERROR(VLOOKUP(AA$13&amp;$B2227,Aux!$B:$M,4,0),"")</f>
        <v/>
      </c>
      <c r="AD2227" s="62"/>
      <c r="AE2227" s="63" t="str">
        <f>IFERROR(IF(VLOOKUP(AA$13&amp;$B2225,Aux!$B:$M,8,0)="Да","✔","🕓"),"")</f>
        <v/>
      </c>
    </row>
    <row r="2228" spans="2:31" x14ac:dyDescent="0.25">
      <c r="B2228" s="53">
        <f t="shared" si="34"/>
        <v>443</v>
      </c>
      <c r="C2228" s="59"/>
      <c r="D2228" s="16" t="str">
        <f>IF(D2225="","","Срок сдачи"&amp;": ")</f>
        <v/>
      </c>
      <c r="E2228" s="64" t="str">
        <f>IFERROR(VLOOKUP(C$13&amp;$B2228,Aux!$B:$M,6,0),"")</f>
        <v/>
      </c>
      <c r="F2228" s="64"/>
      <c r="G2228" s="63"/>
      <c r="K2228" s="59"/>
      <c r="L2228" s="16" t="str">
        <f>IF(L2225="","","Срок сдачи"&amp;": ")</f>
        <v/>
      </c>
      <c r="M2228" s="64" t="str">
        <f>IFERROR(VLOOKUP(K$13&amp;$B2228,Aux!$B:$M,6,0),"")</f>
        <v/>
      </c>
      <c r="N2228" s="64"/>
      <c r="O2228" s="63"/>
      <c r="S2228" s="59"/>
      <c r="T2228" s="16" t="str">
        <f>IF(T2225="","","Срок сдачи"&amp;": ")</f>
        <v/>
      </c>
      <c r="U2228" s="64" t="str">
        <f>IFERROR(VLOOKUP(S$13&amp;$B2228,Aux!$B:$M,6,0),"")</f>
        <v/>
      </c>
      <c r="V2228" s="64"/>
      <c r="W2228" s="63"/>
      <c r="AA2228" s="59"/>
      <c r="AB2228" s="16" t="str">
        <f>IF(AB2225="","","Срок сдачи"&amp;": ")</f>
        <v/>
      </c>
      <c r="AC2228" s="64" t="str">
        <f>IFERROR(VLOOKUP(AA$13&amp;$B2228,Aux!$B:$M,6,0),"")</f>
        <v/>
      </c>
      <c r="AD2228" s="64"/>
      <c r="AE2228" s="63"/>
    </row>
    <row r="2229" spans="2:31" x14ac:dyDescent="0.25">
      <c r="B2229" s="53">
        <f t="shared" si="34"/>
        <v>443</v>
      </c>
      <c r="C2229" s="7"/>
      <c r="D2229" s="17"/>
      <c r="E2229" s="7"/>
      <c r="F2229" s="18"/>
      <c r="G2229" s="18"/>
      <c r="K2229" s="13"/>
      <c r="L2229" s="17"/>
      <c r="M2229" s="13"/>
      <c r="N2229" s="14"/>
      <c r="O2229" s="14"/>
      <c r="S2229" s="13"/>
      <c r="T2229" s="17"/>
      <c r="U2229" s="13"/>
      <c r="V2229" s="14"/>
      <c r="W2229" s="14"/>
      <c r="AA2229" s="13"/>
      <c r="AB2229" s="17"/>
      <c r="AC2229" s="13"/>
      <c r="AD2229" s="14"/>
      <c r="AE2229" s="30"/>
    </row>
    <row r="2230" spans="2:31" x14ac:dyDescent="0.25">
      <c r="B2230" s="53">
        <f t="shared" si="34"/>
        <v>444</v>
      </c>
      <c r="C2230" s="59" t="str">
        <f>IFERROR(VLOOKUP(C$13&amp;$B2234,Aux!$B:$M,5,0),"")</f>
        <v/>
      </c>
      <c r="D2230" s="60" t="str">
        <f>IFERROR(VLOOKUP(C$13&amp;$B2230,Aux!$B:$M,3,0),"")</f>
        <v/>
      </c>
      <c r="E2230" s="60"/>
      <c r="F2230" s="60"/>
      <c r="G2230" s="61" t="str">
        <f>IFERROR(VLOOKUP(C$13&amp;$B2230,Aux!$B:$M,9,0),"")</f>
        <v/>
      </c>
      <c r="K2230" s="59" t="str">
        <f>IFERROR(VLOOKUP(K$13&amp;$B2234,Aux!$B:$M,5,0),"")</f>
        <v/>
      </c>
      <c r="L2230" s="60" t="str">
        <f>IFERROR(VLOOKUP(K$13&amp;$B2230,Aux!$B:$M,3,0),"")</f>
        <v/>
      </c>
      <c r="M2230" s="60"/>
      <c r="N2230" s="60"/>
      <c r="O2230" s="61" t="str">
        <f>IFERROR(VLOOKUP(K$13&amp;$B2230,Aux!$B:$M,9,0),"")</f>
        <v/>
      </c>
      <c r="S2230" s="59" t="str">
        <f>IFERROR(VLOOKUP(S$13&amp;$B2234,Aux!$B:$M,5,0),"")</f>
        <v/>
      </c>
      <c r="T2230" s="60" t="str">
        <f>IFERROR(VLOOKUP(S$13&amp;$B2230,Aux!$B:$M,3,0),"")</f>
        <v/>
      </c>
      <c r="U2230" s="60"/>
      <c r="V2230" s="60"/>
      <c r="W2230" s="61" t="str">
        <f>IFERROR(VLOOKUP(S$13&amp;$B2230,Aux!$B:$M,9,0),"")</f>
        <v/>
      </c>
      <c r="AA2230" s="59" t="str">
        <f>IFERROR(VLOOKUP(AA$13&amp;$B2234,Aux!$B:$M,5,0),"")</f>
        <v/>
      </c>
      <c r="AB2230" s="60" t="str">
        <f>IFERROR(VLOOKUP(AA$13&amp;$B2230,Aux!$B:$M,3,0),"")</f>
        <v/>
      </c>
      <c r="AC2230" s="60"/>
      <c r="AD2230" s="60"/>
      <c r="AE2230" s="61" t="str">
        <f>IFERROR(VLOOKUP(AA$13&amp;$B2230,Aux!$B:$M,9,0),"")</f>
        <v/>
      </c>
    </row>
    <row r="2231" spans="2:31" x14ac:dyDescent="0.25">
      <c r="B2231" s="53">
        <f t="shared" si="34"/>
        <v>444</v>
      </c>
      <c r="C2231" s="59"/>
      <c r="D2231" s="60"/>
      <c r="E2231" s="60"/>
      <c r="F2231" s="60"/>
      <c r="G2231" s="61"/>
      <c r="K2231" s="59"/>
      <c r="L2231" s="60"/>
      <c r="M2231" s="60"/>
      <c r="N2231" s="60"/>
      <c r="O2231" s="61"/>
      <c r="S2231" s="59"/>
      <c r="T2231" s="60"/>
      <c r="U2231" s="60"/>
      <c r="V2231" s="60"/>
      <c r="W2231" s="61"/>
      <c r="AA2231" s="59"/>
      <c r="AB2231" s="60"/>
      <c r="AC2231" s="60"/>
      <c r="AD2231" s="60"/>
      <c r="AE2231" s="61"/>
    </row>
    <row r="2232" spans="2:31" x14ac:dyDescent="0.25">
      <c r="B2232" s="53">
        <f t="shared" si="34"/>
        <v>444</v>
      </c>
      <c r="C2232" s="59"/>
      <c r="D2232" s="15" t="str">
        <f>IF(D2230="","","Исполнитель"&amp;": ")</f>
        <v/>
      </c>
      <c r="E2232" s="62" t="str">
        <f>IFERROR(VLOOKUP(C$13&amp;$B2232,Aux!$B:$M,4,0),"")</f>
        <v/>
      </c>
      <c r="F2232" s="62"/>
      <c r="G2232" s="63" t="str">
        <f>IFERROR(IF(VLOOKUP(C$13&amp;$B2230,Aux!$B:$M,8,0)="Да","✔","🕓"),"")</f>
        <v/>
      </c>
      <c r="K2232" s="59"/>
      <c r="L2232" s="15" t="str">
        <f>IF(L2230="","","Исполнитель"&amp;": ")</f>
        <v/>
      </c>
      <c r="M2232" s="62" t="str">
        <f>IFERROR(VLOOKUP(K$13&amp;$B2232,Aux!$B:$M,4,0),"")</f>
        <v/>
      </c>
      <c r="N2232" s="62"/>
      <c r="O2232" s="63" t="str">
        <f>IFERROR(IF(VLOOKUP(K$13&amp;$B2230,Aux!$B:$M,8,0)="Да","✔","🕓"),"")</f>
        <v/>
      </c>
      <c r="S2232" s="59"/>
      <c r="T2232" s="15" t="str">
        <f>IF(T2230="","","Исполнитель"&amp;": ")</f>
        <v/>
      </c>
      <c r="U2232" s="62" t="str">
        <f>IFERROR(VLOOKUP(S$13&amp;$B2232,Aux!$B:$M,4,0),"")</f>
        <v/>
      </c>
      <c r="V2232" s="62"/>
      <c r="W2232" s="63" t="str">
        <f>IFERROR(IF(VLOOKUP(S$13&amp;$B2230,Aux!$B:$M,8,0)="Да","✔","🕓"),"")</f>
        <v/>
      </c>
      <c r="AA2232" s="59"/>
      <c r="AB2232" s="15" t="str">
        <f>IF(AB2230="","","Исполнитель"&amp;": ")</f>
        <v/>
      </c>
      <c r="AC2232" s="62" t="str">
        <f>IFERROR(VLOOKUP(AA$13&amp;$B2232,Aux!$B:$M,4,0),"")</f>
        <v/>
      </c>
      <c r="AD2232" s="62"/>
      <c r="AE2232" s="63" t="str">
        <f>IFERROR(IF(VLOOKUP(AA$13&amp;$B2230,Aux!$B:$M,8,0)="Да","✔","🕓"),"")</f>
        <v/>
      </c>
    </row>
    <row r="2233" spans="2:31" x14ac:dyDescent="0.25">
      <c r="B2233" s="53">
        <f t="shared" si="34"/>
        <v>444</v>
      </c>
      <c r="C2233" s="59"/>
      <c r="D2233" s="16" t="str">
        <f>IF(D2230="","","Срок сдачи"&amp;": ")</f>
        <v/>
      </c>
      <c r="E2233" s="64" t="str">
        <f>IFERROR(VLOOKUP(C$13&amp;$B2233,Aux!$B:$M,6,0),"")</f>
        <v/>
      </c>
      <c r="F2233" s="64"/>
      <c r="G2233" s="63"/>
      <c r="K2233" s="59"/>
      <c r="L2233" s="16" t="str">
        <f>IF(L2230="","","Срок сдачи"&amp;": ")</f>
        <v/>
      </c>
      <c r="M2233" s="64" t="str">
        <f>IFERROR(VLOOKUP(K$13&amp;$B2233,Aux!$B:$M,6,0),"")</f>
        <v/>
      </c>
      <c r="N2233" s="64"/>
      <c r="O2233" s="63"/>
      <c r="S2233" s="59"/>
      <c r="T2233" s="16" t="str">
        <f>IF(T2230="","","Срок сдачи"&amp;": ")</f>
        <v/>
      </c>
      <c r="U2233" s="64" t="str">
        <f>IFERROR(VLOOKUP(S$13&amp;$B2233,Aux!$B:$M,6,0),"")</f>
        <v/>
      </c>
      <c r="V2233" s="64"/>
      <c r="W2233" s="63"/>
      <c r="AA2233" s="59"/>
      <c r="AB2233" s="16" t="str">
        <f>IF(AB2230="","","Срок сдачи"&amp;": ")</f>
        <v/>
      </c>
      <c r="AC2233" s="64" t="str">
        <f>IFERROR(VLOOKUP(AA$13&amp;$B2233,Aux!$B:$M,6,0),"")</f>
        <v/>
      </c>
      <c r="AD2233" s="64"/>
      <c r="AE2233" s="63"/>
    </row>
    <row r="2234" spans="2:31" x14ac:dyDescent="0.25">
      <c r="B2234" s="53">
        <f t="shared" si="34"/>
        <v>444</v>
      </c>
      <c r="C2234" s="7"/>
      <c r="D2234" s="17"/>
      <c r="E2234" s="7"/>
      <c r="F2234" s="18"/>
      <c r="G2234" s="18"/>
      <c r="K2234" s="13"/>
      <c r="L2234" s="17"/>
      <c r="M2234" s="13"/>
      <c r="N2234" s="14"/>
      <c r="O2234" s="14"/>
      <c r="S2234" s="13"/>
      <c r="T2234" s="17"/>
      <c r="U2234" s="13"/>
      <c r="V2234" s="14"/>
      <c r="W2234" s="14"/>
      <c r="AA2234" s="13"/>
      <c r="AB2234" s="17"/>
      <c r="AC2234" s="13"/>
      <c r="AD2234" s="14"/>
      <c r="AE2234" s="30"/>
    </row>
    <row r="2235" spans="2:31" x14ac:dyDescent="0.25">
      <c r="B2235" s="53">
        <f t="shared" si="34"/>
        <v>445</v>
      </c>
      <c r="C2235" s="59" t="str">
        <f>IFERROR(VLOOKUP(C$13&amp;$B2239,Aux!$B:$M,5,0),"")</f>
        <v/>
      </c>
      <c r="D2235" s="60" t="str">
        <f>IFERROR(VLOOKUP(C$13&amp;$B2235,Aux!$B:$M,3,0),"")</f>
        <v/>
      </c>
      <c r="E2235" s="60"/>
      <c r="F2235" s="60"/>
      <c r="G2235" s="61" t="str">
        <f>IFERROR(VLOOKUP(C$13&amp;$B2235,Aux!$B:$M,9,0),"")</f>
        <v/>
      </c>
      <c r="K2235" s="59" t="str">
        <f>IFERROR(VLOOKUP(K$13&amp;$B2239,Aux!$B:$M,5,0),"")</f>
        <v/>
      </c>
      <c r="L2235" s="60" t="str">
        <f>IFERROR(VLOOKUP(K$13&amp;$B2235,Aux!$B:$M,3,0),"")</f>
        <v/>
      </c>
      <c r="M2235" s="60"/>
      <c r="N2235" s="60"/>
      <c r="O2235" s="61" t="str">
        <f>IFERROR(VLOOKUP(K$13&amp;$B2235,Aux!$B:$M,9,0),"")</f>
        <v/>
      </c>
      <c r="S2235" s="59" t="str">
        <f>IFERROR(VLOOKUP(S$13&amp;$B2239,Aux!$B:$M,5,0),"")</f>
        <v/>
      </c>
      <c r="T2235" s="60" t="str">
        <f>IFERROR(VLOOKUP(S$13&amp;$B2235,Aux!$B:$M,3,0),"")</f>
        <v/>
      </c>
      <c r="U2235" s="60"/>
      <c r="V2235" s="60"/>
      <c r="W2235" s="61" t="str">
        <f>IFERROR(VLOOKUP(S$13&amp;$B2235,Aux!$B:$M,9,0),"")</f>
        <v/>
      </c>
      <c r="AA2235" s="59" t="str">
        <f>IFERROR(VLOOKUP(AA$13&amp;$B2239,Aux!$B:$M,5,0),"")</f>
        <v/>
      </c>
      <c r="AB2235" s="60" t="str">
        <f>IFERROR(VLOOKUP(AA$13&amp;$B2235,Aux!$B:$M,3,0),"")</f>
        <v/>
      </c>
      <c r="AC2235" s="60"/>
      <c r="AD2235" s="60"/>
      <c r="AE2235" s="61" t="str">
        <f>IFERROR(VLOOKUP(AA$13&amp;$B2235,Aux!$B:$M,9,0),"")</f>
        <v/>
      </c>
    </row>
    <row r="2236" spans="2:31" x14ac:dyDescent="0.25">
      <c r="B2236" s="53">
        <f t="shared" si="34"/>
        <v>445</v>
      </c>
      <c r="C2236" s="59"/>
      <c r="D2236" s="60"/>
      <c r="E2236" s="60"/>
      <c r="F2236" s="60"/>
      <c r="G2236" s="61"/>
      <c r="K2236" s="59"/>
      <c r="L2236" s="60"/>
      <c r="M2236" s="60"/>
      <c r="N2236" s="60"/>
      <c r="O2236" s="61"/>
      <c r="S2236" s="59"/>
      <c r="T2236" s="60"/>
      <c r="U2236" s="60"/>
      <c r="V2236" s="60"/>
      <c r="W2236" s="61"/>
      <c r="AA2236" s="59"/>
      <c r="AB2236" s="60"/>
      <c r="AC2236" s="60"/>
      <c r="AD2236" s="60"/>
      <c r="AE2236" s="61"/>
    </row>
    <row r="2237" spans="2:31" x14ac:dyDescent="0.25">
      <c r="B2237" s="53">
        <f t="shared" si="34"/>
        <v>445</v>
      </c>
      <c r="C2237" s="59"/>
      <c r="D2237" s="15" t="str">
        <f>IF(D2235="","","Исполнитель"&amp;": ")</f>
        <v/>
      </c>
      <c r="E2237" s="62" t="str">
        <f>IFERROR(VLOOKUP(C$13&amp;$B2237,Aux!$B:$M,4,0),"")</f>
        <v/>
      </c>
      <c r="F2237" s="62"/>
      <c r="G2237" s="63" t="str">
        <f>IFERROR(IF(VLOOKUP(C$13&amp;$B2235,Aux!$B:$M,8,0)="Да","✔","🕓"),"")</f>
        <v/>
      </c>
      <c r="K2237" s="59"/>
      <c r="L2237" s="15" t="str">
        <f>IF(L2235="","","Исполнитель"&amp;": ")</f>
        <v/>
      </c>
      <c r="M2237" s="62" t="str">
        <f>IFERROR(VLOOKUP(K$13&amp;$B2237,Aux!$B:$M,4,0),"")</f>
        <v/>
      </c>
      <c r="N2237" s="62"/>
      <c r="O2237" s="63" t="str">
        <f>IFERROR(IF(VLOOKUP(K$13&amp;$B2235,Aux!$B:$M,8,0)="Да","✔","🕓"),"")</f>
        <v/>
      </c>
      <c r="S2237" s="59"/>
      <c r="T2237" s="15" t="str">
        <f>IF(T2235="","","Исполнитель"&amp;": ")</f>
        <v/>
      </c>
      <c r="U2237" s="62" t="str">
        <f>IFERROR(VLOOKUP(S$13&amp;$B2237,Aux!$B:$M,4,0),"")</f>
        <v/>
      </c>
      <c r="V2237" s="62"/>
      <c r="W2237" s="63" t="str">
        <f>IFERROR(IF(VLOOKUP(S$13&amp;$B2235,Aux!$B:$M,8,0)="Да","✔","🕓"),"")</f>
        <v/>
      </c>
      <c r="AA2237" s="59"/>
      <c r="AB2237" s="15" t="str">
        <f>IF(AB2235="","","Исполнитель"&amp;": ")</f>
        <v/>
      </c>
      <c r="AC2237" s="62" t="str">
        <f>IFERROR(VLOOKUP(AA$13&amp;$B2237,Aux!$B:$M,4,0),"")</f>
        <v/>
      </c>
      <c r="AD2237" s="62"/>
      <c r="AE2237" s="63" t="str">
        <f>IFERROR(IF(VLOOKUP(AA$13&amp;$B2235,Aux!$B:$M,8,0)="Да","✔","🕓"),"")</f>
        <v/>
      </c>
    </row>
    <row r="2238" spans="2:31" x14ac:dyDescent="0.25">
      <c r="B2238" s="53">
        <f t="shared" si="34"/>
        <v>445</v>
      </c>
      <c r="C2238" s="59"/>
      <c r="D2238" s="16" t="str">
        <f>IF(D2235="","","Срок сдачи"&amp;": ")</f>
        <v/>
      </c>
      <c r="E2238" s="64" t="str">
        <f>IFERROR(VLOOKUP(C$13&amp;$B2238,Aux!$B:$M,6,0),"")</f>
        <v/>
      </c>
      <c r="F2238" s="64"/>
      <c r="G2238" s="63"/>
      <c r="K2238" s="59"/>
      <c r="L2238" s="16" t="str">
        <f>IF(L2235="","","Срок сдачи"&amp;": ")</f>
        <v/>
      </c>
      <c r="M2238" s="64" t="str">
        <f>IFERROR(VLOOKUP(K$13&amp;$B2238,Aux!$B:$M,6,0),"")</f>
        <v/>
      </c>
      <c r="N2238" s="64"/>
      <c r="O2238" s="63"/>
      <c r="S2238" s="59"/>
      <c r="T2238" s="16" t="str">
        <f>IF(T2235="","","Срок сдачи"&amp;": ")</f>
        <v/>
      </c>
      <c r="U2238" s="64" t="str">
        <f>IFERROR(VLOOKUP(S$13&amp;$B2238,Aux!$B:$M,6,0),"")</f>
        <v/>
      </c>
      <c r="V2238" s="64"/>
      <c r="W2238" s="63"/>
      <c r="AA2238" s="59"/>
      <c r="AB2238" s="16" t="str">
        <f>IF(AB2235="","","Срок сдачи"&amp;": ")</f>
        <v/>
      </c>
      <c r="AC2238" s="64" t="str">
        <f>IFERROR(VLOOKUP(AA$13&amp;$B2238,Aux!$B:$M,6,0),"")</f>
        <v/>
      </c>
      <c r="AD2238" s="64"/>
      <c r="AE2238" s="63"/>
    </row>
    <row r="2239" spans="2:31" x14ac:dyDescent="0.25">
      <c r="B2239" s="53">
        <f t="shared" si="34"/>
        <v>445</v>
      </c>
      <c r="C2239" s="7"/>
      <c r="D2239" s="17"/>
      <c r="E2239" s="7"/>
      <c r="F2239" s="18"/>
      <c r="G2239" s="18"/>
      <c r="K2239" s="13"/>
      <c r="L2239" s="17"/>
      <c r="M2239" s="13"/>
      <c r="N2239" s="14"/>
      <c r="O2239" s="14"/>
      <c r="S2239" s="13"/>
      <c r="T2239" s="17"/>
      <c r="U2239" s="13"/>
      <c r="V2239" s="14"/>
      <c r="W2239" s="14"/>
      <c r="AA2239" s="13"/>
      <c r="AB2239" s="17"/>
      <c r="AC2239" s="13"/>
      <c r="AD2239" s="14"/>
      <c r="AE2239" s="30"/>
    </row>
    <row r="2240" spans="2:31" x14ac:dyDescent="0.25">
      <c r="B2240" s="53">
        <f t="shared" si="34"/>
        <v>446</v>
      </c>
      <c r="C2240" s="59" t="str">
        <f>IFERROR(VLOOKUP(C$13&amp;$B2244,Aux!$B:$M,5,0),"")</f>
        <v/>
      </c>
      <c r="D2240" s="60" t="str">
        <f>IFERROR(VLOOKUP(C$13&amp;$B2240,Aux!$B:$M,3,0),"")</f>
        <v/>
      </c>
      <c r="E2240" s="60"/>
      <c r="F2240" s="60"/>
      <c r="G2240" s="61" t="str">
        <f>IFERROR(VLOOKUP(C$13&amp;$B2240,Aux!$B:$M,9,0),"")</f>
        <v/>
      </c>
      <c r="K2240" s="59" t="str">
        <f>IFERROR(VLOOKUP(K$13&amp;$B2244,Aux!$B:$M,5,0),"")</f>
        <v/>
      </c>
      <c r="L2240" s="60" t="str">
        <f>IFERROR(VLOOKUP(K$13&amp;$B2240,Aux!$B:$M,3,0),"")</f>
        <v/>
      </c>
      <c r="M2240" s="60"/>
      <c r="N2240" s="60"/>
      <c r="O2240" s="61" t="str">
        <f>IFERROR(VLOOKUP(K$13&amp;$B2240,Aux!$B:$M,9,0),"")</f>
        <v/>
      </c>
      <c r="S2240" s="59" t="str">
        <f>IFERROR(VLOOKUP(S$13&amp;$B2244,Aux!$B:$M,5,0),"")</f>
        <v/>
      </c>
      <c r="T2240" s="60" t="str">
        <f>IFERROR(VLOOKUP(S$13&amp;$B2240,Aux!$B:$M,3,0),"")</f>
        <v/>
      </c>
      <c r="U2240" s="60"/>
      <c r="V2240" s="60"/>
      <c r="W2240" s="61" t="str">
        <f>IFERROR(VLOOKUP(S$13&amp;$B2240,Aux!$B:$M,9,0),"")</f>
        <v/>
      </c>
      <c r="AA2240" s="59" t="str">
        <f>IFERROR(VLOOKUP(AA$13&amp;$B2244,Aux!$B:$M,5,0),"")</f>
        <v/>
      </c>
      <c r="AB2240" s="60" t="str">
        <f>IFERROR(VLOOKUP(AA$13&amp;$B2240,Aux!$B:$M,3,0),"")</f>
        <v/>
      </c>
      <c r="AC2240" s="60"/>
      <c r="AD2240" s="60"/>
      <c r="AE2240" s="61" t="str">
        <f>IFERROR(VLOOKUP(AA$13&amp;$B2240,Aux!$B:$M,9,0),"")</f>
        <v/>
      </c>
    </row>
    <row r="2241" spans="2:31" x14ac:dyDescent="0.25">
      <c r="B2241" s="53">
        <f t="shared" si="34"/>
        <v>446</v>
      </c>
      <c r="C2241" s="59"/>
      <c r="D2241" s="60"/>
      <c r="E2241" s="60"/>
      <c r="F2241" s="60"/>
      <c r="G2241" s="61"/>
      <c r="K2241" s="59"/>
      <c r="L2241" s="60"/>
      <c r="M2241" s="60"/>
      <c r="N2241" s="60"/>
      <c r="O2241" s="61"/>
      <c r="S2241" s="59"/>
      <c r="T2241" s="60"/>
      <c r="U2241" s="60"/>
      <c r="V2241" s="60"/>
      <c r="W2241" s="61"/>
      <c r="AA2241" s="59"/>
      <c r="AB2241" s="60"/>
      <c r="AC2241" s="60"/>
      <c r="AD2241" s="60"/>
      <c r="AE2241" s="61"/>
    </row>
    <row r="2242" spans="2:31" x14ac:dyDescent="0.25">
      <c r="B2242" s="53">
        <f t="shared" si="34"/>
        <v>446</v>
      </c>
      <c r="C2242" s="59"/>
      <c r="D2242" s="15" t="str">
        <f>IF(D2240="","","Исполнитель"&amp;": ")</f>
        <v/>
      </c>
      <c r="E2242" s="62" t="str">
        <f>IFERROR(VLOOKUP(C$13&amp;$B2242,Aux!$B:$M,4,0),"")</f>
        <v/>
      </c>
      <c r="F2242" s="62"/>
      <c r="G2242" s="63" t="str">
        <f>IFERROR(IF(VLOOKUP(C$13&amp;$B2240,Aux!$B:$M,8,0)="Да","✔","🕓"),"")</f>
        <v/>
      </c>
      <c r="K2242" s="59"/>
      <c r="L2242" s="15" t="str">
        <f>IF(L2240="","","Исполнитель"&amp;": ")</f>
        <v/>
      </c>
      <c r="M2242" s="62" t="str">
        <f>IFERROR(VLOOKUP(K$13&amp;$B2242,Aux!$B:$M,4,0),"")</f>
        <v/>
      </c>
      <c r="N2242" s="62"/>
      <c r="O2242" s="63" t="str">
        <f>IFERROR(IF(VLOOKUP(K$13&amp;$B2240,Aux!$B:$M,8,0)="Да","✔","🕓"),"")</f>
        <v/>
      </c>
      <c r="S2242" s="59"/>
      <c r="T2242" s="15" t="str">
        <f>IF(T2240="","","Исполнитель"&amp;": ")</f>
        <v/>
      </c>
      <c r="U2242" s="62" t="str">
        <f>IFERROR(VLOOKUP(S$13&amp;$B2242,Aux!$B:$M,4,0),"")</f>
        <v/>
      </c>
      <c r="V2242" s="62"/>
      <c r="W2242" s="63" t="str">
        <f>IFERROR(IF(VLOOKUP(S$13&amp;$B2240,Aux!$B:$M,8,0)="Да","✔","🕓"),"")</f>
        <v/>
      </c>
      <c r="AA2242" s="59"/>
      <c r="AB2242" s="15" t="str">
        <f>IF(AB2240="","","Исполнитель"&amp;": ")</f>
        <v/>
      </c>
      <c r="AC2242" s="62" t="str">
        <f>IFERROR(VLOOKUP(AA$13&amp;$B2242,Aux!$B:$M,4,0),"")</f>
        <v/>
      </c>
      <c r="AD2242" s="62"/>
      <c r="AE2242" s="63" t="str">
        <f>IFERROR(IF(VLOOKUP(AA$13&amp;$B2240,Aux!$B:$M,8,0)="Да","✔","🕓"),"")</f>
        <v/>
      </c>
    </row>
    <row r="2243" spans="2:31" x14ac:dyDescent="0.25">
      <c r="B2243" s="53">
        <f t="shared" si="34"/>
        <v>446</v>
      </c>
      <c r="C2243" s="59"/>
      <c r="D2243" s="16" t="str">
        <f>IF(D2240="","","Срок сдачи"&amp;": ")</f>
        <v/>
      </c>
      <c r="E2243" s="64" t="str">
        <f>IFERROR(VLOOKUP(C$13&amp;$B2243,Aux!$B:$M,6,0),"")</f>
        <v/>
      </c>
      <c r="F2243" s="64"/>
      <c r="G2243" s="63"/>
      <c r="K2243" s="59"/>
      <c r="L2243" s="16" t="str">
        <f>IF(L2240="","","Срок сдачи"&amp;": ")</f>
        <v/>
      </c>
      <c r="M2243" s="64" t="str">
        <f>IFERROR(VLOOKUP(K$13&amp;$B2243,Aux!$B:$M,6,0),"")</f>
        <v/>
      </c>
      <c r="N2243" s="64"/>
      <c r="O2243" s="63"/>
      <c r="S2243" s="59"/>
      <c r="T2243" s="16" t="str">
        <f>IF(T2240="","","Срок сдачи"&amp;": ")</f>
        <v/>
      </c>
      <c r="U2243" s="64" t="str">
        <f>IFERROR(VLOOKUP(S$13&amp;$B2243,Aux!$B:$M,6,0),"")</f>
        <v/>
      </c>
      <c r="V2243" s="64"/>
      <c r="W2243" s="63"/>
      <c r="AA2243" s="59"/>
      <c r="AB2243" s="16" t="str">
        <f>IF(AB2240="","","Срок сдачи"&amp;": ")</f>
        <v/>
      </c>
      <c r="AC2243" s="64" t="str">
        <f>IFERROR(VLOOKUP(AA$13&amp;$B2243,Aux!$B:$M,6,0),"")</f>
        <v/>
      </c>
      <c r="AD2243" s="64"/>
      <c r="AE2243" s="63"/>
    </row>
    <row r="2244" spans="2:31" x14ac:dyDescent="0.25">
      <c r="B2244" s="53">
        <f t="shared" si="34"/>
        <v>446</v>
      </c>
      <c r="C2244" s="7"/>
      <c r="D2244" s="17"/>
      <c r="E2244" s="7"/>
      <c r="F2244" s="18"/>
      <c r="G2244" s="18"/>
      <c r="K2244" s="13"/>
      <c r="L2244" s="17"/>
      <c r="M2244" s="13"/>
      <c r="N2244" s="14"/>
      <c r="O2244" s="14"/>
      <c r="S2244" s="13"/>
      <c r="T2244" s="17"/>
      <c r="U2244" s="13"/>
      <c r="V2244" s="14"/>
      <c r="W2244" s="14"/>
      <c r="AA2244" s="13"/>
      <c r="AB2244" s="17"/>
      <c r="AC2244" s="13"/>
      <c r="AD2244" s="14"/>
      <c r="AE2244" s="30"/>
    </row>
    <row r="2245" spans="2:31" x14ac:dyDescent="0.25">
      <c r="B2245" s="53">
        <f t="shared" si="34"/>
        <v>447</v>
      </c>
      <c r="C2245" s="59" t="str">
        <f>IFERROR(VLOOKUP(C$13&amp;$B2249,Aux!$B:$M,5,0),"")</f>
        <v/>
      </c>
      <c r="D2245" s="60" t="str">
        <f>IFERROR(VLOOKUP(C$13&amp;$B2245,Aux!$B:$M,3,0),"")</f>
        <v/>
      </c>
      <c r="E2245" s="60"/>
      <c r="F2245" s="60"/>
      <c r="G2245" s="61" t="str">
        <f>IFERROR(VLOOKUP(C$13&amp;$B2245,Aux!$B:$M,9,0),"")</f>
        <v/>
      </c>
      <c r="K2245" s="59" t="str">
        <f>IFERROR(VLOOKUP(K$13&amp;$B2249,Aux!$B:$M,5,0),"")</f>
        <v/>
      </c>
      <c r="L2245" s="60" t="str">
        <f>IFERROR(VLOOKUP(K$13&amp;$B2245,Aux!$B:$M,3,0),"")</f>
        <v/>
      </c>
      <c r="M2245" s="60"/>
      <c r="N2245" s="60"/>
      <c r="O2245" s="61" t="str">
        <f>IFERROR(VLOOKUP(K$13&amp;$B2245,Aux!$B:$M,9,0),"")</f>
        <v/>
      </c>
      <c r="S2245" s="59" t="str">
        <f>IFERROR(VLOOKUP(S$13&amp;$B2249,Aux!$B:$M,5,0),"")</f>
        <v/>
      </c>
      <c r="T2245" s="60" t="str">
        <f>IFERROR(VLOOKUP(S$13&amp;$B2245,Aux!$B:$M,3,0),"")</f>
        <v/>
      </c>
      <c r="U2245" s="60"/>
      <c r="V2245" s="60"/>
      <c r="W2245" s="61" t="str">
        <f>IFERROR(VLOOKUP(S$13&amp;$B2245,Aux!$B:$M,9,0),"")</f>
        <v/>
      </c>
      <c r="AA2245" s="59" t="str">
        <f>IFERROR(VLOOKUP(AA$13&amp;$B2249,Aux!$B:$M,5,0),"")</f>
        <v/>
      </c>
      <c r="AB2245" s="60" t="str">
        <f>IFERROR(VLOOKUP(AA$13&amp;$B2245,Aux!$B:$M,3,0),"")</f>
        <v/>
      </c>
      <c r="AC2245" s="60"/>
      <c r="AD2245" s="60"/>
      <c r="AE2245" s="61" t="str">
        <f>IFERROR(VLOOKUP(AA$13&amp;$B2245,Aux!$B:$M,9,0),"")</f>
        <v/>
      </c>
    </row>
    <row r="2246" spans="2:31" x14ac:dyDescent="0.25">
      <c r="B2246" s="53">
        <f t="shared" si="34"/>
        <v>447</v>
      </c>
      <c r="C2246" s="59"/>
      <c r="D2246" s="60"/>
      <c r="E2246" s="60"/>
      <c r="F2246" s="60"/>
      <c r="G2246" s="61"/>
      <c r="K2246" s="59"/>
      <c r="L2246" s="60"/>
      <c r="M2246" s="60"/>
      <c r="N2246" s="60"/>
      <c r="O2246" s="61"/>
      <c r="S2246" s="59"/>
      <c r="T2246" s="60"/>
      <c r="U2246" s="60"/>
      <c r="V2246" s="60"/>
      <c r="W2246" s="61"/>
      <c r="AA2246" s="59"/>
      <c r="AB2246" s="60"/>
      <c r="AC2246" s="60"/>
      <c r="AD2246" s="60"/>
      <c r="AE2246" s="61"/>
    </row>
    <row r="2247" spans="2:31" x14ac:dyDescent="0.25">
      <c r="B2247" s="53">
        <f t="shared" si="34"/>
        <v>447</v>
      </c>
      <c r="C2247" s="59"/>
      <c r="D2247" s="15" t="str">
        <f>IF(D2245="","","Исполнитель"&amp;": ")</f>
        <v/>
      </c>
      <c r="E2247" s="62" t="str">
        <f>IFERROR(VLOOKUP(C$13&amp;$B2247,Aux!$B:$M,4,0),"")</f>
        <v/>
      </c>
      <c r="F2247" s="62"/>
      <c r="G2247" s="63" t="str">
        <f>IFERROR(IF(VLOOKUP(C$13&amp;$B2245,Aux!$B:$M,8,0)="Да","✔","🕓"),"")</f>
        <v/>
      </c>
      <c r="K2247" s="59"/>
      <c r="L2247" s="15" t="str">
        <f>IF(L2245="","","Исполнитель"&amp;": ")</f>
        <v/>
      </c>
      <c r="M2247" s="62" t="str">
        <f>IFERROR(VLOOKUP(K$13&amp;$B2247,Aux!$B:$M,4,0),"")</f>
        <v/>
      </c>
      <c r="N2247" s="62"/>
      <c r="O2247" s="63" t="str">
        <f>IFERROR(IF(VLOOKUP(K$13&amp;$B2245,Aux!$B:$M,8,0)="Да","✔","🕓"),"")</f>
        <v/>
      </c>
      <c r="S2247" s="59"/>
      <c r="T2247" s="15" t="str">
        <f>IF(T2245="","","Исполнитель"&amp;": ")</f>
        <v/>
      </c>
      <c r="U2247" s="62" t="str">
        <f>IFERROR(VLOOKUP(S$13&amp;$B2247,Aux!$B:$M,4,0),"")</f>
        <v/>
      </c>
      <c r="V2247" s="62"/>
      <c r="W2247" s="63" t="str">
        <f>IFERROR(IF(VLOOKUP(S$13&amp;$B2245,Aux!$B:$M,8,0)="Да","✔","🕓"),"")</f>
        <v/>
      </c>
      <c r="AA2247" s="59"/>
      <c r="AB2247" s="15" t="str">
        <f>IF(AB2245="","","Исполнитель"&amp;": ")</f>
        <v/>
      </c>
      <c r="AC2247" s="62" t="str">
        <f>IFERROR(VLOOKUP(AA$13&amp;$B2247,Aux!$B:$M,4,0),"")</f>
        <v/>
      </c>
      <c r="AD2247" s="62"/>
      <c r="AE2247" s="63" t="str">
        <f>IFERROR(IF(VLOOKUP(AA$13&amp;$B2245,Aux!$B:$M,8,0)="Да","✔","🕓"),"")</f>
        <v/>
      </c>
    </row>
    <row r="2248" spans="2:31" x14ac:dyDescent="0.25">
      <c r="B2248" s="53">
        <f t="shared" si="34"/>
        <v>447</v>
      </c>
      <c r="C2248" s="59"/>
      <c r="D2248" s="16" t="str">
        <f>IF(D2245="","","Срок сдачи"&amp;": ")</f>
        <v/>
      </c>
      <c r="E2248" s="64" t="str">
        <f>IFERROR(VLOOKUP(C$13&amp;$B2248,Aux!$B:$M,6,0),"")</f>
        <v/>
      </c>
      <c r="F2248" s="64"/>
      <c r="G2248" s="63"/>
      <c r="K2248" s="59"/>
      <c r="L2248" s="16" t="str">
        <f>IF(L2245="","","Срок сдачи"&amp;": ")</f>
        <v/>
      </c>
      <c r="M2248" s="64" t="str">
        <f>IFERROR(VLOOKUP(K$13&amp;$B2248,Aux!$B:$M,6,0),"")</f>
        <v/>
      </c>
      <c r="N2248" s="64"/>
      <c r="O2248" s="63"/>
      <c r="S2248" s="59"/>
      <c r="T2248" s="16" t="str">
        <f>IF(T2245="","","Срок сдачи"&amp;": ")</f>
        <v/>
      </c>
      <c r="U2248" s="64" t="str">
        <f>IFERROR(VLOOKUP(S$13&amp;$B2248,Aux!$B:$M,6,0),"")</f>
        <v/>
      </c>
      <c r="V2248" s="64"/>
      <c r="W2248" s="63"/>
      <c r="AA2248" s="59"/>
      <c r="AB2248" s="16" t="str">
        <f>IF(AB2245="","","Срок сдачи"&amp;": ")</f>
        <v/>
      </c>
      <c r="AC2248" s="64" t="str">
        <f>IFERROR(VLOOKUP(AA$13&amp;$B2248,Aux!$B:$M,6,0),"")</f>
        <v/>
      </c>
      <c r="AD2248" s="64"/>
      <c r="AE2248" s="63"/>
    </row>
    <row r="2249" spans="2:31" x14ac:dyDescent="0.25">
      <c r="B2249" s="53">
        <f t="shared" si="34"/>
        <v>447</v>
      </c>
      <c r="C2249" s="7"/>
      <c r="D2249" s="17"/>
      <c r="E2249" s="7"/>
      <c r="F2249" s="18"/>
      <c r="G2249" s="18"/>
      <c r="K2249" s="13"/>
      <c r="L2249" s="17"/>
      <c r="M2249" s="13"/>
      <c r="N2249" s="14"/>
      <c r="O2249" s="14"/>
      <c r="S2249" s="13"/>
      <c r="T2249" s="17"/>
      <c r="U2249" s="13"/>
      <c r="V2249" s="14"/>
      <c r="W2249" s="14"/>
      <c r="AA2249" s="13"/>
      <c r="AB2249" s="17"/>
      <c r="AC2249" s="13"/>
      <c r="AD2249" s="14"/>
      <c r="AE2249" s="30"/>
    </row>
    <row r="2250" spans="2:31" x14ac:dyDescent="0.25">
      <c r="B2250" s="53">
        <f t="shared" si="34"/>
        <v>448</v>
      </c>
      <c r="C2250" s="59" t="str">
        <f>IFERROR(VLOOKUP(C$13&amp;$B2254,Aux!$B:$M,5,0),"")</f>
        <v/>
      </c>
      <c r="D2250" s="60" t="str">
        <f>IFERROR(VLOOKUP(C$13&amp;$B2250,Aux!$B:$M,3,0),"")</f>
        <v/>
      </c>
      <c r="E2250" s="60"/>
      <c r="F2250" s="60"/>
      <c r="G2250" s="61" t="str">
        <f>IFERROR(VLOOKUP(C$13&amp;$B2250,Aux!$B:$M,9,0),"")</f>
        <v/>
      </c>
      <c r="K2250" s="59" t="str">
        <f>IFERROR(VLOOKUP(K$13&amp;$B2254,Aux!$B:$M,5,0),"")</f>
        <v/>
      </c>
      <c r="L2250" s="60" t="str">
        <f>IFERROR(VLOOKUP(K$13&amp;$B2250,Aux!$B:$M,3,0),"")</f>
        <v/>
      </c>
      <c r="M2250" s="60"/>
      <c r="N2250" s="60"/>
      <c r="O2250" s="61" t="str">
        <f>IFERROR(VLOOKUP(K$13&amp;$B2250,Aux!$B:$M,9,0),"")</f>
        <v/>
      </c>
      <c r="S2250" s="59" t="str">
        <f>IFERROR(VLOOKUP(S$13&amp;$B2254,Aux!$B:$M,5,0),"")</f>
        <v/>
      </c>
      <c r="T2250" s="60" t="str">
        <f>IFERROR(VLOOKUP(S$13&amp;$B2250,Aux!$B:$M,3,0),"")</f>
        <v/>
      </c>
      <c r="U2250" s="60"/>
      <c r="V2250" s="60"/>
      <c r="W2250" s="61" t="str">
        <f>IFERROR(VLOOKUP(S$13&amp;$B2250,Aux!$B:$M,9,0),"")</f>
        <v/>
      </c>
      <c r="AA2250" s="59" t="str">
        <f>IFERROR(VLOOKUP(AA$13&amp;$B2254,Aux!$B:$M,5,0),"")</f>
        <v/>
      </c>
      <c r="AB2250" s="60" t="str">
        <f>IFERROR(VLOOKUP(AA$13&amp;$B2250,Aux!$B:$M,3,0),"")</f>
        <v/>
      </c>
      <c r="AC2250" s="60"/>
      <c r="AD2250" s="60"/>
      <c r="AE2250" s="61" t="str">
        <f>IFERROR(VLOOKUP(AA$13&amp;$B2250,Aux!$B:$M,9,0),"")</f>
        <v/>
      </c>
    </row>
    <row r="2251" spans="2:31" x14ac:dyDescent="0.25">
      <c r="B2251" s="53">
        <f t="shared" si="34"/>
        <v>448</v>
      </c>
      <c r="C2251" s="59"/>
      <c r="D2251" s="60"/>
      <c r="E2251" s="60"/>
      <c r="F2251" s="60"/>
      <c r="G2251" s="61"/>
      <c r="K2251" s="59"/>
      <c r="L2251" s="60"/>
      <c r="M2251" s="60"/>
      <c r="N2251" s="60"/>
      <c r="O2251" s="61"/>
      <c r="S2251" s="59"/>
      <c r="T2251" s="60"/>
      <c r="U2251" s="60"/>
      <c r="V2251" s="60"/>
      <c r="W2251" s="61"/>
      <c r="AA2251" s="59"/>
      <c r="AB2251" s="60"/>
      <c r="AC2251" s="60"/>
      <c r="AD2251" s="60"/>
      <c r="AE2251" s="61"/>
    </row>
    <row r="2252" spans="2:31" x14ac:dyDescent="0.25">
      <c r="B2252" s="53">
        <f t="shared" si="34"/>
        <v>448</v>
      </c>
      <c r="C2252" s="59"/>
      <c r="D2252" s="15" t="str">
        <f>IF(D2250="","","Исполнитель"&amp;": ")</f>
        <v/>
      </c>
      <c r="E2252" s="62" t="str">
        <f>IFERROR(VLOOKUP(C$13&amp;$B2252,Aux!$B:$M,4,0),"")</f>
        <v/>
      </c>
      <c r="F2252" s="62"/>
      <c r="G2252" s="63" t="str">
        <f>IFERROR(IF(VLOOKUP(C$13&amp;$B2250,Aux!$B:$M,8,0)="Да","✔","🕓"),"")</f>
        <v/>
      </c>
      <c r="K2252" s="59"/>
      <c r="L2252" s="15" t="str">
        <f>IF(L2250="","","Исполнитель"&amp;": ")</f>
        <v/>
      </c>
      <c r="M2252" s="62" t="str">
        <f>IFERROR(VLOOKUP(K$13&amp;$B2252,Aux!$B:$M,4,0),"")</f>
        <v/>
      </c>
      <c r="N2252" s="62"/>
      <c r="O2252" s="63" t="str">
        <f>IFERROR(IF(VLOOKUP(K$13&amp;$B2250,Aux!$B:$M,8,0)="Да","✔","🕓"),"")</f>
        <v/>
      </c>
      <c r="S2252" s="59"/>
      <c r="T2252" s="15" t="str">
        <f>IF(T2250="","","Исполнитель"&amp;": ")</f>
        <v/>
      </c>
      <c r="U2252" s="62" t="str">
        <f>IFERROR(VLOOKUP(S$13&amp;$B2252,Aux!$B:$M,4,0),"")</f>
        <v/>
      </c>
      <c r="V2252" s="62"/>
      <c r="W2252" s="63" t="str">
        <f>IFERROR(IF(VLOOKUP(S$13&amp;$B2250,Aux!$B:$M,8,0)="Да","✔","🕓"),"")</f>
        <v/>
      </c>
      <c r="AA2252" s="59"/>
      <c r="AB2252" s="15" t="str">
        <f>IF(AB2250="","","Исполнитель"&amp;": ")</f>
        <v/>
      </c>
      <c r="AC2252" s="62" t="str">
        <f>IFERROR(VLOOKUP(AA$13&amp;$B2252,Aux!$B:$M,4,0),"")</f>
        <v/>
      </c>
      <c r="AD2252" s="62"/>
      <c r="AE2252" s="63" t="str">
        <f>IFERROR(IF(VLOOKUP(AA$13&amp;$B2250,Aux!$B:$M,8,0)="Да","✔","🕓"),"")</f>
        <v/>
      </c>
    </row>
    <row r="2253" spans="2:31" x14ac:dyDescent="0.25">
      <c r="B2253" s="53">
        <f t="shared" si="34"/>
        <v>448</v>
      </c>
      <c r="C2253" s="59"/>
      <c r="D2253" s="16" t="str">
        <f>IF(D2250="","","Срок сдачи"&amp;": ")</f>
        <v/>
      </c>
      <c r="E2253" s="64" t="str">
        <f>IFERROR(VLOOKUP(C$13&amp;$B2253,Aux!$B:$M,6,0),"")</f>
        <v/>
      </c>
      <c r="F2253" s="64"/>
      <c r="G2253" s="63"/>
      <c r="K2253" s="59"/>
      <c r="L2253" s="16" t="str">
        <f>IF(L2250="","","Срок сдачи"&amp;": ")</f>
        <v/>
      </c>
      <c r="M2253" s="64" t="str">
        <f>IFERROR(VLOOKUP(K$13&amp;$B2253,Aux!$B:$M,6,0),"")</f>
        <v/>
      </c>
      <c r="N2253" s="64"/>
      <c r="O2253" s="63"/>
      <c r="S2253" s="59"/>
      <c r="T2253" s="16" t="str">
        <f>IF(T2250="","","Срок сдачи"&amp;": ")</f>
        <v/>
      </c>
      <c r="U2253" s="64" t="str">
        <f>IFERROR(VLOOKUP(S$13&amp;$B2253,Aux!$B:$M,6,0),"")</f>
        <v/>
      </c>
      <c r="V2253" s="64"/>
      <c r="W2253" s="63"/>
      <c r="AA2253" s="59"/>
      <c r="AB2253" s="16" t="str">
        <f>IF(AB2250="","","Срок сдачи"&amp;": ")</f>
        <v/>
      </c>
      <c r="AC2253" s="64" t="str">
        <f>IFERROR(VLOOKUP(AA$13&amp;$B2253,Aux!$B:$M,6,0),"")</f>
        <v/>
      </c>
      <c r="AD2253" s="64"/>
      <c r="AE2253" s="63"/>
    </row>
    <row r="2254" spans="2:31" x14ac:dyDescent="0.25">
      <c r="B2254" s="53">
        <f t="shared" si="34"/>
        <v>448</v>
      </c>
      <c r="C2254" s="7"/>
      <c r="D2254" s="17"/>
      <c r="E2254" s="7"/>
      <c r="F2254" s="18"/>
      <c r="G2254" s="18"/>
      <c r="K2254" s="13"/>
      <c r="L2254" s="17"/>
      <c r="M2254" s="13"/>
      <c r="N2254" s="14"/>
      <c r="O2254" s="14"/>
      <c r="S2254" s="13"/>
      <c r="T2254" s="17"/>
      <c r="U2254" s="13"/>
      <c r="V2254" s="14"/>
      <c r="W2254" s="14"/>
      <c r="AA2254" s="13"/>
      <c r="AB2254" s="17"/>
      <c r="AC2254" s="13"/>
      <c r="AD2254" s="14"/>
      <c r="AE2254" s="30"/>
    </row>
    <row r="2255" spans="2:31" x14ac:dyDescent="0.25">
      <c r="B2255" s="53">
        <f t="shared" si="34"/>
        <v>449</v>
      </c>
      <c r="C2255" s="59" t="str">
        <f>IFERROR(VLOOKUP(C$13&amp;$B2259,Aux!$B:$M,5,0),"")</f>
        <v/>
      </c>
      <c r="D2255" s="60" t="str">
        <f>IFERROR(VLOOKUP(C$13&amp;$B2255,Aux!$B:$M,3,0),"")</f>
        <v/>
      </c>
      <c r="E2255" s="60"/>
      <c r="F2255" s="60"/>
      <c r="G2255" s="61" t="str">
        <f>IFERROR(VLOOKUP(C$13&amp;$B2255,Aux!$B:$M,9,0),"")</f>
        <v/>
      </c>
      <c r="K2255" s="59" t="str">
        <f>IFERROR(VLOOKUP(K$13&amp;$B2259,Aux!$B:$M,5,0),"")</f>
        <v/>
      </c>
      <c r="L2255" s="60" t="str">
        <f>IFERROR(VLOOKUP(K$13&amp;$B2255,Aux!$B:$M,3,0),"")</f>
        <v/>
      </c>
      <c r="M2255" s="60"/>
      <c r="N2255" s="60"/>
      <c r="O2255" s="61" t="str">
        <f>IFERROR(VLOOKUP(K$13&amp;$B2255,Aux!$B:$M,9,0),"")</f>
        <v/>
      </c>
      <c r="S2255" s="59" t="str">
        <f>IFERROR(VLOOKUP(S$13&amp;$B2259,Aux!$B:$M,5,0),"")</f>
        <v/>
      </c>
      <c r="T2255" s="60" t="str">
        <f>IFERROR(VLOOKUP(S$13&amp;$B2255,Aux!$B:$M,3,0),"")</f>
        <v/>
      </c>
      <c r="U2255" s="60"/>
      <c r="V2255" s="60"/>
      <c r="W2255" s="61" t="str">
        <f>IFERROR(VLOOKUP(S$13&amp;$B2255,Aux!$B:$M,9,0),"")</f>
        <v/>
      </c>
      <c r="AA2255" s="59" t="str">
        <f>IFERROR(VLOOKUP(AA$13&amp;$B2259,Aux!$B:$M,5,0),"")</f>
        <v/>
      </c>
      <c r="AB2255" s="60" t="str">
        <f>IFERROR(VLOOKUP(AA$13&amp;$B2255,Aux!$B:$M,3,0),"")</f>
        <v/>
      </c>
      <c r="AC2255" s="60"/>
      <c r="AD2255" s="60"/>
      <c r="AE2255" s="61" t="str">
        <f>IFERROR(VLOOKUP(AA$13&amp;$B2255,Aux!$B:$M,9,0),"")</f>
        <v/>
      </c>
    </row>
    <row r="2256" spans="2:31" x14ac:dyDescent="0.25">
      <c r="B2256" s="53">
        <f t="shared" si="34"/>
        <v>449</v>
      </c>
      <c r="C2256" s="59"/>
      <c r="D2256" s="60"/>
      <c r="E2256" s="60"/>
      <c r="F2256" s="60"/>
      <c r="G2256" s="61"/>
      <c r="K2256" s="59"/>
      <c r="L2256" s="60"/>
      <c r="M2256" s="60"/>
      <c r="N2256" s="60"/>
      <c r="O2256" s="61"/>
      <c r="S2256" s="59"/>
      <c r="T2256" s="60"/>
      <c r="U2256" s="60"/>
      <c r="V2256" s="60"/>
      <c r="W2256" s="61"/>
      <c r="AA2256" s="59"/>
      <c r="AB2256" s="60"/>
      <c r="AC2256" s="60"/>
      <c r="AD2256" s="60"/>
      <c r="AE2256" s="61"/>
    </row>
    <row r="2257" spans="2:31" x14ac:dyDescent="0.25">
      <c r="B2257" s="53">
        <f t="shared" si="34"/>
        <v>449</v>
      </c>
      <c r="C2257" s="59"/>
      <c r="D2257" s="15" t="str">
        <f>IF(D2255="","","Исполнитель"&amp;": ")</f>
        <v/>
      </c>
      <c r="E2257" s="62" t="str">
        <f>IFERROR(VLOOKUP(C$13&amp;$B2257,Aux!$B:$M,4,0),"")</f>
        <v/>
      </c>
      <c r="F2257" s="62"/>
      <c r="G2257" s="63" t="str">
        <f>IFERROR(IF(VLOOKUP(C$13&amp;$B2255,Aux!$B:$M,8,0)="Да","✔","🕓"),"")</f>
        <v/>
      </c>
      <c r="K2257" s="59"/>
      <c r="L2257" s="15" t="str">
        <f>IF(L2255="","","Исполнитель"&amp;": ")</f>
        <v/>
      </c>
      <c r="M2257" s="62" t="str">
        <f>IFERROR(VLOOKUP(K$13&amp;$B2257,Aux!$B:$M,4,0),"")</f>
        <v/>
      </c>
      <c r="N2257" s="62"/>
      <c r="O2257" s="63" t="str">
        <f>IFERROR(IF(VLOOKUP(K$13&amp;$B2255,Aux!$B:$M,8,0)="Да","✔","🕓"),"")</f>
        <v/>
      </c>
      <c r="S2257" s="59"/>
      <c r="T2257" s="15" t="str">
        <f>IF(T2255="","","Исполнитель"&amp;": ")</f>
        <v/>
      </c>
      <c r="U2257" s="62" t="str">
        <f>IFERROR(VLOOKUP(S$13&amp;$B2257,Aux!$B:$M,4,0),"")</f>
        <v/>
      </c>
      <c r="V2257" s="62"/>
      <c r="W2257" s="63" t="str">
        <f>IFERROR(IF(VLOOKUP(S$13&amp;$B2255,Aux!$B:$M,8,0)="Да","✔","🕓"),"")</f>
        <v/>
      </c>
      <c r="AA2257" s="59"/>
      <c r="AB2257" s="15" t="str">
        <f>IF(AB2255="","","Исполнитель"&amp;": ")</f>
        <v/>
      </c>
      <c r="AC2257" s="62" t="str">
        <f>IFERROR(VLOOKUP(AA$13&amp;$B2257,Aux!$B:$M,4,0),"")</f>
        <v/>
      </c>
      <c r="AD2257" s="62"/>
      <c r="AE2257" s="63" t="str">
        <f>IFERROR(IF(VLOOKUP(AA$13&amp;$B2255,Aux!$B:$M,8,0)="Да","✔","🕓"),"")</f>
        <v/>
      </c>
    </row>
    <row r="2258" spans="2:31" x14ac:dyDescent="0.25">
      <c r="B2258" s="53">
        <f t="shared" si="34"/>
        <v>449</v>
      </c>
      <c r="C2258" s="59"/>
      <c r="D2258" s="16" t="str">
        <f>IF(D2255="","","Срок сдачи"&amp;": ")</f>
        <v/>
      </c>
      <c r="E2258" s="64" t="str">
        <f>IFERROR(VLOOKUP(C$13&amp;$B2258,Aux!$B:$M,6,0),"")</f>
        <v/>
      </c>
      <c r="F2258" s="64"/>
      <c r="G2258" s="63"/>
      <c r="K2258" s="59"/>
      <c r="L2258" s="16" t="str">
        <f>IF(L2255="","","Срок сдачи"&amp;": ")</f>
        <v/>
      </c>
      <c r="M2258" s="64" t="str">
        <f>IFERROR(VLOOKUP(K$13&amp;$B2258,Aux!$B:$M,6,0),"")</f>
        <v/>
      </c>
      <c r="N2258" s="64"/>
      <c r="O2258" s="63"/>
      <c r="S2258" s="59"/>
      <c r="T2258" s="16" t="str">
        <f>IF(T2255="","","Срок сдачи"&amp;": ")</f>
        <v/>
      </c>
      <c r="U2258" s="64" t="str">
        <f>IFERROR(VLOOKUP(S$13&amp;$B2258,Aux!$B:$M,6,0),"")</f>
        <v/>
      </c>
      <c r="V2258" s="64"/>
      <c r="W2258" s="63"/>
      <c r="AA2258" s="59"/>
      <c r="AB2258" s="16" t="str">
        <f>IF(AB2255="","","Срок сдачи"&amp;": ")</f>
        <v/>
      </c>
      <c r="AC2258" s="64" t="str">
        <f>IFERROR(VLOOKUP(AA$13&amp;$B2258,Aux!$B:$M,6,0),"")</f>
        <v/>
      </c>
      <c r="AD2258" s="64"/>
      <c r="AE2258" s="63"/>
    </row>
    <row r="2259" spans="2:31" x14ac:dyDescent="0.25">
      <c r="B2259" s="53">
        <f t="shared" si="34"/>
        <v>449</v>
      </c>
      <c r="C2259" s="7"/>
      <c r="D2259" s="17"/>
      <c r="E2259" s="7"/>
      <c r="F2259" s="18"/>
      <c r="G2259" s="18"/>
      <c r="K2259" s="13"/>
      <c r="L2259" s="17"/>
      <c r="M2259" s="13"/>
      <c r="N2259" s="14"/>
      <c r="O2259" s="14"/>
      <c r="S2259" s="13"/>
      <c r="T2259" s="17"/>
      <c r="U2259" s="13"/>
      <c r="V2259" s="14"/>
      <c r="W2259" s="14"/>
      <c r="AA2259" s="13"/>
      <c r="AB2259" s="17"/>
      <c r="AC2259" s="13"/>
      <c r="AD2259" s="14"/>
      <c r="AE2259" s="30"/>
    </row>
    <row r="2260" spans="2:31" x14ac:dyDescent="0.25">
      <c r="B2260" s="53">
        <f t="shared" si="34"/>
        <v>450</v>
      </c>
      <c r="C2260" s="59" t="str">
        <f>IFERROR(VLOOKUP(C$13&amp;$B2264,Aux!$B:$M,5,0),"")</f>
        <v/>
      </c>
      <c r="D2260" s="60" t="str">
        <f>IFERROR(VLOOKUP(C$13&amp;$B2260,Aux!$B:$M,3,0),"")</f>
        <v/>
      </c>
      <c r="E2260" s="60"/>
      <c r="F2260" s="60"/>
      <c r="G2260" s="61" t="str">
        <f>IFERROR(VLOOKUP(C$13&amp;$B2260,Aux!$B:$M,9,0),"")</f>
        <v/>
      </c>
      <c r="K2260" s="59" t="str">
        <f>IFERROR(VLOOKUP(K$13&amp;$B2264,Aux!$B:$M,5,0),"")</f>
        <v/>
      </c>
      <c r="L2260" s="60" t="str">
        <f>IFERROR(VLOOKUP(K$13&amp;$B2260,Aux!$B:$M,3,0),"")</f>
        <v/>
      </c>
      <c r="M2260" s="60"/>
      <c r="N2260" s="60"/>
      <c r="O2260" s="61" t="str">
        <f>IFERROR(VLOOKUP(K$13&amp;$B2260,Aux!$B:$M,9,0),"")</f>
        <v/>
      </c>
      <c r="S2260" s="59" t="str">
        <f>IFERROR(VLOOKUP(S$13&amp;$B2264,Aux!$B:$M,5,0),"")</f>
        <v/>
      </c>
      <c r="T2260" s="60" t="str">
        <f>IFERROR(VLOOKUP(S$13&amp;$B2260,Aux!$B:$M,3,0),"")</f>
        <v/>
      </c>
      <c r="U2260" s="60"/>
      <c r="V2260" s="60"/>
      <c r="W2260" s="61" t="str">
        <f>IFERROR(VLOOKUP(S$13&amp;$B2260,Aux!$B:$M,9,0),"")</f>
        <v/>
      </c>
      <c r="AA2260" s="59" t="str">
        <f>IFERROR(VLOOKUP(AA$13&amp;$B2264,Aux!$B:$M,5,0),"")</f>
        <v/>
      </c>
      <c r="AB2260" s="60" t="str">
        <f>IFERROR(VLOOKUP(AA$13&amp;$B2260,Aux!$B:$M,3,0),"")</f>
        <v/>
      </c>
      <c r="AC2260" s="60"/>
      <c r="AD2260" s="60"/>
      <c r="AE2260" s="61" t="str">
        <f>IFERROR(VLOOKUP(AA$13&amp;$B2260,Aux!$B:$M,9,0),"")</f>
        <v/>
      </c>
    </row>
    <row r="2261" spans="2:31" x14ac:dyDescent="0.25">
      <c r="B2261" s="53">
        <f t="shared" ref="B2261:B2324" si="35">B2256+1</f>
        <v>450</v>
      </c>
      <c r="C2261" s="59"/>
      <c r="D2261" s="60"/>
      <c r="E2261" s="60"/>
      <c r="F2261" s="60"/>
      <c r="G2261" s="61"/>
      <c r="K2261" s="59"/>
      <c r="L2261" s="60"/>
      <c r="M2261" s="60"/>
      <c r="N2261" s="60"/>
      <c r="O2261" s="61"/>
      <c r="S2261" s="59"/>
      <c r="T2261" s="60"/>
      <c r="U2261" s="60"/>
      <c r="V2261" s="60"/>
      <c r="W2261" s="61"/>
      <c r="AA2261" s="59"/>
      <c r="AB2261" s="60"/>
      <c r="AC2261" s="60"/>
      <c r="AD2261" s="60"/>
      <c r="AE2261" s="61"/>
    </row>
    <row r="2262" spans="2:31" x14ac:dyDescent="0.25">
      <c r="B2262" s="53">
        <f t="shared" si="35"/>
        <v>450</v>
      </c>
      <c r="C2262" s="59"/>
      <c r="D2262" s="15" t="str">
        <f>IF(D2260="","","Исполнитель"&amp;": ")</f>
        <v/>
      </c>
      <c r="E2262" s="62" t="str">
        <f>IFERROR(VLOOKUP(C$13&amp;$B2262,Aux!$B:$M,4,0),"")</f>
        <v/>
      </c>
      <c r="F2262" s="62"/>
      <c r="G2262" s="63" t="str">
        <f>IFERROR(IF(VLOOKUP(C$13&amp;$B2260,Aux!$B:$M,8,0)="Да","✔","🕓"),"")</f>
        <v/>
      </c>
      <c r="K2262" s="59"/>
      <c r="L2262" s="15" t="str">
        <f>IF(L2260="","","Исполнитель"&amp;": ")</f>
        <v/>
      </c>
      <c r="M2262" s="62" t="str">
        <f>IFERROR(VLOOKUP(K$13&amp;$B2262,Aux!$B:$M,4,0),"")</f>
        <v/>
      </c>
      <c r="N2262" s="62"/>
      <c r="O2262" s="63" t="str">
        <f>IFERROR(IF(VLOOKUP(K$13&amp;$B2260,Aux!$B:$M,8,0)="Да","✔","🕓"),"")</f>
        <v/>
      </c>
      <c r="S2262" s="59"/>
      <c r="T2262" s="15" t="str">
        <f>IF(T2260="","","Исполнитель"&amp;": ")</f>
        <v/>
      </c>
      <c r="U2262" s="62" t="str">
        <f>IFERROR(VLOOKUP(S$13&amp;$B2262,Aux!$B:$M,4,0),"")</f>
        <v/>
      </c>
      <c r="V2262" s="62"/>
      <c r="W2262" s="63" t="str">
        <f>IFERROR(IF(VLOOKUP(S$13&amp;$B2260,Aux!$B:$M,8,0)="Да","✔","🕓"),"")</f>
        <v/>
      </c>
      <c r="AA2262" s="59"/>
      <c r="AB2262" s="15" t="str">
        <f>IF(AB2260="","","Исполнитель"&amp;": ")</f>
        <v/>
      </c>
      <c r="AC2262" s="62" t="str">
        <f>IFERROR(VLOOKUP(AA$13&amp;$B2262,Aux!$B:$M,4,0),"")</f>
        <v/>
      </c>
      <c r="AD2262" s="62"/>
      <c r="AE2262" s="63" t="str">
        <f>IFERROR(IF(VLOOKUP(AA$13&amp;$B2260,Aux!$B:$M,8,0)="Да","✔","🕓"),"")</f>
        <v/>
      </c>
    </row>
    <row r="2263" spans="2:31" x14ac:dyDescent="0.25">
      <c r="B2263" s="53">
        <f t="shared" si="35"/>
        <v>450</v>
      </c>
      <c r="C2263" s="59"/>
      <c r="D2263" s="16" t="str">
        <f>IF(D2260="","","Срок сдачи"&amp;": ")</f>
        <v/>
      </c>
      <c r="E2263" s="64" t="str">
        <f>IFERROR(VLOOKUP(C$13&amp;$B2263,Aux!$B:$M,6,0),"")</f>
        <v/>
      </c>
      <c r="F2263" s="64"/>
      <c r="G2263" s="63"/>
      <c r="K2263" s="59"/>
      <c r="L2263" s="16" t="str">
        <f>IF(L2260="","","Срок сдачи"&amp;": ")</f>
        <v/>
      </c>
      <c r="M2263" s="64" t="str">
        <f>IFERROR(VLOOKUP(K$13&amp;$B2263,Aux!$B:$M,6,0),"")</f>
        <v/>
      </c>
      <c r="N2263" s="64"/>
      <c r="O2263" s="63"/>
      <c r="S2263" s="59"/>
      <c r="T2263" s="16" t="str">
        <f>IF(T2260="","","Срок сдачи"&amp;": ")</f>
        <v/>
      </c>
      <c r="U2263" s="64" t="str">
        <f>IFERROR(VLOOKUP(S$13&amp;$B2263,Aux!$B:$M,6,0),"")</f>
        <v/>
      </c>
      <c r="V2263" s="64"/>
      <c r="W2263" s="63"/>
      <c r="AA2263" s="59"/>
      <c r="AB2263" s="16" t="str">
        <f>IF(AB2260="","","Срок сдачи"&amp;": ")</f>
        <v/>
      </c>
      <c r="AC2263" s="64" t="str">
        <f>IFERROR(VLOOKUP(AA$13&amp;$B2263,Aux!$B:$M,6,0),"")</f>
        <v/>
      </c>
      <c r="AD2263" s="64"/>
      <c r="AE2263" s="63"/>
    </row>
    <row r="2264" spans="2:31" x14ac:dyDescent="0.25">
      <c r="B2264" s="53">
        <f t="shared" si="35"/>
        <v>450</v>
      </c>
      <c r="C2264" s="7"/>
      <c r="D2264" s="17"/>
      <c r="E2264" s="7"/>
      <c r="F2264" s="18"/>
      <c r="G2264" s="18"/>
      <c r="K2264" s="13"/>
      <c r="L2264" s="17"/>
      <c r="M2264" s="13"/>
      <c r="N2264" s="14"/>
      <c r="O2264" s="14"/>
      <c r="S2264" s="13"/>
      <c r="T2264" s="17"/>
      <c r="U2264" s="13"/>
      <c r="V2264" s="14"/>
      <c r="W2264" s="14"/>
      <c r="AA2264" s="13"/>
      <c r="AB2264" s="17"/>
      <c r="AC2264" s="13"/>
      <c r="AD2264" s="14"/>
      <c r="AE2264" s="30"/>
    </row>
    <row r="2265" spans="2:31" x14ac:dyDescent="0.25">
      <c r="B2265" s="53">
        <f t="shared" si="35"/>
        <v>451</v>
      </c>
      <c r="C2265" s="59" t="str">
        <f>IFERROR(VLOOKUP(C$13&amp;$B2269,Aux!$B:$M,5,0),"")</f>
        <v/>
      </c>
      <c r="D2265" s="60" t="str">
        <f>IFERROR(VLOOKUP(C$13&amp;$B2265,Aux!$B:$M,3,0),"")</f>
        <v/>
      </c>
      <c r="E2265" s="60"/>
      <c r="F2265" s="60"/>
      <c r="G2265" s="61" t="str">
        <f>IFERROR(VLOOKUP(C$13&amp;$B2265,Aux!$B:$M,9,0),"")</f>
        <v/>
      </c>
      <c r="K2265" s="59" t="str">
        <f>IFERROR(VLOOKUP(K$13&amp;$B2269,Aux!$B:$M,5,0),"")</f>
        <v/>
      </c>
      <c r="L2265" s="60" t="str">
        <f>IFERROR(VLOOKUP(K$13&amp;$B2265,Aux!$B:$M,3,0),"")</f>
        <v/>
      </c>
      <c r="M2265" s="60"/>
      <c r="N2265" s="60"/>
      <c r="O2265" s="61" t="str">
        <f>IFERROR(VLOOKUP(K$13&amp;$B2265,Aux!$B:$M,9,0),"")</f>
        <v/>
      </c>
      <c r="S2265" s="59" t="str">
        <f>IFERROR(VLOOKUP(S$13&amp;$B2269,Aux!$B:$M,5,0),"")</f>
        <v/>
      </c>
      <c r="T2265" s="60" t="str">
        <f>IFERROR(VLOOKUP(S$13&amp;$B2265,Aux!$B:$M,3,0),"")</f>
        <v/>
      </c>
      <c r="U2265" s="60"/>
      <c r="V2265" s="60"/>
      <c r="W2265" s="61" t="str">
        <f>IFERROR(VLOOKUP(S$13&amp;$B2265,Aux!$B:$M,9,0),"")</f>
        <v/>
      </c>
      <c r="AA2265" s="59" t="str">
        <f>IFERROR(VLOOKUP(AA$13&amp;$B2269,Aux!$B:$M,5,0),"")</f>
        <v/>
      </c>
      <c r="AB2265" s="60" t="str">
        <f>IFERROR(VLOOKUP(AA$13&amp;$B2265,Aux!$B:$M,3,0),"")</f>
        <v/>
      </c>
      <c r="AC2265" s="60"/>
      <c r="AD2265" s="60"/>
      <c r="AE2265" s="61" t="str">
        <f>IFERROR(VLOOKUP(AA$13&amp;$B2265,Aux!$B:$M,9,0),"")</f>
        <v/>
      </c>
    </row>
    <row r="2266" spans="2:31" x14ac:dyDescent="0.25">
      <c r="B2266" s="53">
        <f t="shared" si="35"/>
        <v>451</v>
      </c>
      <c r="C2266" s="59"/>
      <c r="D2266" s="60"/>
      <c r="E2266" s="60"/>
      <c r="F2266" s="60"/>
      <c r="G2266" s="61"/>
      <c r="K2266" s="59"/>
      <c r="L2266" s="60"/>
      <c r="M2266" s="60"/>
      <c r="N2266" s="60"/>
      <c r="O2266" s="61"/>
      <c r="S2266" s="59"/>
      <c r="T2266" s="60"/>
      <c r="U2266" s="60"/>
      <c r="V2266" s="60"/>
      <c r="W2266" s="61"/>
      <c r="AA2266" s="59"/>
      <c r="AB2266" s="60"/>
      <c r="AC2266" s="60"/>
      <c r="AD2266" s="60"/>
      <c r="AE2266" s="61"/>
    </row>
    <row r="2267" spans="2:31" x14ac:dyDescent="0.25">
      <c r="B2267" s="53">
        <f t="shared" si="35"/>
        <v>451</v>
      </c>
      <c r="C2267" s="59"/>
      <c r="D2267" s="15" t="str">
        <f>IF(D2265="","","Исполнитель"&amp;": ")</f>
        <v/>
      </c>
      <c r="E2267" s="62" t="str">
        <f>IFERROR(VLOOKUP(C$13&amp;$B2267,Aux!$B:$M,4,0),"")</f>
        <v/>
      </c>
      <c r="F2267" s="62"/>
      <c r="G2267" s="63" t="str">
        <f>IFERROR(IF(VLOOKUP(C$13&amp;$B2265,Aux!$B:$M,8,0)="Да","✔","🕓"),"")</f>
        <v/>
      </c>
      <c r="K2267" s="59"/>
      <c r="L2267" s="15" t="str">
        <f>IF(L2265="","","Исполнитель"&amp;": ")</f>
        <v/>
      </c>
      <c r="M2267" s="62" t="str">
        <f>IFERROR(VLOOKUP(K$13&amp;$B2267,Aux!$B:$M,4,0),"")</f>
        <v/>
      </c>
      <c r="N2267" s="62"/>
      <c r="O2267" s="63" t="str">
        <f>IFERROR(IF(VLOOKUP(K$13&amp;$B2265,Aux!$B:$M,8,0)="Да","✔","🕓"),"")</f>
        <v/>
      </c>
      <c r="S2267" s="59"/>
      <c r="T2267" s="15" t="str">
        <f>IF(T2265="","","Исполнитель"&amp;": ")</f>
        <v/>
      </c>
      <c r="U2267" s="62" t="str">
        <f>IFERROR(VLOOKUP(S$13&amp;$B2267,Aux!$B:$M,4,0),"")</f>
        <v/>
      </c>
      <c r="V2267" s="62"/>
      <c r="W2267" s="63" t="str">
        <f>IFERROR(IF(VLOOKUP(S$13&amp;$B2265,Aux!$B:$M,8,0)="Да","✔","🕓"),"")</f>
        <v/>
      </c>
      <c r="AA2267" s="59"/>
      <c r="AB2267" s="15" t="str">
        <f>IF(AB2265="","","Исполнитель"&amp;": ")</f>
        <v/>
      </c>
      <c r="AC2267" s="62" t="str">
        <f>IFERROR(VLOOKUP(AA$13&amp;$B2267,Aux!$B:$M,4,0),"")</f>
        <v/>
      </c>
      <c r="AD2267" s="62"/>
      <c r="AE2267" s="63" t="str">
        <f>IFERROR(IF(VLOOKUP(AA$13&amp;$B2265,Aux!$B:$M,8,0)="Да","✔","🕓"),"")</f>
        <v/>
      </c>
    </row>
    <row r="2268" spans="2:31" x14ac:dyDescent="0.25">
      <c r="B2268" s="53">
        <f t="shared" si="35"/>
        <v>451</v>
      </c>
      <c r="C2268" s="59"/>
      <c r="D2268" s="16" t="str">
        <f>IF(D2265="","","Срок сдачи"&amp;": ")</f>
        <v/>
      </c>
      <c r="E2268" s="64" t="str">
        <f>IFERROR(VLOOKUP(C$13&amp;$B2268,Aux!$B:$M,6,0),"")</f>
        <v/>
      </c>
      <c r="F2268" s="64"/>
      <c r="G2268" s="63"/>
      <c r="K2268" s="59"/>
      <c r="L2268" s="16" t="str">
        <f>IF(L2265="","","Срок сдачи"&amp;": ")</f>
        <v/>
      </c>
      <c r="M2268" s="64" t="str">
        <f>IFERROR(VLOOKUP(K$13&amp;$B2268,Aux!$B:$M,6,0),"")</f>
        <v/>
      </c>
      <c r="N2268" s="64"/>
      <c r="O2268" s="63"/>
      <c r="S2268" s="59"/>
      <c r="T2268" s="16" t="str">
        <f>IF(T2265="","","Срок сдачи"&amp;": ")</f>
        <v/>
      </c>
      <c r="U2268" s="64" t="str">
        <f>IFERROR(VLOOKUP(S$13&amp;$B2268,Aux!$B:$M,6,0),"")</f>
        <v/>
      </c>
      <c r="V2268" s="64"/>
      <c r="W2268" s="63"/>
      <c r="AA2268" s="59"/>
      <c r="AB2268" s="16" t="str">
        <f>IF(AB2265="","","Срок сдачи"&amp;": ")</f>
        <v/>
      </c>
      <c r="AC2268" s="64" t="str">
        <f>IFERROR(VLOOKUP(AA$13&amp;$B2268,Aux!$B:$M,6,0),"")</f>
        <v/>
      </c>
      <c r="AD2268" s="64"/>
      <c r="AE2268" s="63"/>
    </row>
    <row r="2269" spans="2:31" x14ac:dyDescent="0.25">
      <c r="B2269" s="53">
        <f t="shared" si="35"/>
        <v>451</v>
      </c>
      <c r="C2269" s="7"/>
      <c r="D2269" s="17"/>
      <c r="E2269" s="7"/>
      <c r="F2269" s="18"/>
      <c r="G2269" s="18"/>
      <c r="K2269" s="13"/>
      <c r="L2269" s="17"/>
      <c r="M2269" s="13"/>
      <c r="N2269" s="14"/>
      <c r="O2269" s="14"/>
      <c r="S2269" s="13"/>
      <c r="T2269" s="17"/>
      <c r="U2269" s="13"/>
      <c r="V2269" s="14"/>
      <c r="W2269" s="14"/>
      <c r="AA2269" s="13"/>
      <c r="AB2269" s="17"/>
      <c r="AC2269" s="13"/>
      <c r="AD2269" s="14"/>
      <c r="AE2269" s="30"/>
    </row>
    <row r="2270" spans="2:31" x14ac:dyDescent="0.25">
      <c r="B2270" s="53">
        <f t="shared" si="35"/>
        <v>452</v>
      </c>
      <c r="C2270" s="59" t="str">
        <f>IFERROR(VLOOKUP(C$13&amp;$B2274,Aux!$B:$M,5,0),"")</f>
        <v/>
      </c>
      <c r="D2270" s="60" t="str">
        <f>IFERROR(VLOOKUP(C$13&amp;$B2270,Aux!$B:$M,3,0),"")</f>
        <v/>
      </c>
      <c r="E2270" s="60"/>
      <c r="F2270" s="60"/>
      <c r="G2270" s="61" t="str">
        <f>IFERROR(VLOOKUP(C$13&amp;$B2270,Aux!$B:$M,9,0),"")</f>
        <v/>
      </c>
      <c r="K2270" s="59" t="str">
        <f>IFERROR(VLOOKUP(K$13&amp;$B2274,Aux!$B:$M,5,0),"")</f>
        <v/>
      </c>
      <c r="L2270" s="60" t="str">
        <f>IFERROR(VLOOKUP(K$13&amp;$B2270,Aux!$B:$M,3,0),"")</f>
        <v/>
      </c>
      <c r="M2270" s="60"/>
      <c r="N2270" s="60"/>
      <c r="O2270" s="61" t="str">
        <f>IFERROR(VLOOKUP(K$13&amp;$B2270,Aux!$B:$M,9,0),"")</f>
        <v/>
      </c>
      <c r="S2270" s="59" t="str">
        <f>IFERROR(VLOOKUP(S$13&amp;$B2274,Aux!$B:$M,5,0),"")</f>
        <v/>
      </c>
      <c r="T2270" s="60" t="str">
        <f>IFERROR(VLOOKUP(S$13&amp;$B2270,Aux!$B:$M,3,0),"")</f>
        <v/>
      </c>
      <c r="U2270" s="60"/>
      <c r="V2270" s="60"/>
      <c r="W2270" s="61" t="str">
        <f>IFERROR(VLOOKUP(S$13&amp;$B2270,Aux!$B:$M,9,0),"")</f>
        <v/>
      </c>
      <c r="AA2270" s="59" t="str">
        <f>IFERROR(VLOOKUP(AA$13&amp;$B2274,Aux!$B:$M,5,0),"")</f>
        <v/>
      </c>
      <c r="AB2270" s="60" t="str">
        <f>IFERROR(VLOOKUP(AA$13&amp;$B2270,Aux!$B:$M,3,0),"")</f>
        <v/>
      </c>
      <c r="AC2270" s="60"/>
      <c r="AD2270" s="60"/>
      <c r="AE2270" s="61" t="str">
        <f>IFERROR(VLOOKUP(AA$13&amp;$B2270,Aux!$B:$M,9,0),"")</f>
        <v/>
      </c>
    </row>
    <row r="2271" spans="2:31" x14ac:dyDescent="0.25">
      <c r="B2271" s="53">
        <f t="shared" si="35"/>
        <v>452</v>
      </c>
      <c r="C2271" s="59"/>
      <c r="D2271" s="60"/>
      <c r="E2271" s="60"/>
      <c r="F2271" s="60"/>
      <c r="G2271" s="61"/>
      <c r="K2271" s="59"/>
      <c r="L2271" s="60"/>
      <c r="M2271" s="60"/>
      <c r="N2271" s="60"/>
      <c r="O2271" s="61"/>
      <c r="S2271" s="59"/>
      <c r="T2271" s="60"/>
      <c r="U2271" s="60"/>
      <c r="V2271" s="60"/>
      <c r="W2271" s="61"/>
      <c r="AA2271" s="59"/>
      <c r="AB2271" s="60"/>
      <c r="AC2271" s="60"/>
      <c r="AD2271" s="60"/>
      <c r="AE2271" s="61"/>
    </row>
    <row r="2272" spans="2:31" x14ac:dyDescent="0.25">
      <c r="B2272" s="53">
        <f t="shared" si="35"/>
        <v>452</v>
      </c>
      <c r="C2272" s="59"/>
      <c r="D2272" s="15" t="str">
        <f>IF(D2270="","","Исполнитель"&amp;": ")</f>
        <v/>
      </c>
      <c r="E2272" s="62" t="str">
        <f>IFERROR(VLOOKUP(C$13&amp;$B2272,Aux!$B:$M,4,0),"")</f>
        <v/>
      </c>
      <c r="F2272" s="62"/>
      <c r="G2272" s="63" t="str">
        <f>IFERROR(IF(VLOOKUP(C$13&amp;$B2270,Aux!$B:$M,8,0)="Да","✔","🕓"),"")</f>
        <v/>
      </c>
      <c r="K2272" s="59"/>
      <c r="L2272" s="15" t="str">
        <f>IF(L2270="","","Исполнитель"&amp;": ")</f>
        <v/>
      </c>
      <c r="M2272" s="62" t="str">
        <f>IFERROR(VLOOKUP(K$13&amp;$B2272,Aux!$B:$M,4,0),"")</f>
        <v/>
      </c>
      <c r="N2272" s="62"/>
      <c r="O2272" s="63" t="str">
        <f>IFERROR(IF(VLOOKUP(K$13&amp;$B2270,Aux!$B:$M,8,0)="Да","✔","🕓"),"")</f>
        <v/>
      </c>
      <c r="S2272" s="59"/>
      <c r="T2272" s="15" t="str">
        <f>IF(T2270="","","Исполнитель"&amp;": ")</f>
        <v/>
      </c>
      <c r="U2272" s="62" t="str">
        <f>IFERROR(VLOOKUP(S$13&amp;$B2272,Aux!$B:$M,4,0),"")</f>
        <v/>
      </c>
      <c r="V2272" s="62"/>
      <c r="W2272" s="63" t="str">
        <f>IFERROR(IF(VLOOKUP(S$13&amp;$B2270,Aux!$B:$M,8,0)="Да","✔","🕓"),"")</f>
        <v/>
      </c>
      <c r="AA2272" s="59"/>
      <c r="AB2272" s="15" t="str">
        <f>IF(AB2270="","","Исполнитель"&amp;": ")</f>
        <v/>
      </c>
      <c r="AC2272" s="62" t="str">
        <f>IFERROR(VLOOKUP(AA$13&amp;$B2272,Aux!$B:$M,4,0),"")</f>
        <v/>
      </c>
      <c r="AD2272" s="62"/>
      <c r="AE2272" s="63" t="str">
        <f>IFERROR(IF(VLOOKUP(AA$13&amp;$B2270,Aux!$B:$M,8,0)="Да","✔","🕓"),"")</f>
        <v/>
      </c>
    </row>
    <row r="2273" spans="2:31" x14ac:dyDescent="0.25">
      <c r="B2273" s="53">
        <f t="shared" si="35"/>
        <v>452</v>
      </c>
      <c r="C2273" s="59"/>
      <c r="D2273" s="16" t="str">
        <f>IF(D2270="","","Срок сдачи"&amp;": ")</f>
        <v/>
      </c>
      <c r="E2273" s="64" t="str">
        <f>IFERROR(VLOOKUP(C$13&amp;$B2273,Aux!$B:$M,6,0),"")</f>
        <v/>
      </c>
      <c r="F2273" s="64"/>
      <c r="G2273" s="63"/>
      <c r="K2273" s="59"/>
      <c r="L2273" s="16" t="str">
        <f>IF(L2270="","","Срок сдачи"&amp;": ")</f>
        <v/>
      </c>
      <c r="M2273" s="64" t="str">
        <f>IFERROR(VLOOKUP(K$13&amp;$B2273,Aux!$B:$M,6,0),"")</f>
        <v/>
      </c>
      <c r="N2273" s="64"/>
      <c r="O2273" s="63"/>
      <c r="S2273" s="59"/>
      <c r="T2273" s="16" t="str">
        <f>IF(T2270="","","Срок сдачи"&amp;": ")</f>
        <v/>
      </c>
      <c r="U2273" s="64" t="str">
        <f>IFERROR(VLOOKUP(S$13&amp;$B2273,Aux!$B:$M,6,0),"")</f>
        <v/>
      </c>
      <c r="V2273" s="64"/>
      <c r="W2273" s="63"/>
      <c r="AA2273" s="59"/>
      <c r="AB2273" s="16" t="str">
        <f>IF(AB2270="","","Срок сдачи"&amp;": ")</f>
        <v/>
      </c>
      <c r="AC2273" s="64" t="str">
        <f>IFERROR(VLOOKUP(AA$13&amp;$B2273,Aux!$B:$M,6,0),"")</f>
        <v/>
      </c>
      <c r="AD2273" s="64"/>
      <c r="AE2273" s="63"/>
    </row>
    <row r="2274" spans="2:31" x14ac:dyDescent="0.25">
      <c r="B2274" s="53">
        <f t="shared" si="35"/>
        <v>452</v>
      </c>
      <c r="C2274" s="7"/>
      <c r="D2274" s="17"/>
      <c r="E2274" s="7"/>
      <c r="F2274" s="18"/>
      <c r="G2274" s="18"/>
      <c r="K2274" s="13"/>
      <c r="L2274" s="17"/>
      <c r="M2274" s="13"/>
      <c r="N2274" s="14"/>
      <c r="O2274" s="14"/>
      <c r="S2274" s="13"/>
      <c r="T2274" s="17"/>
      <c r="U2274" s="13"/>
      <c r="V2274" s="14"/>
      <c r="W2274" s="14"/>
      <c r="AA2274" s="13"/>
      <c r="AB2274" s="17"/>
      <c r="AC2274" s="13"/>
      <c r="AD2274" s="14"/>
      <c r="AE2274" s="30"/>
    </row>
    <row r="2275" spans="2:31" x14ac:dyDescent="0.25">
      <c r="B2275" s="53">
        <f t="shared" si="35"/>
        <v>453</v>
      </c>
      <c r="C2275" s="59" t="str">
        <f>IFERROR(VLOOKUP(C$13&amp;$B2279,Aux!$B:$M,5,0),"")</f>
        <v/>
      </c>
      <c r="D2275" s="60" t="str">
        <f>IFERROR(VLOOKUP(C$13&amp;$B2275,Aux!$B:$M,3,0),"")</f>
        <v/>
      </c>
      <c r="E2275" s="60"/>
      <c r="F2275" s="60"/>
      <c r="G2275" s="61" t="str">
        <f>IFERROR(VLOOKUP(C$13&amp;$B2275,Aux!$B:$M,9,0),"")</f>
        <v/>
      </c>
      <c r="K2275" s="59" t="str">
        <f>IFERROR(VLOOKUP(K$13&amp;$B2279,Aux!$B:$M,5,0),"")</f>
        <v/>
      </c>
      <c r="L2275" s="60" t="str">
        <f>IFERROR(VLOOKUP(K$13&amp;$B2275,Aux!$B:$M,3,0),"")</f>
        <v/>
      </c>
      <c r="M2275" s="60"/>
      <c r="N2275" s="60"/>
      <c r="O2275" s="61" t="str">
        <f>IFERROR(VLOOKUP(K$13&amp;$B2275,Aux!$B:$M,9,0),"")</f>
        <v/>
      </c>
      <c r="S2275" s="59" t="str">
        <f>IFERROR(VLOOKUP(S$13&amp;$B2279,Aux!$B:$M,5,0),"")</f>
        <v/>
      </c>
      <c r="T2275" s="60" t="str">
        <f>IFERROR(VLOOKUP(S$13&amp;$B2275,Aux!$B:$M,3,0),"")</f>
        <v/>
      </c>
      <c r="U2275" s="60"/>
      <c r="V2275" s="60"/>
      <c r="W2275" s="61" t="str">
        <f>IFERROR(VLOOKUP(S$13&amp;$B2275,Aux!$B:$M,9,0),"")</f>
        <v/>
      </c>
      <c r="AA2275" s="59" t="str">
        <f>IFERROR(VLOOKUP(AA$13&amp;$B2279,Aux!$B:$M,5,0),"")</f>
        <v/>
      </c>
      <c r="AB2275" s="60" t="str">
        <f>IFERROR(VLOOKUP(AA$13&amp;$B2275,Aux!$B:$M,3,0),"")</f>
        <v/>
      </c>
      <c r="AC2275" s="60"/>
      <c r="AD2275" s="60"/>
      <c r="AE2275" s="61" t="str">
        <f>IFERROR(VLOOKUP(AA$13&amp;$B2275,Aux!$B:$M,9,0),"")</f>
        <v/>
      </c>
    </row>
    <row r="2276" spans="2:31" x14ac:dyDescent="0.25">
      <c r="B2276" s="53">
        <f t="shared" si="35"/>
        <v>453</v>
      </c>
      <c r="C2276" s="59"/>
      <c r="D2276" s="60"/>
      <c r="E2276" s="60"/>
      <c r="F2276" s="60"/>
      <c r="G2276" s="61"/>
      <c r="K2276" s="59"/>
      <c r="L2276" s="60"/>
      <c r="M2276" s="60"/>
      <c r="N2276" s="60"/>
      <c r="O2276" s="61"/>
      <c r="S2276" s="59"/>
      <c r="T2276" s="60"/>
      <c r="U2276" s="60"/>
      <c r="V2276" s="60"/>
      <c r="W2276" s="61"/>
      <c r="AA2276" s="59"/>
      <c r="AB2276" s="60"/>
      <c r="AC2276" s="60"/>
      <c r="AD2276" s="60"/>
      <c r="AE2276" s="61"/>
    </row>
    <row r="2277" spans="2:31" x14ac:dyDescent="0.25">
      <c r="B2277" s="53">
        <f t="shared" si="35"/>
        <v>453</v>
      </c>
      <c r="C2277" s="59"/>
      <c r="D2277" s="15" t="str">
        <f>IF(D2275="","","Исполнитель"&amp;": ")</f>
        <v/>
      </c>
      <c r="E2277" s="62" t="str">
        <f>IFERROR(VLOOKUP(C$13&amp;$B2277,Aux!$B:$M,4,0),"")</f>
        <v/>
      </c>
      <c r="F2277" s="62"/>
      <c r="G2277" s="63" t="str">
        <f>IFERROR(IF(VLOOKUP(C$13&amp;$B2275,Aux!$B:$M,8,0)="Да","✔","🕓"),"")</f>
        <v/>
      </c>
      <c r="K2277" s="59"/>
      <c r="L2277" s="15" t="str">
        <f>IF(L2275="","","Исполнитель"&amp;": ")</f>
        <v/>
      </c>
      <c r="M2277" s="62" t="str">
        <f>IFERROR(VLOOKUP(K$13&amp;$B2277,Aux!$B:$M,4,0),"")</f>
        <v/>
      </c>
      <c r="N2277" s="62"/>
      <c r="O2277" s="63" t="str">
        <f>IFERROR(IF(VLOOKUP(K$13&amp;$B2275,Aux!$B:$M,8,0)="Да","✔","🕓"),"")</f>
        <v/>
      </c>
      <c r="S2277" s="59"/>
      <c r="T2277" s="15" t="str">
        <f>IF(T2275="","","Исполнитель"&amp;": ")</f>
        <v/>
      </c>
      <c r="U2277" s="62" t="str">
        <f>IFERROR(VLOOKUP(S$13&amp;$B2277,Aux!$B:$M,4,0),"")</f>
        <v/>
      </c>
      <c r="V2277" s="62"/>
      <c r="W2277" s="63" t="str">
        <f>IFERROR(IF(VLOOKUP(S$13&amp;$B2275,Aux!$B:$M,8,0)="Да","✔","🕓"),"")</f>
        <v/>
      </c>
      <c r="AA2277" s="59"/>
      <c r="AB2277" s="15" t="str">
        <f>IF(AB2275="","","Исполнитель"&amp;": ")</f>
        <v/>
      </c>
      <c r="AC2277" s="62" t="str">
        <f>IFERROR(VLOOKUP(AA$13&amp;$B2277,Aux!$B:$M,4,0),"")</f>
        <v/>
      </c>
      <c r="AD2277" s="62"/>
      <c r="AE2277" s="63" t="str">
        <f>IFERROR(IF(VLOOKUP(AA$13&amp;$B2275,Aux!$B:$M,8,0)="Да","✔","🕓"),"")</f>
        <v/>
      </c>
    </row>
    <row r="2278" spans="2:31" x14ac:dyDescent="0.25">
      <c r="B2278" s="53">
        <f t="shared" si="35"/>
        <v>453</v>
      </c>
      <c r="C2278" s="59"/>
      <c r="D2278" s="16" t="str">
        <f>IF(D2275="","","Срок сдачи"&amp;": ")</f>
        <v/>
      </c>
      <c r="E2278" s="64" t="str">
        <f>IFERROR(VLOOKUP(C$13&amp;$B2278,Aux!$B:$M,6,0),"")</f>
        <v/>
      </c>
      <c r="F2278" s="64"/>
      <c r="G2278" s="63"/>
      <c r="K2278" s="59"/>
      <c r="L2278" s="16" t="str">
        <f>IF(L2275="","","Срок сдачи"&amp;": ")</f>
        <v/>
      </c>
      <c r="M2278" s="64" t="str">
        <f>IFERROR(VLOOKUP(K$13&amp;$B2278,Aux!$B:$M,6,0),"")</f>
        <v/>
      </c>
      <c r="N2278" s="64"/>
      <c r="O2278" s="63"/>
      <c r="S2278" s="59"/>
      <c r="T2278" s="16" t="str">
        <f>IF(T2275="","","Срок сдачи"&amp;": ")</f>
        <v/>
      </c>
      <c r="U2278" s="64" t="str">
        <f>IFERROR(VLOOKUP(S$13&amp;$B2278,Aux!$B:$M,6,0),"")</f>
        <v/>
      </c>
      <c r="V2278" s="64"/>
      <c r="W2278" s="63"/>
      <c r="AA2278" s="59"/>
      <c r="AB2278" s="16" t="str">
        <f>IF(AB2275="","","Срок сдачи"&amp;": ")</f>
        <v/>
      </c>
      <c r="AC2278" s="64" t="str">
        <f>IFERROR(VLOOKUP(AA$13&amp;$B2278,Aux!$B:$M,6,0),"")</f>
        <v/>
      </c>
      <c r="AD2278" s="64"/>
      <c r="AE2278" s="63"/>
    </row>
    <row r="2279" spans="2:31" x14ac:dyDescent="0.25">
      <c r="B2279" s="53">
        <f t="shared" si="35"/>
        <v>453</v>
      </c>
      <c r="C2279" s="7"/>
      <c r="D2279" s="17"/>
      <c r="E2279" s="7"/>
      <c r="F2279" s="18"/>
      <c r="G2279" s="18"/>
      <c r="K2279" s="13"/>
      <c r="L2279" s="17"/>
      <c r="M2279" s="13"/>
      <c r="N2279" s="14"/>
      <c r="O2279" s="14"/>
      <c r="S2279" s="13"/>
      <c r="T2279" s="17"/>
      <c r="U2279" s="13"/>
      <c r="V2279" s="14"/>
      <c r="W2279" s="14"/>
      <c r="AA2279" s="13"/>
      <c r="AB2279" s="17"/>
      <c r="AC2279" s="13"/>
      <c r="AD2279" s="14"/>
      <c r="AE2279" s="30"/>
    </row>
    <row r="2280" spans="2:31" x14ac:dyDescent="0.25">
      <c r="B2280" s="53">
        <f t="shared" si="35"/>
        <v>454</v>
      </c>
      <c r="C2280" s="59" t="str">
        <f>IFERROR(VLOOKUP(C$13&amp;$B2284,Aux!$B:$M,5,0),"")</f>
        <v/>
      </c>
      <c r="D2280" s="60" t="str">
        <f>IFERROR(VLOOKUP(C$13&amp;$B2280,Aux!$B:$M,3,0),"")</f>
        <v/>
      </c>
      <c r="E2280" s="60"/>
      <c r="F2280" s="60"/>
      <c r="G2280" s="61" t="str">
        <f>IFERROR(VLOOKUP(C$13&amp;$B2280,Aux!$B:$M,9,0),"")</f>
        <v/>
      </c>
      <c r="K2280" s="59" t="str">
        <f>IFERROR(VLOOKUP(K$13&amp;$B2284,Aux!$B:$M,5,0),"")</f>
        <v/>
      </c>
      <c r="L2280" s="60" t="str">
        <f>IFERROR(VLOOKUP(K$13&amp;$B2280,Aux!$B:$M,3,0),"")</f>
        <v/>
      </c>
      <c r="M2280" s="60"/>
      <c r="N2280" s="60"/>
      <c r="O2280" s="61" t="str">
        <f>IFERROR(VLOOKUP(K$13&amp;$B2280,Aux!$B:$M,9,0),"")</f>
        <v/>
      </c>
      <c r="S2280" s="59" t="str">
        <f>IFERROR(VLOOKUP(S$13&amp;$B2284,Aux!$B:$M,5,0),"")</f>
        <v/>
      </c>
      <c r="T2280" s="60" t="str">
        <f>IFERROR(VLOOKUP(S$13&amp;$B2280,Aux!$B:$M,3,0),"")</f>
        <v/>
      </c>
      <c r="U2280" s="60"/>
      <c r="V2280" s="60"/>
      <c r="W2280" s="61" t="str">
        <f>IFERROR(VLOOKUP(S$13&amp;$B2280,Aux!$B:$M,9,0),"")</f>
        <v/>
      </c>
      <c r="AA2280" s="59" t="str">
        <f>IFERROR(VLOOKUP(AA$13&amp;$B2284,Aux!$B:$M,5,0),"")</f>
        <v/>
      </c>
      <c r="AB2280" s="60" t="str">
        <f>IFERROR(VLOOKUP(AA$13&amp;$B2280,Aux!$B:$M,3,0),"")</f>
        <v/>
      </c>
      <c r="AC2280" s="60"/>
      <c r="AD2280" s="60"/>
      <c r="AE2280" s="61" t="str">
        <f>IFERROR(VLOOKUP(AA$13&amp;$B2280,Aux!$B:$M,9,0),"")</f>
        <v/>
      </c>
    </row>
    <row r="2281" spans="2:31" x14ac:dyDescent="0.25">
      <c r="B2281" s="53">
        <f t="shared" si="35"/>
        <v>454</v>
      </c>
      <c r="C2281" s="59"/>
      <c r="D2281" s="60"/>
      <c r="E2281" s="60"/>
      <c r="F2281" s="60"/>
      <c r="G2281" s="61"/>
      <c r="K2281" s="59"/>
      <c r="L2281" s="60"/>
      <c r="M2281" s="60"/>
      <c r="N2281" s="60"/>
      <c r="O2281" s="61"/>
      <c r="S2281" s="59"/>
      <c r="T2281" s="60"/>
      <c r="U2281" s="60"/>
      <c r="V2281" s="60"/>
      <c r="W2281" s="61"/>
      <c r="AA2281" s="59"/>
      <c r="AB2281" s="60"/>
      <c r="AC2281" s="60"/>
      <c r="AD2281" s="60"/>
      <c r="AE2281" s="61"/>
    </row>
    <row r="2282" spans="2:31" x14ac:dyDescent="0.25">
      <c r="B2282" s="53">
        <f t="shared" si="35"/>
        <v>454</v>
      </c>
      <c r="C2282" s="59"/>
      <c r="D2282" s="15" t="str">
        <f>IF(D2280="","","Исполнитель"&amp;": ")</f>
        <v/>
      </c>
      <c r="E2282" s="62" t="str">
        <f>IFERROR(VLOOKUP(C$13&amp;$B2282,Aux!$B:$M,4,0),"")</f>
        <v/>
      </c>
      <c r="F2282" s="62"/>
      <c r="G2282" s="63" t="str">
        <f>IFERROR(IF(VLOOKUP(C$13&amp;$B2280,Aux!$B:$M,8,0)="Да","✔","🕓"),"")</f>
        <v/>
      </c>
      <c r="K2282" s="59"/>
      <c r="L2282" s="15" t="str">
        <f>IF(L2280="","","Исполнитель"&amp;": ")</f>
        <v/>
      </c>
      <c r="M2282" s="62" t="str">
        <f>IFERROR(VLOOKUP(K$13&amp;$B2282,Aux!$B:$M,4,0),"")</f>
        <v/>
      </c>
      <c r="N2282" s="62"/>
      <c r="O2282" s="63" t="str">
        <f>IFERROR(IF(VLOOKUP(K$13&amp;$B2280,Aux!$B:$M,8,0)="Да","✔","🕓"),"")</f>
        <v/>
      </c>
      <c r="S2282" s="59"/>
      <c r="T2282" s="15" t="str">
        <f>IF(T2280="","","Исполнитель"&amp;": ")</f>
        <v/>
      </c>
      <c r="U2282" s="62" t="str">
        <f>IFERROR(VLOOKUP(S$13&amp;$B2282,Aux!$B:$M,4,0),"")</f>
        <v/>
      </c>
      <c r="V2282" s="62"/>
      <c r="W2282" s="63" t="str">
        <f>IFERROR(IF(VLOOKUP(S$13&amp;$B2280,Aux!$B:$M,8,0)="Да","✔","🕓"),"")</f>
        <v/>
      </c>
      <c r="AA2282" s="59"/>
      <c r="AB2282" s="15" t="str">
        <f>IF(AB2280="","","Исполнитель"&amp;": ")</f>
        <v/>
      </c>
      <c r="AC2282" s="62" t="str">
        <f>IFERROR(VLOOKUP(AA$13&amp;$B2282,Aux!$B:$M,4,0),"")</f>
        <v/>
      </c>
      <c r="AD2282" s="62"/>
      <c r="AE2282" s="63" t="str">
        <f>IFERROR(IF(VLOOKUP(AA$13&amp;$B2280,Aux!$B:$M,8,0)="Да","✔","🕓"),"")</f>
        <v/>
      </c>
    </row>
    <row r="2283" spans="2:31" x14ac:dyDescent="0.25">
      <c r="B2283" s="53">
        <f t="shared" si="35"/>
        <v>454</v>
      </c>
      <c r="C2283" s="59"/>
      <c r="D2283" s="16" t="str">
        <f>IF(D2280="","","Срок сдачи"&amp;": ")</f>
        <v/>
      </c>
      <c r="E2283" s="64" t="str">
        <f>IFERROR(VLOOKUP(C$13&amp;$B2283,Aux!$B:$M,6,0),"")</f>
        <v/>
      </c>
      <c r="F2283" s="64"/>
      <c r="G2283" s="63"/>
      <c r="K2283" s="59"/>
      <c r="L2283" s="16" t="str">
        <f>IF(L2280="","","Срок сдачи"&amp;": ")</f>
        <v/>
      </c>
      <c r="M2283" s="64" t="str">
        <f>IFERROR(VLOOKUP(K$13&amp;$B2283,Aux!$B:$M,6,0),"")</f>
        <v/>
      </c>
      <c r="N2283" s="64"/>
      <c r="O2283" s="63"/>
      <c r="S2283" s="59"/>
      <c r="T2283" s="16" t="str">
        <f>IF(T2280="","","Срок сдачи"&amp;": ")</f>
        <v/>
      </c>
      <c r="U2283" s="64" t="str">
        <f>IFERROR(VLOOKUP(S$13&amp;$B2283,Aux!$B:$M,6,0),"")</f>
        <v/>
      </c>
      <c r="V2283" s="64"/>
      <c r="W2283" s="63"/>
      <c r="AA2283" s="59"/>
      <c r="AB2283" s="16" t="str">
        <f>IF(AB2280="","","Срок сдачи"&amp;": ")</f>
        <v/>
      </c>
      <c r="AC2283" s="64" t="str">
        <f>IFERROR(VLOOKUP(AA$13&amp;$B2283,Aux!$B:$M,6,0),"")</f>
        <v/>
      </c>
      <c r="AD2283" s="64"/>
      <c r="AE2283" s="63"/>
    </row>
    <row r="2284" spans="2:31" x14ac:dyDescent="0.25">
      <c r="B2284" s="53">
        <f t="shared" si="35"/>
        <v>454</v>
      </c>
      <c r="C2284" s="7"/>
      <c r="D2284" s="17"/>
      <c r="E2284" s="7"/>
      <c r="F2284" s="18"/>
      <c r="G2284" s="18"/>
      <c r="K2284" s="13"/>
      <c r="L2284" s="17"/>
      <c r="M2284" s="13"/>
      <c r="N2284" s="14"/>
      <c r="O2284" s="14"/>
      <c r="S2284" s="13"/>
      <c r="T2284" s="17"/>
      <c r="U2284" s="13"/>
      <c r="V2284" s="14"/>
      <c r="W2284" s="14"/>
      <c r="AA2284" s="13"/>
      <c r="AB2284" s="17"/>
      <c r="AC2284" s="13"/>
      <c r="AD2284" s="14"/>
      <c r="AE2284" s="30"/>
    </row>
    <row r="2285" spans="2:31" x14ac:dyDescent="0.25">
      <c r="B2285" s="53">
        <f t="shared" si="35"/>
        <v>455</v>
      </c>
      <c r="C2285" s="59" t="str">
        <f>IFERROR(VLOOKUP(C$13&amp;$B2289,Aux!$B:$M,5,0),"")</f>
        <v/>
      </c>
      <c r="D2285" s="60" t="str">
        <f>IFERROR(VLOOKUP(C$13&amp;$B2285,Aux!$B:$M,3,0),"")</f>
        <v/>
      </c>
      <c r="E2285" s="60"/>
      <c r="F2285" s="60"/>
      <c r="G2285" s="61" t="str">
        <f>IFERROR(VLOOKUP(C$13&amp;$B2285,Aux!$B:$M,9,0),"")</f>
        <v/>
      </c>
      <c r="K2285" s="59" t="str">
        <f>IFERROR(VLOOKUP(K$13&amp;$B2289,Aux!$B:$M,5,0),"")</f>
        <v/>
      </c>
      <c r="L2285" s="60" t="str">
        <f>IFERROR(VLOOKUP(K$13&amp;$B2285,Aux!$B:$M,3,0),"")</f>
        <v/>
      </c>
      <c r="M2285" s="60"/>
      <c r="N2285" s="60"/>
      <c r="O2285" s="61" t="str">
        <f>IFERROR(VLOOKUP(K$13&amp;$B2285,Aux!$B:$M,9,0),"")</f>
        <v/>
      </c>
      <c r="S2285" s="59" t="str">
        <f>IFERROR(VLOOKUP(S$13&amp;$B2289,Aux!$B:$M,5,0),"")</f>
        <v/>
      </c>
      <c r="T2285" s="60" t="str">
        <f>IFERROR(VLOOKUP(S$13&amp;$B2285,Aux!$B:$M,3,0),"")</f>
        <v/>
      </c>
      <c r="U2285" s="60"/>
      <c r="V2285" s="60"/>
      <c r="W2285" s="61" t="str">
        <f>IFERROR(VLOOKUP(S$13&amp;$B2285,Aux!$B:$M,9,0),"")</f>
        <v/>
      </c>
      <c r="AA2285" s="59" t="str">
        <f>IFERROR(VLOOKUP(AA$13&amp;$B2289,Aux!$B:$M,5,0),"")</f>
        <v/>
      </c>
      <c r="AB2285" s="60" t="str">
        <f>IFERROR(VLOOKUP(AA$13&amp;$B2285,Aux!$B:$M,3,0),"")</f>
        <v/>
      </c>
      <c r="AC2285" s="60"/>
      <c r="AD2285" s="60"/>
      <c r="AE2285" s="61" t="str">
        <f>IFERROR(VLOOKUP(AA$13&amp;$B2285,Aux!$B:$M,9,0),"")</f>
        <v/>
      </c>
    </row>
    <row r="2286" spans="2:31" x14ac:dyDescent="0.25">
      <c r="B2286" s="53">
        <f t="shared" si="35"/>
        <v>455</v>
      </c>
      <c r="C2286" s="59"/>
      <c r="D2286" s="60"/>
      <c r="E2286" s="60"/>
      <c r="F2286" s="60"/>
      <c r="G2286" s="61"/>
      <c r="K2286" s="59"/>
      <c r="L2286" s="60"/>
      <c r="M2286" s="60"/>
      <c r="N2286" s="60"/>
      <c r="O2286" s="61"/>
      <c r="S2286" s="59"/>
      <c r="T2286" s="60"/>
      <c r="U2286" s="60"/>
      <c r="V2286" s="60"/>
      <c r="W2286" s="61"/>
      <c r="AA2286" s="59"/>
      <c r="AB2286" s="60"/>
      <c r="AC2286" s="60"/>
      <c r="AD2286" s="60"/>
      <c r="AE2286" s="61"/>
    </row>
    <row r="2287" spans="2:31" x14ac:dyDescent="0.25">
      <c r="B2287" s="53">
        <f t="shared" si="35"/>
        <v>455</v>
      </c>
      <c r="C2287" s="59"/>
      <c r="D2287" s="15" t="str">
        <f>IF(D2285="","","Исполнитель"&amp;": ")</f>
        <v/>
      </c>
      <c r="E2287" s="62" t="str">
        <f>IFERROR(VLOOKUP(C$13&amp;$B2287,Aux!$B:$M,4,0),"")</f>
        <v/>
      </c>
      <c r="F2287" s="62"/>
      <c r="G2287" s="63" t="str">
        <f>IFERROR(IF(VLOOKUP(C$13&amp;$B2285,Aux!$B:$M,8,0)="Да","✔","🕓"),"")</f>
        <v/>
      </c>
      <c r="K2287" s="59"/>
      <c r="L2287" s="15" t="str">
        <f>IF(L2285="","","Исполнитель"&amp;": ")</f>
        <v/>
      </c>
      <c r="M2287" s="62" t="str">
        <f>IFERROR(VLOOKUP(K$13&amp;$B2287,Aux!$B:$M,4,0),"")</f>
        <v/>
      </c>
      <c r="N2287" s="62"/>
      <c r="O2287" s="63" t="str">
        <f>IFERROR(IF(VLOOKUP(K$13&amp;$B2285,Aux!$B:$M,8,0)="Да","✔","🕓"),"")</f>
        <v/>
      </c>
      <c r="S2287" s="59"/>
      <c r="T2287" s="15" t="str">
        <f>IF(T2285="","","Исполнитель"&amp;": ")</f>
        <v/>
      </c>
      <c r="U2287" s="62" t="str">
        <f>IFERROR(VLOOKUP(S$13&amp;$B2287,Aux!$B:$M,4,0),"")</f>
        <v/>
      </c>
      <c r="V2287" s="62"/>
      <c r="W2287" s="63" t="str">
        <f>IFERROR(IF(VLOOKUP(S$13&amp;$B2285,Aux!$B:$M,8,0)="Да","✔","🕓"),"")</f>
        <v/>
      </c>
      <c r="AA2287" s="59"/>
      <c r="AB2287" s="15" t="str">
        <f>IF(AB2285="","","Исполнитель"&amp;": ")</f>
        <v/>
      </c>
      <c r="AC2287" s="62" t="str">
        <f>IFERROR(VLOOKUP(AA$13&amp;$B2287,Aux!$B:$M,4,0),"")</f>
        <v/>
      </c>
      <c r="AD2287" s="62"/>
      <c r="AE2287" s="63" t="str">
        <f>IFERROR(IF(VLOOKUP(AA$13&amp;$B2285,Aux!$B:$M,8,0)="Да","✔","🕓"),"")</f>
        <v/>
      </c>
    </row>
    <row r="2288" spans="2:31" x14ac:dyDescent="0.25">
      <c r="B2288" s="53">
        <f t="shared" si="35"/>
        <v>455</v>
      </c>
      <c r="C2288" s="59"/>
      <c r="D2288" s="16" t="str">
        <f>IF(D2285="","","Срок сдачи"&amp;": ")</f>
        <v/>
      </c>
      <c r="E2288" s="64" t="str">
        <f>IFERROR(VLOOKUP(C$13&amp;$B2288,Aux!$B:$M,6,0),"")</f>
        <v/>
      </c>
      <c r="F2288" s="64"/>
      <c r="G2288" s="63"/>
      <c r="K2288" s="59"/>
      <c r="L2288" s="16" t="str">
        <f>IF(L2285="","","Срок сдачи"&amp;": ")</f>
        <v/>
      </c>
      <c r="M2288" s="64" t="str">
        <f>IFERROR(VLOOKUP(K$13&amp;$B2288,Aux!$B:$M,6,0),"")</f>
        <v/>
      </c>
      <c r="N2288" s="64"/>
      <c r="O2288" s="63"/>
      <c r="S2288" s="59"/>
      <c r="T2288" s="16" t="str">
        <f>IF(T2285="","","Срок сдачи"&amp;": ")</f>
        <v/>
      </c>
      <c r="U2288" s="64" t="str">
        <f>IFERROR(VLOOKUP(S$13&amp;$B2288,Aux!$B:$M,6,0),"")</f>
        <v/>
      </c>
      <c r="V2288" s="64"/>
      <c r="W2288" s="63"/>
      <c r="AA2288" s="59"/>
      <c r="AB2288" s="16" t="str">
        <f>IF(AB2285="","","Срок сдачи"&amp;": ")</f>
        <v/>
      </c>
      <c r="AC2288" s="64" t="str">
        <f>IFERROR(VLOOKUP(AA$13&amp;$B2288,Aux!$B:$M,6,0),"")</f>
        <v/>
      </c>
      <c r="AD2288" s="64"/>
      <c r="AE2288" s="63"/>
    </row>
    <row r="2289" spans="2:31" x14ac:dyDescent="0.25">
      <c r="B2289" s="53">
        <f t="shared" si="35"/>
        <v>455</v>
      </c>
      <c r="C2289" s="7"/>
      <c r="D2289" s="17"/>
      <c r="E2289" s="7"/>
      <c r="F2289" s="18"/>
      <c r="G2289" s="18"/>
      <c r="K2289" s="13"/>
      <c r="L2289" s="17"/>
      <c r="M2289" s="13"/>
      <c r="N2289" s="14"/>
      <c r="O2289" s="14"/>
      <c r="S2289" s="13"/>
      <c r="T2289" s="17"/>
      <c r="U2289" s="13"/>
      <c r="V2289" s="14"/>
      <c r="W2289" s="14"/>
      <c r="AA2289" s="13"/>
      <c r="AB2289" s="17"/>
      <c r="AC2289" s="13"/>
      <c r="AD2289" s="14"/>
      <c r="AE2289" s="30"/>
    </row>
    <row r="2290" spans="2:31" x14ac:dyDescent="0.25">
      <c r="B2290" s="53">
        <f t="shared" si="35"/>
        <v>456</v>
      </c>
      <c r="C2290" s="59" t="str">
        <f>IFERROR(VLOOKUP(C$13&amp;$B2294,Aux!$B:$M,5,0),"")</f>
        <v/>
      </c>
      <c r="D2290" s="60" t="str">
        <f>IFERROR(VLOOKUP(C$13&amp;$B2290,Aux!$B:$M,3,0),"")</f>
        <v/>
      </c>
      <c r="E2290" s="60"/>
      <c r="F2290" s="60"/>
      <c r="G2290" s="61" t="str">
        <f>IFERROR(VLOOKUP(C$13&amp;$B2290,Aux!$B:$M,9,0),"")</f>
        <v/>
      </c>
      <c r="K2290" s="59" t="str">
        <f>IFERROR(VLOOKUP(K$13&amp;$B2294,Aux!$B:$M,5,0),"")</f>
        <v/>
      </c>
      <c r="L2290" s="60" t="str">
        <f>IFERROR(VLOOKUP(K$13&amp;$B2290,Aux!$B:$M,3,0),"")</f>
        <v/>
      </c>
      <c r="M2290" s="60"/>
      <c r="N2290" s="60"/>
      <c r="O2290" s="61" t="str">
        <f>IFERROR(VLOOKUP(K$13&amp;$B2290,Aux!$B:$M,9,0),"")</f>
        <v/>
      </c>
      <c r="S2290" s="59" t="str">
        <f>IFERROR(VLOOKUP(S$13&amp;$B2294,Aux!$B:$M,5,0),"")</f>
        <v/>
      </c>
      <c r="T2290" s="60" t="str">
        <f>IFERROR(VLOOKUP(S$13&amp;$B2290,Aux!$B:$M,3,0),"")</f>
        <v/>
      </c>
      <c r="U2290" s="60"/>
      <c r="V2290" s="60"/>
      <c r="W2290" s="61" t="str">
        <f>IFERROR(VLOOKUP(S$13&amp;$B2290,Aux!$B:$M,9,0),"")</f>
        <v/>
      </c>
      <c r="AA2290" s="59" t="str">
        <f>IFERROR(VLOOKUP(AA$13&amp;$B2294,Aux!$B:$M,5,0),"")</f>
        <v/>
      </c>
      <c r="AB2290" s="60" t="str">
        <f>IFERROR(VLOOKUP(AA$13&amp;$B2290,Aux!$B:$M,3,0),"")</f>
        <v/>
      </c>
      <c r="AC2290" s="60"/>
      <c r="AD2290" s="60"/>
      <c r="AE2290" s="61" t="str">
        <f>IFERROR(VLOOKUP(AA$13&amp;$B2290,Aux!$B:$M,9,0),"")</f>
        <v/>
      </c>
    </row>
    <row r="2291" spans="2:31" x14ac:dyDescent="0.25">
      <c r="B2291" s="53">
        <f t="shared" si="35"/>
        <v>456</v>
      </c>
      <c r="C2291" s="59"/>
      <c r="D2291" s="60"/>
      <c r="E2291" s="60"/>
      <c r="F2291" s="60"/>
      <c r="G2291" s="61"/>
      <c r="K2291" s="59"/>
      <c r="L2291" s="60"/>
      <c r="M2291" s="60"/>
      <c r="N2291" s="60"/>
      <c r="O2291" s="61"/>
      <c r="S2291" s="59"/>
      <c r="T2291" s="60"/>
      <c r="U2291" s="60"/>
      <c r="V2291" s="60"/>
      <c r="W2291" s="61"/>
      <c r="AA2291" s="59"/>
      <c r="AB2291" s="60"/>
      <c r="AC2291" s="60"/>
      <c r="AD2291" s="60"/>
      <c r="AE2291" s="61"/>
    </row>
    <row r="2292" spans="2:31" x14ac:dyDescent="0.25">
      <c r="B2292" s="53">
        <f t="shared" si="35"/>
        <v>456</v>
      </c>
      <c r="C2292" s="59"/>
      <c r="D2292" s="15" t="str">
        <f>IF(D2290="","","Исполнитель"&amp;": ")</f>
        <v/>
      </c>
      <c r="E2292" s="62" t="str">
        <f>IFERROR(VLOOKUP(C$13&amp;$B2292,Aux!$B:$M,4,0),"")</f>
        <v/>
      </c>
      <c r="F2292" s="62"/>
      <c r="G2292" s="63" t="str">
        <f>IFERROR(IF(VLOOKUP(C$13&amp;$B2290,Aux!$B:$M,8,0)="Да","✔","🕓"),"")</f>
        <v/>
      </c>
      <c r="K2292" s="59"/>
      <c r="L2292" s="15" t="str">
        <f>IF(L2290="","","Исполнитель"&amp;": ")</f>
        <v/>
      </c>
      <c r="M2292" s="62" t="str">
        <f>IFERROR(VLOOKUP(K$13&amp;$B2292,Aux!$B:$M,4,0),"")</f>
        <v/>
      </c>
      <c r="N2292" s="62"/>
      <c r="O2292" s="63" t="str">
        <f>IFERROR(IF(VLOOKUP(K$13&amp;$B2290,Aux!$B:$M,8,0)="Да","✔","🕓"),"")</f>
        <v/>
      </c>
      <c r="S2292" s="59"/>
      <c r="T2292" s="15" t="str">
        <f>IF(T2290="","","Исполнитель"&amp;": ")</f>
        <v/>
      </c>
      <c r="U2292" s="62" t="str">
        <f>IFERROR(VLOOKUP(S$13&amp;$B2292,Aux!$B:$M,4,0),"")</f>
        <v/>
      </c>
      <c r="V2292" s="62"/>
      <c r="W2292" s="63" t="str">
        <f>IFERROR(IF(VLOOKUP(S$13&amp;$B2290,Aux!$B:$M,8,0)="Да","✔","🕓"),"")</f>
        <v/>
      </c>
      <c r="AA2292" s="59"/>
      <c r="AB2292" s="15" t="str">
        <f>IF(AB2290="","","Исполнитель"&amp;": ")</f>
        <v/>
      </c>
      <c r="AC2292" s="62" t="str">
        <f>IFERROR(VLOOKUP(AA$13&amp;$B2292,Aux!$B:$M,4,0),"")</f>
        <v/>
      </c>
      <c r="AD2292" s="62"/>
      <c r="AE2292" s="63" t="str">
        <f>IFERROR(IF(VLOOKUP(AA$13&amp;$B2290,Aux!$B:$M,8,0)="Да","✔","🕓"),"")</f>
        <v/>
      </c>
    </row>
    <row r="2293" spans="2:31" x14ac:dyDescent="0.25">
      <c r="B2293" s="53">
        <f t="shared" si="35"/>
        <v>456</v>
      </c>
      <c r="C2293" s="59"/>
      <c r="D2293" s="16" t="str">
        <f>IF(D2290="","","Срок сдачи"&amp;": ")</f>
        <v/>
      </c>
      <c r="E2293" s="64" t="str">
        <f>IFERROR(VLOOKUP(C$13&amp;$B2293,Aux!$B:$M,6,0),"")</f>
        <v/>
      </c>
      <c r="F2293" s="64"/>
      <c r="G2293" s="63"/>
      <c r="K2293" s="59"/>
      <c r="L2293" s="16" t="str">
        <f>IF(L2290="","","Срок сдачи"&amp;": ")</f>
        <v/>
      </c>
      <c r="M2293" s="64" t="str">
        <f>IFERROR(VLOOKUP(K$13&amp;$B2293,Aux!$B:$M,6,0),"")</f>
        <v/>
      </c>
      <c r="N2293" s="64"/>
      <c r="O2293" s="63"/>
      <c r="S2293" s="59"/>
      <c r="T2293" s="16" t="str">
        <f>IF(T2290="","","Срок сдачи"&amp;": ")</f>
        <v/>
      </c>
      <c r="U2293" s="64" t="str">
        <f>IFERROR(VLOOKUP(S$13&amp;$B2293,Aux!$B:$M,6,0),"")</f>
        <v/>
      </c>
      <c r="V2293" s="64"/>
      <c r="W2293" s="63"/>
      <c r="AA2293" s="59"/>
      <c r="AB2293" s="16" t="str">
        <f>IF(AB2290="","","Срок сдачи"&amp;": ")</f>
        <v/>
      </c>
      <c r="AC2293" s="64" t="str">
        <f>IFERROR(VLOOKUP(AA$13&amp;$B2293,Aux!$B:$M,6,0),"")</f>
        <v/>
      </c>
      <c r="AD2293" s="64"/>
      <c r="AE2293" s="63"/>
    </row>
    <row r="2294" spans="2:31" x14ac:dyDescent="0.25">
      <c r="B2294" s="53">
        <f t="shared" si="35"/>
        <v>456</v>
      </c>
      <c r="C2294" s="7"/>
      <c r="D2294" s="17"/>
      <c r="E2294" s="7"/>
      <c r="F2294" s="18"/>
      <c r="G2294" s="18"/>
      <c r="K2294" s="13"/>
      <c r="L2294" s="17"/>
      <c r="M2294" s="13"/>
      <c r="N2294" s="14"/>
      <c r="O2294" s="14"/>
      <c r="S2294" s="13"/>
      <c r="T2294" s="17"/>
      <c r="U2294" s="13"/>
      <c r="V2294" s="14"/>
      <c r="W2294" s="14"/>
      <c r="AA2294" s="13"/>
      <c r="AB2294" s="17"/>
      <c r="AC2294" s="13"/>
      <c r="AD2294" s="14"/>
      <c r="AE2294" s="30"/>
    </row>
    <row r="2295" spans="2:31" x14ac:dyDescent="0.25">
      <c r="B2295" s="53">
        <f t="shared" si="35"/>
        <v>457</v>
      </c>
      <c r="C2295" s="59" t="str">
        <f>IFERROR(VLOOKUP(C$13&amp;$B2299,Aux!$B:$M,5,0),"")</f>
        <v/>
      </c>
      <c r="D2295" s="60" t="str">
        <f>IFERROR(VLOOKUP(C$13&amp;$B2295,Aux!$B:$M,3,0),"")</f>
        <v/>
      </c>
      <c r="E2295" s="60"/>
      <c r="F2295" s="60"/>
      <c r="G2295" s="61" t="str">
        <f>IFERROR(VLOOKUP(C$13&amp;$B2295,Aux!$B:$M,9,0),"")</f>
        <v/>
      </c>
      <c r="K2295" s="59" t="str">
        <f>IFERROR(VLOOKUP(K$13&amp;$B2299,Aux!$B:$M,5,0),"")</f>
        <v/>
      </c>
      <c r="L2295" s="60" t="str">
        <f>IFERROR(VLOOKUP(K$13&amp;$B2295,Aux!$B:$M,3,0),"")</f>
        <v/>
      </c>
      <c r="M2295" s="60"/>
      <c r="N2295" s="60"/>
      <c r="O2295" s="61" t="str">
        <f>IFERROR(VLOOKUP(K$13&amp;$B2295,Aux!$B:$M,9,0),"")</f>
        <v/>
      </c>
      <c r="S2295" s="59" t="str">
        <f>IFERROR(VLOOKUP(S$13&amp;$B2299,Aux!$B:$M,5,0),"")</f>
        <v/>
      </c>
      <c r="T2295" s="60" t="str">
        <f>IFERROR(VLOOKUP(S$13&amp;$B2295,Aux!$B:$M,3,0),"")</f>
        <v/>
      </c>
      <c r="U2295" s="60"/>
      <c r="V2295" s="60"/>
      <c r="W2295" s="61" t="str">
        <f>IFERROR(VLOOKUP(S$13&amp;$B2295,Aux!$B:$M,9,0),"")</f>
        <v/>
      </c>
      <c r="AA2295" s="59" t="str">
        <f>IFERROR(VLOOKUP(AA$13&amp;$B2299,Aux!$B:$M,5,0),"")</f>
        <v/>
      </c>
      <c r="AB2295" s="60" t="str">
        <f>IFERROR(VLOOKUP(AA$13&amp;$B2295,Aux!$B:$M,3,0),"")</f>
        <v/>
      </c>
      <c r="AC2295" s="60"/>
      <c r="AD2295" s="60"/>
      <c r="AE2295" s="61" t="str">
        <f>IFERROR(VLOOKUP(AA$13&amp;$B2295,Aux!$B:$M,9,0),"")</f>
        <v/>
      </c>
    </row>
    <row r="2296" spans="2:31" x14ac:dyDescent="0.25">
      <c r="B2296" s="53">
        <f t="shared" si="35"/>
        <v>457</v>
      </c>
      <c r="C2296" s="59"/>
      <c r="D2296" s="60"/>
      <c r="E2296" s="60"/>
      <c r="F2296" s="60"/>
      <c r="G2296" s="61"/>
      <c r="K2296" s="59"/>
      <c r="L2296" s="60"/>
      <c r="M2296" s="60"/>
      <c r="N2296" s="60"/>
      <c r="O2296" s="61"/>
      <c r="S2296" s="59"/>
      <c r="T2296" s="60"/>
      <c r="U2296" s="60"/>
      <c r="V2296" s="60"/>
      <c r="W2296" s="61"/>
      <c r="AA2296" s="59"/>
      <c r="AB2296" s="60"/>
      <c r="AC2296" s="60"/>
      <c r="AD2296" s="60"/>
      <c r="AE2296" s="61"/>
    </row>
    <row r="2297" spans="2:31" x14ac:dyDescent="0.25">
      <c r="B2297" s="53">
        <f t="shared" si="35"/>
        <v>457</v>
      </c>
      <c r="C2297" s="59"/>
      <c r="D2297" s="15" t="str">
        <f>IF(D2295="","","Исполнитель"&amp;": ")</f>
        <v/>
      </c>
      <c r="E2297" s="62" t="str">
        <f>IFERROR(VLOOKUP(C$13&amp;$B2297,Aux!$B:$M,4,0),"")</f>
        <v/>
      </c>
      <c r="F2297" s="62"/>
      <c r="G2297" s="63" t="str">
        <f>IFERROR(IF(VLOOKUP(C$13&amp;$B2295,Aux!$B:$M,8,0)="Да","✔","🕓"),"")</f>
        <v/>
      </c>
      <c r="K2297" s="59"/>
      <c r="L2297" s="15" t="str">
        <f>IF(L2295="","","Исполнитель"&amp;": ")</f>
        <v/>
      </c>
      <c r="M2297" s="62" t="str">
        <f>IFERROR(VLOOKUP(K$13&amp;$B2297,Aux!$B:$M,4,0),"")</f>
        <v/>
      </c>
      <c r="N2297" s="62"/>
      <c r="O2297" s="63" t="str">
        <f>IFERROR(IF(VLOOKUP(K$13&amp;$B2295,Aux!$B:$M,8,0)="Да","✔","🕓"),"")</f>
        <v/>
      </c>
      <c r="S2297" s="59"/>
      <c r="T2297" s="15" t="str">
        <f>IF(T2295="","","Исполнитель"&amp;": ")</f>
        <v/>
      </c>
      <c r="U2297" s="62" t="str">
        <f>IFERROR(VLOOKUP(S$13&amp;$B2297,Aux!$B:$M,4,0),"")</f>
        <v/>
      </c>
      <c r="V2297" s="62"/>
      <c r="W2297" s="63" t="str">
        <f>IFERROR(IF(VLOOKUP(S$13&amp;$B2295,Aux!$B:$M,8,0)="Да","✔","🕓"),"")</f>
        <v/>
      </c>
      <c r="AA2297" s="59"/>
      <c r="AB2297" s="15" t="str">
        <f>IF(AB2295="","","Исполнитель"&amp;": ")</f>
        <v/>
      </c>
      <c r="AC2297" s="62" t="str">
        <f>IFERROR(VLOOKUP(AA$13&amp;$B2297,Aux!$B:$M,4,0),"")</f>
        <v/>
      </c>
      <c r="AD2297" s="62"/>
      <c r="AE2297" s="63" t="str">
        <f>IFERROR(IF(VLOOKUP(AA$13&amp;$B2295,Aux!$B:$M,8,0)="Да","✔","🕓"),"")</f>
        <v/>
      </c>
    </row>
    <row r="2298" spans="2:31" x14ac:dyDescent="0.25">
      <c r="B2298" s="53">
        <f t="shared" si="35"/>
        <v>457</v>
      </c>
      <c r="C2298" s="59"/>
      <c r="D2298" s="16" t="str">
        <f>IF(D2295="","","Срок сдачи"&amp;": ")</f>
        <v/>
      </c>
      <c r="E2298" s="64" t="str">
        <f>IFERROR(VLOOKUP(C$13&amp;$B2298,Aux!$B:$M,6,0),"")</f>
        <v/>
      </c>
      <c r="F2298" s="64"/>
      <c r="G2298" s="63"/>
      <c r="K2298" s="59"/>
      <c r="L2298" s="16" t="str">
        <f>IF(L2295="","","Срок сдачи"&amp;": ")</f>
        <v/>
      </c>
      <c r="M2298" s="64" t="str">
        <f>IFERROR(VLOOKUP(K$13&amp;$B2298,Aux!$B:$M,6,0),"")</f>
        <v/>
      </c>
      <c r="N2298" s="64"/>
      <c r="O2298" s="63"/>
      <c r="S2298" s="59"/>
      <c r="T2298" s="16" t="str">
        <f>IF(T2295="","","Срок сдачи"&amp;": ")</f>
        <v/>
      </c>
      <c r="U2298" s="64" t="str">
        <f>IFERROR(VLOOKUP(S$13&amp;$B2298,Aux!$B:$M,6,0),"")</f>
        <v/>
      </c>
      <c r="V2298" s="64"/>
      <c r="W2298" s="63"/>
      <c r="AA2298" s="59"/>
      <c r="AB2298" s="16" t="str">
        <f>IF(AB2295="","","Срок сдачи"&amp;": ")</f>
        <v/>
      </c>
      <c r="AC2298" s="64" t="str">
        <f>IFERROR(VLOOKUP(AA$13&amp;$B2298,Aux!$B:$M,6,0),"")</f>
        <v/>
      </c>
      <c r="AD2298" s="64"/>
      <c r="AE2298" s="63"/>
    </row>
    <row r="2299" spans="2:31" x14ac:dyDescent="0.25">
      <c r="B2299" s="53">
        <f t="shared" si="35"/>
        <v>457</v>
      </c>
      <c r="C2299" s="7"/>
      <c r="D2299" s="17"/>
      <c r="E2299" s="7"/>
      <c r="F2299" s="18"/>
      <c r="G2299" s="18"/>
      <c r="K2299" s="13"/>
      <c r="L2299" s="17"/>
      <c r="M2299" s="13"/>
      <c r="N2299" s="14"/>
      <c r="O2299" s="14"/>
      <c r="S2299" s="13"/>
      <c r="T2299" s="17"/>
      <c r="U2299" s="13"/>
      <c r="V2299" s="14"/>
      <c r="W2299" s="14"/>
      <c r="AA2299" s="13"/>
      <c r="AB2299" s="17"/>
      <c r="AC2299" s="13"/>
      <c r="AD2299" s="14"/>
      <c r="AE2299" s="30"/>
    </row>
    <row r="2300" spans="2:31" x14ac:dyDescent="0.25">
      <c r="B2300" s="53">
        <f t="shared" si="35"/>
        <v>458</v>
      </c>
      <c r="C2300" s="59" t="str">
        <f>IFERROR(VLOOKUP(C$13&amp;$B2304,Aux!$B:$M,5,0),"")</f>
        <v/>
      </c>
      <c r="D2300" s="60" t="str">
        <f>IFERROR(VLOOKUP(C$13&amp;$B2300,Aux!$B:$M,3,0),"")</f>
        <v/>
      </c>
      <c r="E2300" s="60"/>
      <c r="F2300" s="60"/>
      <c r="G2300" s="61" t="str">
        <f>IFERROR(VLOOKUP(C$13&amp;$B2300,Aux!$B:$M,9,0),"")</f>
        <v/>
      </c>
      <c r="K2300" s="59" t="str">
        <f>IFERROR(VLOOKUP(K$13&amp;$B2304,Aux!$B:$M,5,0),"")</f>
        <v/>
      </c>
      <c r="L2300" s="60" t="str">
        <f>IFERROR(VLOOKUP(K$13&amp;$B2300,Aux!$B:$M,3,0),"")</f>
        <v/>
      </c>
      <c r="M2300" s="60"/>
      <c r="N2300" s="60"/>
      <c r="O2300" s="61" t="str">
        <f>IFERROR(VLOOKUP(K$13&amp;$B2300,Aux!$B:$M,9,0),"")</f>
        <v/>
      </c>
      <c r="S2300" s="59" t="str">
        <f>IFERROR(VLOOKUP(S$13&amp;$B2304,Aux!$B:$M,5,0),"")</f>
        <v/>
      </c>
      <c r="T2300" s="60" t="str">
        <f>IFERROR(VLOOKUP(S$13&amp;$B2300,Aux!$B:$M,3,0),"")</f>
        <v/>
      </c>
      <c r="U2300" s="60"/>
      <c r="V2300" s="60"/>
      <c r="W2300" s="61" t="str">
        <f>IFERROR(VLOOKUP(S$13&amp;$B2300,Aux!$B:$M,9,0),"")</f>
        <v/>
      </c>
      <c r="AA2300" s="59" t="str">
        <f>IFERROR(VLOOKUP(AA$13&amp;$B2304,Aux!$B:$M,5,0),"")</f>
        <v/>
      </c>
      <c r="AB2300" s="60" t="str">
        <f>IFERROR(VLOOKUP(AA$13&amp;$B2300,Aux!$B:$M,3,0),"")</f>
        <v/>
      </c>
      <c r="AC2300" s="60"/>
      <c r="AD2300" s="60"/>
      <c r="AE2300" s="61" t="str">
        <f>IFERROR(VLOOKUP(AA$13&amp;$B2300,Aux!$B:$M,9,0),"")</f>
        <v/>
      </c>
    </row>
    <row r="2301" spans="2:31" x14ac:dyDescent="0.25">
      <c r="B2301" s="53">
        <f t="shared" si="35"/>
        <v>458</v>
      </c>
      <c r="C2301" s="59"/>
      <c r="D2301" s="60"/>
      <c r="E2301" s="60"/>
      <c r="F2301" s="60"/>
      <c r="G2301" s="61"/>
      <c r="K2301" s="59"/>
      <c r="L2301" s="60"/>
      <c r="M2301" s="60"/>
      <c r="N2301" s="60"/>
      <c r="O2301" s="61"/>
      <c r="S2301" s="59"/>
      <c r="T2301" s="60"/>
      <c r="U2301" s="60"/>
      <c r="V2301" s="60"/>
      <c r="W2301" s="61"/>
      <c r="AA2301" s="59"/>
      <c r="AB2301" s="60"/>
      <c r="AC2301" s="60"/>
      <c r="AD2301" s="60"/>
      <c r="AE2301" s="61"/>
    </row>
    <row r="2302" spans="2:31" x14ac:dyDescent="0.25">
      <c r="B2302" s="53">
        <f t="shared" si="35"/>
        <v>458</v>
      </c>
      <c r="C2302" s="59"/>
      <c r="D2302" s="15" t="str">
        <f>IF(D2300="","","Исполнитель"&amp;": ")</f>
        <v/>
      </c>
      <c r="E2302" s="62" t="str">
        <f>IFERROR(VLOOKUP(C$13&amp;$B2302,Aux!$B:$M,4,0),"")</f>
        <v/>
      </c>
      <c r="F2302" s="62"/>
      <c r="G2302" s="63" t="str">
        <f>IFERROR(IF(VLOOKUP(C$13&amp;$B2300,Aux!$B:$M,8,0)="Да","✔","🕓"),"")</f>
        <v/>
      </c>
      <c r="K2302" s="59"/>
      <c r="L2302" s="15" t="str">
        <f>IF(L2300="","","Исполнитель"&amp;": ")</f>
        <v/>
      </c>
      <c r="M2302" s="62" t="str">
        <f>IFERROR(VLOOKUP(K$13&amp;$B2302,Aux!$B:$M,4,0),"")</f>
        <v/>
      </c>
      <c r="N2302" s="62"/>
      <c r="O2302" s="63" t="str">
        <f>IFERROR(IF(VLOOKUP(K$13&amp;$B2300,Aux!$B:$M,8,0)="Да","✔","🕓"),"")</f>
        <v/>
      </c>
      <c r="S2302" s="59"/>
      <c r="T2302" s="15" t="str">
        <f>IF(T2300="","","Исполнитель"&amp;": ")</f>
        <v/>
      </c>
      <c r="U2302" s="62" t="str">
        <f>IFERROR(VLOOKUP(S$13&amp;$B2302,Aux!$B:$M,4,0),"")</f>
        <v/>
      </c>
      <c r="V2302" s="62"/>
      <c r="W2302" s="63" t="str">
        <f>IFERROR(IF(VLOOKUP(S$13&amp;$B2300,Aux!$B:$M,8,0)="Да","✔","🕓"),"")</f>
        <v/>
      </c>
      <c r="AA2302" s="59"/>
      <c r="AB2302" s="15" t="str">
        <f>IF(AB2300="","","Исполнитель"&amp;": ")</f>
        <v/>
      </c>
      <c r="AC2302" s="62" t="str">
        <f>IFERROR(VLOOKUP(AA$13&amp;$B2302,Aux!$B:$M,4,0),"")</f>
        <v/>
      </c>
      <c r="AD2302" s="62"/>
      <c r="AE2302" s="63" t="str">
        <f>IFERROR(IF(VLOOKUP(AA$13&amp;$B2300,Aux!$B:$M,8,0)="Да","✔","🕓"),"")</f>
        <v/>
      </c>
    </row>
    <row r="2303" spans="2:31" x14ac:dyDescent="0.25">
      <c r="B2303" s="53">
        <f t="shared" si="35"/>
        <v>458</v>
      </c>
      <c r="C2303" s="59"/>
      <c r="D2303" s="16" t="str">
        <f>IF(D2300="","","Срок сдачи"&amp;": ")</f>
        <v/>
      </c>
      <c r="E2303" s="64" t="str">
        <f>IFERROR(VLOOKUP(C$13&amp;$B2303,Aux!$B:$M,6,0),"")</f>
        <v/>
      </c>
      <c r="F2303" s="64"/>
      <c r="G2303" s="63"/>
      <c r="K2303" s="59"/>
      <c r="L2303" s="16" t="str">
        <f>IF(L2300="","","Срок сдачи"&amp;": ")</f>
        <v/>
      </c>
      <c r="M2303" s="64" t="str">
        <f>IFERROR(VLOOKUP(K$13&amp;$B2303,Aux!$B:$M,6,0),"")</f>
        <v/>
      </c>
      <c r="N2303" s="64"/>
      <c r="O2303" s="63"/>
      <c r="S2303" s="59"/>
      <c r="T2303" s="16" t="str">
        <f>IF(T2300="","","Срок сдачи"&amp;": ")</f>
        <v/>
      </c>
      <c r="U2303" s="64" t="str">
        <f>IFERROR(VLOOKUP(S$13&amp;$B2303,Aux!$B:$M,6,0),"")</f>
        <v/>
      </c>
      <c r="V2303" s="64"/>
      <c r="W2303" s="63"/>
      <c r="AA2303" s="59"/>
      <c r="AB2303" s="16" t="str">
        <f>IF(AB2300="","","Срок сдачи"&amp;": ")</f>
        <v/>
      </c>
      <c r="AC2303" s="64" t="str">
        <f>IFERROR(VLOOKUP(AA$13&amp;$B2303,Aux!$B:$M,6,0),"")</f>
        <v/>
      </c>
      <c r="AD2303" s="64"/>
      <c r="AE2303" s="63"/>
    </row>
    <row r="2304" spans="2:31" x14ac:dyDescent="0.25">
      <c r="B2304" s="53">
        <f t="shared" si="35"/>
        <v>458</v>
      </c>
      <c r="C2304" s="7"/>
      <c r="D2304" s="17"/>
      <c r="E2304" s="7"/>
      <c r="F2304" s="18"/>
      <c r="G2304" s="18"/>
      <c r="K2304" s="13"/>
      <c r="L2304" s="17"/>
      <c r="M2304" s="13"/>
      <c r="N2304" s="14"/>
      <c r="O2304" s="14"/>
      <c r="S2304" s="13"/>
      <c r="T2304" s="17"/>
      <c r="U2304" s="13"/>
      <c r="V2304" s="14"/>
      <c r="W2304" s="14"/>
      <c r="AA2304" s="13"/>
      <c r="AB2304" s="17"/>
      <c r="AC2304" s="13"/>
      <c r="AD2304" s="14"/>
      <c r="AE2304" s="30"/>
    </row>
    <row r="2305" spans="2:31" x14ac:dyDescent="0.25">
      <c r="B2305" s="53">
        <f t="shared" si="35"/>
        <v>459</v>
      </c>
      <c r="C2305" s="59" t="str">
        <f>IFERROR(VLOOKUP(C$13&amp;$B2309,Aux!$B:$M,5,0),"")</f>
        <v/>
      </c>
      <c r="D2305" s="60" t="str">
        <f>IFERROR(VLOOKUP(C$13&amp;$B2305,Aux!$B:$M,3,0),"")</f>
        <v/>
      </c>
      <c r="E2305" s="60"/>
      <c r="F2305" s="60"/>
      <c r="G2305" s="61" t="str">
        <f>IFERROR(VLOOKUP(C$13&amp;$B2305,Aux!$B:$M,9,0),"")</f>
        <v/>
      </c>
      <c r="K2305" s="59" t="str">
        <f>IFERROR(VLOOKUP(K$13&amp;$B2309,Aux!$B:$M,5,0),"")</f>
        <v/>
      </c>
      <c r="L2305" s="60" t="str">
        <f>IFERROR(VLOOKUP(K$13&amp;$B2305,Aux!$B:$M,3,0),"")</f>
        <v/>
      </c>
      <c r="M2305" s="60"/>
      <c r="N2305" s="60"/>
      <c r="O2305" s="61" t="str">
        <f>IFERROR(VLOOKUP(K$13&amp;$B2305,Aux!$B:$M,9,0),"")</f>
        <v/>
      </c>
      <c r="S2305" s="59" t="str">
        <f>IFERROR(VLOOKUP(S$13&amp;$B2309,Aux!$B:$M,5,0),"")</f>
        <v/>
      </c>
      <c r="T2305" s="60" t="str">
        <f>IFERROR(VLOOKUP(S$13&amp;$B2305,Aux!$B:$M,3,0),"")</f>
        <v/>
      </c>
      <c r="U2305" s="60"/>
      <c r="V2305" s="60"/>
      <c r="W2305" s="61" t="str">
        <f>IFERROR(VLOOKUP(S$13&amp;$B2305,Aux!$B:$M,9,0),"")</f>
        <v/>
      </c>
      <c r="AA2305" s="59" t="str">
        <f>IFERROR(VLOOKUP(AA$13&amp;$B2309,Aux!$B:$M,5,0),"")</f>
        <v/>
      </c>
      <c r="AB2305" s="60" t="str">
        <f>IFERROR(VLOOKUP(AA$13&amp;$B2305,Aux!$B:$M,3,0),"")</f>
        <v/>
      </c>
      <c r="AC2305" s="60"/>
      <c r="AD2305" s="60"/>
      <c r="AE2305" s="61" t="str">
        <f>IFERROR(VLOOKUP(AA$13&amp;$B2305,Aux!$B:$M,9,0),"")</f>
        <v/>
      </c>
    </row>
    <row r="2306" spans="2:31" x14ac:dyDescent="0.25">
      <c r="B2306" s="53">
        <f t="shared" si="35"/>
        <v>459</v>
      </c>
      <c r="C2306" s="59"/>
      <c r="D2306" s="60"/>
      <c r="E2306" s="60"/>
      <c r="F2306" s="60"/>
      <c r="G2306" s="61"/>
      <c r="K2306" s="59"/>
      <c r="L2306" s="60"/>
      <c r="M2306" s="60"/>
      <c r="N2306" s="60"/>
      <c r="O2306" s="61"/>
      <c r="S2306" s="59"/>
      <c r="T2306" s="60"/>
      <c r="U2306" s="60"/>
      <c r="V2306" s="60"/>
      <c r="W2306" s="61"/>
      <c r="AA2306" s="59"/>
      <c r="AB2306" s="60"/>
      <c r="AC2306" s="60"/>
      <c r="AD2306" s="60"/>
      <c r="AE2306" s="61"/>
    </row>
    <row r="2307" spans="2:31" x14ac:dyDescent="0.25">
      <c r="B2307" s="53">
        <f t="shared" si="35"/>
        <v>459</v>
      </c>
      <c r="C2307" s="59"/>
      <c r="D2307" s="15" t="str">
        <f>IF(D2305="","","Исполнитель"&amp;": ")</f>
        <v/>
      </c>
      <c r="E2307" s="62" t="str">
        <f>IFERROR(VLOOKUP(C$13&amp;$B2307,Aux!$B:$M,4,0),"")</f>
        <v/>
      </c>
      <c r="F2307" s="62"/>
      <c r="G2307" s="63" t="str">
        <f>IFERROR(IF(VLOOKUP(C$13&amp;$B2305,Aux!$B:$M,8,0)="Да","✔","🕓"),"")</f>
        <v/>
      </c>
      <c r="K2307" s="59"/>
      <c r="L2307" s="15" t="str">
        <f>IF(L2305="","","Исполнитель"&amp;": ")</f>
        <v/>
      </c>
      <c r="M2307" s="62" t="str">
        <f>IFERROR(VLOOKUP(K$13&amp;$B2307,Aux!$B:$M,4,0),"")</f>
        <v/>
      </c>
      <c r="N2307" s="62"/>
      <c r="O2307" s="63" t="str">
        <f>IFERROR(IF(VLOOKUP(K$13&amp;$B2305,Aux!$B:$M,8,0)="Да","✔","🕓"),"")</f>
        <v/>
      </c>
      <c r="S2307" s="59"/>
      <c r="T2307" s="15" t="str">
        <f>IF(T2305="","","Исполнитель"&amp;": ")</f>
        <v/>
      </c>
      <c r="U2307" s="62" t="str">
        <f>IFERROR(VLOOKUP(S$13&amp;$B2307,Aux!$B:$M,4,0),"")</f>
        <v/>
      </c>
      <c r="V2307" s="62"/>
      <c r="W2307" s="63" t="str">
        <f>IFERROR(IF(VLOOKUP(S$13&amp;$B2305,Aux!$B:$M,8,0)="Да","✔","🕓"),"")</f>
        <v/>
      </c>
      <c r="AA2307" s="59"/>
      <c r="AB2307" s="15" t="str">
        <f>IF(AB2305="","","Исполнитель"&amp;": ")</f>
        <v/>
      </c>
      <c r="AC2307" s="62" t="str">
        <f>IFERROR(VLOOKUP(AA$13&amp;$B2307,Aux!$B:$M,4,0),"")</f>
        <v/>
      </c>
      <c r="AD2307" s="62"/>
      <c r="AE2307" s="63" t="str">
        <f>IFERROR(IF(VLOOKUP(AA$13&amp;$B2305,Aux!$B:$M,8,0)="Да","✔","🕓"),"")</f>
        <v/>
      </c>
    </row>
    <row r="2308" spans="2:31" x14ac:dyDescent="0.25">
      <c r="B2308" s="53">
        <f t="shared" si="35"/>
        <v>459</v>
      </c>
      <c r="C2308" s="59"/>
      <c r="D2308" s="16" t="str">
        <f>IF(D2305="","","Срок сдачи"&amp;": ")</f>
        <v/>
      </c>
      <c r="E2308" s="64" t="str">
        <f>IFERROR(VLOOKUP(C$13&amp;$B2308,Aux!$B:$M,6,0),"")</f>
        <v/>
      </c>
      <c r="F2308" s="64"/>
      <c r="G2308" s="63"/>
      <c r="K2308" s="59"/>
      <c r="L2308" s="16" t="str">
        <f>IF(L2305="","","Срок сдачи"&amp;": ")</f>
        <v/>
      </c>
      <c r="M2308" s="64" t="str">
        <f>IFERROR(VLOOKUP(K$13&amp;$B2308,Aux!$B:$M,6,0),"")</f>
        <v/>
      </c>
      <c r="N2308" s="64"/>
      <c r="O2308" s="63"/>
      <c r="S2308" s="59"/>
      <c r="T2308" s="16" t="str">
        <f>IF(T2305="","","Срок сдачи"&amp;": ")</f>
        <v/>
      </c>
      <c r="U2308" s="64" t="str">
        <f>IFERROR(VLOOKUP(S$13&amp;$B2308,Aux!$B:$M,6,0),"")</f>
        <v/>
      </c>
      <c r="V2308" s="64"/>
      <c r="W2308" s="63"/>
      <c r="AA2308" s="59"/>
      <c r="AB2308" s="16" t="str">
        <f>IF(AB2305="","","Срок сдачи"&amp;": ")</f>
        <v/>
      </c>
      <c r="AC2308" s="64" t="str">
        <f>IFERROR(VLOOKUP(AA$13&amp;$B2308,Aux!$B:$M,6,0),"")</f>
        <v/>
      </c>
      <c r="AD2308" s="64"/>
      <c r="AE2308" s="63"/>
    </row>
    <row r="2309" spans="2:31" x14ac:dyDescent="0.25">
      <c r="B2309" s="53">
        <f t="shared" si="35"/>
        <v>459</v>
      </c>
      <c r="C2309" s="7"/>
      <c r="D2309" s="17"/>
      <c r="E2309" s="7"/>
      <c r="F2309" s="18"/>
      <c r="G2309" s="18"/>
      <c r="K2309" s="13"/>
      <c r="L2309" s="17"/>
      <c r="M2309" s="13"/>
      <c r="N2309" s="14"/>
      <c r="O2309" s="14"/>
      <c r="S2309" s="13"/>
      <c r="T2309" s="17"/>
      <c r="U2309" s="13"/>
      <c r="V2309" s="14"/>
      <c r="W2309" s="14"/>
      <c r="AA2309" s="13"/>
      <c r="AB2309" s="17"/>
      <c r="AC2309" s="13"/>
      <c r="AD2309" s="14"/>
      <c r="AE2309" s="30"/>
    </row>
    <row r="2310" spans="2:31" x14ac:dyDescent="0.25">
      <c r="B2310" s="53">
        <f t="shared" si="35"/>
        <v>460</v>
      </c>
      <c r="C2310" s="59" t="str">
        <f>IFERROR(VLOOKUP(C$13&amp;$B2314,Aux!$B:$M,5,0),"")</f>
        <v/>
      </c>
      <c r="D2310" s="60" t="str">
        <f>IFERROR(VLOOKUP(C$13&amp;$B2310,Aux!$B:$M,3,0),"")</f>
        <v/>
      </c>
      <c r="E2310" s="60"/>
      <c r="F2310" s="60"/>
      <c r="G2310" s="61" t="str">
        <f>IFERROR(VLOOKUP(C$13&amp;$B2310,Aux!$B:$M,9,0),"")</f>
        <v/>
      </c>
      <c r="K2310" s="59" t="str">
        <f>IFERROR(VLOOKUP(K$13&amp;$B2314,Aux!$B:$M,5,0),"")</f>
        <v/>
      </c>
      <c r="L2310" s="60" t="str">
        <f>IFERROR(VLOOKUP(K$13&amp;$B2310,Aux!$B:$M,3,0),"")</f>
        <v/>
      </c>
      <c r="M2310" s="60"/>
      <c r="N2310" s="60"/>
      <c r="O2310" s="61" t="str">
        <f>IFERROR(VLOOKUP(K$13&amp;$B2310,Aux!$B:$M,9,0),"")</f>
        <v/>
      </c>
      <c r="S2310" s="59" t="str">
        <f>IFERROR(VLOOKUP(S$13&amp;$B2314,Aux!$B:$M,5,0),"")</f>
        <v/>
      </c>
      <c r="T2310" s="60" t="str">
        <f>IFERROR(VLOOKUP(S$13&amp;$B2310,Aux!$B:$M,3,0),"")</f>
        <v/>
      </c>
      <c r="U2310" s="60"/>
      <c r="V2310" s="60"/>
      <c r="W2310" s="61" t="str">
        <f>IFERROR(VLOOKUP(S$13&amp;$B2310,Aux!$B:$M,9,0),"")</f>
        <v/>
      </c>
      <c r="AA2310" s="59" t="str">
        <f>IFERROR(VLOOKUP(AA$13&amp;$B2314,Aux!$B:$M,5,0),"")</f>
        <v/>
      </c>
      <c r="AB2310" s="60" t="str">
        <f>IFERROR(VLOOKUP(AA$13&amp;$B2310,Aux!$B:$M,3,0),"")</f>
        <v/>
      </c>
      <c r="AC2310" s="60"/>
      <c r="AD2310" s="60"/>
      <c r="AE2310" s="61" t="str">
        <f>IFERROR(VLOOKUP(AA$13&amp;$B2310,Aux!$B:$M,9,0),"")</f>
        <v/>
      </c>
    </row>
    <row r="2311" spans="2:31" x14ac:dyDescent="0.25">
      <c r="B2311" s="53">
        <f t="shared" si="35"/>
        <v>460</v>
      </c>
      <c r="C2311" s="59"/>
      <c r="D2311" s="60"/>
      <c r="E2311" s="60"/>
      <c r="F2311" s="60"/>
      <c r="G2311" s="61"/>
      <c r="K2311" s="59"/>
      <c r="L2311" s="60"/>
      <c r="M2311" s="60"/>
      <c r="N2311" s="60"/>
      <c r="O2311" s="61"/>
      <c r="S2311" s="59"/>
      <c r="T2311" s="60"/>
      <c r="U2311" s="60"/>
      <c r="V2311" s="60"/>
      <c r="W2311" s="61"/>
      <c r="AA2311" s="59"/>
      <c r="AB2311" s="60"/>
      <c r="AC2311" s="60"/>
      <c r="AD2311" s="60"/>
      <c r="AE2311" s="61"/>
    </row>
    <row r="2312" spans="2:31" x14ac:dyDescent="0.25">
      <c r="B2312" s="53">
        <f t="shared" si="35"/>
        <v>460</v>
      </c>
      <c r="C2312" s="59"/>
      <c r="D2312" s="15" t="str">
        <f>IF(D2310="","","Исполнитель"&amp;": ")</f>
        <v/>
      </c>
      <c r="E2312" s="62" t="str">
        <f>IFERROR(VLOOKUP(C$13&amp;$B2312,Aux!$B:$M,4,0),"")</f>
        <v/>
      </c>
      <c r="F2312" s="62"/>
      <c r="G2312" s="63" t="str">
        <f>IFERROR(IF(VLOOKUP(C$13&amp;$B2310,Aux!$B:$M,8,0)="Да","✔","🕓"),"")</f>
        <v/>
      </c>
      <c r="K2312" s="59"/>
      <c r="L2312" s="15" t="str">
        <f>IF(L2310="","","Исполнитель"&amp;": ")</f>
        <v/>
      </c>
      <c r="M2312" s="62" t="str">
        <f>IFERROR(VLOOKUP(K$13&amp;$B2312,Aux!$B:$M,4,0),"")</f>
        <v/>
      </c>
      <c r="N2312" s="62"/>
      <c r="O2312" s="63" t="str">
        <f>IFERROR(IF(VLOOKUP(K$13&amp;$B2310,Aux!$B:$M,8,0)="Да","✔","🕓"),"")</f>
        <v/>
      </c>
      <c r="S2312" s="59"/>
      <c r="T2312" s="15" t="str">
        <f>IF(T2310="","","Исполнитель"&amp;": ")</f>
        <v/>
      </c>
      <c r="U2312" s="62" t="str">
        <f>IFERROR(VLOOKUP(S$13&amp;$B2312,Aux!$B:$M,4,0),"")</f>
        <v/>
      </c>
      <c r="V2312" s="62"/>
      <c r="W2312" s="63" t="str">
        <f>IFERROR(IF(VLOOKUP(S$13&amp;$B2310,Aux!$B:$M,8,0)="Да","✔","🕓"),"")</f>
        <v/>
      </c>
      <c r="AA2312" s="59"/>
      <c r="AB2312" s="15" t="str">
        <f>IF(AB2310="","","Исполнитель"&amp;": ")</f>
        <v/>
      </c>
      <c r="AC2312" s="62" t="str">
        <f>IFERROR(VLOOKUP(AA$13&amp;$B2312,Aux!$B:$M,4,0),"")</f>
        <v/>
      </c>
      <c r="AD2312" s="62"/>
      <c r="AE2312" s="63" t="str">
        <f>IFERROR(IF(VLOOKUP(AA$13&amp;$B2310,Aux!$B:$M,8,0)="Да","✔","🕓"),"")</f>
        <v/>
      </c>
    </row>
    <row r="2313" spans="2:31" x14ac:dyDescent="0.25">
      <c r="B2313" s="53">
        <f t="shared" si="35"/>
        <v>460</v>
      </c>
      <c r="C2313" s="59"/>
      <c r="D2313" s="16" t="str">
        <f>IF(D2310="","","Срок сдачи"&amp;": ")</f>
        <v/>
      </c>
      <c r="E2313" s="64" t="str">
        <f>IFERROR(VLOOKUP(C$13&amp;$B2313,Aux!$B:$M,6,0),"")</f>
        <v/>
      </c>
      <c r="F2313" s="64"/>
      <c r="G2313" s="63"/>
      <c r="K2313" s="59"/>
      <c r="L2313" s="16" t="str">
        <f>IF(L2310="","","Срок сдачи"&amp;": ")</f>
        <v/>
      </c>
      <c r="M2313" s="64" t="str">
        <f>IFERROR(VLOOKUP(K$13&amp;$B2313,Aux!$B:$M,6,0),"")</f>
        <v/>
      </c>
      <c r="N2313" s="64"/>
      <c r="O2313" s="63"/>
      <c r="S2313" s="59"/>
      <c r="T2313" s="16" t="str">
        <f>IF(T2310="","","Срок сдачи"&amp;": ")</f>
        <v/>
      </c>
      <c r="U2313" s="64" t="str">
        <f>IFERROR(VLOOKUP(S$13&amp;$B2313,Aux!$B:$M,6,0),"")</f>
        <v/>
      </c>
      <c r="V2313" s="64"/>
      <c r="W2313" s="63"/>
      <c r="AA2313" s="59"/>
      <c r="AB2313" s="16" t="str">
        <f>IF(AB2310="","","Срок сдачи"&amp;": ")</f>
        <v/>
      </c>
      <c r="AC2313" s="64" t="str">
        <f>IFERROR(VLOOKUP(AA$13&amp;$B2313,Aux!$B:$M,6,0),"")</f>
        <v/>
      </c>
      <c r="AD2313" s="64"/>
      <c r="AE2313" s="63"/>
    </row>
    <row r="2314" spans="2:31" x14ac:dyDescent="0.25">
      <c r="B2314" s="53">
        <f t="shared" si="35"/>
        <v>460</v>
      </c>
      <c r="C2314" s="7"/>
      <c r="D2314" s="17"/>
      <c r="E2314" s="7"/>
      <c r="F2314" s="18"/>
      <c r="G2314" s="18"/>
      <c r="K2314" s="13"/>
      <c r="L2314" s="17"/>
      <c r="M2314" s="13"/>
      <c r="N2314" s="14"/>
      <c r="O2314" s="14"/>
      <c r="S2314" s="13"/>
      <c r="T2314" s="17"/>
      <c r="U2314" s="13"/>
      <c r="V2314" s="14"/>
      <c r="W2314" s="14"/>
      <c r="AA2314" s="13"/>
      <c r="AB2314" s="17"/>
      <c r="AC2314" s="13"/>
      <c r="AD2314" s="14"/>
      <c r="AE2314" s="30"/>
    </row>
    <row r="2315" spans="2:31" x14ac:dyDescent="0.25">
      <c r="B2315" s="53">
        <f t="shared" si="35"/>
        <v>461</v>
      </c>
      <c r="C2315" s="59" t="str">
        <f>IFERROR(VLOOKUP(C$13&amp;$B2319,Aux!$B:$M,5,0),"")</f>
        <v/>
      </c>
      <c r="D2315" s="60" t="str">
        <f>IFERROR(VLOOKUP(C$13&amp;$B2315,Aux!$B:$M,3,0),"")</f>
        <v/>
      </c>
      <c r="E2315" s="60"/>
      <c r="F2315" s="60"/>
      <c r="G2315" s="61" t="str">
        <f>IFERROR(VLOOKUP(C$13&amp;$B2315,Aux!$B:$M,9,0),"")</f>
        <v/>
      </c>
      <c r="K2315" s="59" t="str">
        <f>IFERROR(VLOOKUP(K$13&amp;$B2319,Aux!$B:$M,5,0),"")</f>
        <v/>
      </c>
      <c r="L2315" s="60" t="str">
        <f>IFERROR(VLOOKUP(K$13&amp;$B2315,Aux!$B:$M,3,0),"")</f>
        <v/>
      </c>
      <c r="M2315" s="60"/>
      <c r="N2315" s="60"/>
      <c r="O2315" s="61" t="str">
        <f>IFERROR(VLOOKUP(K$13&amp;$B2315,Aux!$B:$M,9,0),"")</f>
        <v/>
      </c>
      <c r="S2315" s="59" t="str">
        <f>IFERROR(VLOOKUP(S$13&amp;$B2319,Aux!$B:$M,5,0),"")</f>
        <v/>
      </c>
      <c r="T2315" s="60" t="str">
        <f>IFERROR(VLOOKUP(S$13&amp;$B2315,Aux!$B:$M,3,0),"")</f>
        <v/>
      </c>
      <c r="U2315" s="60"/>
      <c r="V2315" s="60"/>
      <c r="W2315" s="61" t="str">
        <f>IFERROR(VLOOKUP(S$13&amp;$B2315,Aux!$B:$M,9,0),"")</f>
        <v/>
      </c>
      <c r="AA2315" s="59" t="str">
        <f>IFERROR(VLOOKUP(AA$13&amp;$B2319,Aux!$B:$M,5,0),"")</f>
        <v/>
      </c>
      <c r="AB2315" s="60" t="str">
        <f>IFERROR(VLOOKUP(AA$13&amp;$B2315,Aux!$B:$M,3,0),"")</f>
        <v/>
      </c>
      <c r="AC2315" s="60"/>
      <c r="AD2315" s="60"/>
      <c r="AE2315" s="61" t="str">
        <f>IFERROR(VLOOKUP(AA$13&amp;$B2315,Aux!$B:$M,9,0),"")</f>
        <v/>
      </c>
    </row>
    <row r="2316" spans="2:31" x14ac:dyDescent="0.25">
      <c r="B2316" s="53">
        <f t="shared" si="35"/>
        <v>461</v>
      </c>
      <c r="C2316" s="59"/>
      <c r="D2316" s="60"/>
      <c r="E2316" s="60"/>
      <c r="F2316" s="60"/>
      <c r="G2316" s="61"/>
      <c r="K2316" s="59"/>
      <c r="L2316" s="60"/>
      <c r="M2316" s="60"/>
      <c r="N2316" s="60"/>
      <c r="O2316" s="61"/>
      <c r="S2316" s="59"/>
      <c r="T2316" s="60"/>
      <c r="U2316" s="60"/>
      <c r="V2316" s="60"/>
      <c r="W2316" s="61"/>
      <c r="AA2316" s="59"/>
      <c r="AB2316" s="60"/>
      <c r="AC2316" s="60"/>
      <c r="AD2316" s="60"/>
      <c r="AE2316" s="61"/>
    </row>
    <row r="2317" spans="2:31" x14ac:dyDescent="0.25">
      <c r="B2317" s="53">
        <f t="shared" si="35"/>
        <v>461</v>
      </c>
      <c r="C2317" s="59"/>
      <c r="D2317" s="15" t="str">
        <f>IF(D2315="","","Исполнитель"&amp;": ")</f>
        <v/>
      </c>
      <c r="E2317" s="62" t="str">
        <f>IFERROR(VLOOKUP(C$13&amp;$B2317,Aux!$B:$M,4,0),"")</f>
        <v/>
      </c>
      <c r="F2317" s="62"/>
      <c r="G2317" s="63" t="str">
        <f>IFERROR(IF(VLOOKUP(C$13&amp;$B2315,Aux!$B:$M,8,0)="Да","✔","🕓"),"")</f>
        <v/>
      </c>
      <c r="K2317" s="59"/>
      <c r="L2317" s="15" t="str">
        <f>IF(L2315="","","Исполнитель"&amp;": ")</f>
        <v/>
      </c>
      <c r="M2317" s="62" t="str">
        <f>IFERROR(VLOOKUP(K$13&amp;$B2317,Aux!$B:$M,4,0),"")</f>
        <v/>
      </c>
      <c r="N2317" s="62"/>
      <c r="O2317" s="63" t="str">
        <f>IFERROR(IF(VLOOKUP(K$13&amp;$B2315,Aux!$B:$M,8,0)="Да","✔","🕓"),"")</f>
        <v/>
      </c>
      <c r="S2317" s="59"/>
      <c r="T2317" s="15" t="str">
        <f>IF(T2315="","","Исполнитель"&amp;": ")</f>
        <v/>
      </c>
      <c r="U2317" s="62" t="str">
        <f>IFERROR(VLOOKUP(S$13&amp;$B2317,Aux!$B:$M,4,0),"")</f>
        <v/>
      </c>
      <c r="V2317" s="62"/>
      <c r="W2317" s="63" t="str">
        <f>IFERROR(IF(VLOOKUP(S$13&amp;$B2315,Aux!$B:$M,8,0)="Да","✔","🕓"),"")</f>
        <v/>
      </c>
      <c r="AA2317" s="59"/>
      <c r="AB2317" s="15" t="str">
        <f>IF(AB2315="","","Исполнитель"&amp;": ")</f>
        <v/>
      </c>
      <c r="AC2317" s="62" t="str">
        <f>IFERROR(VLOOKUP(AA$13&amp;$B2317,Aux!$B:$M,4,0),"")</f>
        <v/>
      </c>
      <c r="AD2317" s="62"/>
      <c r="AE2317" s="63" t="str">
        <f>IFERROR(IF(VLOOKUP(AA$13&amp;$B2315,Aux!$B:$M,8,0)="Да","✔","🕓"),"")</f>
        <v/>
      </c>
    </row>
    <row r="2318" spans="2:31" x14ac:dyDescent="0.25">
      <c r="B2318" s="53">
        <f t="shared" si="35"/>
        <v>461</v>
      </c>
      <c r="C2318" s="59"/>
      <c r="D2318" s="16" t="str">
        <f>IF(D2315="","","Срок сдачи"&amp;": ")</f>
        <v/>
      </c>
      <c r="E2318" s="64" t="str">
        <f>IFERROR(VLOOKUP(C$13&amp;$B2318,Aux!$B:$M,6,0),"")</f>
        <v/>
      </c>
      <c r="F2318" s="64"/>
      <c r="G2318" s="63"/>
      <c r="K2318" s="59"/>
      <c r="L2318" s="16" t="str">
        <f>IF(L2315="","","Срок сдачи"&amp;": ")</f>
        <v/>
      </c>
      <c r="M2318" s="64" t="str">
        <f>IFERROR(VLOOKUP(K$13&amp;$B2318,Aux!$B:$M,6,0),"")</f>
        <v/>
      </c>
      <c r="N2318" s="64"/>
      <c r="O2318" s="63"/>
      <c r="S2318" s="59"/>
      <c r="T2318" s="16" t="str">
        <f>IF(T2315="","","Срок сдачи"&amp;": ")</f>
        <v/>
      </c>
      <c r="U2318" s="64" t="str">
        <f>IFERROR(VLOOKUP(S$13&amp;$B2318,Aux!$B:$M,6,0),"")</f>
        <v/>
      </c>
      <c r="V2318" s="64"/>
      <c r="W2318" s="63"/>
      <c r="AA2318" s="59"/>
      <c r="AB2318" s="16" t="str">
        <f>IF(AB2315="","","Срок сдачи"&amp;": ")</f>
        <v/>
      </c>
      <c r="AC2318" s="64" t="str">
        <f>IFERROR(VLOOKUP(AA$13&amp;$B2318,Aux!$B:$M,6,0),"")</f>
        <v/>
      </c>
      <c r="AD2318" s="64"/>
      <c r="AE2318" s="63"/>
    </row>
    <row r="2319" spans="2:31" x14ac:dyDescent="0.25">
      <c r="B2319" s="53">
        <f t="shared" si="35"/>
        <v>461</v>
      </c>
      <c r="C2319" s="7"/>
      <c r="D2319" s="17"/>
      <c r="E2319" s="7"/>
      <c r="F2319" s="18"/>
      <c r="G2319" s="18"/>
      <c r="K2319" s="13"/>
      <c r="L2319" s="17"/>
      <c r="M2319" s="13"/>
      <c r="N2319" s="14"/>
      <c r="O2319" s="14"/>
      <c r="S2319" s="13"/>
      <c r="T2319" s="17"/>
      <c r="U2319" s="13"/>
      <c r="V2319" s="14"/>
      <c r="W2319" s="14"/>
      <c r="AA2319" s="13"/>
      <c r="AB2319" s="17"/>
      <c r="AC2319" s="13"/>
      <c r="AD2319" s="14"/>
      <c r="AE2319" s="30"/>
    </row>
    <row r="2320" spans="2:31" x14ac:dyDescent="0.25">
      <c r="B2320" s="53">
        <f t="shared" si="35"/>
        <v>462</v>
      </c>
      <c r="C2320" s="59" t="str">
        <f>IFERROR(VLOOKUP(C$13&amp;$B2324,Aux!$B:$M,5,0),"")</f>
        <v/>
      </c>
      <c r="D2320" s="60" t="str">
        <f>IFERROR(VLOOKUP(C$13&amp;$B2320,Aux!$B:$M,3,0),"")</f>
        <v/>
      </c>
      <c r="E2320" s="60"/>
      <c r="F2320" s="60"/>
      <c r="G2320" s="61" t="str">
        <f>IFERROR(VLOOKUP(C$13&amp;$B2320,Aux!$B:$M,9,0),"")</f>
        <v/>
      </c>
      <c r="K2320" s="59" t="str">
        <f>IFERROR(VLOOKUP(K$13&amp;$B2324,Aux!$B:$M,5,0),"")</f>
        <v/>
      </c>
      <c r="L2320" s="60" t="str">
        <f>IFERROR(VLOOKUP(K$13&amp;$B2320,Aux!$B:$M,3,0),"")</f>
        <v/>
      </c>
      <c r="M2320" s="60"/>
      <c r="N2320" s="60"/>
      <c r="O2320" s="61" t="str">
        <f>IFERROR(VLOOKUP(K$13&amp;$B2320,Aux!$B:$M,9,0),"")</f>
        <v/>
      </c>
      <c r="S2320" s="59" t="str">
        <f>IFERROR(VLOOKUP(S$13&amp;$B2324,Aux!$B:$M,5,0),"")</f>
        <v/>
      </c>
      <c r="T2320" s="60" t="str">
        <f>IFERROR(VLOOKUP(S$13&amp;$B2320,Aux!$B:$M,3,0),"")</f>
        <v/>
      </c>
      <c r="U2320" s="60"/>
      <c r="V2320" s="60"/>
      <c r="W2320" s="61" t="str">
        <f>IFERROR(VLOOKUP(S$13&amp;$B2320,Aux!$B:$M,9,0),"")</f>
        <v/>
      </c>
      <c r="AA2320" s="59" t="str">
        <f>IFERROR(VLOOKUP(AA$13&amp;$B2324,Aux!$B:$M,5,0),"")</f>
        <v/>
      </c>
      <c r="AB2320" s="60" t="str">
        <f>IFERROR(VLOOKUP(AA$13&amp;$B2320,Aux!$B:$M,3,0),"")</f>
        <v/>
      </c>
      <c r="AC2320" s="60"/>
      <c r="AD2320" s="60"/>
      <c r="AE2320" s="61" t="str">
        <f>IFERROR(VLOOKUP(AA$13&amp;$B2320,Aux!$B:$M,9,0),"")</f>
        <v/>
      </c>
    </row>
    <row r="2321" spans="2:31" x14ac:dyDescent="0.25">
      <c r="B2321" s="53">
        <f t="shared" si="35"/>
        <v>462</v>
      </c>
      <c r="C2321" s="59"/>
      <c r="D2321" s="60"/>
      <c r="E2321" s="60"/>
      <c r="F2321" s="60"/>
      <c r="G2321" s="61"/>
      <c r="K2321" s="59"/>
      <c r="L2321" s="60"/>
      <c r="M2321" s="60"/>
      <c r="N2321" s="60"/>
      <c r="O2321" s="61"/>
      <c r="S2321" s="59"/>
      <c r="T2321" s="60"/>
      <c r="U2321" s="60"/>
      <c r="V2321" s="60"/>
      <c r="W2321" s="61"/>
      <c r="AA2321" s="59"/>
      <c r="AB2321" s="60"/>
      <c r="AC2321" s="60"/>
      <c r="AD2321" s="60"/>
      <c r="AE2321" s="61"/>
    </row>
    <row r="2322" spans="2:31" x14ac:dyDescent="0.25">
      <c r="B2322" s="53">
        <f t="shared" si="35"/>
        <v>462</v>
      </c>
      <c r="C2322" s="59"/>
      <c r="D2322" s="15" t="str">
        <f>IF(D2320="","","Исполнитель"&amp;": ")</f>
        <v/>
      </c>
      <c r="E2322" s="62" t="str">
        <f>IFERROR(VLOOKUP(C$13&amp;$B2322,Aux!$B:$M,4,0),"")</f>
        <v/>
      </c>
      <c r="F2322" s="62"/>
      <c r="G2322" s="63" t="str">
        <f>IFERROR(IF(VLOOKUP(C$13&amp;$B2320,Aux!$B:$M,8,0)="Да","✔","🕓"),"")</f>
        <v/>
      </c>
      <c r="K2322" s="59"/>
      <c r="L2322" s="15" t="str">
        <f>IF(L2320="","","Исполнитель"&amp;": ")</f>
        <v/>
      </c>
      <c r="M2322" s="62" t="str">
        <f>IFERROR(VLOOKUP(K$13&amp;$B2322,Aux!$B:$M,4,0),"")</f>
        <v/>
      </c>
      <c r="N2322" s="62"/>
      <c r="O2322" s="63" t="str">
        <f>IFERROR(IF(VLOOKUP(K$13&amp;$B2320,Aux!$B:$M,8,0)="Да","✔","🕓"),"")</f>
        <v/>
      </c>
      <c r="S2322" s="59"/>
      <c r="T2322" s="15" t="str">
        <f>IF(T2320="","","Исполнитель"&amp;": ")</f>
        <v/>
      </c>
      <c r="U2322" s="62" t="str">
        <f>IFERROR(VLOOKUP(S$13&amp;$B2322,Aux!$B:$M,4,0),"")</f>
        <v/>
      </c>
      <c r="V2322" s="62"/>
      <c r="W2322" s="63" t="str">
        <f>IFERROR(IF(VLOOKUP(S$13&amp;$B2320,Aux!$B:$M,8,0)="Да","✔","🕓"),"")</f>
        <v/>
      </c>
      <c r="AA2322" s="59"/>
      <c r="AB2322" s="15" t="str">
        <f>IF(AB2320="","","Исполнитель"&amp;": ")</f>
        <v/>
      </c>
      <c r="AC2322" s="62" t="str">
        <f>IFERROR(VLOOKUP(AA$13&amp;$B2322,Aux!$B:$M,4,0),"")</f>
        <v/>
      </c>
      <c r="AD2322" s="62"/>
      <c r="AE2322" s="63" t="str">
        <f>IFERROR(IF(VLOOKUP(AA$13&amp;$B2320,Aux!$B:$M,8,0)="Да","✔","🕓"),"")</f>
        <v/>
      </c>
    </row>
    <row r="2323" spans="2:31" x14ac:dyDescent="0.25">
      <c r="B2323" s="53">
        <f t="shared" si="35"/>
        <v>462</v>
      </c>
      <c r="C2323" s="59"/>
      <c r="D2323" s="16" t="str">
        <f>IF(D2320="","","Срок сдачи"&amp;": ")</f>
        <v/>
      </c>
      <c r="E2323" s="64" t="str">
        <f>IFERROR(VLOOKUP(C$13&amp;$B2323,Aux!$B:$M,6,0),"")</f>
        <v/>
      </c>
      <c r="F2323" s="64"/>
      <c r="G2323" s="63"/>
      <c r="K2323" s="59"/>
      <c r="L2323" s="16" t="str">
        <f>IF(L2320="","","Срок сдачи"&amp;": ")</f>
        <v/>
      </c>
      <c r="M2323" s="64" t="str">
        <f>IFERROR(VLOOKUP(K$13&amp;$B2323,Aux!$B:$M,6,0),"")</f>
        <v/>
      </c>
      <c r="N2323" s="64"/>
      <c r="O2323" s="63"/>
      <c r="S2323" s="59"/>
      <c r="T2323" s="16" t="str">
        <f>IF(T2320="","","Срок сдачи"&amp;": ")</f>
        <v/>
      </c>
      <c r="U2323" s="64" t="str">
        <f>IFERROR(VLOOKUP(S$13&amp;$B2323,Aux!$B:$M,6,0),"")</f>
        <v/>
      </c>
      <c r="V2323" s="64"/>
      <c r="W2323" s="63"/>
      <c r="AA2323" s="59"/>
      <c r="AB2323" s="16" t="str">
        <f>IF(AB2320="","","Срок сдачи"&amp;": ")</f>
        <v/>
      </c>
      <c r="AC2323" s="64" t="str">
        <f>IFERROR(VLOOKUP(AA$13&amp;$B2323,Aux!$B:$M,6,0),"")</f>
        <v/>
      </c>
      <c r="AD2323" s="64"/>
      <c r="AE2323" s="63"/>
    </row>
    <row r="2324" spans="2:31" x14ac:dyDescent="0.25">
      <c r="B2324" s="53">
        <f t="shared" si="35"/>
        <v>462</v>
      </c>
      <c r="C2324" s="7"/>
      <c r="D2324" s="17"/>
      <c r="E2324" s="7"/>
      <c r="F2324" s="18"/>
      <c r="G2324" s="18"/>
      <c r="K2324" s="13"/>
      <c r="L2324" s="17"/>
      <c r="M2324" s="13"/>
      <c r="N2324" s="14"/>
      <c r="O2324" s="14"/>
      <c r="S2324" s="13"/>
      <c r="T2324" s="17"/>
      <c r="U2324" s="13"/>
      <c r="V2324" s="14"/>
      <c r="W2324" s="14"/>
      <c r="AA2324" s="13"/>
      <c r="AB2324" s="17"/>
      <c r="AC2324" s="13"/>
      <c r="AD2324" s="14"/>
      <c r="AE2324" s="30"/>
    </row>
    <row r="2325" spans="2:31" x14ac:dyDescent="0.25">
      <c r="B2325" s="53">
        <f t="shared" ref="B2325:B2388" si="36">B2320+1</f>
        <v>463</v>
      </c>
      <c r="C2325" s="59" t="str">
        <f>IFERROR(VLOOKUP(C$13&amp;$B2329,Aux!$B:$M,5,0),"")</f>
        <v/>
      </c>
      <c r="D2325" s="60" t="str">
        <f>IFERROR(VLOOKUP(C$13&amp;$B2325,Aux!$B:$M,3,0),"")</f>
        <v/>
      </c>
      <c r="E2325" s="60"/>
      <c r="F2325" s="60"/>
      <c r="G2325" s="61" t="str">
        <f>IFERROR(VLOOKUP(C$13&amp;$B2325,Aux!$B:$M,9,0),"")</f>
        <v/>
      </c>
      <c r="K2325" s="59" t="str">
        <f>IFERROR(VLOOKUP(K$13&amp;$B2329,Aux!$B:$M,5,0),"")</f>
        <v/>
      </c>
      <c r="L2325" s="60" t="str">
        <f>IFERROR(VLOOKUP(K$13&amp;$B2325,Aux!$B:$M,3,0),"")</f>
        <v/>
      </c>
      <c r="M2325" s="60"/>
      <c r="N2325" s="60"/>
      <c r="O2325" s="61" t="str">
        <f>IFERROR(VLOOKUP(K$13&amp;$B2325,Aux!$B:$M,9,0),"")</f>
        <v/>
      </c>
      <c r="S2325" s="59" t="str">
        <f>IFERROR(VLOOKUP(S$13&amp;$B2329,Aux!$B:$M,5,0),"")</f>
        <v/>
      </c>
      <c r="T2325" s="60" t="str">
        <f>IFERROR(VLOOKUP(S$13&amp;$B2325,Aux!$B:$M,3,0),"")</f>
        <v/>
      </c>
      <c r="U2325" s="60"/>
      <c r="V2325" s="60"/>
      <c r="W2325" s="61" t="str">
        <f>IFERROR(VLOOKUP(S$13&amp;$B2325,Aux!$B:$M,9,0),"")</f>
        <v/>
      </c>
      <c r="AA2325" s="59" t="str">
        <f>IFERROR(VLOOKUP(AA$13&amp;$B2329,Aux!$B:$M,5,0),"")</f>
        <v/>
      </c>
      <c r="AB2325" s="60" t="str">
        <f>IFERROR(VLOOKUP(AA$13&amp;$B2325,Aux!$B:$M,3,0),"")</f>
        <v/>
      </c>
      <c r="AC2325" s="60"/>
      <c r="AD2325" s="60"/>
      <c r="AE2325" s="61" t="str">
        <f>IFERROR(VLOOKUP(AA$13&amp;$B2325,Aux!$B:$M,9,0),"")</f>
        <v/>
      </c>
    </row>
    <row r="2326" spans="2:31" x14ac:dyDescent="0.25">
      <c r="B2326" s="53">
        <f t="shared" si="36"/>
        <v>463</v>
      </c>
      <c r="C2326" s="59"/>
      <c r="D2326" s="60"/>
      <c r="E2326" s="60"/>
      <c r="F2326" s="60"/>
      <c r="G2326" s="61"/>
      <c r="K2326" s="59"/>
      <c r="L2326" s="60"/>
      <c r="M2326" s="60"/>
      <c r="N2326" s="60"/>
      <c r="O2326" s="61"/>
      <c r="S2326" s="59"/>
      <c r="T2326" s="60"/>
      <c r="U2326" s="60"/>
      <c r="V2326" s="60"/>
      <c r="W2326" s="61"/>
      <c r="AA2326" s="59"/>
      <c r="AB2326" s="60"/>
      <c r="AC2326" s="60"/>
      <c r="AD2326" s="60"/>
      <c r="AE2326" s="61"/>
    </row>
    <row r="2327" spans="2:31" x14ac:dyDescent="0.25">
      <c r="B2327" s="53">
        <f t="shared" si="36"/>
        <v>463</v>
      </c>
      <c r="C2327" s="59"/>
      <c r="D2327" s="15" t="str">
        <f>IF(D2325="","","Исполнитель"&amp;": ")</f>
        <v/>
      </c>
      <c r="E2327" s="62" t="str">
        <f>IFERROR(VLOOKUP(C$13&amp;$B2327,Aux!$B:$M,4,0),"")</f>
        <v/>
      </c>
      <c r="F2327" s="62"/>
      <c r="G2327" s="63" t="str">
        <f>IFERROR(IF(VLOOKUP(C$13&amp;$B2325,Aux!$B:$M,8,0)="Да","✔","🕓"),"")</f>
        <v/>
      </c>
      <c r="K2327" s="59"/>
      <c r="L2327" s="15" t="str">
        <f>IF(L2325="","","Исполнитель"&amp;": ")</f>
        <v/>
      </c>
      <c r="M2327" s="62" t="str">
        <f>IFERROR(VLOOKUP(K$13&amp;$B2327,Aux!$B:$M,4,0),"")</f>
        <v/>
      </c>
      <c r="N2327" s="62"/>
      <c r="O2327" s="63" t="str">
        <f>IFERROR(IF(VLOOKUP(K$13&amp;$B2325,Aux!$B:$M,8,0)="Да","✔","🕓"),"")</f>
        <v/>
      </c>
      <c r="S2327" s="59"/>
      <c r="T2327" s="15" t="str">
        <f>IF(T2325="","","Исполнитель"&amp;": ")</f>
        <v/>
      </c>
      <c r="U2327" s="62" t="str">
        <f>IFERROR(VLOOKUP(S$13&amp;$B2327,Aux!$B:$M,4,0),"")</f>
        <v/>
      </c>
      <c r="V2327" s="62"/>
      <c r="W2327" s="63" t="str">
        <f>IFERROR(IF(VLOOKUP(S$13&amp;$B2325,Aux!$B:$M,8,0)="Да","✔","🕓"),"")</f>
        <v/>
      </c>
      <c r="AA2327" s="59"/>
      <c r="AB2327" s="15" t="str">
        <f>IF(AB2325="","","Исполнитель"&amp;": ")</f>
        <v/>
      </c>
      <c r="AC2327" s="62" t="str">
        <f>IFERROR(VLOOKUP(AA$13&amp;$B2327,Aux!$B:$M,4,0),"")</f>
        <v/>
      </c>
      <c r="AD2327" s="62"/>
      <c r="AE2327" s="63" t="str">
        <f>IFERROR(IF(VLOOKUP(AA$13&amp;$B2325,Aux!$B:$M,8,0)="Да","✔","🕓"),"")</f>
        <v/>
      </c>
    </row>
    <row r="2328" spans="2:31" x14ac:dyDescent="0.25">
      <c r="B2328" s="53">
        <f t="shared" si="36"/>
        <v>463</v>
      </c>
      <c r="C2328" s="59"/>
      <c r="D2328" s="16" t="str">
        <f>IF(D2325="","","Срок сдачи"&amp;": ")</f>
        <v/>
      </c>
      <c r="E2328" s="64" t="str">
        <f>IFERROR(VLOOKUP(C$13&amp;$B2328,Aux!$B:$M,6,0),"")</f>
        <v/>
      </c>
      <c r="F2328" s="64"/>
      <c r="G2328" s="63"/>
      <c r="K2328" s="59"/>
      <c r="L2328" s="16" t="str">
        <f>IF(L2325="","","Срок сдачи"&amp;": ")</f>
        <v/>
      </c>
      <c r="M2328" s="64" t="str">
        <f>IFERROR(VLOOKUP(K$13&amp;$B2328,Aux!$B:$M,6,0),"")</f>
        <v/>
      </c>
      <c r="N2328" s="64"/>
      <c r="O2328" s="63"/>
      <c r="S2328" s="59"/>
      <c r="T2328" s="16" t="str">
        <f>IF(T2325="","","Срок сдачи"&amp;": ")</f>
        <v/>
      </c>
      <c r="U2328" s="64" t="str">
        <f>IFERROR(VLOOKUP(S$13&amp;$B2328,Aux!$B:$M,6,0),"")</f>
        <v/>
      </c>
      <c r="V2328" s="64"/>
      <c r="W2328" s="63"/>
      <c r="AA2328" s="59"/>
      <c r="AB2328" s="16" t="str">
        <f>IF(AB2325="","","Срок сдачи"&amp;": ")</f>
        <v/>
      </c>
      <c r="AC2328" s="64" t="str">
        <f>IFERROR(VLOOKUP(AA$13&amp;$B2328,Aux!$B:$M,6,0),"")</f>
        <v/>
      </c>
      <c r="AD2328" s="64"/>
      <c r="AE2328" s="63"/>
    </row>
    <row r="2329" spans="2:31" x14ac:dyDescent="0.25">
      <c r="B2329" s="53">
        <f t="shared" si="36"/>
        <v>463</v>
      </c>
      <c r="C2329" s="7"/>
      <c r="D2329" s="17"/>
      <c r="E2329" s="7"/>
      <c r="F2329" s="18"/>
      <c r="G2329" s="18"/>
      <c r="K2329" s="13"/>
      <c r="L2329" s="17"/>
      <c r="M2329" s="13"/>
      <c r="N2329" s="14"/>
      <c r="O2329" s="14"/>
      <c r="S2329" s="13"/>
      <c r="T2329" s="17"/>
      <c r="U2329" s="13"/>
      <c r="V2329" s="14"/>
      <c r="W2329" s="14"/>
      <c r="AA2329" s="13"/>
      <c r="AB2329" s="17"/>
      <c r="AC2329" s="13"/>
      <c r="AD2329" s="14"/>
      <c r="AE2329" s="30"/>
    </row>
    <row r="2330" spans="2:31" x14ac:dyDescent="0.25">
      <c r="B2330" s="53">
        <f t="shared" si="36"/>
        <v>464</v>
      </c>
      <c r="C2330" s="59" t="str">
        <f>IFERROR(VLOOKUP(C$13&amp;$B2334,Aux!$B:$M,5,0),"")</f>
        <v/>
      </c>
      <c r="D2330" s="60" t="str">
        <f>IFERROR(VLOOKUP(C$13&amp;$B2330,Aux!$B:$M,3,0),"")</f>
        <v/>
      </c>
      <c r="E2330" s="60"/>
      <c r="F2330" s="60"/>
      <c r="G2330" s="61" t="str">
        <f>IFERROR(VLOOKUP(C$13&amp;$B2330,Aux!$B:$M,9,0),"")</f>
        <v/>
      </c>
      <c r="K2330" s="59" t="str">
        <f>IFERROR(VLOOKUP(K$13&amp;$B2334,Aux!$B:$M,5,0),"")</f>
        <v/>
      </c>
      <c r="L2330" s="60" t="str">
        <f>IFERROR(VLOOKUP(K$13&amp;$B2330,Aux!$B:$M,3,0),"")</f>
        <v/>
      </c>
      <c r="M2330" s="60"/>
      <c r="N2330" s="60"/>
      <c r="O2330" s="61" t="str">
        <f>IFERROR(VLOOKUP(K$13&amp;$B2330,Aux!$B:$M,9,0),"")</f>
        <v/>
      </c>
      <c r="S2330" s="59" t="str">
        <f>IFERROR(VLOOKUP(S$13&amp;$B2334,Aux!$B:$M,5,0),"")</f>
        <v/>
      </c>
      <c r="T2330" s="60" t="str">
        <f>IFERROR(VLOOKUP(S$13&amp;$B2330,Aux!$B:$M,3,0),"")</f>
        <v/>
      </c>
      <c r="U2330" s="60"/>
      <c r="V2330" s="60"/>
      <c r="W2330" s="61" t="str">
        <f>IFERROR(VLOOKUP(S$13&amp;$B2330,Aux!$B:$M,9,0),"")</f>
        <v/>
      </c>
      <c r="AA2330" s="59" t="str">
        <f>IFERROR(VLOOKUP(AA$13&amp;$B2334,Aux!$B:$M,5,0),"")</f>
        <v/>
      </c>
      <c r="AB2330" s="60" t="str">
        <f>IFERROR(VLOOKUP(AA$13&amp;$B2330,Aux!$B:$M,3,0),"")</f>
        <v/>
      </c>
      <c r="AC2330" s="60"/>
      <c r="AD2330" s="60"/>
      <c r="AE2330" s="61" t="str">
        <f>IFERROR(VLOOKUP(AA$13&amp;$B2330,Aux!$B:$M,9,0),"")</f>
        <v/>
      </c>
    </row>
    <row r="2331" spans="2:31" x14ac:dyDescent="0.25">
      <c r="B2331" s="53">
        <f t="shared" si="36"/>
        <v>464</v>
      </c>
      <c r="C2331" s="59"/>
      <c r="D2331" s="60"/>
      <c r="E2331" s="60"/>
      <c r="F2331" s="60"/>
      <c r="G2331" s="61"/>
      <c r="K2331" s="59"/>
      <c r="L2331" s="60"/>
      <c r="M2331" s="60"/>
      <c r="N2331" s="60"/>
      <c r="O2331" s="61"/>
      <c r="S2331" s="59"/>
      <c r="T2331" s="60"/>
      <c r="U2331" s="60"/>
      <c r="V2331" s="60"/>
      <c r="W2331" s="61"/>
      <c r="AA2331" s="59"/>
      <c r="AB2331" s="60"/>
      <c r="AC2331" s="60"/>
      <c r="AD2331" s="60"/>
      <c r="AE2331" s="61"/>
    </row>
    <row r="2332" spans="2:31" x14ac:dyDescent="0.25">
      <c r="B2332" s="53">
        <f t="shared" si="36"/>
        <v>464</v>
      </c>
      <c r="C2332" s="59"/>
      <c r="D2332" s="15" t="str">
        <f>IF(D2330="","","Исполнитель"&amp;": ")</f>
        <v/>
      </c>
      <c r="E2332" s="62" t="str">
        <f>IFERROR(VLOOKUP(C$13&amp;$B2332,Aux!$B:$M,4,0),"")</f>
        <v/>
      </c>
      <c r="F2332" s="62"/>
      <c r="G2332" s="63" t="str">
        <f>IFERROR(IF(VLOOKUP(C$13&amp;$B2330,Aux!$B:$M,8,0)="Да","✔","🕓"),"")</f>
        <v/>
      </c>
      <c r="K2332" s="59"/>
      <c r="L2332" s="15" t="str">
        <f>IF(L2330="","","Исполнитель"&amp;": ")</f>
        <v/>
      </c>
      <c r="M2332" s="62" t="str">
        <f>IFERROR(VLOOKUP(K$13&amp;$B2332,Aux!$B:$M,4,0),"")</f>
        <v/>
      </c>
      <c r="N2332" s="62"/>
      <c r="O2332" s="63" t="str">
        <f>IFERROR(IF(VLOOKUP(K$13&amp;$B2330,Aux!$B:$M,8,0)="Да","✔","🕓"),"")</f>
        <v/>
      </c>
      <c r="S2332" s="59"/>
      <c r="T2332" s="15" t="str">
        <f>IF(T2330="","","Исполнитель"&amp;": ")</f>
        <v/>
      </c>
      <c r="U2332" s="62" t="str">
        <f>IFERROR(VLOOKUP(S$13&amp;$B2332,Aux!$B:$M,4,0),"")</f>
        <v/>
      </c>
      <c r="V2332" s="62"/>
      <c r="W2332" s="63" t="str">
        <f>IFERROR(IF(VLOOKUP(S$13&amp;$B2330,Aux!$B:$M,8,0)="Да","✔","🕓"),"")</f>
        <v/>
      </c>
      <c r="AA2332" s="59"/>
      <c r="AB2332" s="15" t="str">
        <f>IF(AB2330="","","Исполнитель"&amp;": ")</f>
        <v/>
      </c>
      <c r="AC2332" s="62" t="str">
        <f>IFERROR(VLOOKUP(AA$13&amp;$B2332,Aux!$B:$M,4,0),"")</f>
        <v/>
      </c>
      <c r="AD2332" s="62"/>
      <c r="AE2332" s="63" t="str">
        <f>IFERROR(IF(VLOOKUP(AA$13&amp;$B2330,Aux!$B:$M,8,0)="Да","✔","🕓"),"")</f>
        <v/>
      </c>
    </row>
    <row r="2333" spans="2:31" x14ac:dyDescent="0.25">
      <c r="B2333" s="53">
        <f t="shared" si="36"/>
        <v>464</v>
      </c>
      <c r="C2333" s="59"/>
      <c r="D2333" s="16" t="str">
        <f>IF(D2330="","","Срок сдачи"&amp;": ")</f>
        <v/>
      </c>
      <c r="E2333" s="64" t="str">
        <f>IFERROR(VLOOKUP(C$13&amp;$B2333,Aux!$B:$M,6,0),"")</f>
        <v/>
      </c>
      <c r="F2333" s="64"/>
      <c r="G2333" s="63"/>
      <c r="K2333" s="59"/>
      <c r="L2333" s="16" t="str">
        <f>IF(L2330="","","Срок сдачи"&amp;": ")</f>
        <v/>
      </c>
      <c r="M2333" s="64" t="str">
        <f>IFERROR(VLOOKUP(K$13&amp;$B2333,Aux!$B:$M,6,0),"")</f>
        <v/>
      </c>
      <c r="N2333" s="64"/>
      <c r="O2333" s="63"/>
      <c r="S2333" s="59"/>
      <c r="T2333" s="16" t="str">
        <f>IF(T2330="","","Срок сдачи"&amp;": ")</f>
        <v/>
      </c>
      <c r="U2333" s="64" t="str">
        <f>IFERROR(VLOOKUP(S$13&amp;$B2333,Aux!$B:$M,6,0),"")</f>
        <v/>
      </c>
      <c r="V2333" s="64"/>
      <c r="W2333" s="63"/>
      <c r="AA2333" s="59"/>
      <c r="AB2333" s="16" t="str">
        <f>IF(AB2330="","","Срок сдачи"&amp;": ")</f>
        <v/>
      </c>
      <c r="AC2333" s="64" t="str">
        <f>IFERROR(VLOOKUP(AA$13&amp;$B2333,Aux!$B:$M,6,0),"")</f>
        <v/>
      </c>
      <c r="AD2333" s="64"/>
      <c r="AE2333" s="63"/>
    </row>
    <row r="2334" spans="2:31" x14ac:dyDescent="0.25">
      <c r="B2334" s="53">
        <f t="shared" si="36"/>
        <v>464</v>
      </c>
      <c r="C2334" s="7"/>
      <c r="D2334" s="17"/>
      <c r="E2334" s="7"/>
      <c r="F2334" s="18"/>
      <c r="G2334" s="18"/>
      <c r="K2334" s="13"/>
      <c r="L2334" s="17"/>
      <c r="M2334" s="13"/>
      <c r="N2334" s="14"/>
      <c r="O2334" s="14"/>
      <c r="S2334" s="13"/>
      <c r="T2334" s="17"/>
      <c r="U2334" s="13"/>
      <c r="V2334" s="14"/>
      <c r="W2334" s="14"/>
      <c r="AA2334" s="13"/>
      <c r="AB2334" s="17"/>
      <c r="AC2334" s="13"/>
      <c r="AD2334" s="14"/>
      <c r="AE2334" s="30"/>
    </row>
    <row r="2335" spans="2:31" x14ac:dyDescent="0.25">
      <c r="B2335" s="53">
        <f t="shared" si="36"/>
        <v>465</v>
      </c>
      <c r="C2335" s="59" t="str">
        <f>IFERROR(VLOOKUP(C$13&amp;$B2339,Aux!$B:$M,5,0),"")</f>
        <v/>
      </c>
      <c r="D2335" s="60" t="str">
        <f>IFERROR(VLOOKUP(C$13&amp;$B2335,Aux!$B:$M,3,0),"")</f>
        <v/>
      </c>
      <c r="E2335" s="60"/>
      <c r="F2335" s="60"/>
      <c r="G2335" s="61" t="str">
        <f>IFERROR(VLOOKUP(C$13&amp;$B2335,Aux!$B:$M,9,0),"")</f>
        <v/>
      </c>
      <c r="K2335" s="59" t="str">
        <f>IFERROR(VLOOKUP(K$13&amp;$B2339,Aux!$B:$M,5,0),"")</f>
        <v/>
      </c>
      <c r="L2335" s="60" t="str">
        <f>IFERROR(VLOOKUP(K$13&amp;$B2335,Aux!$B:$M,3,0),"")</f>
        <v/>
      </c>
      <c r="M2335" s="60"/>
      <c r="N2335" s="60"/>
      <c r="O2335" s="61" t="str">
        <f>IFERROR(VLOOKUP(K$13&amp;$B2335,Aux!$B:$M,9,0),"")</f>
        <v/>
      </c>
      <c r="S2335" s="59" t="str">
        <f>IFERROR(VLOOKUP(S$13&amp;$B2339,Aux!$B:$M,5,0),"")</f>
        <v/>
      </c>
      <c r="T2335" s="60" t="str">
        <f>IFERROR(VLOOKUP(S$13&amp;$B2335,Aux!$B:$M,3,0),"")</f>
        <v/>
      </c>
      <c r="U2335" s="60"/>
      <c r="V2335" s="60"/>
      <c r="W2335" s="61" t="str">
        <f>IFERROR(VLOOKUP(S$13&amp;$B2335,Aux!$B:$M,9,0),"")</f>
        <v/>
      </c>
      <c r="AA2335" s="59" t="str">
        <f>IFERROR(VLOOKUP(AA$13&amp;$B2339,Aux!$B:$M,5,0),"")</f>
        <v/>
      </c>
      <c r="AB2335" s="60" t="str">
        <f>IFERROR(VLOOKUP(AA$13&amp;$B2335,Aux!$B:$M,3,0),"")</f>
        <v/>
      </c>
      <c r="AC2335" s="60"/>
      <c r="AD2335" s="60"/>
      <c r="AE2335" s="61" t="str">
        <f>IFERROR(VLOOKUP(AA$13&amp;$B2335,Aux!$B:$M,9,0),"")</f>
        <v/>
      </c>
    </row>
    <row r="2336" spans="2:31" x14ac:dyDescent="0.25">
      <c r="B2336" s="53">
        <f t="shared" si="36"/>
        <v>465</v>
      </c>
      <c r="C2336" s="59"/>
      <c r="D2336" s="60"/>
      <c r="E2336" s="60"/>
      <c r="F2336" s="60"/>
      <c r="G2336" s="61"/>
      <c r="K2336" s="59"/>
      <c r="L2336" s="60"/>
      <c r="M2336" s="60"/>
      <c r="N2336" s="60"/>
      <c r="O2336" s="61"/>
      <c r="S2336" s="59"/>
      <c r="T2336" s="60"/>
      <c r="U2336" s="60"/>
      <c r="V2336" s="60"/>
      <c r="W2336" s="61"/>
      <c r="AA2336" s="59"/>
      <c r="AB2336" s="60"/>
      <c r="AC2336" s="60"/>
      <c r="AD2336" s="60"/>
      <c r="AE2336" s="61"/>
    </row>
    <row r="2337" spans="2:31" x14ac:dyDescent="0.25">
      <c r="B2337" s="53">
        <f t="shared" si="36"/>
        <v>465</v>
      </c>
      <c r="C2337" s="59"/>
      <c r="D2337" s="15" t="str">
        <f>IF(D2335="","","Исполнитель"&amp;": ")</f>
        <v/>
      </c>
      <c r="E2337" s="62" t="str">
        <f>IFERROR(VLOOKUP(C$13&amp;$B2337,Aux!$B:$M,4,0),"")</f>
        <v/>
      </c>
      <c r="F2337" s="62"/>
      <c r="G2337" s="63" t="str">
        <f>IFERROR(IF(VLOOKUP(C$13&amp;$B2335,Aux!$B:$M,8,0)="Да","✔","🕓"),"")</f>
        <v/>
      </c>
      <c r="K2337" s="59"/>
      <c r="L2337" s="15" t="str">
        <f>IF(L2335="","","Исполнитель"&amp;": ")</f>
        <v/>
      </c>
      <c r="M2337" s="62" t="str">
        <f>IFERROR(VLOOKUP(K$13&amp;$B2337,Aux!$B:$M,4,0),"")</f>
        <v/>
      </c>
      <c r="N2337" s="62"/>
      <c r="O2337" s="63" t="str">
        <f>IFERROR(IF(VLOOKUP(K$13&amp;$B2335,Aux!$B:$M,8,0)="Да","✔","🕓"),"")</f>
        <v/>
      </c>
      <c r="S2337" s="59"/>
      <c r="T2337" s="15" t="str">
        <f>IF(T2335="","","Исполнитель"&amp;": ")</f>
        <v/>
      </c>
      <c r="U2337" s="62" t="str">
        <f>IFERROR(VLOOKUP(S$13&amp;$B2337,Aux!$B:$M,4,0),"")</f>
        <v/>
      </c>
      <c r="V2337" s="62"/>
      <c r="W2337" s="63" t="str">
        <f>IFERROR(IF(VLOOKUP(S$13&amp;$B2335,Aux!$B:$M,8,0)="Да","✔","🕓"),"")</f>
        <v/>
      </c>
      <c r="AA2337" s="59"/>
      <c r="AB2337" s="15" t="str">
        <f>IF(AB2335="","","Исполнитель"&amp;": ")</f>
        <v/>
      </c>
      <c r="AC2337" s="62" t="str">
        <f>IFERROR(VLOOKUP(AA$13&amp;$B2337,Aux!$B:$M,4,0),"")</f>
        <v/>
      </c>
      <c r="AD2337" s="62"/>
      <c r="AE2337" s="63" t="str">
        <f>IFERROR(IF(VLOOKUP(AA$13&amp;$B2335,Aux!$B:$M,8,0)="Да","✔","🕓"),"")</f>
        <v/>
      </c>
    </row>
    <row r="2338" spans="2:31" x14ac:dyDescent="0.25">
      <c r="B2338" s="53">
        <f t="shared" si="36"/>
        <v>465</v>
      </c>
      <c r="C2338" s="59"/>
      <c r="D2338" s="16" t="str">
        <f>IF(D2335="","","Срок сдачи"&amp;": ")</f>
        <v/>
      </c>
      <c r="E2338" s="64" t="str">
        <f>IFERROR(VLOOKUP(C$13&amp;$B2338,Aux!$B:$M,6,0),"")</f>
        <v/>
      </c>
      <c r="F2338" s="64"/>
      <c r="G2338" s="63"/>
      <c r="K2338" s="59"/>
      <c r="L2338" s="16" t="str">
        <f>IF(L2335="","","Срок сдачи"&amp;": ")</f>
        <v/>
      </c>
      <c r="M2338" s="64" t="str">
        <f>IFERROR(VLOOKUP(K$13&amp;$B2338,Aux!$B:$M,6,0),"")</f>
        <v/>
      </c>
      <c r="N2338" s="64"/>
      <c r="O2338" s="63"/>
      <c r="S2338" s="59"/>
      <c r="T2338" s="16" t="str">
        <f>IF(T2335="","","Срок сдачи"&amp;": ")</f>
        <v/>
      </c>
      <c r="U2338" s="64" t="str">
        <f>IFERROR(VLOOKUP(S$13&amp;$B2338,Aux!$B:$M,6,0),"")</f>
        <v/>
      </c>
      <c r="V2338" s="64"/>
      <c r="W2338" s="63"/>
      <c r="AA2338" s="59"/>
      <c r="AB2338" s="16" t="str">
        <f>IF(AB2335="","","Срок сдачи"&amp;": ")</f>
        <v/>
      </c>
      <c r="AC2338" s="64" t="str">
        <f>IFERROR(VLOOKUP(AA$13&amp;$B2338,Aux!$B:$M,6,0),"")</f>
        <v/>
      </c>
      <c r="AD2338" s="64"/>
      <c r="AE2338" s="63"/>
    </row>
    <row r="2339" spans="2:31" x14ac:dyDescent="0.25">
      <c r="B2339" s="53">
        <f t="shared" si="36"/>
        <v>465</v>
      </c>
      <c r="C2339" s="7"/>
      <c r="D2339" s="17"/>
      <c r="E2339" s="7"/>
      <c r="F2339" s="18"/>
      <c r="G2339" s="18"/>
      <c r="K2339" s="13"/>
      <c r="L2339" s="17"/>
      <c r="M2339" s="13"/>
      <c r="N2339" s="14"/>
      <c r="O2339" s="14"/>
      <c r="S2339" s="13"/>
      <c r="T2339" s="17"/>
      <c r="U2339" s="13"/>
      <c r="V2339" s="14"/>
      <c r="W2339" s="14"/>
      <c r="AA2339" s="13"/>
      <c r="AB2339" s="17"/>
      <c r="AC2339" s="13"/>
      <c r="AD2339" s="14"/>
      <c r="AE2339" s="30"/>
    </row>
    <row r="2340" spans="2:31" x14ac:dyDescent="0.25">
      <c r="B2340" s="53">
        <f t="shared" si="36"/>
        <v>466</v>
      </c>
      <c r="C2340" s="59" t="str">
        <f>IFERROR(VLOOKUP(C$13&amp;$B2344,Aux!$B:$M,5,0),"")</f>
        <v/>
      </c>
      <c r="D2340" s="60" t="str">
        <f>IFERROR(VLOOKUP(C$13&amp;$B2340,Aux!$B:$M,3,0),"")</f>
        <v/>
      </c>
      <c r="E2340" s="60"/>
      <c r="F2340" s="60"/>
      <c r="G2340" s="61" t="str">
        <f>IFERROR(VLOOKUP(C$13&amp;$B2340,Aux!$B:$M,9,0),"")</f>
        <v/>
      </c>
      <c r="K2340" s="59" t="str">
        <f>IFERROR(VLOOKUP(K$13&amp;$B2344,Aux!$B:$M,5,0),"")</f>
        <v/>
      </c>
      <c r="L2340" s="60" t="str">
        <f>IFERROR(VLOOKUP(K$13&amp;$B2340,Aux!$B:$M,3,0),"")</f>
        <v/>
      </c>
      <c r="M2340" s="60"/>
      <c r="N2340" s="60"/>
      <c r="O2340" s="61" t="str">
        <f>IFERROR(VLOOKUP(K$13&amp;$B2340,Aux!$B:$M,9,0),"")</f>
        <v/>
      </c>
      <c r="S2340" s="59" t="str">
        <f>IFERROR(VLOOKUP(S$13&amp;$B2344,Aux!$B:$M,5,0),"")</f>
        <v/>
      </c>
      <c r="T2340" s="60" t="str">
        <f>IFERROR(VLOOKUP(S$13&amp;$B2340,Aux!$B:$M,3,0),"")</f>
        <v/>
      </c>
      <c r="U2340" s="60"/>
      <c r="V2340" s="60"/>
      <c r="W2340" s="61" t="str">
        <f>IFERROR(VLOOKUP(S$13&amp;$B2340,Aux!$B:$M,9,0),"")</f>
        <v/>
      </c>
      <c r="AA2340" s="59" t="str">
        <f>IFERROR(VLOOKUP(AA$13&amp;$B2344,Aux!$B:$M,5,0),"")</f>
        <v/>
      </c>
      <c r="AB2340" s="60" t="str">
        <f>IFERROR(VLOOKUP(AA$13&amp;$B2340,Aux!$B:$M,3,0),"")</f>
        <v/>
      </c>
      <c r="AC2340" s="60"/>
      <c r="AD2340" s="60"/>
      <c r="AE2340" s="61" t="str">
        <f>IFERROR(VLOOKUP(AA$13&amp;$B2340,Aux!$B:$M,9,0),"")</f>
        <v/>
      </c>
    </row>
    <row r="2341" spans="2:31" x14ac:dyDescent="0.25">
      <c r="B2341" s="53">
        <f t="shared" si="36"/>
        <v>466</v>
      </c>
      <c r="C2341" s="59"/>
      <c r="D2341" s="60"/>
      <c r="E2341" s="60"/>
      <c r="F2341" s="60"/>
      <c r="G2341" s="61"/>
      <c r="K2341" s="59"/>
      <c r="L2341" s="60"/>
      <c r="M2341" s="60"/>
      <c r="N2341" s="60"/>
      <c r="O2341" s="61"/>
      <c r="S2341" s="59"/>
      <c r="T2341" s="60"/>
      <c r="U2341" s="60"/>
      <c r="V2341" s="60"/>
      <c r="W2341" s="61"/>
      <c r="AA2341" s="59"/>
      <c r="AB2341" s="60"/>
      <c r="AC2341" s="60"/>
      <c r="AD2341" s="60"/>
      <c r="AE2341" s="61"/>
    </row>
    <row r="2342" spans="2:31" x14ac:dyDescent="0.25">
      <c r="B2342" s="53">
        <f t="shared" si="36"/>
        <v>466</v>
      </c>
      <c r="C2342" s="59"/>
      <c r="D2342" s="15" t="str">
        <f>IF(D2340="","","Исполнитель"&amp;": ")</f>
        <v/>
      </c>
      <c r="E2342" s="62" t="str">
        <f>IFERROR(VLOOKUP(C$13&amp;$B2342,Aux!$B:$M,4,0),"")</f>
        <v/>
      </c>
      <c r="F2342" s="62"/>
      <c r="G2342" s="63" t="str">
        <f>IFERROR(IF(VLOOKUP(C$13&amp;$B2340,Aux!$B:$M,8,0)="Да","✔","🕓"),"")</f>
        <v/>
      </c>
      <c r="K2342" s="59"/>
      <c r="L2342" s="15" t="str">
        <f>IF(L2340="","","Исполнитель"&amp;": ")</f>
        <v/>
      </c>
      <c r="M2342" s="62" t="str">
        <f>IFERROR(VLOOKUP(K$13&amp;$B2342,Aux!$B:$M,4,0),"")</f>
        <v/>
      </c>
      <c r="N2342" s="62"/>
      <c r="O2342" s="63" t="str">
        <f>IFERROR(IF(VLOOKUP(K$13&amp;$B2340,Aux!$B:$M,8,0)="Да","✔","🕓"),"")</f>
        <v/>
      </c>
      <c r="S2342" s="59"/>
      <c r="T2342" s="15" t="str">
        <f>IF(T2340="","","Исполнитель"&amp;": ")</f>
        <v/>
      </c>
      <c r="U2342" s="62" t="str">
        <f>IFERROR(VLOOKUP(S$13&amp;$B2342,Aux!$B:$M,4,0),"")</f>
        <v/>
      </c>
      <c r="V2342" s="62"/>
      <c r="W2342" s="63" t="str">
        <f>IFERROR(IF(VLOOKUP(S$13&amp;$B2340,Aux!$B:$M,8,0)="Да","✔","🕓"),"")</f>
        <v/>
      </c>
      <c r="AA2342" s="59"/>
      <c r="AB2342" s="15" t="str">
        <f>IF(AB2340="","","Исполнитель"&amp;": ")</f>
        <v/>
      </c>
      <c r="AC2342" s="62" t="str">
        <f>IFERROR(VLOOKUP(AA$13&amp;$B2342,Aux!$B:$M,4,0),"")</f>
        <v/>
      </c>
      <c r="AD2342" s="62"/>
      <c r="AE2342" s="63" t="str">
        <f>IFERROR(IF(VLOOKUP(AA$13&amp;$B2340,Aux!$B:$M,8,0)="Да","✔","🕓"),"")</f>
        <v/>
      </c>
    </row>
    <row r="2343" spans="2:31" x14ac:dyDescent="0.25">
      <c r="B2343" s="53">
        <f t="shared" si="36"/>
        <v>466</v>
      </c>
      <c r="C2343" s="59"/>
      <c r="D2343" s="16" t="str">
        <f>IF(D2340="","","Срок сдачи"&amp;": ")</f>
        <v/>
      </c>
      <c r="E2343" s="64" t="str">
        <f>IFERROR(VLOOKUP(C$13&amp;$B2343,Aux!$B:$M,6,0),"")</f>
        <v/>
      </c>
      <c r="F2343" s="64"/>
      <c r="G2343" s="63"/>
      <c r="K2343" s="59"/>
      <c r="L2343" s="16" t="str">
        <f>IF(L2340="","","Срок сдачи"&amp;": ")</f>
        <v/>
      </c>
      <c r="M2343" s="64" t="str">
        <f>IFERROR(VLOOKUP(K$13&amp;$B2343,Aux!$B:$M,6,0),"")</f>
        <v/>
      </c>
      <c r="N2343" s="64"/>
      <c r="O2343" s="63"/>
      <c r="S2343" s="59"/>
      <c r="T2343" s="16" t="str">
        <f>IF(T2340="","","Срок сдачи"&amp;": ")</f>
        <v/>
      </c>
      <c r="U2343" s="64" t="str">
        <f>IFERROR(VLOOKUP(S$13&amp;$B2343,Aux!$B:$M,6,0),"")</f>
        <v/>
      </c>
      <c r="V2343" s="64"/>
      <c r="W2343" s="63"/>
      <c r="AA2343" s="59"/>
      <c r="AB2343" s="16" t="str">
        <f>IF(AB2340="","","Срок сдачи"&amp;": ")</f>
        <v/>
      </c>
      <c r="AC2343" s="64" t="str">
        <f>IFERROR(VLOOKUP(AA$13&amp;$B2343,Aux!$B:$M,6,0),"")</f>
        <v/>
      </c>
      <c r="AD2343" s="64"/>
      <c r="AE2343" s="63"/>
    </row>
    <row r="2344" spans="2:31" x14ac:dyDescent="0.25">
      <c r="B2344" s="53">
        <f t="shared" si="36"/>
        <v>466</v>
      </c>
      <c r="C2344" s="7"/>
      <c r="D2344" s="17"/>
      <c r="E2344" s="7"/>
      <c r="F2344" s="18"/>
      <c r="G2344" s="18"/>
      <c r="K2344" s="13"/>
      <c r="L2344" s="17"/>
      <c r="M2344" s="13"/>
      <c r="N2344" s="14"/>
      <c r="O2344" s="14"/>
      <c r="S2344" s="13"/>
      <c r="T2344" s="17"/>
      <c r="U2344" s="13"/>
      <c r="V2344" s="14"/>
      <c r="W2344" s="14"/>
      <c r="AA2344" s="13"/>
      <c r="AB2344" s="17"/>
      <c r="AC2344" s="13"/>
      <c r="AD2344" s="14"/>
      <c r="AE2344" s="30"/>
    </row>
    <row r="2345" spans="2:31" x14ac:dyDescent="0.25">
      <c r="B2345" s="53">
        <f t="shared" si="36"/>
        <v>467</v>
      </c>
      <c r="C2345" s="59" t="str">
        <f>IFERROR(VLOOKUP(C$13&amp;$B2349,Aux!$B:$M,5,0),"")</f>
        <v/>
      </c>
      <c r="D2345" s="60" t="str">
        <f>IFERROR(VLOOKUP(C$13&amp;$B2345,Aux!$B:$M,3,0),"")</f>
        <v/>
      </c>
      <c r="E2345" s="60"/>
      <c r="F2345" s="60"/>
      <c r="G2345" s="61" t="str">
        <f>IFERROR(VLOOKUP(C$13&amp;$B2345,Aux!$B:$M,9,0),"")</f>
        <v/>
      </c>
      <c r="K2345" s="59" t="str">
        <f>IFERROR(VLOOKUP(K$13&amp;$B2349,Aux!$B:$M,5,0),"")</f>
        <v/>
      </c>
      <c r="L2345" s="60" t="str">
        <f>IFERROR(VLOOKUP(K$13&amp;$B2345,Aux!$B:$M,3,0),"")</f>
        <v/>
      </c>
      <c r="M2345" s="60"/>
      <c r="N2345" s="60"/>
      <c r="O2345" s="61" t="str">
        <f>IFERROR(VLOOKUP(K$13&amp;$B2345,Aux!$B:$M,9,0),"")</f>
        <v/>
      </c>
      <c r="S2345" s="59" t="str">
        <f>IFERROR(VLOOKUP(S$13&amp;$B2349,Aux!$B:$M,5,0),"")</f>
        <v/>
      </c>
      <c r="T2345" s="60" t="str">
        <f>IFERROR(VLOOKUP(S$13&amp;$B2345,Aux!$B:$M,3,0),"")</f>
        <v/>
      </c>
      <c r="U2345" s="60"/>
      <c r="V2345" s="60"/>
      <c r="W2345" s="61" t="str">
        <f>IFERROR(VLOOKUP(S$13&amp;$B2345,Aux!$B:$M,9,0),"")</f>
        <v/>
      </c>
      <c r="AA2345" s="59" t="str">
        <f>IFERROR(VLOOKUP(AA$13&amp;$B2349,Aux!$B:$M,5,0),"")</f>
        <v/>
      </c>
      <c r="AB2345" s="60" t="str">
        <f>IFERROR(VLOOKUP(AA$13&amp;$B2345,Aux!$B:$M,3,0),"")</f>
        <v/>
      </c>
      <c r="AC2345" s="60"/>
      <c r="AD2345" s="60"/>
      <c r="AE2345" s="61" t="str">
        <f>IFERROR(VLOOKUP(AA$13&amp;$B2345,Aux!$B:$M,9,0),"")</f>
        <v/>
      </c>
    </row>
    <row r="2346" spans="2:31" x14ac:dyDescent="0.25">
      <c r="B2346" s="53">
        <f t="shared" si="36"/>
        <v>467</v>
      </c>
      <c r="C2346" s="59"/>
      <c r="D2346" s="60"/>
      <c r="E2346" s="60"/>
      <c r="F2346" s="60"/>
      <c r="G2346" s="61"/>
      <c r="K2346" s="59"/>
      <c r="L2346" s="60"/>
      <c r="M2346" s="60"/>
      <c r="N2346" s="60"/>
      <c r="O2346" s="61"/>
      <c r="S2346" s="59"/>
      <c r="T2346" s="60"/>
      <c r="U2346" s="60"/>
      <c r="V2346" s="60"/>
      <c r="W2346" s="61"/>
      <c r="AA2346" s="59"/>
      <c r="AB2346" s="60"/>
      <c r="AC2346" s="60"/>
      <c r="AD2346" s="60"/>
      <c r="AE2346" s="61"/>
    </row>
    <row r="2347" spans="2:31" x14ac:dyDescent="0.25">
      <c r="B2347" s="53">
        <f t="shared" si="36"/>
        <v>467</v>
      </c>
      <c r="C2347" s="59"/>
      <c r="D2347" s="15" t="str">
        <f>IF(D2345="","","Исполнитель"&amp;": ")</f>
        <v/>
      </c>
      <c r="E2347" s="62" t="str">
        <f>IFERROR(VLOOKUP(C$13&amp;$B2347,Aux!$B:$M,4,0),"")</f>
        <v/>
      </c>
      <c r="F2347" s="62"/>
      <c r="G2347" s="63" t="str">
        <f>IFERROR(IF(VLOOKUP(C$13&amp;$B2345,Aux!$B:$M,8,0)="Да","✔","🕓"),"")</f>
        <v/>
      </c>
      <c r="K2347" s="59"/>
      <c r="L2347" s="15" t="str">
        <f>IF(L2345="","","Исполнитель"&amp;": ")</f>
        <v/>
      </c>
      <c r="M2347" s="62" t="str">
        <f>IFERROR(VLOOKUP(K$13&amp;$B2347,Aux!$B:$M,4,0),"")</f>
        <v/>
      </c>
      <c r="N2347" s="62"/>
      <c r="O2347" s="63" t="str">
        <f>IFERROR(IF(VLOOKUP(K$13&amp;$B2345,Aux!$B:$M,8,0)="Да","✔","🕓"),"")</f>
        <v/>
      </c>
      <c r="S2347" s="59"/>
      <c r="T2347" s="15" t="str">
        <f>IF(T2345="","","Исполнитель"&amp;": ")</f>
        <v/>
      </c>
      <c r="U2347" s="62" t="str">
        <f>IFERROR(VLOOKUP(S$13&amp;$B2347,Aux!$B:$M,4,0),"")</f>
        <v/>
      </c>
      <c r="V2347" s="62"/>
      <c r="W2347" s="63" t="str">
        <f>IFERROR(IF(VLOOKUP(S$13&amp;$B2345,Aux!$B:$M,8,0)="Да","✔","🕓"),"")</f>
        <v/>
      </c>
      <c r="AA2347" s="59"/>
      <c r="AB2347" s="15" t="str">
        <f>IF(AB2345="","","Исполнитель"&amp;": ")</f>
        <v/>
      </c>
      <c r="AC2347" s="62" t="str">
        <f>IFERROR(VLOOKUP(AA$13&amp;$B2347,Aux!$B:$M,4,0),"")</f>
        <v/>
      </c>
      <c r="AD2347" s="62"/>
      <c r="AE2347" s="63" t="str">
        <f>IFERROR(IF(VLOOKUP(AA$13&amp;$B2345,Aux!$B:$M,8,0)="Да","✔","🕓"),"")</f>
        <v/>
      </c>
    </row>
    <row r="2348" spans="2:31" x14ac:dyDescent="0.25">
      <c r="B2348" s="53">
        <f t="shared" si="36"/>
        <v>467</v>
      </c>
      <c r="C2348" s="59"/>
      <c r="D2348" s="16" t="str">
        <f>IF(D2345="","","Срок сдачи"&amp;": ")</f>
        <v/>
      </c>
      <c r="E2348" s="64" t="str">
        <f>IFERROR(VLOOKUP(C$13&amp;$B2348,Aux!$B:$M,6,0),"")</f>
        <v/>
      </c>
      <c r="F2348" s="64"/>
      <c r="G2348" s="63"/>
      <c r="K2348" s="59"/>
      <c r="L2348" s="16" t="str">
        <f>IF(L2345="","","Срок сдачи"&amp;": ")</f>
        <v/>
      </c>
      <c r="M2348" s="64" t="str">
        <f>IFERROR(VLOOKUP(K$13&amp;$B2348,Aux!$B:$M,6,0),"")</f>
        <v/>
      </c>
      <c r="N2348" s="64"/>
      <c r="O2348" s="63"/>
      <c r="S2348" s="59"/>
      <c r="T2348" s="16" t="str">
        <f>IF(T2345="","","Срок сдачи"&amp;": ")</f>
        <v/>
      </c>
      <c r="U2348" s="64" t="str">
        <f>IFERROR(VLOOKUP(S$13&amp;$B2348,Aux!$B:$M,6,0),"")</f>
        <v/>
      </c>
      <c r="V2348" s="64"/>
      <c r="W2348" s="63"/>
      <c r="AA2348" s="59"/>
      <c r="AB2348" s="16" t="str">
        <f>IF(AB2345="","","Срок сдачи"&amp;": ")</f>
        <v/>
      </c>
      <c r="AC2348" s="64" t="str">
        <f>IFERROR(VLOOKUP(AA$13&amp;$B2348,Aux!$B:$M,6,0),"")</f>
        <v/>
      </c>
      <c r="AD2348" s="64"/>
      <c r="AE2348" s="63"/>
    </row>
    <row r="2349" spans="2:31" x14ac:dyDescent="0.25">
      <c r="B2349" s="53">
        <f t="shared" si="36"/>
        <v>467</v>
      </c>
      <c r="C2349" s="7"/>
      <c r="D2349" s="17"/>
      <c r="E2349" s="7"/>
      <c r="F2349" s="18"/>
      <c r="G2349" s="18"/>
      <c r="K2349" s="13"/>
      <c r="L2349" s="17"/>
      <c r="M2349" s="13"/>
      <c r="N2349" s="14"/>
      <c r="O2349" s="14"/>
      <c r="S2349" s="13"/>
      <c r="T2349" s="17"/>
      <c r="U2349" s="13"/>
      <c r="V2349" s="14"/>
      <c r="W2349" s="14"/>
      <c r="AA2349" s="13"/>
      <c r="AB2349" s="17"/>
      <c r="AC2349" s="13"/>
      <c r="AD2349" s="14"/>
      <c r="AE2349" s="30"/>
    </row>
    <row r="2350" spans="2:31" x14ac:dyDescent="0.25">
      <c r="B2350" s="53">
        <f t="shared" si="36"/>
        <v>468</v>
      </c>
      <c r="C2350" s="59" t="str">
        <f>IFERROR(VLOOKUP(C$13&amp;$B2354,Aux!$B:$M,5,0),"")</f>
        <v/>
      </c>
      <c r="D2350" s="60" t="str">
        <f>IFERROR(VLOOKUP(C$13&amp;$B2350,Aux!$B:$M,3,0),"")</f>
        <v/>
      </c>
      <c r="E2350" s="60"/>
      <c r="F2350" s="60"/>
      <c r="G2350" s="61" t="str">
        <f>IFERROR(VLOOKUP(C$13&amp;$B2350,Aux!$B:$M,9,0),"")</f>
        <v/>
      </c>
      <c r="K2350" s="59" t="str">
        <f>IFERROR(VLOOKUP(K$13&amp;$B2354,Aux!$B:$M,5,0),"")</f>
        <v/>
      </c>
      <c r="L2350" s="60" t="str">
        <f>IFERROR(VLOOKUP(K$13&amp;$B2350,Aux!$B:$M,3,0),"")</f>
        <v/>
      </c>
      <c r="M2350" s="60"/>
      <c r="N2350" s="60"/>
      <c r="O2350" s="61" t="str">
        <f>IFERROR(VLOOKUP(K$13&amp;$B2350,Aux!$B:$M,9,0),"")</f>
        <v/>
      </c>
      <c r="S2350" s="59" t="str">
        <f>IFERROR(VLOOKUP(S$13&amp;$B2354,Aux!$B:$M,5,0),"")</f>
        <v/>
      </c>
      <c r="T2350" s="60" t="str">
        <f>IFERROR(VLOOKUP(S$13&amp;$B2350,Aux!$B:$M,3,0),"")</f>
        <v/>
      </c>
      <c r="U2350" s="60"/>
      <c r="V2350" s="60"/>
      <c r="W2350" s="61" t="str">
        <f>IFERROR(VLOOKUP(S$13&amp;$B2350,Aux!$B:$M,9,0),"")</f>
        <v/>
      </c>
      <c r="AA2350" s="59" t="str">
        <f>IFERROR(VLOOKUP(AA$13&amp;$B2354,Aux!$B:$M,5,0),"")</f>
        <v/>
      </c>
      <c r="AB2350" s="60" t="str">
        <f>IFERROR(VLOOKUP(AA$13&amp;$B2350,Aux!$B:$M,3,0),"")</f>
        <v/>
      </c>
      <c r="AC2350" s="60"/>
      <c r="AD2350" s="60"/>
      <c r="AE2350" s="61" t="str">
        <f>IFERROR(VLOOKUP(AA$13&amp;$B2350,Aux!$B:$M,9,0),"")</f>
        <v/>
      </c>
    </row>
    <row r="2351" spans="2:31" x14ac:dyDescent="0.25">
      <c r="B2351" s="53">
        <f t="shared" si="36"/>
        <v>468</v>
      </c>
      <c r="C2351" s="59"/>
      <c r="D2351" s="60"/>
      <c r="E2351" s="60"/>
      <c r="F2351" s="60"/>
      <c r="G2351" s="61"/>
      <c r="K2351" s="59"/>
      <c r="L2351" s="60"/>
      <c r="M2351" s="60"/>
      <c r="N2351" s="60"/>
      <c r="O2351" s="61"/>
      <c r="S2351" s="59"/>
      <c r="T2351" s="60"/>
      <c r="U2351" s="60"/>
      <c r="V2351" s="60"/>
      <c r="W2351" s="61"/>
      <c r="AA2351" s="59"/>
      <c r="AB2351" s="60"/>
      <c r="AC2351" s="60"/>
      <c r="AD2351" s="60"/>
      <c r="AE2351" s="61"/>
    </row>
    <row r="2352" spans="2:31" x14ac:dyDescent="0.25">
      <c r="B2352" s="53">
        <f t="shared" si="36"/>
        <v>468</v>
      </c>
      <c r="C2352" s="59"/>
      <c r="D2352" s="15" t="str">
        <f>IF(D2350="","","Исполнитель"&amp;": ")</f>
        <v/>
      </c>
      <c r="E2352" s="62" t="str">
        <f>IFERROR(VLOOKUP(C$13&amp;$B2352,Aux!$B:$M,4,0),"")</f>
        <v/>
      </c>
      <c r="F2352" s="62"/>
      <c r="G2352" s="63" t="str">
        <f>IFERROR(IF(VLOOKUP(C$13&amp;$B2350,Aux!$B:$M,8,0)="Да","✔","🕓"),"")</f>
        <v/>
      </c>
      <c r="K2352" s="59"/>
      <c r="L2352" s="15" t="str">
        <f>IF(L2350="","","Исполнитель"&amp;": ")</f>
        <v/>
      </c>
      <c r="M2352" s="62" t="str">
        <f>IFERROR(VLOOKUP(K$13&amp;$B2352,Aux!$B:$M,4,0),"")</f>
        <v/>
      </c>
      <c r="N2352" s="62"/>
      <c r="O2352" s="63" t="str">
        <f>IFERROR(IF(VLOOKUP(K$13&amp;$B2350,Aux!$B:$M,8,0)="Да","✔","🕓"),"")</f>
        <v/>
      </c>
      <c r="S2352" s="59"/>
      <c r="T2352" s="15" t="str">
        <f>IF(T2350="","","Исполнитель"&amp;": ")</f>
        <v/>
      </c>
      <c r="U2352" s="62" t="str">
        <f>IFERROR(VLOOKUP(S$13&amp;$B2352,Aux!$B:$M,4,0),"")</f>
        <v/>
      </c>
      <c r="V2352" s="62"/>
      <c r="W2352" s="63" t="str">
        <f>IFERROR(IF(VLOOKUP(S$13&amp;$B2350,Aux!$B:$M,8,0)="Да","✔","🕓"),"")</f>
        <v/>
      </c>
      <c r="AA2352" s="59"/>
      <c r="AB2352" s="15" t="str">
        <f>IF(AB2350="","","Исполнитель"&amp;": ")</f>
        <v/>
      </c>
      <c r="AC2352" s="62" t="str">
        <f>IFERROR(VLOOKUP(AA$13&amp;$B2352,Aux!$B:$M,4,0),"")</f>
        <v/>
      </c>
      <c r="AD2352" s="62"/>
      <c r="AE2352" s="63" t="str">
        <f>IFERROR(IF(VLOOKUP(AA$13&amp;$B2350,Aux!$B:$M,8,0)="Да","✔","🕓"),"")</f>
        <v/>
      </c>
    </row>
    <row r="2353" spans="2:31" x14ac:dyDescent="0.25">
      <c r="B2353" s="53">
        <f t="shared" si="36"/>
        <v>468</v>
      </c>
      <c r="C2353" s="59"/>
      <c r="D2353" s="16" t="str">
        <f>IF(D2350="","","Срок сдачи"&amp;": ")</f>
        <v/>
      </c>
      <c r="E2353" s="64" t="str">
        <f>IFERROR(VLOOKUP(C$13&amp;$B2353,Aux!$B:$M,6,0),"")</f>
        <v/>
      </c>
      <c r="F2353" s="64"/>
      <c r="G2353" s="63"/>
      <c r="K2353" s="59"/>
      <c r="L2353" s="16" t="str">
        <f>IF(L2350="","","Срок сдачи"&amp;": ")</f>
        <v/>
      </c>
      <c r="M2353" s="64" t="str">
        <f>IFERROR(VLOOKUP(K$13&amp;$B2353,Aux!$B:$M,6,0),"")</f>
        <v/>
      </c>
      <c r="N2353" s="64"/>
      <c r="O2353" s="63"/>
      <c r="S2353" s="59"/>
      <c r="T2353" s="16" t="str">
        <f>IF(T2350="","","Срок сдачи"&amp;": ")</f>
        <v/>
      </c>
      <c r="U2353" s="64" t="str">
        <f>IFERROR(VLOOKUP(S$13&amp;$B2353,Aux!$B:$M,6,0),"")</f>
        <v/>
      </c>
      <c r="V2353" s="64"/>
      <c r="W2353" s="63"/>
      <c r="AA2353" s="59"/>
      <c r="AB2353" s="16" t="str">
        <f>IF(AB2350="","","Срок сдачи"&amp;": ")</f>
        <v/>
      </c>
      <c r="AC2353" s="64" t="str">
        <f>IFERROR(VLOOKUP(AA$13&amp;$B2353,Aux!$B:$M,6,0),"")</f>
        <v/>
      </c>
      <c r="AD2353" s="64"/>
      <c r="AE2353" s="63"/>
    </row>
    <row r="2354" spans="2:31" x14ac:dyDescent="0.25">
      <c r="B2354" s="53">
        <f t="shared" si="36"/>
        <v>468</v>
      </c>
      <c r="C2354" s="7"/>
      <c r="D2354" s="17"/>
      <c r="E2354" s="7"/>
      <c r="F2354" s="18"/>
      <c r="G2354" s="18"/>
      <c r="K2354" s="13"/>
      <c r="L2354" s="17"/>
      <c r="M2354" s="13"/>
      <c r="N2354" s="14"/>
      <c r="O2354" s="14"/>
      <c r="S2354" s="13"/>
      <c r="T2354" s="17"/>
      <c r="U2354" s="13"/>
      <c r="V2354" s="14"/>
      <c r="W2354" s="14"/>
      <c r="AA2354" s="13"/>
      <c r="AB2354" s="17"/>
      <c r="AC2354" s="13"/>
      <c r="AD2354" s="14"/>
      <c r="AE2354" s="30"/>
    </row>
    <row r="2355" spans="2:31" x14ac:dyDescent="0.25">
      <c r="B2355" s="53">
        <f t="shared" si="36"/>
        <v>469</v>
      </c>
      <c r="C2355" s="59" t="str">
        <f>IFERROR(VLOOKUP(C$13&amp;$B2359,Aux!$B:$M,5,0),"")</f>
        <v/>
      </c>
      <c r="D2355" s="60" t="str">
        <f>IFERROR(VLOOKUP(C$13&amp;$B2355,Aux!$B:$M,3,0),"")</f>
        <v/>
      </c>
      <c r="E2355" s="60"/>
      <c r="F2355" s="60"/>
      <c r="G2355" s="61" t="str">
        <f>IFERROR(VLOOKUP(C$13&amp;$B2355,Aux!$B:$M,9,0),"")</f>
        <v/>
      </c>
      <c r="K2355" s="59" t="str">
        <f>IFERROR(VLOOKUP(K$13&amp;$B2359,Aux!$B:$M,5,0),"")</f>
        <v/>
      </c>
      <c r="L2355" s="60" t="str">
        <f>IFERROR(VLOOKUP(K$13&amp;$B2355,Aux!$B:$M,3,0),"")</f>
        <v/>
      </c>
      <c r="M2355" s="60"/>
      <c r="N2355" s="60"/>
      <c r="O2355" s="61" t="str">
        <f>IFERROR(VLOOKUP(K$13&amp;$B2355,Aux!$B:$M,9,0),"")</f>
        <v/>
      </c>
      <c r="S2355" s="59" t="str">
        <f>IFERROR(VLOOKUP(S$13&amp;$B2359,Aux!$B:$M,5,0),"")</f>
        <v/>
      </c>
      <c r="T2355" s="60" t="str">
        <f>IFERROR(VLOOKUP(S$13&amp;$B2355,Aux!$B:$M,3,0),"")</f>
        <v/>
      </c>
      <c r="U2355" s="60"/>
      <c r="V2355" s="60"/>
      <c r="W2355" s="61" t="str">
        <f>IFERROR(VLOOKUP(S$13&amp;$B2355,Aux!$B:$M,9,0),"")</f>
        <v/>
      </c>
      <c r="AA2355" s="59" t="str">
        <f>IFERROR(VLOOKUP(AA$13&amp;$B2359,Aux!$B:$M,5,0),"")</f>
        <v/>
      </c>
      <c r="AB2355" s="60" t="str">
        <f>IFERROR(VLOOKUP(AA$13&amp;$B2355,Aux!$B:$M,3,0),"")</f>
        <v/>
      </c>
      <c r="AC2355" s="60"/>
      <c r="AD2355" s="60"/>
      <c r="AE2355" s="61" t="str">
        <f>IFERROR(VLOOKUP(AA$13&amp;$B2355,Aux!$B:$M,9,0),"")</f>
        <v/>
      </c>
    </row>
    <row r="2356" spans="2:31" x14ac:dyDescent="0.25">
      <c r="B2356" s="53">
        <f t="shared" si="36"/>
        <v>469</v>
      </c>
      <c r="C2356" s="59"/>
      <c r="D2356" s="60"/>
      <c r="E2356" s="60"/>
      <c r="F2356" s="60"/>
      <c r="G2356" s="61"/>
      <c r="K2356" s="59"/>
      <c r="L2356" s="60"/>
      <c r="M2356" s="60"/>
      <c r="N2356" s="60"/>
      <c r="O2356" s="61"/>
      <c r="S2356" s="59"/>
      <c r="T2356" s="60"/>
      <c r="U2356" s="60"/>
      <c r="V2356" s="60"/>
      <c r="W2356" s="61"/>
      <c r="AA2356" s="59"/>
      <c r="AB2356" s="60"/>
      <c r="AC2356" s="60"/>
      <c r="AD2356" s="60"/>
      <c r="AE2356" s="61"/>
    </row>
    <row r="2357" spans="2:31" x14ac:dyDescent="0.25">
      <c r="B2357" s="53">
        <f t="shared" si="36"/>
        <v>469</v>
      </c>
      <c r="C2357" s="59"/>
      <c r="D2357" s="15" t="str">
        <f>IF(D2355="","","Исполнитель"&amp;": ")</f>
        <v/>
      </c>
      <c r="E2357" s="62" t="str">
        <f>IFERROR(VLOOKUP(C$13&amp;$B2357,Aux!$B:$M,4,0),"")</f>
        <v/>
      </c>
      <c r="F2357" s="62"/>
      <c r="G2357" s="63" t="str">
        <f>IFERROR(IF(VLOOKUP(C$13&amp;$B2355,Aux!$B:$M,8,0)="Да","✔","🕓"),"")</f>
        <v/>
      </c>
      <c r="K2357" s="59"/>
      <c r="L2357" s="15" t="str">
        <f>IF(L2355="","","Исполнитель"&amp;": ")</f>
        <v/>
      </c>
      <c r="M2357" s="62" t="str">
        <f>IFERROR(VLOOKUP(K$13&amp;$B2357,Aux!$B:$M,4,0),"")</f>
        <v/>
      </c>
      <c r="N2357" s="62"/>
      <c r="O2357" s="63" t="str">
        <f>IFERROR(IF(VLOOKUP(K$13&amp;$B2355,Aux!$B:$M,8,0)="Да","✔","🕓"),"")</f>
        <v/>
      </c>
      <c r="S2357" s="59"/>
      <c r="T2357" s="15" t="str">
        <f>IF(T2355="","","Исполнитель"&amp;": ")</f>
        <v/>
      </c>
      <c r="U2357" s="62" t="str">
        <f>IFERROR(VLOOKUP(S$13&amp;$B2357,Aux!$B:$M,4,0),"")</f>
        <v/>
      </c>
      <c r="V2357" s="62"/>
      <c r="W2357" s="63" t="str">
        <f>IFERROR(IF(VLOOKUP(S$13&amp;$B2355,Aux!$B:$M,8,0)="Да","✔","🕓"),"")</f>
        <v/>
      </c>
      <c r="AA2357" s="59"/>
      <c r="AB2357" s="15" t="str">
        <f>IF(AB2355="","","Исполнитель"&amp;": ")</f>
        <v/>
      </c>
      <c r="AC2357" s="62" t="str">
        <f>IFERROR(VLOOKUP(AA$13&amp;$B2357,Aux!$B:$M,4,0),"")</f>
        <v/>
      </c>
      <c r="AD2357" s="62"/>
      <c r="AE2357" s="63" t="str">
        <f>IFERROR(IF(VLOOKUP(AA$13&amp;$B2355,Aux!$B:$M,8,0)="Да","✔","🕓"),"")</f>
        <v/>
      </c>
    </row>
    <row r="2358" spans="2:31" x14ac:dyDescent="0.25">
      <c r="B2358" s="53">
        <f t="shared" si="36"/>
        <v>469</v>
      </c>
      <c r="C2358" s="59"/>
      <c r="D2358" s="16" t="str">
        <f>IF(D2355="","","Срок сдачи"&amp;": ")</f>
        <v/>
      </c>
      <c r="E2358" s="64" t="str">
        <f>IFERROR(VLOOKUP(C$13&amp;$B2358,Aux!$B:$M,6,0),"")</f>
        <v/>
      </c>
      <c r="F2358" s="64"/>
      <c r="G2358" s="63"/>
      <c r="K2358" s="59"/>
      <c r="L2358" s="16" t="str">
        <f>IF(L2355="","","Срок сдачи"&amp;": ")</f>
        <v/>
      </c>
      <c r="M2358" s="64" t="str">
        <f>IFERROR(VLOOKUP(K$13&amp;$B2358,Aux!$B:$M,6,0),"")</f>
        <v/>
      </c>
      <c r="N2358" s="64"/>
      <c r="O2358" s="63"/>
      <c r="S2358" s="59"/>
      <c r="T2358" s="16" t="str">
        <f>IF(T2355="","","Срок сдачи"&amp;": ")</f>
        <v/>
      </c>
      <c r="U2358" s="64" t="str">
        <f>IFERROR(VLOOKUP(S$13&amp;$B2358,Aux!$B:$M,6,0),"")</f>
        <v/>
      </c>
      <c r="V2358" s="64"/>
      <c r="W2358" s="63"/>
      <c r="AA2358" s="59"/>
      <c r="AB2358" s="16" t="str">
        <f>IF(AB2355="","","Срок сдачи"&amp;": ")</f>
        <v/>
      </c>
      <c r="AC2358" s="64" t="str">
        <f>IFERROR(VLOOKUP(AA$13&amp;$B2358,Aux!$B:$M,6,0),"")</f>
        <v/>
      </c>
      <c r="AD2358" s="64"/>
      <c r="AE2358" s="63"/>
    </row>
    <row r="2359" spans="2:31" x14ac:dyDescent="0.25">
      <c r="B2359" s="53">
        <f t="shared" si="36"/>
        <v>469</v>
      </c>
      <c r="C2359" s="7"/>
      <c r="D2359" s="17"/>
      <c r="E2359" s="7"/>
      <c r="F2359" s="18"/>
      <c r="G2359" s="18"/>
      <c r="K2359" s="13"/>
      <c r="L2359" s="17"/>
      <c r="M2359" s="13"/>
      <c r="N2359" s="14"/>
      <c r="O2359" s="14"/>
      <c r="S2359" s="13"/>
      <c r="T2359" s="17"/>
      <c r="U2359" s="13"/>
      <c r="V2359" s="14"/>
      <c r="W2359" s="14"/>
      <c r="AA2359" s="13"/>
      <c r="AB2359" s="17"/>
      <c r="AC2359" s="13"/>
      <c r="AD2359" s="14"/>
      <c r="AE2359" s="30"/>
    </row>
    <row r="2360" spans="2:31" x14ac:dyDescent="0.25">
      <c r="B2360" s="53">
        <f t="shared" si="36"/>
        <v>470</v>
      </c>
      <c r="C2360" s="59" t="str">
        <f>IFERROR(VLOOKUP(C$13&amp;$B2364,Aux!$B:$M,5,0),"")</f>
        <v/>
      </c>
      <c r="D2360" s="60" t="str">
        <f>IFERROR(VLOOKUP(C$13&amp;$B2360,Aux!$B:$M,3,0),"")</f>
        <v/>
      </c>
      <c r="E2360" s="60"/>
      <c r="F2360" s="60"/>
      <c r="G2360" s="61" t="str">
        <f>IFERROR(VLOOKUP(C$13&amp;$B2360,Aux!$B:$M,9,0),"")</f>
        <v/>
      </c>
      <c r="K2360" s="59" t="str">
        <f>IFERROR(VLOOKUP(K$13&amp;$B2364,Aux!$B:$M,5,0),"")</f>
        <v/>
      </c>
      <c r="L2360" s="60" t="str">
        <f>IFERROR(VLOOKUP(K$13&amp;$B2360,Aux!$B:$M,3,0),"")</f>
        <v/>
      </c>
      <c r="M2360" s="60"/>
      <c r="N2360" s="60"/>
      <c r="O2360" s="61" t="str">
        <f>IFERROR(VLOOKUP(K$13&amp;$B2360,Aux!$B:$M,9,0),"")</f>
        <v/>
      </c>
      <c r="S2360" s="59" t="str">
        <f>IFERROR(VLOOKUP(S$13&amp;$B2364,Aux!$B:$M,5,0),"")</f>
        <v/>
      </c>
      <c r="T2360" s="60" t="str">
        <f>IFERROR(VLOOKUP(S$13&amp;$B2360,Aux!$B:$M,3,0),"")</f>
        <v/>
      </c>
      <c r="U2360" s="60"/>
      <c r="V2360" s="60"/>
      <c r="W2360" s="61" t="str">
        <f>IFERROR(VLOOKUP(S$13&amp;$B2360,Aux!$B:$M,9,0),"")</f>
        <v/>
      </c>
      <c r="AA2360" s="59" t="str">
        <f>IFERROR(VLOOKUP(AA$13&amp;$B2364,Aux!$B:$M,5,0),"")</f>
        <v/>
      </c>
      <c r="AB2360" s="60" t="str">
        <f>IFERROR(VLOOKUP(AA$13&amp;$B2360,Aux!$B:$M,3,0),"")</f>
        <v/>
      </c>
      <c r="AC2360" s="60"/>
      <c r="AD2360" s="60"/>
      <c r="AE2360" s="61" t="str">
        <f>IFERROR(VLOOKUP(AA$13&amp;$B2360,Aux!$B:$M,9,0),"")</f>
        <v/>
      </c>
    </row>
    <row r="2361" spans="2:31" x14ac:dyDescent="0.25">
      <c r="B2361" s="53">
        <f t="shared" si="36"/>
        <v>470</v>
      </c>
      <c r="C2361" s="59"/>
      <c r="D2361" s="60"/>
      <c r="E2361" s="60"/>
      <c r="F2361" s="60"/>
      <c r="G2361" s="61"/>
      <c r="K2361" s="59"/>
      <c r="L2361" s="60"/>
      <c r="M2361" s="60"/>
      <c r="N2361" s="60"/>
      <c r="O2361" s="61"/>
      <c r="S2361" s="59"/>
      <c r="T2361" s="60"/>
      <c r="U2361" s="60"/>
      <c r="V2361" s="60"/>
      <c r="W2361" s="61"/>
      <c r="AA2361" s="59"/>
      <c r="AB2361" s="60"/>
      <c r="AC2361" s="60"/>
      <c r="AD2361" s="60"/>
      <c r="AE2361" s="61"/>
    </row>
    <row r="2362" spans="2:31" x14ac:dyDescent="0.25">
      <c r="B2362" s="53">
        <f t="shared" si="36"/>
        <v>470</v>
      </c>
      <c r="C2362" s="59"/>
      <c r="D2362" s="15" t="str">
        <f>IF(D2360="","","Исполнитель"&amp;": ")</f>
        <v/>
      </c>
      <c r="E2362" s="62" t="str">
        <f>IFERROR(VLOOKUP(C$13&amp;$B2362,Aux!$B:$M,4,0),"")</f>
        <v/>
      </c>
      <c r="F2362" s="62"/>
      <c r="G2362" s="63" t="str">
        <f>IFERROR(IF(VLOOKUP(C$13&amp;$B2360,Aux!$B:$M,8,0)="Да","✔","🕓"),"")</f>
        <v/>
      </c>
      <c r="K2362" s="59"/>
      <c r="L2362" s="15" t="str">
        <f>IF(L2360="","","Исполнитель"&amp;": ")</f>
        <v/>
      </c>
      <c r="M2362" s="62" t="str">
        <f>IFERROR(VLOOKUP(K$13&amp;$B2362,Aux!$B:$M,4,0),"")</f>
        <v/>
      </c>
      <c r="N2362" s="62"/>
      <c r="O2362" s="63" t="str">
        <f>IFERROR(IF(VLOOKUP(K$13&amp;$B2360,Aux!$B:$M,8,0)="Да","✔","🕓"),"")</f>
        <v/>
      </c>
      <c r="S2362" s="59"/>
      <c r="T2362" s="15" t="str">
        <f>IF(T2360="","","Исполнитель"&amp;": ")</f>
        <v/>
      </c>
      <c r="U2362" s="62" t="str">
        <f>IFERROR(VLOOKUP(S$13&amp;$B2362,Aux!$B:$M,4,0),"")</f>
        <v/>
      </c>
      <c r="V2362" s="62"/>
      <c r="W2362" s="63" t="str">
        <f>IFERROR(IF(VLOOKUP(S$13&amp;$B2360,Aux!$B:$M,8,0)="Да","✔","🕓"),"")</f>
        <v/>
      </c>
      <c r="AA2362" s="59"/>
      <c r="AB2362" s="15" t="str">
        <f>IF(AB2360="","","Исполнитель"&amp;": ")</f>
        <v/>
      </c>
      <c r="AC2362" s="62" t="str">
        <f>IFERROR(VLOOKUP(AA$13&amp;$B2362,Aux!$B:$M,4,0),"")</f>
        <v/>
      </c>
      <c r="AD2362" s="62"/>
      <c r="AE2362" s="63" t="str">
        <f>IFERROR(IF(VLOOKUP(AA$13&amp;$B2360,Aux!$B:$M,8,0)="Да","✔","🕓"),"")</f>
        <v/>
      </c>
    </row>
    <row r="2363" spans="2:31" x14ac:dyDescent="0.25">
      <c r="B2363" s="53">
        <f t="shared" si="36"/>
        <v>470</v>
      </c>
      <c r="C2363" s="59"/>
      <c r="D2363" s="16" t="str">
        <f>IF(D2360="","","Срок сдачи"&amp;": ")</f>
        <v/>
      </c>
      <c r="E2363" s="64" t="str">
        <f>IFERROR(VLOOKUP(C$13&amp;$B2363,Aux!$B:$M,6,0),"")</f>
        <v/>
      </c>
      <c r="F2363" s="64"/>
      <c r="G2363" s="63"/>
      <c r="K2363" s="59"/>
      <c r="L2363" s="16" t="str">
        <f>IF(L2360="","","Срок сдачи"&amp;": ")</f>
        <v/>
      </c>
      <c r="M2363" s="64" t="str">
        <f>IFERROR(VLOOKUP(K$13&amp;$B2363,Aux!$B:$M,6,0),"")</f>
        <v/>
      </c>
      <c r="N2363" s="64"/>
      <c r="O2363" s="63"/>
      <c r="S2363" s="59"/>
      <c r="T2363" s="16" t="str">
        <f>IF(T2360="","","Срок сдачи"&amp;": ")</f>
        <v/>
      </c>
      <c r="U2363" s="64" t="str">
        <f>IFERROR(VLOOKUP(S$13&amp;$B2363,Aux!$B:$M,6,0),"")</f>
        <v/>
      </c>
      <c r="V2363" s="64"/>
      <c r="W2363" s="63"/>
      <c r="AA2363" s="59"/>
      <c r="AB2363" s="16" t="str">
        <f>IF(AB2360="","","Срок сдачи"&amp;": ")</f>
        <v/>
      </c>
      <c r="AC2363" s="64" t="str">
        <f>IFERROR(VLOOKUP(AA$13&amp;$B2363,Aux!$B:$M,6,0),"")</f>
        <v/>
      </c>
      <c r="AD2363" s="64"/>
      <c r="AE2363" s="63"/>
    </row>
    <row r="2364" spans="2:31" x14ac:dyDescent="0.25">
      <c r="B2364" s="53">
        <f t="shared" si="36"/>
        <v>470</v>
      </c>
      <c r="C2364" s="7"/>
      <c r="D2364" s="17"/>
      <c r="E2364" s="7"/>
      <c r="F2364" s="18"/>
      <c r="G2364" s="18"/>
      <c r="K2364" s="13"/>
      <c r="L2364" s="17"/>
      <c r="M2364" s="13"/>
      <c r="N2364" s="14"/>
      <c r="O2364" s="14"/>
      <c r="S2364" s="13"/>
      <c r="T2364" s="17"/>
      <c r="U2364" s="13"/>
      <c r="V2364" s="14"/>
      <c r="W2364" s="14"/>
      <c r="AA2364" s="13"/>
      <c r="AB2364" s="17"/>
      <c r="AC2364" s="13"/>
      <c r="AD2364" s="14"/>
      <c r="AE2364" s="30"/>
    </row>
    <row r="2365" spans="2:31" x14ac:dyDescent="0.25">
      <c r="B2365" s="53">
        <f t="shared" si="36"/>
        <v>471</v>
      </c>
      <c r="C2365" s="59" t="str">
        <f>IFERROR(VLOOKUP(C$13&amp;$B2369,Aux!$B:$M,5,0),"")</f>
        <v/>
      </c>
      <c r="D2365" s="60" t="str">
        <f>IFERROR(VLOOKUP(C$13&amp;$B2365,Aux!$B:$M,3,0),"")</f>
        <v/>
      </c>
      <c r="E2365" s="60"/>
      <c r="F2365" s="60"/>
      <c r="G2365" s="61" t="str">
        <f>IFERROR(VLOOKUP(C$13&amp;$B2365,Aux!$B:$M,9,0),"")</f>
        <v/>
      </c>
      <c r="K2365" s="59" t="str">
        <f>IFERROR(VLOOKUP(K$13&amp;$B2369,Aux!$B:$M,5,0),"")</f>
        <v/>
      </c>
      <c r="L2365" s="60" t="str">
        <f>IFERROR(VLOOKUP(K$13&amp;$B2365,Aux!$B:$M,3,0),"")</f>
        <v/>
      </c>
      <c r="M2365" s="60"/>
      <c r="N2365" s="60"/>
      <c r="O2365" s="61" t="str">
        <f>IFERROR(VLOOKUP(K$13&amp;$B2365,Aux!$B:$M,9,0),"")</f>
        <v/>
      </c>
      <c r="S2365" s="59" t="str">
        <f>IFERROR(VLOOKUP(S$13&amp;$B2369,Aux!$B:$M,5,0),"")</f>
        <v/>
      </c>
      <c r="T2365" s="60" t="str">
        <f>IFERROR(VLOOKUP(S$13&amp;$B2365,Aux!$B:$M,3,0),"")</f>
        <v/>
      </c>
      <c r="U2365" s="60"/>
      <c r="V2365" s="60"/>
      <c r="W2365" s="61" t="str">
        <f>IFERROR(VLOOKUP(S$13&amp;$B2365,Aux!$B:$M,9,0),"")</f>
        <v/>
      </c>
      <c r="AA2365" s="59" t="str">
        <f>IFERROR(VLOOKUP(AA$13&amp;$B2369,Aux!$B:$M,5,0),"")</f>
        <v/>
      </c>
      <c r="AB2365" s="60" t="str">
        <f>IFERROR(VLOOKUP(AA$13&amp;$B2365,Aux!$B:$M,3,0),"")</f>
        <v/>
      </c>
      <c r="AC2365" s="60"/>
      <c r="AD2365" s="60"/>
      <c r="AE2365" s="61" t="str">
        <f>IFERROR(VLOOKUP(AA$13&amp;$B2365,Aux!$B:$M,9,0),"")</f>
        <v/>
      </c>
    </row>
    <row r="2366" spans="2:31" x14ac:dyDescent="0.25">
      <c r="B2366" s="53">
        <f t="shared" si="36"/>
        <v>471</v>
      </c>
      <c r="C2366" s="59"/>
      <c r="D2366" s="60"/>
      <c r="E2366" s="60"/>
      <c r="F2366" s="60"/>
      <c r="G2366" s="61"/>
      <c r="K2366" s="59"/>
      <c r="L2366" s="60"/>
      <c r="M2366" s="60"/>
      <c r="N2366" s="60"/>
      <c r="O2366" s="61"/>
      <c r="S2366" s="59"/>
      <c r="T2366" s="60"/>
      <c r="U2366" s="60"/>
      <c r="V2366" s="60"/>
      <c r="W2366" s="61"/>
      <c r="AA2366" s="59"/>
      <c r="AB2366" s="60"/>
      <c r="AC2366" s="60"/>
      <c r="AD2366" s="60"/>
      <c r="AE2366" s="61"/>
    </row>
    <row r="2367" spans="2:31" x14ac:dyDescent="0.25">
      <c r="B2367" s="53">
        <f t="shared" si="36"/>
        <v>471</v>
      </c>
      <c r="C2367" s="59"/>
      <c r="D2367" s="15" t="str">
        <f>IF(D2365="","","Исполнитель"&amp;": ")</f>
        <v/>
      </c>
      <c r="E2367" s="62" t="str">
        <f>IFERROR(VLOOKUP(C$13&amp;$B2367,Aux!$B:$M,4,0),"")</f>
        <v/>
      </c>
      <c r="F2367" s="62"/>
      <c r="G2367" s="63" t="str">
        <f>IFERROR(IF(VLOOKUP(C$13&amp;$B2365,Aux!$B:$M,8,0)="Да","✔","🕓"),"")</f>
        <v/>
      </c>
      <c r="K2367" s="59"/>
      <c r="L2367" s="15" t="str">
        <f>IF(L2365="","","Исполнитель"&amp;": ")</f>
        <v/>
      </c>
      <c r="M2367" s="62" t="str">
        <f>IFERROR(VLOOKUP(K$13&amp;$B2367,Aux!$B:$M,4,0),"")</f>
        <v/>
      </c>
      <c r="N2367" s="62"/>
      <c r="O2367" s="63" t="str">
        <f>IFERROR(IF(VLOOKUP(K$13&amp;$B2365,Aux!$B:$M,8,0)="Да","✔","🕓"),"")</f>
        <v/>
      </c>
      <c r="S2367" s="59"/>
      <c r="T2367" s="15" t="str">
        <f>IF(T2365="","","Исполнитель"&amp;": ")</f>
        <v/>
      </c>
      <c r="U2367" s="62" t="str">
        <f>IFERROR(VLOOKUP(S$13&amp;$B2367,Aux!$B:$M,4,0),"")</f>
        <v/>
      </c>
      <c r="V2367" s="62"/>
      <c r="W2367" s="63" t="str">
        <f>IFERROR(IF(VLOOKUP(S$13&amp;$B2365,Aux!$B:$M,8,0)="Да","✔","🕓"),"")</f>
        <v/>
      </c>
      <c r="AA2367" s="59"/>
      <c r="AB2367" s="15" t="str">
        <f>IF(AB2365="","","Исполнитель"&amp;": ")</f>
        <v/>
      </c>
      <c r="AC2367" s="62" t="str">
        <f>IFERROR(VLOOKUP(AA$13&amp;$B2367,Aux!$B:$M,4,0),"")</f>
        <v/>
      </c>
      <c r="AD2367" s="62"/>
      <c r="AE2367" s="63" t="str">
        <f>IFERROR(IF(VLOOKUP(AA$13&amp;$B2365,Aux!$B:$M,8,0)="Да","✔","🕓"),"")</f>
        <v/>
      </c>
    </row>
    <row r="2368" spans="2:31" x14ac:dyDescent="0.25">
      <c r="B2368" s="53">
        <f t="shared" si="36"/>
        <v>471</v>
      </c>
      <c r="C2368" s="59"/>
      <c r="D2368" s="16" t="str">
        <f>IF(D2365="","","Срок сдачи"&amp;": ")</f>
        <v/>
      </c>
      <c r="E2368" s="64" t="str">
        <f>IFERROR(VLOOKUP(C$13&amp;$B2368,Aux!$B:$M,6,0),"")</f>
        <v/>
      </c>
      <c r="F2368" s="64"/>
      <c r="G2368" s="63"/>
      <c r="K2368" s="59"/>
      <c r="L2368" s="16" t="str">
        <f>IF(L2365="","","Срок сдачи"&amp;": ")</f>
        <v/>
      </c>
      <c r="M2368" s="64" t="str">
        <f>IFERROR(VLOOKUP(K$13&amp;$B2368,Aux!$B:$M,6,0),"")</f>
        <v/>
      </c>
      <c r="N2368" s="64"/>
      <c r="O2368" s="63"/>
      <c r="S2368" s="59"/>
      <c r="T2368" s="16" t="str">
        <f>IF(T2365="","","Срок сдачи"&amp;": ")</f>
        <v/>
      </c>
      <c r="U2368" s="64" t="str">
        <f>IFERROR(VLOOKUP(S$13&amp;$B2368,Aux!$B:$M,6,0),"")</f>
        <v/>
      </c>
      <c r="V2368" s="64"/>
      <c r="W2368" s="63"/>
      <c r="AA2368" s="59"/>
      <c r="AB2368" s="16" t="str">
        <f>IF(AB2365="","","Срок сдачи"&amp;": ")</f>
        <v/>
      </c>
      <c r="AC2368" s="64" t="str">
        <f>IFERROR(VLOOKUP(AA$13&amp;$B2368,Aux!$B:$M,6,0),"")</f>
        <v/>
      </c>
      <c r="AD2368" s="64"/>
      <c r="AE2368" s="63"/>
    </row>
    <row r="2369" spans="2:31" x14ac:dyDescent="0.25">
      <c r="B2369" s="53">
        <f t="shared" si="36"/>
        <v>471</v>
      </c>
      <c r="C2369" s="7"/>
      <c r="D2369" s="17"/>
      <c r="E2369" s="7"/>
      <c r="F2369" s="18"/>
      <c r="G2369" s="18"/>
      <c r="K2369" s="13"/>
      <c r="L2369" s="17"/>
      <c r="M2369" s="13"/>
      <c r="N2369" s="14"/>
      <c r="O2369" s="14"/>
      <c r="S2369" s="13"/>
      <c r="T2369" s="17"/>
      <c r="U2369" s="13"/>
      <c r="V2369" s="14"/>
      <c r="W2369" s="14"/>
      <c r="AA2369" s="13"/>
      <c r="AB2369" s="17"/>
      <c r="AC2369" s="13"/>
      <c r="AD2369" s="14"/>
      <c r="AE2369" s="30"/>
    </row>
    <row r="2370" spans="2:31" x14ac:dyDescent="0.25">
      <c r="B2370" s="53">
        <f t="shared" si="36"/>
        <v>472</v>
      </c>
      <c r="C2370" s="59" t="str">
        <f>IFERROR(VLOOKUP(C$13&amp;$B2374,Aux!$B:$M,5,0),"")</f>
        <v/>
      </c>
      <c r="D2370" s="60" t="str">
        <f>IFERROR(VLOOKUP(C$13&amp;$B2370,Aux!$B:$M,3,0),"")</f>
        <v/>
      </c>
      <c r="E2370" s="60"/>
      <c r="F2370" s="60"/>
      <c r="G2370" s="61" t="str">
        <f>IFERROR(VLOOKUP(C$13&amp;$B2370,Aux!$B:$M,9,0),"")</f>
        <v/>
      </c>
      <c r="K2370" s="59" t="str">
        <f>IFERROR(VLOOKUP(K$13&amp;$B2374,Aux!$B:$M,5,0),"")</f>
        <v/>
      </c>
      <c r="L2370" s="60" t="str">
        <f>IFERROR(VLOOKUP(K$13&amp;$B2370,Aux!$B:$M,3,0),"")</f>
        <v/>
      </c>
      <c r="M2370" s="60"/>
      <c r="N2370" s="60"/>
      <c r="O2370" s="61" t="str">
        <f>IFERROR(VLOOKUP(K$13&amp;$B2370,Aux!$B:$M,9,0),"")</f>
        <v/>
      </c>
      <c r="S2370" s="59" t="str">
        <f>IFERROR(VLOOKUP(S$13&amp;$B2374,Aux!$B:$M,5,0),"")</f>
        <v/>
      </c>
      <c r="T2370" s="60" t="str">
        <f>IFERROR(VLOOKUP(S$13&amp;$B2370,Aux!$B:$M,3,0),"")</f>
        <v/>
      </c>
      <c r="U2370" s="60"/>
      <c r="V2370" s="60"/>
      <c r="W2370" s="61" t="str">
        <f>IFERROR(VLOOKUP(S$13&amp;$B2370,Aux!$B:$M,9,0),"")</f>
        <v/>
      </c>
      <c r="AA2370" s="59" t="str">
        <f>IFERROR(VLOOKUP(AA$13&amp;$B2374,Aux!$B:$M,5,0),"")</f>
        <v/>
      </c>
      <c r="AB2370" s="60" t="str">
        <f>IFERROR(VLOOKUP(AA$13&amp;$B2370,Aux!$B:$M,3,0),"")</f>
        <v/>
      </c>
      <c r="AC2370" s="60"/>
      <c r="AD2370" s="60"/>
      <c r="AE2370" s="61" t="str">
        <f>IFERROR(VLOOKUP(AA$13&amp;$B2370,Aux!$B:$M,9,0),"")</f>
        <v/>
      </c>
    </row>
    <row r="2371" spans="2:31" x14ac:dyDescent="0.25">
      <c r="B2371" s="53">
        <f t="shared" si="36"/>
        <v>472</v>
      </c>
      <c r="C2371" s="59"/>
      <c r="D2371" s="60"/>
      <c r="E2371" s="60"/>
      <c r="F2371" s="60"/>
      <c r="G2371" s="61"/>
      <c r="K2371" s="59"/>
      <c r="L2371" s="60"/>
      <c r="M2371" s="60"/>
      <c r="N2371" s="60"/>
      <c r="O2371" s="61"/>
      <c r="S2371" s="59"/>
      <c r="T2371" s="60"/>
      <c r="U2371" s="60"/>
      <c r="V2371" s="60"/>
      <c r="W2371" s="61"/>
      <c r="AA2371" s="59"/>
      <c r="AB2371" s="60"/>
      <c r="AC2371" s="60"/>
      <c r="AD2371" s="60"/>
      <c r="AE2371" s="61"/>
    </row>
    <row r="2372" spans="2:31" x14ac:dyDescent="0.25">
      <c r="B2372" s="53">
        <f t="shared" si="36"/>
        <v>472</v>
      </c>
      <c r="C2372" s="59"/>
      <c r="D2372" s="15" t="str">
        <f>IF(D2370="","","Исполнитель"&amp;": ")</f>
        <v/>
      </c>
      <c r="E2372" s="62" t="str">
        <f>IFERROR(VLOOKUP(C$13&amp;$B2372,Aux!$B:$M,4,0),"")</f>
        <v/>
      </c>
      <c r="F2372" s="62"/>
      <c r="G2372" s="63" t="str">
        <f>IFERROR(IF(VLOOKUP(C$13&amp;$B2370,Aux!$B:$M,8,0)="Да","✔","🕓"),"")</f>
        <v/>
      </c>
      <c r="K2372" s="59"/>
      <c r="L2372" s="15" t="str">
        <f>IF(L2370="","","Исполнитель"&amp;": ")</f>
        <v/>
      </c>
      <c r="M2372" s="62" t="str">
        <f>IFERROR(VLOOKUP(K$13&amp;$B2372,Aux!$B:$M,4,0),"")</f>
        <v/>
      </c>
      <c r="N2372" s="62"/>
      <c r="O2372" s="63" t="str">
        <f>IFERROR(IF(VLOOKUP(K$13&amp;$B2370,Aux!$B:$M,8,0)="Да","✔","🕓"),"")</f>
        <v/>
      </c>
      <c r="S2372" s="59"/>
      <c r="T2372" s="15" t="str">
        <f>IF(T2370="","","Исполнитель"&amp;": ")</f>
        <v/>
      </c>
      <c r="U2372" s="62" t="str">
        <f>IFERROR(VLOOKUP(S$13&amp;$B2372,Aux!$B:$M,4,0),"")</f>
        <v/>
      </c>
      <c r="V2372" s="62"/>
      <c r="W2372" s="63" t="str">
        <f>IFERROR(IF(VLOOKUP(S$13&amp;$B2370,Aux!$B:$M,8,0)="Да","✔","🕓"),"")</f>
        <v/>
      </c>
      <c r="AA2372" s="59"/>
      <c r="AB2372" s="15" t="str">
        <f>IF(AB2370="","","Исполнитель"&amp;": ")</f>
        <v/>
      </c>
      <c r="AC2372" s="62" t="str">
        <f>IFERROR(VLOOKUP(AA$13&amp;$B2372,Aux!$B:$M,4,0),"")</f>
        <v/>
      </c>
      <c r="AD2372" s="62"/>
      <c r="AE2372" s="63" t="str">
        <f>IFERROR(IF(VLOOKUP(AA$13&amp;$B2370,Aux!$B:$M,8,0)="Да","✔","🕓"),"")</f>
        <v/>
      </c>
    </row>
    <row r="2373" spans="2:31" x14ac:dyDescent="0.25">
      <c r="B2373" s="53">
        <f t="shared" si="36"/>
        <v>472</v>
      </c>
      <c r="C2373" s="59"/>
      <c r="D2373" s="16" t="str">
        <f>IF(D2370="","","Срок сдачи"&amp;": ")</f>
        <v/>
      </c>
      <c r="E2373" s="64" t="str">
        <f>IFERROR(VLOOKUP(C$13&amp;$B2373,Aux!$B:$M,6,0),"")</f>
        <v/>
      </c>
      <c r="F2373" s="64"/>
      <c r="G2373" s="63"/>
      <c r="K2373" s="59"/>
      <c r="L2373" s="16" t="str">
        <f>IF(L2370="","","Срок сдачи"&amp;": ")</f>
        <v/>
      </c>
      <c r="M2373" s="64" t="str">
        <f>IFERROR(VLOOKUP(K$13&amp;$B2373,Aux!$B:$M,6,0),"")</f>
        <v/>
      </c>
      <c r="N2373" s="64"/>
      <c r="O2373" s="63"/>
      <c r="S2373" s="59"/>
      <c r="T2373" s="16" t="str">
        <f>IF(T2370="","","Срок сдачи"&amp;": ")</f>
        <v/>
      </c>
      <c r="U2373" s="64" t="str">
        <f>IFERROR(VLOOKUP(S$13&amp;$B2373,Aux!$B:$M,6,0),"")</f>
        <v/>
      </c>
      <c r="V2373" s="64"/>
      <c r="W2373" s="63"/>
      <c r="AA2373" s="59"/>
      <c r="AB2373" s="16" t="str">
        <f>IF(AB2370="","","Срок сдачи"&amp;": ")</f>
        <v/>
      </c>
      <c r="AC2373" s="64" t="str">
        <f>IFERROR(VLOOKUP(AA$13&amp;$B2373,Aux!$B:$M,6,0),"")</f>
        <v/>
      </c>
      <c r="AD2373" s="64"/>
      <c r="AE2373" s="63"/>
    </row>
    <row r="2374" spans="2:31" x14ac:dyDescent="0.25">
      <c r="B2374" s="53">
        <f t="shared" si="36"/>
        <v>472</v>
      </c>
      <c r="C2374" s="7"/>
      <c r="D2374" s="17"/>
      <c r="E2374" s="7"/>
      <c r="F2374" s="18"/>
      <c r="G2374" s="18"/>
      <c r="K2374" s="13"/>
      <c r="L2374" s="17"/>
      <c r="M2374" s="13"/>
      <c r="N2374" s="14"/>
      <c r="O2374" s="14"/>
      <c r="S2374" s="13"/>
      <c r="T2374" s="17"/>
      <c r="U2374" s="13"/>
      <c r="V2374" s="14"/>
      <c r="W2374" s="14"/>
      <c r="AA2374" s="13"/>
      <c r="AB2374" s="17"/>
      <c r="AC2374" s="13"/>
      <c r="AD2374" s="14"/>
      <c r="AE2374" s="30"/>
    </row>
    <row r="2375" spans="2:31" x14ac:dyDescent="0.25">
      <c r="B2375" s="53">
        <f t="shared" si="36"/>
        <v>473</v>
      </c>
      <c r="C2375" s="59" t="str">
        <f>IFERROR(VLOOKUP(C$13&amp;$B2379,Aux!$B:$M,5,0),"")</f>
        <v/>
      </c>
      <c r="D2375" s="60" t="str">
        <f>IFERROR(VLOOKUP(C$13&amp;$B2375,Aux!$B:$M,3,0),"")</f>
        <v/>
      </c>
      <c r="E2375" s="60"/>
      <c r="F2375" s="60"/>
      <c r="G2375" s="61" t="str">
        <f>IFERROR(VLOOKUP(C$13&amp;$B2375,Aux!$B:$M,9,0),"")</f>
        <v/>
      </c>
      <c r="K2375" s="59" t="str">
        <f>IFERROR(VLOOKUP(K$13&amp;$B2379,Aux!$B:$M,5,0),"")</f>
        <v/>
      </c>
      <c r="L2375" s="60" t="str">
        <f>IFERROR(VLOOKUP(K$13&amp;$B2375,Aux!$B:$M,3,0),"")</f>
        <v/>
      </c>
      <c r="M2375" s="60"/>
      <c r="N2375" s="60"/>
      <c r="O2375" s="61" t="str">
        <f>IFERROR(VLOOKUP(K$13&amp;$B2375,Aux!$B:$M,9,0),"")</f>
        <v/>
      </c>
      <c r="S2375" s="59" t="str">
        <f>IFERROR(VLOOKUP(S$13&amp;$B2379,Aux!$B:$M,5,0),"")</f>
        <v/>
      </c>
      <c r="T2375" s="60" t="str">
        <f>IFERROR(VLOOKUP(S$13&amp;$B2375,Aux!$B:$M,3,0),"")</f>
        <v/>
      </c>
      <c r="U2375" s="60"/>
      <c r="V2375" s="60"/>
      <c r="W2375" s="61" t="str">
        <f>IFERROR(VLOOKUP(S$13&amp;$B2375,Aux!$B:$M,9,0),"")</f>
        <v/>
      </c>
      <c r="AA2375" s="59" t="str">
        <f>IFERROR(VLOOKUP(AA$13&amp;$B2379,Aux!$B:$M,5,0),"")</f>
        <v/>
      </c>
      <c r="AB2375" s="60" t="str">
        <f>IFERROR(VLOOKUP(AA$13&amp;$B2375,Aux!$B:$M,3,0),"")</f>
        <v/>
      </c>
      <c r="AC2375" s="60"/>
      <c r="AD2375" s="60"/>
      <c r="AE2375" s="61" t="str">
        <f>IFERROR(VLOOKUP(AA$13&amp;$B2375,Aux!$B:$M,9,0),"")</f>
        <v/>
      </c>
    </row>
    <row r="2376" spans="2:31" x14ac:dyDescent="0.25">
      <c r="B2376" s="53">
        <f t="shared" si="36"/>
        <v>473</v>
      </c>
      <c r="C2376" s="59"/>
      <c r="D2376" s="60"/>
      <c r="E2376" s="60"/>
      <c r="F2376" s="60"/>
      <c r="G2376" s="61"/>
      <c r="K2376" s="59"/>
      <c r="L2376" s="60"/>
      <c r="M2376" s="60"/>
      <c r="N2376" s="60"/>
      <c r="O2376" s="61"/>
      <c r="S2376" s="59"/>
      <c r="T2376" s="60"/>
      <c r="U2376" s="60"/>
      <c r="V2376" s="60"/>
      <c r="W2376" s="61"/>
      <c r="AA2376" s="59"/>
      <c r="AB2376" s="60"/>
      <c r="AC2376" s="60"/>
      <c r="AD2376" s="60"/>
      <c r="AE2376" s="61"/>
    </row>
    <row r="2377" spans="2:31" x14ac:dyDescent="0.25">
      <c r="B2377" s="53">
        <f t="shared" si="36"/>
        <v>473</v>
      </c>
      <c r="C2377" s="59"/>
      <c r="D2377" s="15" t="str">
        <f>IF(D2375="","","Исполнитель"&amp;": ")</f>
        <v/>
      </c>
      <c r="E2377" s="62" t="str">
        <f>IFERROR(VLOOKUP(C$13&amp;$B2377,Aux!$B:$M,4,0),"")</f>
        <v/>
      </c>
      <c r="F2377" s="62"/>
      <c r="G2377" s="63" t="str">
        <f>IFERROR(IF(VLOOKUP(C$13&amp;$B2375,Aux!$B:$M,8,0)="Да","✔","🕓"),"")</f>
        <v/>
      </c>
      <c r="K2377" s="59"/>
      <c r="L2377" s="15" t="str">
        <f>IF(L2375="","","Исполнитель"&amp;": ")</f>
        <v/>
      </c>
      <c r="M2377" s="62" t="str">
        <f>IFERROR(VLOOKUP(K$13&amp;$B2377,Aux!$B:$M,4,0),"")</f>
        <v/>
      </c>
      <c r="N2377" s="62"/>
      <c r="O2377" s="63" t="str">
        <f>IFERROR(IF(VLOOKUP(K$13&amp;$B2375,Aux!$B:$M,8,0)="Да","✔","🕓"),"")</f>
        <v/>
      </c>
      <c r="S2377" s="59"/>
      <c r="T2377" s="15" t="str">
        <f>IF(T2375="","","Исполнитель"&amp;": ")</f>
        <v/>
      </c>
      <c r="U2377" s="62" t="str">
        <f>IFERROR(VLOOKUP(S$13&amp;$B2377,Aux!$B:$M,4,0),"")</f>
        <v/>
      </c>
      <c r="V2377" s="62"/>
      <c r="W2377" s="63" t="str">
        <f>IFERROR(IF(VLOOKUP(S$13&amp;$B2375,Aux!$B:$M,8,0)="Да","✔","🕓"),"")</f>
        <v/>
      </c>
      <c r="AA2377" s="59"/>
      <c r="AB2377" s="15" t="str">
        <f>IF(AB2375="","","Исполнитель"&amp;": ")</f>
        <v/>
      </c>
      <c r="AC2377" s="62" t="str">
        <f>IFERROR(VLOOKUP(AA$13&amp;$B2377,Aux!$B:$M,4,0),"")</f>
        <v/>
      </c>
      <c r="AD2377" s="62"/>
      <c r="AE2377" s="63" t="str">
        <f>IFERROR(IF(VLOOKUP(AA$13&amp;$B2375,Aux!$B:$M,8,0)="Да","✔","🕓"),"")</f>
        <v/>
      </c>
    </row>
    <row r="2378" spans="2:31" x14ac:dyDescent="0.25">
      <c r="B2378" s="53">
        <f t="shared" si="36"/>
        <v>473</v>
      </c>
      <c r="C2378" s="59"/>
      <c r="D2378" s="16" t="str">
        <f>IF(D2375="","","Срок сдачи"&amp;": ")</f>
        <v/>
      </c>
      <c r="E2378" s="64" t="str">
        <f>IFERROR(VLOOKUP(C$13&amp;$B2378,Aux!$B:$M,6,0),"")</f>
        <v/>
      </c>
      <c r="F2378" s="64"/>
      <c r="G2378" s="63"/>
      <c r="K2378" s="59"/>
      <c r="L2378" s="16" t="str">
        <f>IF(L2375="","","Срок сдачи"&amp;": ")</f>
        <v/>
      </c>
      <c r="M2378" s="64" t="str">
        <f>IFERROR(VLOOKUP(K$13&amp;$B2378,Aux!$B:$M,6,0),"")</f>
        <v/>
      </c>
      <c r="N2378" s="64"/>
      <c r="O2378" s="63"/>
      <c r="S2378" s="59"/>
      <c r="T2378" s="16" t="str">
        <f>IF(T2375="","","Срок сдачи"&amp;": ")</f>
        <v/>
      </c>
      <c r="U2378" s="64" t="str">
        <f>IFERROR(VLOOKUP(S$13&amp;$B2378,Aux!$B:$M,6,0),"")</f>
        <v/>
      </c>
      <c r="V2378" s="64"/>
      <c r="W2378" s="63"/>
      <c r="AA2378" s="59"/>
      <c r="AB2378" s="16" t="str">
        <f>IF(AB2375="","","Срок сдачи"&amp;": ")</f>
        <v/>
      </c>
      <c r="AC2378" s="64" t="str">
        <f>IFERROR(VLOOKUP(AA$13&amp;$B2378,Aux!$B:$M,6,0),"")</f>
        <v/>
      </c>
      <c r="AD2378" s="64"/>
      <c r="AE2378" s="63"/>
    </row>
    <row r="2379" spans="2:31" x14ac:dyDescent="0.25">
      <c r="B2379" s="53">
        <f t="shared" si="36"/>
        <v>473</v>
      </c>
      <c r="C2379" s="7"/>
      <c r="D2379" s="17"/>
      <c r="E2379" s="7"/>
      <c r="F2379" s="18"/>
      <c r="G2379" s="18"/>
      <c r="K2379" s="13"/>
      <c r="L2379" s="17"/>
      <c r="M2379" s="13"/>
      <c r="N2379" s="14"/>
      <c r="O2379" s="14"/>
      <c r="S2379" s="13"/>
      <c r="T2379" s="17"/>
      <c r="U2379" s="13"/>
      <c r="V2379" s="14"/>
      <c r="W2379" s="14"/>
      <c r="AA2379" s="13"/>
      <c r="AB2379" s="17"/>
      <c r="AC2379" s="13"/>
      <c r="AD2379" s="14"/>
      <c r="AE2379" s="30"/>
    </row>
    <row r="2380" spans="2:31" x14ac:dyDescent="0.25">
      <c r="B2380" s="53">
        <f t="shared" si="36"/>
        <v>474</v>
      </c>
      <c r="C2380" s="59" t="str">
        <f>IFERROR(VLOOKUP(C$13&amp;$B2384,Aux!$B:$M,5,0),"")</f>
        <v/>
      </c>
      <c r="D2380" s="60" t="str">
        <f>IFERROR(VLOOKUP(C$13&amp;$B2380,Aux!$B:$M,3,0),"")</f>
        <v/>
      </c>
      <c r="E2380" s="60"/>
      <c r="F2380" s="60"/>
      <c r="G2380" s="61" t="str">
        <f>IFERROR(VLOOKUP(C$13&amp;$B2380,Aux!$B:$M,9,0),"")</f>
        <v/>
      </c>
      <c r="K2380" s="59" t="str">
        <f>IFERROR(VLOOKUP(K$13&amp;$B2384,Aux!$B:$M,5,0),"")</f>
        <v/>
      </c>
      <c r="L2380" s="60" t="str">
        <f>IFERROR(VLOOKUP(K$13&amp;$B2380,Aux!$B:$M,3,0),"")</f>
        <v/>
      </c>
      <c r="M2380" s="60"/>
      <c r="N2380" s="60"/>
      <c r="O2380" s="61" t="str">
        <f>IFERROR(VLOOKUP(K$13&amp;$B2380,Aux!$B:$M,9,0),"")</f>
        <v/>
      </c>
      <c r="S2380" s="59" t="str">
        <f>IFERROR(VLOOKUP(S$13&amp;$B2384,Aux!$B:$M,5,0),"")</f>
        <v/>
      </c>
      <c r="T2380" s="60" t="str">
        <f>IFERROR(VLOOKUP(S$13&amp;$B2380,Aux!$B:$M,3,0),"")</f>
        <v/>
      </c>
      <c r="U2380" s="60"/>
      <c r="V2380" s="60"/>
      <c r="W2380" s="61" t="str">
        <f>IFERROR(VLOOKUP(S$13&amp;$B2380,Aux!$B:$M,9,0),"")</f>
        <v/>
      </c>
      <c r="AA2380" s="59" t="str">
        <f>IFERROR(VLOOKUP(AA$13&amp;$B2384,Aux!$B:$M,5,0),"")</f>
        <v/>
      </c>
      <c r="AB2380" s="60" t="str">
        <f>IFERROR(VLOOKUP(AA$13&amp;$B2380,Aux!$B:$M,3,0),"")</f>
        <v/>
      </c>
      <c r="AC2380" s="60"/>
      <c r="AD2380" s="60"/>
      <c r="AE2380" s="61" t="str">
        <f>IFERROR(VLOOKUP(AA$13&amp;$B2380,Aux!$B:$M,9,0),"")</f>
        <v/>
      </c>
    </row>
    <row r="2381" spans="2:31" x14ac:dyDescent="0.25">
      <c r="B2381" s="53">
        <f t="shared" si="36"/>
        <v>474</v>
      </c>
      <c r="C2381" s="59"/>
      <c r="D2381" s="60"/>
      <c r="E2381" s="60"/>
      <c r="F2381" s="60"/>
      <c r="G2381" s="61"/>
      <c r="K2381" s="59"/>
      <c r="L2381" s="60"/>
      <c r="M2381" s="60"/>
      <c r="N2381" s="60"/>
      <c r="O2381" s="61"/>
      <c r="S2381" s="59"/>
      <c r="T2381" s="60"/>
      <c r="U2381" s="60"/>
      <c r="V2381" s="60"/>
      <c r="W2381" s="61"/>
      <c r="AA2381" s="59"/>
      <c r="AB2381" s="60"/>
      <c r="AC2381" s="60"/>
      <c r="AD2381" s="60"/>
      <c r="AE2381" s="61"/>
    </row>
    <row r="2382" spans="2:31" x14ac:dyDescent="0.25">
      <c r="B2382" s="53">
        <f t="shared" si="36"/>
        <v>474</v>
      </c>
      <c r="C2382" s="59"/>
      <c r="D2382" s="15" t="str">
        <f>IF(D2380="","","Исполнитель"&amp;": ")</f>
        <v/>
      </c>
      <c r="E2382" s="62" t="str">
        <f>IFERROR(VLOOKUP(C$13&amp;$B2382,Aux!$B:$M,4,0),"")</f>
        <v/>
      </c>
      <c r="F2382" s="62"/>
      <c r="G2382" s="63" t="str">
        <f>IFERROR(IF(VLOOKUP(C$13&amp;$B2380,Aux!$B:$M,8,0)="Да","✔","🕓"),"")</f>
        <v/>
      </c>
      <c r="K2382" s="59"/>
      <c r="L2382" s="15" t="str">
        <f>IF(L2380="","","Исполнитель"&amp;": ")</f>
        <v/>
      </c>
      <c r="M2382" s="62" t="str">
        <f>IFERROR(VLOOKUP(K$13&amp;$B2382,Aux!$B:$M,4,0),"")</f>
        <v/>
      </c>
      <c r="N2382" s="62"/>
      <c r="O2382" s="63" t="str">
        <f>IFERROR(IF(VLOOKUP(K$13&amp;$B2380,Aux!$B:$M,8,0)="Да","✔","🕓"),"")</f>
        <v/>
      </c>
      <c r="S2382" s="59"/>
      <c r="T2382" s="15" t="str">
        <f>IF(T2380="","","Исполнитель"&amp;": ")</f>
        <v/>
      </c>
      <c r="U2382" s="62" t="str">
        <f>IFERROR(VLOOKUP(S$13&amp;$B2382,Aux!$B:$M,4,0),"")</f>
        <v/>
      </c>
      <c r="V2382" s="62"/>
      <c r="W2382" s="63" t="str">
        <f>IFERROR(IF(VLOOKUP(S$13&amp;$B2380,Aux!$B:$M,8,0)="Да","✔","🕓"),"")</f>
        <v/>
      </c>
      <c r="AA2382" s="59"/>
      <c r="AB2382" s="15" t="str">
        <f>IF(AB2380="","","Исполнитель"&amp;": ")</f>
        <v/>
      </c>
      <c r="AC2382" s="62" t="str">
        <f>IFERROR(VLOOKUP(AA$13&amp;$B2382,Aux!$B:$M,4,0),"")</f>
        <v/>
      </c>
      <c r="AD2382" s="62"/>
      <c r="AE2382" s="63" t="str">
        <f>IFERROR(IF(VLOOKUP(AA$13&amp;$B2380,Aux!$B:$M,8,0)="Да","✔","🕓"),"")</f>
        <v/>
      </c>
    </row>
    <row r="2383" spans="2:31" x14ac:dyDescent="0.25">
      <c r="B2383" s="53">
        <f t="shared" si="36"/>
        <v>474</v>
      </c>
      <c r="C2383" s="59"/>
      <c r="D2383" s="16" t="str">
        <f>IF(D2380="","","Срок сдачи"&amp;": ")</f>
        <v/>
      </c>
      <c r="E2383" s="64" t="str">
        <f>IFERROR(VLOOKUP(C$13&amp;$B2383,Aux!$B:$M,6,0),"")</f>
        <v/>
      </c>
      <c r="F2383" s="64"/>
      <c r="G2383" s="63"/>
      <c r="K2383" s="59"/>
      <c r="L2383" s="16" t="str">
        <f>IF(L2380="","","Срок сдачи"&amp;": ")</f>
        <v/>
      </c>
      <c r="M2383" s="64" t="str">
        <f>IFERROR(VLOOKUP(K$13&amp;$B2383,Aux!$B:$M,6,0),"")</f>
        <v/>
      </c>
      <c r="N2383" s="64"/>
      <c r="O2383" s="63"/>
      <c r="S2383" s="59"/>
      <c r="T2383" s="16" t="str">
        <f>IF(T2380="","","Срок сдачи"&amp;": ")</f>
        <v/>
      </c>
      <c r="U2383" s="64" t="str">
        <f>IFERROR(VLOOKUP(S$13&amp;$B2383,Aux!$B:$M,6,0),"")</f>
        <v/>
      </c>
      <c r="V2383" s="64"/>
      <c r="W2383" s="63"/>
      <c r="AA2383" s="59"/>
      <c r="AB2383" s="16" t="str">
        <f>IF(AB2380="","","Срок сдачи"&amp;": ")</f>
        <v/>
      </c>
      <c r="AC2383" s="64" t="str">
        <f>IFERROR(VLOOKUP(AA$13&amp;$B2383,Aux!$B:$M,6,0),"")</f>
        <v/>
      </c>
      <c r="AD2383" s="64"/>
      <c r="AE2383" s="63"/>
    </row>
    <row r="2384" spans="2:31" x14ac:dyDescent="0.25">
      <c r="B2384" s="53">
        <f t="shared" si="36"/>
        <v>474</v>
      </c>
      <c r="C2384" s="7"/>
      <c r="D2384" s="17"/>
      <c r="E2384" s="7"/>
      <c r="F2384" s="18"/>
      <c r="G2384" s="18"/>
      <c r="K2384" s="13"/>
      <c r="L2384" s="17"/>
      <c r="M2384" s="13"/>
      <c r="N2384" s="14"/>
      <c r="O2384" s="14"/>
      <c r="S2384" s="13"/>
      <c r="T2384" s="17"/>
      <c r="U2384" s="13"/>
      <c r="V2384" s="14"/>
      <c r="W2384" s="14"/>
      <c r="AA2384" s="13"/>
      <c r="AB2384" s="17"/>
      <c r="AC2384" s="13"/>
      <c r="AD2384" s="14"/>
      <c r="AE2384" s="30"/>
    </row>
    <row r="2385" spans="2:31" x14ac:dyDescent="0.25">
      <c r="B2385" s="53">
        <f t="shared" si="36"/>
        <v>475</v>
      </c>
      <c r="C2385" s="59" t="str">
        <f>IFERROR(VLOOKUP(C$13&amp;$B2389,Aux!$B:$M,5,0),"")</f>
        <v/>
      </c>
      <c r="D2385" s="60" t="str">
        <f>IFERROR(VLOOKUP(C$13&amp;$B2385,Aux!$B:$M,3,0),"")</f>
        <v/>
      </c>
      <c r="E2385" s="60"/>
      <c r="F2385" s="60"/>
      <c r="G2385" s="61" t="str">
        <f>IFERROR(VLOOKUP(C$13&amp;$B2385,Aux!$B:$M,9,0),"")</f>
        <v/>
      </c>
      <c r="K2385" s="59" t="str">
        <f>IFERROR(VLOOKUP(K$13&amp;$B2389,Aux!$B:$M,5,0),"")</f>
        <v/>
      </c>
      <c r="L2385" s="60" t="str">
        <f>IFERROR(VLOOKUP(K$13&amp;$B2385,Aux!$B:$M,3,0),"")</f>
        <v/>
      </c>
      <c r="M2385" s="60"/>
      <c r="N2385" s="60"/>
      <c r="O2385" s="61" t="str">
        <f>IFERROR(VLOOKUP(K$13&amp;$B2385,Aux!$B:$M,9,0),"")</f>
        <v/>
      </c>
      <c r="S2385" s="59" t="str">
        <f>IFERROR(VLOOKUP(S$13&amp;$B2389,Aux!$B:$M,5,0),"")</f>
        <v/>
      </c>
      <c r="T2385" s="60" t="str">
        <f>IFERROR(VLOOKUP(S$13&amp;$B2385,Aux!$B:$M,3,0),"")</f>
        <v/>
      </c>
      <c r="U2385" s="60"/>
      <c r="V2385" s="60"/>
      <c r="W2385" s="61" t="str">
        <f>IFERROR(VLOOKUP(S$13&amp;$B2385,Aux!$B:$M,9,0),"")</f>
        <v/>
      </c>
      <c r="AA2385" s="59" t="str">
        <f>IFERROR(VLOOKUP(AA$13&amp;$B2389,Aux!$B:$M,5,0),"")</f>
        <v/>
      </c>
      <c r="AB2385" s="60" t="str">
        <f>IFERROR(VLOOKUP(AA$13&amp;$B2385,Aux!$B:$M,3,0),"")</f>
        <v/>
      </c>
      <c r="AC2385" s="60"/>
      <c r="AD2385" s="60"/>
      <c r="AE2385" s="61" t="str">
        <f>IFERROR(VLOOKUP(AA$13&amp;$B2385,Aux!$B:$M,9,0),"")</f>
        <v/>
      </c>
    </row>
    <row r="2386" spans="2:31" x14ac:dyDescent="0.25">
      <c r="B2386" s="53">
        <f t="shared" si="36"/>
        <v>475</v>
      </c>
      <c r="C2386" s="59"/>
      <c r="D2386" s="60"/>
      <c r="E2386" s="60"/>
      <c r="F2386" s="60"/>
      <c r="G2386" s="61"/>
      <c r="K2386" s="59"/>
      <c r="L2386" s="60"/>
      <c r="M2386" s="60"/>
      <c r="N2386" s="60"/>
      <c r="O2386" s="61"/>
      <c r="S2386" s="59"/>
      <c r="T2386" s="60"/>
      <c r="U2386" s="60"/>
      <c r="V2386" s="60"/>
      <c r="W2386" s="61"/>
      <c r="AA2386" s="59"/>
      <c r="AB2386" s="60"/>
      <c r="AC2386" s="60"/>
      <c r="AD2386" s="60"/>
      <c r="AE2386" s="61"/>
    </row>
    <row r="2387" spans="2:31" x14ac:dyDescent="0.25">
      <c r="B2387" s="53">
        <f t="shared" si="36"/>
        <v>475</v>
      </c>
      <c r="C2387" s="59"/>
      <c r="D2387" s="15" t="str">
        <f>IF(D2385="","","Исполнитель"&amp;": ")</f>
        <v/>
      </c>
      <c r="E2387" s="62" t="str">
        <f>IFERROR(VLOOKUP(C$13&amp;$B2387,Aux!$B:$M,4,0),"")</f>
        <v/>
      </c>
      <c r="F2387" s="62"/>
      <c r="G2387" s="63" t="str">
        <f>IFERROR(IF(VLOOKUP(C$13&amp;$B2385,Aux!$B:$M,8,0)="Да","✔","🕓"),"")</f>
        <v/>
      </c>
      <c r="K2387" s="59"/>
      <c r="L2387" s="15" t="str">
        <f>IF(L2385="","","Исполнитель"&amp;": ")</f>
        <v/>
      </c>
      <c r="M2387" s="62" t="str">
        <f>IFERROR(VLOOKUP(K$13&amp;$B2387,Aux!$B:$M,4,0),"")</f>
        <v/>
      </c>
      <c r="N2387" s="62"/>
      <c r="O2387" s="63" t="str">
        <f>IFERROR(IF(VLOOKUP(K$13&amp;$B2385,Aux!$B:$M,8,0)="Да","✔","🕓"),"")</f>
        <v/>
      </c>
      <c r="S2387" s="59"/>
      <c r="T2387" s="15" t="str">
        <f>IF(T2385="","","Исполнитель"&amp;": ")</f>
        <v/>
      </c>
      <c r="U2387" s="62" t="str">
        <f>IFERROR(VLOOKUP(S$13&amp;$B2387,Aux!$B:$M,4,0),"")</f>
        <v/>
      </c>
      <c r="V2387" s="62"/>
      <c r="W2387" s="63" t="str">
        <f>IFERROR(IF(VLOOKUP(S$13&amp;$B2385,Aux!$B:$M,8,0)="Да","✔","🕓"),"")</f>
        <v/>
      </c>
      <c r="AA2387" s="59"/>
      <c r="AB2387" s="15" t="str">
        <f>IF(AB2385="","","Исполнитель"&amp;": ")</f>
        <v/>
      </c>
      <c r="AC2387" s="62" t="str">
        <f>IFERROR(VLOOKUP(AA$13&amp;$B2387,Aux!$B:$M,4,0),"")</f>
        <v/>
      </c>
      <c r="AD2387" s="62"/>
      <c r="AE2387" s="63" t="str">
        <f>IFERROR(IF(VLOOKUP(AA$13&amp;$B2385,Aux!$B:$M,8,0)="Да","✔","🕓"),"")</f>
        <v/>
      </c>
    </row>
    <row r="2388" spans="2:31" x14ac:dyDescent="0.25">
      <c r="B2388" s="53">
        <f t="shared" si="36"/>
        <v>475</v>
      </c>
      <c r="C2388" s="59"/>
      <c r="D2388" s="16" t="str">
        <f>IF(D2385="","","Срок сдачи"&amp;": ")</f>
        <v/>
      </c>
      <c r="E2388" s="64" t="str">
        <f>IFERROR(VLOOKUP(C$13&amp;$B2388,Aux!$B:$M,6,0),"")</f>
        <v/>
      </c>
      <c r="F2388" s="64"/>
      <c r="G2388" s="63"/>
      <c r="K2388" s="59"/>
      <c r="L2388" s="16" t="str">
        <f>IF(L2385="","","Срок сдачи"&amp;": ")</f>
        <v/>
      </c>
      <c r="M2388" s="64" t="str">
        <f>IFERROR(VLOOKUP(K$13&amp;$B2388,Aux!$B:$M,6,0),"")</f>
        <v/>
      </c>
      <c r="N2388" s="64"/>
      <c r="O2388" s="63"/>
      <c r="S2388" s="59"/>
      <c r="T2388" s="16" t="str">
        <f>IF(T2385="","","Срок сдачи"&amp;": ")</f>
        <v/>
      </c>
      <c r="U2388" s="64" t="str">
        <f>IFERROR(VLOOKUP(S$13&amp;$B2388,Aux!$B:$M,6,0),"")</f>
        <v/>
      </c>
      <c r="V2388" s="64"/>
      <c r="W2388" s="63"/>
      <c r="AA2388" s="59"/>
      <c r="AB2388" s="16" t="str">
        <f>IF(AB2385="","","Срок сдачи"&amp;": ")</f>
        <v/>
      </c>
      <c r="AC2388" s="64" t="str">
        <f>IFERROR(VLOOKUP(AA$13&amp;$B2388,Aux!$B:$M,6,0),"")</f>
        <v/>
      </c>
      <c r="AD2388" s="64"/>
      <c r="AE2388" s="63"/>
    </row>
    <row r="2389" spans="2:31" x14ac:dyDescent="0.25">
      <c r="B2389" s="53">
        <f t="shared" ref="B2389:B2452" si="37">B2384+1</f>
        <v>475</v>
      </c>
      <c r="C2389" s="7"/>
      <c r="D2389" s="17"/>
      <c r="E2389" s="7"/>
      <c r="F2389" s="18"/>
      <c r="G2389" s="18"/>
      <c r="K2389" s="13"/>
      <c r="L2389" s="17"/>
      <c r="M2389" s="13"/>
      <c r="N2389" s="14"/>
      <c r="O2389" s="14"/>
      <c r="S2389" s="13"/>
      <c r="T2389" s="17"/>
      <c r="U2389" s="13"/>
      <c r="V2389" s="14"/>
      <c r="W2389" s="14"/>
      <c r="AA2389" s="13"/>
      <c r="AB2389" s="17"/>
      <c r="AC2389" s="13"/>
      <c r="AD2389" s="14"/>
      <c r="AE2389" s="30"/>
    </row>
    <row r="2390" spans="2:31" x14ac:dyDescent="0.25">
      <c r="B2390" s="53">
        <f t="shared" si="37"/>
        <v>476</v>
      </c>
      <c r="C2390" s="59" t="str">
        <f>IFERROR(VLOOKUP(C$13&amp;$B2394,Aux!$B:$M,5,0),"")</f>
        <v/>
      </c>
      <c r="D2390" s="60" t="str">
        <f>IFERROR(VLOOKUP(C$13&amp;$B2390,Aux!$B:$M,3,0),"")</f>
        <v/>
      </c>
      <c r="E2390" s="60"/>
      <c r="F2390" s="60"/>
      <c r="G2390" s="61" t="str">
        <f>IFERROR(VLOOKUP(C$13&amp;$B2390,Aux!$B:$M,9,0),"")</f>
        <v/>
      </c>
      <c r="K2390" s="59" t="str">
        <f>IFERROR(VLOOKUP(K$13&amp;$B2394,Aux!$B:$M,5,0),"")</f>
        <v/>
      </c>
      <c r="L2390" s="60" t="str">
        <f>IFERROR(VLOOKUP(K$13&amp;$B2390,Aux!$B:$M,3,0),"")</f>
        <v/>
      </c>
      <c r="M2390" s="60"/>
      <c r="N2390" s="60"/>
      <c r="O2390" s="61" t="str">
        <f>IFERROR(VLOOKUP(K$13&amp;$B2390,Aux!$B:$M,9,0),"")</f>
        <v/>
      </c>
      <c r="S2390" s="59" t="str">
        <f>IFERROR(VLOOKUP(S$13&amp;$B2394,Aux!$B:$M,5,0),"")</f>
        <v/>
      </c>
      <c r="T2390" s="60" t="str">
        <f>IFERROR(VLOOKUP(S$13&amp;$B2390,Aux!$B:$M,3,0),"")</f>
        <v/>
      </c>
      <c r="U2390" s="60"/>
      <c r="V2390" s="60"/>
      <c r="W2390" s="61" t="str">
        <f>IFERROR(VLOOKUP(S$13&amp;$B2390,Aux!$B:$M,9,0),"")</f>
        <v/>
      </c>
      <c r="AA2390" s="59" t="str">
        <f>IFERROR(VLOOKUP(AA$13&amp;$B2394,Aux!$B:$M,5,0),"")</f>
        <v/>
      </c>
      <c r="AB2390" s="60" t="str">
        <f>IFERROR(VLOOKUP(AA$13&amp;$B2390,Aux!$B:$M,3,0),"")</f>
        <v/>
      </c>
      <c r="AC2390" s="60"/>
      <c r="AD2390" s="60"/>
      <c r="AE2390" s="61" t="str">
        <f>IFERROR(VLOOKUP(AA$13&amp;$B2390,Aux!$B:$M,9,0),"")</f>
        <v/>
      </c>
    </row>
    <row r="2391" spans="2:31" x14ac:dyDescent="0.25">
      <c r="B2391" s="53">
        <f t="shared" si="37"/>
        <v>476</v>
      </c>
      <c r="C2391" s="59"/>
      <c r="D2391" s="60"/>
      <c r="E2391" s="60"/>
      <c r="F2391" s="60"/>
      <c r="G2391" s="61"/>
      <c r="K2391" s="59"/>
      <c r="L2391" s="60"/>
      <c r="M2391" s="60"/>
      <c r="N2391" s="60"/>
      <c r="O2391" s="61"/>
      <c r="S2391" s="59"/>
      <c r="T2391" s="60"/>
      <c r="U2391" s="60"/>
      <c r="V2391" s="60"/>
      <c r="W2391" s="61"/>
      <c r="AA2391" s="59"/>
      <c r="AB2391" s="60"/>
      <c r="AC2391" s="60"/>
      <c r="AD2391" s="60"/>
      <c r="AE2391" s="61"/>
    </row>
    <row r="2392" spans="2:31" x14ac:dyDescent="0.25">
      <c r="B2392" s="53">
        <f t="shared" si="37"/>
        <v>476</v>
      </c>
      <c r="C2392" s="59"/>
      <c r="D2392" s="15" t="str">
        <f>IF(D2390="","","Исполнитель"&amp;": ")</f>
        <v/>
      </c>
      <c r="E2392" s="62" t="str">
        <f>IFERROR(VLOOKUP(C$13&amp;$B2392,Aux!$B:$M,4,0),"")</f>
        <v/>
      </c>
      <c r="F2392" s="62"/>
      <c r="G2392" s="63" t="str">
        <f>IFERROR(IF(VLOOKUP(C$13&amp;$B2390,Aux!$B:$M,8,0)="Да","✔","🕓"),"")</f>
        <v/>
      </c>
      <c r="K2392" s="59"/>
      <c r="L2392" s="15" t="str">
        <f>IF(L2390="","","Исполнитель"&amp;": ")</f>
        <v/>
      </c>
      <c r="M2392" s="62" t="str">
        <f>IFERROR(VLOOKUP(K$13&amp;$B2392,Aux!$B:$M,4,0),"")</f>
        <v/>
      </c>
      <c r="N2392" s="62"/>
      <c r="O2392" s="63" t="str">
        <f>IFERROR(IF(VLOOKUP(K$13&amp;$B2390,Aux!$B:$M,8,0)="Да","✔","🕓"),"")</f>
        <v/>
      </c>
      <c r="S2392" s="59"/>
      <c r="T2392" s="15" t="str">
        <f>IF(T2390="","","Исполнитель"&amp;": ")</f>
        <v/>
      </c>
      <c r="U2392" s="62" t="str">
        <f>IFERROR(VLOOKUP(S$13&amp;$B2392,Aux!$B:$M,4,0),"")</f>
        <v/>
      </c>
      <c r="V2392" s="62"/>
      <c r="W2392" s="63" t="str">
        <f>IFERROR(IF(VLOOKUP(S$13&amp;$B2390,Aux!$B:$M,8,0)="Да","✔","🕓"),"")</f>
        <v/>
      </c>
      <c r="AA2392" s="59"/>
      <c r="AB2392" s="15" t="str">
        <f>IF(AB2390="","","Исполнитель"&amp;": ")</f>
        <v/>
      </c>
      <c r="AC2392" s="62" t="str">
        <f>IFERROR(VLOOKUP(AA$13&amp;$B2392,Aux!$B:$M,4,0),"")</f>
        <v/>
      </c>
      <c r="AD2392" s="62"/>
      <c r="AE2392" s="63" t="str">
        <f>IFERROR(IF(VLOOKUP(AA$13&amp;$B2390,Aux!$B:$M,8,0)="Да","✔","🕓"),"")</f>
        <v/>
      </c>
    </row>
    <row r="2393" spans="2:31" x14ac:dyDescent="0.25">
      <c r="B2393" s="53">
        <f t="shared" si="37"/>
        <v>476</v>
      </c>
      <c r="C2393" s="59"/>
      <c r="D2393" s="16" t="str">
        <f>IF(D2390="","","Срок сдачи"&amp;": ")</f>
        <v/>
      </c>
      <c r="E2393" s="64" t="str">
        <f>IFERROR(VLOOKUP(C$13&amp;$B2393,Aux!$B:$M,6,0),"")</f>
        <v/>
      </c>
      <c r="F2393" s="64"/>
      <c r="G2393" s="63"/>
      <c r="K2393" s="59"/>
      <c r="L2393" s="16" t="str">
        <f>IF(L2390="","","Срок сдачи"&amp;": ")</f>
        <v/>
      </c>
      <c r="M2393" s="64" t="str">
        <f>IFERROR(VLOOKUP(K$13&amp;$B2393,Aux!$B:$M,6,0),"")</f>
        <v/>
      </c>
      <c r="N2393" s="64"/>
      <c r="O2393" s="63"/>
      <c r="S2393" s="59"/>
      <c r="T2393" s="16" t="str">
        <f>IF(T2390="","","Срок сдачи"&amp;": ")</f>
        <v/>
      </c>
      <c r="U2393" s="64" t="str">
        <f>IFERROR(VLOOKUP(S$13&amp;$B2393,Aux!$B:$M,6,0),"")</f>
        <v/>
      </c>
      <c r="V2393" s="64"/>
      <c r="W2393" s="63"/>
      <c r="AA2393" s="59"/>
      <c r="AB2393" s="16" t="str">
        <f>IF(AB2390="","","Срок сдачи"&amp;": ")</f>
        <v/>
      </c>
      <c r="AC2393" s="64" t="str">
        <f>IFERROR(VLOOKUP(AA$13&amp;$B2393,Aux!$B:$M,6,0),"")</f>
        <v/>
      </c>
      <c r="AD2393" s="64"/>
      <c r="AE2393" s="63"/>
    </row>
    <row r="2394" spans="2:31" x14ac:dyDescent="0.25">
      <c r="B2394" s="53">
        <f t="shared" si="37"/>
        <v>476</v>
      </c>
      <c r="C2394" s="7"/>
      <c r="D2394" s="17"/>
      <c r="E2394" s="7"/>
      <c r="F2394" s="18"/>
      <c r="G2394" s="18"/>
      <c r="K2394" s="13"/>
      <c r="L2394" s="17"/>
      <c r="M2394" s="13"/>
      <c r="N2394" s="14"/>
      <c r="O2394" s="14"/>
      <c r="S2394" s="13"/>
      <c r="T2394" s="17"/>
      <c r="U2394" s="13"/>
      <c r="V2394" s="14"/>
      <c r="W2394" s="14"/>
      <c r="AA2394" s="13"/>
      <c r="AB2394" s="17"/>
      <c r="AC2394" s="13"/>
      <c r="AD2394" s="14"/>
      <c r="AE2394" s="30"/>
    </row>
    <row r="2395" spans="2:31" x14ac:dyDescent="0.25">
      <c r="B2395" s="53">
        <f t="shared" si="37"/>
        <v>477</v>
      </c>
      <c r="C2395" s="59" t="str">
        <f>IFERROR(VLOOKUP(C$13&amp;$B2399,Aux!$B:$M,5,0),"")</f>
        <v/>
      </c>
      <c r="D2395" s="60" t="str">
        <f>IFERROR(VLOOKUP(C$13&amp;$B2395,Aux!$B:$M,3,0),"")</f>
        <v/>
      </c>
      <c r="E2395" s="60"/>
      <c r="F2395" s="60"/>
      <c r="G2395" s="61" t="str">
        <f>IFERROR(VLOOKUP(C$13&amp;$B2395,Aux!$B:$M,9,0),"")</f>
        <v/>
      </c>
      <c r="K2395" s="59" t="str">
        <f>IFERROR(VLOOKUP(K$13&amp;$B2399,Aux!$B:$M,5,0),"")</f>
        <v/>
      </c>
      <c r="L2395" s="60" t="str">
        <f>IFERROR(VLOOKUP(K$13&amp;$B2395,Aux!$B:$M,3,0),"")</f>
        <v/>
      </c>
      <c r="M2395" s="60"/>
      <c r="N2395" s="60"/>
      <c r="O2395" s="61" t="str">
        <f>IFERROR(VLOOKUP(K$13&amp;$B2395,Aux!$B:$M,9,0),"")</f>
        <v/>
      </c>
      <c r="S2395" s="59" t="str">
        <f>IFERROR(VLOOKUP(S$13&amp;$B2399,Aux!$B:$M,5,0),"")</f>
        <v/>
      </c>
      <c r="T2395" s="60" t="str">
        <f>IFERROR(VLOOKUP(S$13&amp;$B2395,Aux!$B:$M,3,0),"")</f>
        <v/>
      </c>
      <c r="U2395" s="60"/>
      <c r="V2395" s="60"/>
      <c r="W2395" s="61" t="str">
        <f>IFERROR(VLOOKUP(S$13&amp;$B2395,Aux!$B:$M,9,0),"")</f>
        <v/>
      </c>
      <c r="AA2395" s="59" t="str">
        <f>IFERROR(VLOOKUP(AA$13&amp;$B2399,Aux!$B:$M,5,0),"")</f>
        <v/>
      </c>
      <c r="AB2395" s="60" t="str">
        <f>IFERROR(VLOOKUP(AA$13&amp;$B2395,Aux!$B:$M,3,0),"")</f>
        <v/>
      </c>
      <c r="AC2395" s="60"/>
      <c r="AD2395" s="60"/>
      <c r="AE2395" s="61" t="str">
        <f>IFERROR(VLOOKUP(AA$13&amp;$B2395,Aux!$B:$M,9,0),"")</f>
        <v/>
      </c>
    </row>
    <row r="2396" spans="2:31" x14ac:dyDescent="0.25">
      <c r="B2396" s="53">
        <f t="shared" si="37"/>
        <v>477</v>
      </c>
      <c r="C2396" s="59"/>
      <c r="D2396" s="60"/>
      <c r="E2396" s="60"/>
      <c r="F2396" s="60"/>
      <c r="G2396" s="61"/>
      <c r="K2396" s="59"/>
      <c r="L2396" s="60"/>
      <c r="M2396" s="60"/>
      <c r="N2396" s="60"/>
      <c r="O2396" s="61"/>
      <c r="S2396" s="59"/>
      <c r="T2396" s="60"/>
      <c r="U2396" s="60"/>
      <c r="V2396" s="60"/>
      <c r="W2396" s="61"/>
      <c r="AA2396" s="59"/>
      <c r="AB2396" s="60"/>
      <c r="AC2396" s="60"/>
      <c r="AD2396" s="60"/>
      <c r="AE2396" s="61"/>
    </row>
    <row r="2397" spans="2:31" x14ac:dyDescent="0.25">
      <c r="B2397" s="53">
        <f t="shared" si="37"/>
        <v>477</v>
      </c>
      <c r="C2397" s="59"/>
      <c r="D2397" s="15" t="str">
        <f>IF(D2395="","","Исполнитель"&amp;": ")</f>
        <v/>
      </c>
      <c r="E2397" s="62" t="str">
        <f>IFERROR(VLOOKUP(C$13&amp;$B2397,Aux!$B:$M,4,0),"")</f>
        <v/>
      </c>
      <c r="F2397" s="62"/>
      <c r="G2397" s="63" t="str">
        <f>IFERROR(IF(VLOOKUP(C$13&amp;$B2395,Aux!$B:$M,8,0)="Да","✔","🕓"),"")</f>
        <v/>
      </c>
      <c r="K2397" s="59"/>
      <c r="L2397" s="15" t="str">
        <f>IF(L2395="","","Исполнитель"&amp;": ")</f>
        <v/>
      </c>
      <c r="M2397" s="62" t="str">
        <f>IFERROR(VLOOKUP(K$13&amp;$B2397,Aux!$B:$M,4,0),"")</f>
        <v/>
      </c>
      <c r="N2397" s="62"/>
      <c r="O2397" s="63" t="str">
        <f>IFERROR(IF(VLOOKUP(K$13&amp;$B2395,Aux!$B:$M,8,0)="Да","✔","🕓"),"")</f>
        <v/>
      </c>
      <c r="S2397" s="59"/>
      <c r="T2397" s="15" t="str">
        <f>IF(T2395="","","Исполнитель"&amp;": ")</f>
        <v/>
      </c>
      <c r="U2397" s="62" t="str">
        <f>IFERROR(VLOOKUP(S$13&amp;$B2397,Aux!$B:$M,4,0),"")</f>
        <v/>
      </c>
      <c r="V2397" s="62"/>
      <c r="W2397" s="63" t="str">
        <f>IFERROR(IF(VLOOKUP(S$13&amp;$B2395,Aux!$B:$M,8,0)="Да","✔","🕓"),"")</f>
        <v/>
      </c>
      <c r="AA2397" s="59"/>
      <c r="AB2397" s="15" t="str">
        <f>IF(AB2395="","","Исполнитель"&amp;": ")</f>
        <v/>
      </c>
      <c r="AC2397" s="62" t="str">
        <f>IFERROR(VLOOKUP(AA$13&amp;$B2397,Aux!$B:$M,4,0),"")</f>
        <v/>
      </c>
      <c r="AD2397" s="62"/>
      <c r="AE2397" s="63" t="str">
        <f>IFERROR(IF(VLOOKUP(AA$13&amp;$B2395,Aux!$B:$M,8,0)="Да","✔","🕓"),"")</f>
        <v/>
      </c>
    </row>
    <row r="2398" spans="2:31" x14ac:dyDescent="0.25">
      <c r="B2398" s="53">
        <f t="shared" si="37"/>
        <v>477</v>
      </c>
      <c r="C2398" s="59"/>
      <c r="D2398" s="16" t="str">
        <f>IF(D2395="","","Срок сдачи"&amp;": ")</f>
        <v/>
      </c>
      <c r="E2398" s="64" t="str">
        <f>IFERROR(VLOOKUP(C$13&amp;$B2398,Aux!$B:$M,6,0),"")</f>
        <v/>
      </c>
      <c r="F2398" s="64"/>
      <c r="G2398" s="63"/>
      <c r="K2398" s="59"/>
      <c r="L2398" s="16" t="str">
        <f>IF(L2395="","","Срок сдачи"&amp;": ")</f>
        <v/>
      </c>
      <c r="M2398" s="64" t="str">
        <f>IFERROR(VLOOKUP(K$13&amp;$B2398,Aux!$B:$M,6,0),"")</f>
        <v/>
      </c>
      <c r="N2398" s="64"/>
      <c r="O2398" s="63"/>
      <c r="S2398" s="59"/>
      <c r="T2398" s="16" t="str">
        <f>IF(T2395="","","Срок сдачи"&amp;": ")</f>
        <v/>
      </c>
      <c r="U2398" s="64" t="str">
        <f>IFERROR(VLOOKUP(S$13&amp;$B2398,Aux!$B:$M,6,0),"")</f>
        <v/>
      </c>
      <c r="V2398" s="64"/>
      <c r="W2398" s="63"/>
      <c r="AA2398" s="59"/>
      <c r="AB2398" s="16" t="str">
        <f>IF(AB2395="","","Срок сдачи"&amp;": ")</f>
        <v/>
      </c>
      <c r="AC2398" s="64" t="str">
        <f>IFERROR(VLOOKUP(AA$13&amp;$B2398,Aux!$B:$M,6,0),"")</f>
        <v/>
      </c>
      <c r="AD2398" s="64"/>
      <c r="AE2398" s="63"/>
    </row>
    <row r="2399" spans="2:31" x14ac:dyDescent="0.25">
      <c r="B2399" s="53">
        <f t="shared" si="37"/>
        <v>477</v>
      </c>
      <c r="C2399" s="7"/>
      <c r="D2399" s="17"/>
      <c r="E2399" s="7"/>
      <c r="F2399" s="18"/>
      <c r="G2399" s="18"/>
      <c r="K2399" s="13"/>
      <c r="L2399" s="17"/>
      <c r="M2399" s="13"/>
      <c r="N2399" s="14"/>
      <c r="O2399" s="14"/>
      <c r="S2399" s="13"/>
      <c r="T2399" s="17"/>
      <c r="U2399" s="13"/>
      <c r="V2399" s="14"/>
      <c r="W2399" s="14"/>
      <c r="AA2399" s="13"/>
      <c r="AB2399" s="17"/>
      <c r="AC2399" s="13"/>
      <c r="AD2399" s="14"/>
      <c r="AE2399" s="30"/>
    </row>
    <row r="2400" spans="2:31" x14ac:dyDescent="0.25">
      <c r="B2400" s="53">
        <f t="shared" si="37"/>
        <v>478</v>
      </c>
      <c r="C2400" s="59" t="str">
        <f>IFERROR(VLOOKUP(C$13&amp;$B2404,Aux!$B:$M,5,0),"")</f>
        <v/>
      </c>
      <c r="D2400" s="60" t="str">
        <f>IFERROR(VLOOKUP(C$13&amp;$B2400,Aux!$B:$M,3,0),"")</f>
        <v/>
      </c>
      <c r="E2400" s="60"/>
      <c r="F2400" s="60"/>
      <c r="G2400" s="61" t="str">
        <f>IFERROR(VLOOKUP(C$13&amp;$B2400,Aux!$B:$M,9,0),"")</f>
        <v/>
      </c>
      <c r="K2400" s="59" t="str">
        <f>IFERROR(VLOOKUP(K$13&amp;$B2404,Aux!$B:$M,5,0),"")</f>
        <v/>
      </c>
      <c r="L2400" s="60" t="str">
        <f>IFERROR(VLOOKUP(K$13&amp;$B2400,Aux!$B:$M,3,0),"")</f>
        <v/>
      </c>
      <c r="M2400" s="60"/>
      <c r="N2400" s="60"/>
      <c r="O2400" s="61" t="str">
        <f>IFERROR(VLOOKUP(K$13&amp;$B2400,Aux!$B:$M,9,0),"")</f>
        <v/>
      </c>
      <c r="S2400" s="59" t="str">
        <f>IFERROR(VLOOKUP(S$13&amp;$B2404,Aux!$B:$M,5,0),"")</f>
        <v/>
      </c>
      <c r="T2400" s="60" t="str">
        <f>IFERROR(VLOOKUP(S$13&amp;$B2400,Aux!$B:$M,3,0),"")</f>
        <v/>
      </c>
      <c r="U2400" s="60"/>
      <c r="V2400" s="60"/>
      <c r="W2400" s="61" t="str">
        <f>IFERROR(VLOOKUP(S$13&amp;$B2400,Aux!$B:$M,9,0),"")</f>
        <v/>
      </c>
      <c r="AA2400" s="59" t="str">
        <f>IFERROR(VLOOKUP(AA$13&amp;$B2404,Aux!$B:$M,5,0),"")</f>
        <v/>
      </c>
      <c r="AB2400" s="60" t="str">
        <f>IFERROR(VLOOKUP(AA$13&amp;$B2400,Aux!$B:$M,3,0),"")</f>
        <v/>
      </c>
      <c r="AC2400" s="60"/>
      <c r="AD2400" s="60"/>
      <c r="AE2400" s="61" t="str">
        <f>IFERROR(VLOOKUP(AA$13&amp;$B2400,Aux!$B:$M,9,0),"")</f>
        <v/>
      </c>
    </row>
    <row r="2401" spans="2:31" x14ac:dyDescent="0.25">
      <c r="B2401" s="53">
        <f t="shared" si="37"/>
        <v>478</v>
      </c>
      <c r="C2401" s="59"/>
      <c r="D2401" s="60"/>
      <c r="E2401" s="60"/>
      <c r="F2401" s="60"/>
      <c r="G2401" s="61"/>
      <c r="K2401" s="59"/>
      <c r="L2401" s="60"/>
      <c r="M2401" s="60"/>
      <c r="N2401" s="60"/>
      <c r="O2401" s="61"/>
      <c r="S2401" s="59"/>
      <c r="T2401" s="60"/>
      <c r="U2401" s="60"/>
      <c r="V2401" s="60"/>
      <c r="W2401" s="61"/>
      <c r="AA2401" s="59"/>
      <c r="AB2401" s="60"/>
      <c r="AC2401" s="60"/>
      <c r="AD2401" s="60"/>
      <c r="AE2401" s="61"/>
    </row>
    <row r="2402" spans="2:31" x14ac:dyDescent="0.25">
      <c r="B2402" s="53">
        <f t="shared" si="37"/>
        <v>478</v>
      </c>
      <c r="C2402" s="59"/>
      <c r="D2402" s="15" t="str">
        <f>IF(D2400="","","Исполнитель"&amp;": ")</f>
        <v/>
      </c>
      <c r="E2402" s="62" t="str">
        <f>IFERROR(VLOOKUP(C$13&amp;$B2402,Aux!$B:$M,4,0),"")</f>
        <v/>
      </c>
      <c r="F2402" s="62"/>
      <c r="G2402" s="63" t="str">
        <f>IFERROR(IF(VLOOKUP(C$13&amp;$B2400,Aux!$B:$M,8,0)="Да","✔","🕓"),"")</f>
        <v/>
      </c>
      <c r="K2402" s="59"/>
      <c r="L2402" s="15" t="str">
        <f>IF(L2400="","","Исполнитель"&amp;": ")</f>
        <v/>
      </c>
      <c r="M2402" s="62" t="str">
        <f>IFERROR(VLOOKUP(K$13&amp;$B2402,Aux!$B:$M,4,0),"")</f>
        <v/>
      </c>
      <c r="N2402" s="62"/>
      <c r="O2402" s="63" t="str">
        <f>IFERROR(IF(VLOOKUP(K$13&amp;$B2400,Aux!$B:$M,8,0)="Да","✔","🕓"),"")</f>
        <v/>
      </c>
      <c r="S2402" s="59"/>
      <c r="T2402" s="15" t="str">
        <f>IF(T2400="","","Исполнитель"&amp;": ")</f>
        <v/>
      </c>
      <c r="U2402" s="62" t="str">
        <f>IFERROR(VLOOKUP(S$13&amp;$B2402,Aux!$B:$M,4,0),"")</f>
        <v/>
      </c>
      <c r="V2402" s="62"/>
      <c r="W2402" s="63" t="str">
        <f>IFERROR(IF(VLOOKUP(S$13&amp;$B2400,Aux!$B:$M,8,0)="Да","✔","🕓"),"")</f>
        <v/>
      </c>
      <c r="AA2402" s="59"/>
      <c r="AB2402" s="15" t="str">
        <f>IF(AB2400="","","Исполнитель"&amp;": ")</f>
        <v/>
      </c>
      <c r="AC2402" s="62" t="str">
        <f>IFERROR(VLOOKUP(AA$13&amp;$B2402,Aux!$B:$M,4,0),"")</f>
        <v/>
      </c>
      <c r="AD2402" s="62"/>
      <c r="AE2402" s="63" t="str">
        <f>IFERROR(IF(VLOOKUP(AA$13&amp;$B2400,Aux!$B:$M,8,0)="Да","✔","🕓"),"")</f>
        <v/>
      </c>
    </row>
    <row r="2403" spans="2:31" x14ac:dyDescent="0.25">
      <c r="B2403" s="53">
        <f t="shared" si="37"/>
        <v>478</v>
      </c>
      <c r="C2403" s="59"/>
      <c r="D2403" s="16" t="str">
        <f>IF(D2400="","","Срок сдачи"&amp;": ")</f>
        <v/>
      </c>
      <c r="E2403" s="64" t="str">
        <f>IFERROR(VLOOKUP(C$13&amp;$B2403,Aux!$B:$M,6,0),"")</f>
        <v/>
      </c>
      <c r="F2403" s="64"/>
      <c r="G2403" s="63"/>
      <c r="K2403" s="59"/>
      <c r="L2403" s="16" t="str">
        <f>IF(L2400="","","Срок сдачи"&amp;": ")</f>
        <v/>
      </c>
      <c r="M2403" s="64" t="str">
        <f>IFERROR(VLOOKUP(K$13&amp;$B2403,Aux!$B:$M,6,0),"")</f>
        <v/>
      </c>
      <c r="N2403" s="64"/>
      <c r="O2403" s="63"/>
      <c r="S2403" s="59"/>
      <c r="T2403" s="16" t="str">
        <f>IF(T2400="","","Срок сдачи"&amp;": ")</f>
        <v/>
      </c>
      <c r="U2403" s="64" t="str">
        <f>IFERROR(VLOOKUP(S$13&amp;$B2403,Aux!$B:$M,6,0),"")</f>
        <v/>
      </c>
      <c r="V2403" s="64"/>
      <c r="W2403" s="63"/>
      <c r="AA2403" s="59"/>
      <c r="AB2403" s="16" t="str">
        <f>IF(AB2400="","","Срок сдачи"&amp;": ")</f>
        <v/>
      </c>
      <c r="AC2403" s="64" t="str">
        <f>IFERROR(VLOOKUP(AA$13&amp;$B2403,Aux!$B:$M,6,0),"")</f>
        <v/>
      </c>
      <c r="AD2403" s="64"/>
      <c r="AE2403" s="63"/>
    </row>
    <row r="2404" spans="2:31" x14ac:dyDescent="0.25">
      <c r="B2404" s="53">
        <f t="shared" si="37"/>
        <v>478</v>
      </c>
      <c r="C2404" s="7"/>
      <c r="D2404" s="17"/>
      <c r="E2404" s="7"/>
      <c r="F2404" s="18"/>
      <c r="G2404" s="18"/>
      <c r="K2404" s="13"/>
      <c r="L2404" s="17"/>
      <c r="M2404" s="13"/>
      <c r="N2404" s="14"/>
      <c r="O2404" s="14"/>
      <c r="S2404" s="13"/>
      <c r="T2404" s="17"/>
      <c r="U2404" s="13"/>
      <c r="V2404" s="14"/>
      <c r="W2404" s="14"/>
      <c r="AA2404" s="13"/>
      <c r="AB2404" s="17"/>
      <c r="AC2404" s="13"/>
      <c r="AD2404" s="14"/>
      <c r="AE2404" s="30"/>
    </row>
    <row r="2405" spans="2:31" x14ac:dyDescent="0.25">
      <c r="B2405" s="53">
        <f t="shared" si="37"/>
        <v>479</v>
      </c>
      <c r="C2405" s="59" t="str">
        <f>IFERROR(VLOOKUP(C$13&amp;$B2409,Aux!$B:$M,5,0),"")</f>
        <v/>
      </c>
      <c r="D2405" s="60" t="str">
        <f>IFERROR(VLOOKUP(C$13&amp;$B2405,Aux!$B:$M,3,0),"")</f>
        <v/>
      </c>
      <c r="E2405" s="60"/>
      <c r="F2405" s="60"/>
      <c r="G2405" s="61" t="str">
        <f>IFERROR(VLOOKUP(C$13&amp;$B2405,Aux!$B:$M,9,0),"")</f>
        <v/>
      </c>
      <c r="K2405" s="59" t="str">
        <f>IFERROR(VLOOKUP(K$13&amp;$B2409,Aux!$B:$M,5,0),"")</f>
        <v/>
      </c>
      <c r="L2405" s="60" t="str">
        <f>IFERROR(VLOOKUP(K$13&amp;$B2405,Aux!$B:$M,3,0),"")</f>
        <v/>
      </c>
      <c r="M2405" s="60"/>
      <c r="N2405" s="60"/>
      <c r="O2405" s="61" t="str">
        <f>IFERROR(VLOOKUP(K$13&amp;$B2405,Aux!$B:$M,9,0),"")</f>
        <v/>
      </c>
      <c r="S2405" s="59" t="str">
        <f>IFERROR(VLOOKUP(S$13&amp;$B2409,Aux!$B:$M,5,0),"")</f>
        <v/>
      </c>
      <c r="T2405" s="60" t="str">
        <f>IFERROR(VLOOKUP(S$13&amp;$B2405,Aux!$B:$M,3,0),"")</f>
        <v/>
      </c>
      <c r="U2405" s="60"/>
      <c r="V2405" s="60"/>
      <c r="W2405" s="61" t="str">
        <f>IFERROR(VLOOKUP(S$13&amp;$B2405,Aux!$B:$M,9,0),"")</f>
        <v/>
      </c>
      <c r="AA2405" s="59" t="str">
        <f>IFERROR(VLOOKUP(AA$13&amp;$B2409,Aux!$B:$M,5,0),"")</f>
        <v/>
      </c>
      <c r="AB2405" s="60" t="str">
        <f>IFERROR(VLOOKUP(AA$13&amp;$B2405,Aux!$B:$M,3,0),"")</f>
        <v/>
      </c>
      <c r="AC2405" s="60"/>
      <c r="AD2405" s="60"/>
      <c r="AE2405" s="61" t="str">
        <f>IFERROR(VLOOKUP(AA$13&amp;$B2405,Aux!$B:$M,9,0),"")</f>
        <v/>
      </c>
    </row>
    <row r="2406" spans="2:31" x14ac:dyDescent="0.25">
      <c r="B2406" s="53">
        <f t="shared" si="37"/>
        <v>479</v>
      </c>
      <c r="C2406" s="59"/>
      <c r="D2406" s="60"/>
      <c r="E2406" s="60"/>
      <c r="F2406" s="60"/>
      <c r="G2406" s="61"/>
      <c r="K2406" s="59"/>
      <c r="L2406" s="60"/>
      <c r="M2406" s="60"/>
      <c r="N2406" s="60"/>
      <c r="O2406" s="61"/>
      <c r="S2406" s="59"/>
      <c r="T2406" s="60"/>
      <c r="U2406" s="60"/>
      <c r="V2406" s="60"/>
      <c r="W2406" s="61"/>
      <c r="AA2406" s="59"/>
      <c r="AB2406" s="60"/>
      <c r="AC2406" s="60"/>
      <c r="AD2406" s="60"/>
      <c r="AE2406" s="61"/>
    </row>
    <row r="2407" spans="2:31" x14ac:dyDescent="0.25">
      <c r="B2407" s="53">
        <f t="shared" si="37"/>
        <v>479</v>
      </c>
      <c r="C2407" s="59"/>
      <c r="D2407" s="15" t="str">
        <f>IF(D2405="","","Исполнитель"&amp;": ")</f>
        <v/>
      </c>
      <c r="E2407" s="62" t="str">
        <f>IFERROR(VLOOKUP(C$13&amp;$B2407,Aux!$B:$M,4,0),"")</f>
        <v/>
      </c>
      <c r="F2407" s="62"/>
      <c r="G2407" s="63" t="str">
        <f>IFERROR(IF(VLOOKUP(C$13&amp;$B2405,Aux!$B:$M,8,0)="Да","✔","🕓"),"")</f>
        <v/>
      </c>
      <c r="K2407" s="59"/>
      <c r="L2407" s="15" t="str">
        <f>IF(L2405="","","Исполнитель"&amp;": ")</f>
        <v/>
      </c>
      <c r="M2407" s="62" t="str">
        <f>IFERROR(VLOOKUP(K$13&amp;$B2407,Aux!$B:$M,4,0),"")</f>
        <v/>
      </c>
      <c r="N2407" s="62"/>
      <c r="O2407" s="63" t="str">
        <f>IFERROR(IF(VLOOKUP(K$13&amp;$B2405,Aux!$B:$M,8,0)="Да","✔","🕓"),"")</f>
        <v/>
      </c>
      <c r="S2407" s="59"/>
      <c r="T2407" s="15" t="str">
        <f>IF(T2405="","","Исполнитель"&amp;": ")</f>
        <v/>
      </c>
      <c r="U2407" s="62" t="str">
        <f>IFERROR(VLOOKUP(S$13&amp;$B2407,Aux!$B:$M,4,0),"")</f>
        <v/>
      </c>
      <c r="V2407" s="62"/>
      <c r="W2407" s="63" t="str">
        <f>IFERROR(IF(VLOOKUP(S$13&amp;$B2405,Aux!$B:$M,8,0)="Да","✔","🕓"),"")</f>
        <v/>
      </c>
      <c r="AA2407" s="59"/>
      <c r="AB2407" s="15" t="str">
        <f>IF(AB2405="","","Исполнитель"&amp;": ")</f>
        <v/>
      </c>
      <c r="AC2407" s="62" t="str">
        <f>IFERROR(VLOOKUP(AA$13&amp;$B2407,Aux!$B:$M,4,0),"")</f>
        <v/>
      </c>
      <c r="AD2407" s="62"/>
      <c r="AE2407" s="63" t="str">
        <f>IFERROR(IF(VLOOKUP(AA$13&amp;$B2405,Aux!$B:$M,8,0)="Да","✔","🕓"),"")</f>
        <v/>
      </c>
    </row>
    <row r="2408" spans="2:31" x14ac:dyDescent="0.25">
      <c r="B2408" s="53">
        <f t="shared" si="37"/>
        <v>479</v>
      </c>
      <c r="C2408" s="59"/>
      <c r="D2408" s="16" t="str">
        <f>IF(D2405="","","Срок сдачи"&amp;": ")</f>
        <v/>
      </c>
      <c r="E2408" s="64" t="str">
        <f>IFERROR(VLOOKUP(C$13&amp;$B2408,Aux!$B:$M,6,0),"")</f>
        <v/>
      </c>
      <c r="F2408" s="64"/>
      <c r="G2408" s="63"/>
      <c r="K2408" s="59"/>
      <c r="L2408" s="16" t="str">
        <f>IF(L2405="","","Срок сдачи"&amp;": ")</f>
        <v/>
      </c>
      <c r="M2408" s="64" t="str">
        <f>IFERROR(VLOOKUP(K$13&amp;$B2408,Aux!$B:$M,6,0),"")</f>
        <v/>
      </c>
      <c r="N2408" s="64"/>
      <c r="O2408" s="63"/>
      <c r="S2408" s="59"/>
      <c r="T2408" s="16" t="str">
        <f>IF(T2405="","","Срок сдачи"&amp;": ")</f>
        <v/>
      </c>
      <c r="U2408" s="64" t="str">
        <f>IFERROR(VLOOKUP(S$13&amp;$B2408,Aux!$B:$M,6,0),"")</f>
        <v/>
      </c>
      <c r="V2408" s="64"/>
      <c r="W2408" s="63"/>
      <c r="AA2408" s="59"/>
      <c r="AB2408" s="16" t="str">
        <f>IF(AB2405="","","Срок сдачи"&amp;": ")</f>
        <v/>
      </c>
      <c r="AC2408" s="64" t="str">
        <f>IFERROR(VLOOKUP(AA$13&amp;$B2408,Aux!$B:$M,6,0),"")</f>
        <v/>
      </c>
      <c r="AD2408" s="64"/>
      <c r="AE2408" s="63"/>
    </row>
    <row r="2409" spans="2:31" x14ac:dyDescent="0.25">
      <c r="B2409" s="53">
        <f t="shared" si="37"/>
        <v>479</v>
      </c>
      <c r="C2409" s="7"/>
      <c r="D2409" s="17"/>
      <c r="E2409" s="7"/>
      <c r="F2409" s="18"/>
      <c r="G2409" s="18"/>
      <c r="K2409" s="13"/>
      <c r="L2409" s="17"/>
      <c r="M2409" s="13"/>
      <c r="N2409" s="14"/>
      <c r="O2409" s="14"/>
      <c r="S2409" s="13"/>
      <c r="T2409" s="17"/>
      <c r="U2409" s="13"/>
      <c r="V2409" s="14"/>
      <c r="W2409" s="14"/>
      <c r="AA2409" s="13"/>
      <c r="AB2409" s="17"/>
      <c r="AC2409" s="13"/>
      <c r="AD2409" s="14"/>
      <c r="AE2409" s="30"/>
    </row>
    <row r="2410" spans="2:31" x14ac:dyDescent="0.25">
      <c r="B2410" s="53">
        <f t="shared" si="37"/>
        <v>480</v>
      </c>
      <c r="C2410" s="59" t="str">
        <f>IFERROR(VLOOKUP(C$13&amp;$B2414,Aux!$B:$M,5,0),"")</f>
        <v/>
      </c>
      <c r="D2410" s="60" t="str">
        <f>IFERROR(VLOOKUP(C$13&amp;$B2410,Aux!$B:$M,3,0),"")</f>
        <v/>
      </c>
      <c r="E2410" s="60"/>
      <c r="F2410" s="60"/>
      <c r="G2410" s="61" t="str">
        <f>IFERROR(VLOOKUP(C$13&amp;$B2410,Aux!$B:$M,9,0),"")</f>
        <v/>
      </c>
      <c r="K2410" s="59" t="str">
        <f>IFERROR(VLOOKUP(K$13&amp;$B2414,Aux!$B:$M,5,0),"")</f>
        <v/>
      </c>
      <c r="L2410" s="60" t="str">
        <f>IFERROR(VLOOKUP(K$13&amp;$B2410,Aux!$B:$M,3,0),"")</f>
        <v/>
      </c>
      <c r="M2410" s="60"/>
      <c r="N2410" s="60"/>
      <c r="O2410" s="61" t="str">
        <f>IFERROR(VLOOKUP(K$13&amp;$B2410,Aux!$B:$M,9,0),"")</f>
        <v/>
      </c>
      <c r="S2410" s="59" t="str">
        <f>IFERROR(VLOOKUP(S$13&amp;$B2414,Aux!$B:$M,5,0),"")</f>
        <v/>
      </c>
      <c r="T2410" s="60" t="str">
        <f>IFERROR(VLOOKUP(S$13&amp;$B2410,Aux!$B:$M,3,0),"")</f>
        <v/>
      </c>
      <c r="U2410" s="60"/>
      <c r="V2410" s="60"/>
      <c r="W2410" s="61" t="str">
        <f>IFERROR(VLOOKUP(S$13&amp;$B2410,Aux!$B:$M,9,0),"")</f>
        <v/>
      </c>
      <c r="AA2410" s="59" t="str">
        <f>IFERROR(VLOOKUP(AA$13&amp;$B2414,Aux!$B:$M,5,0),"")</f>
        <v/>
      </c>
      <c r="AB2410" s="60" t="str">
        <f>IFERROR(VLOOKUP(AA$13&amp;$B2410,Aux!$B:$M,3,0),"")</f>
        <v/>
      </c>
      <c r="AC2410" s="60"/>
      <c r="AD2410" s="60"/>
      <c r="AE2410" s="61" t="str">
        <f>IFERROR(VLOOKUP(AA$13&amp;$B2410,Aux!$B:$M,9,0),"")</f>
        <v/>
      </c>
    </row>
    <row r="2411" spans="2:31" x14ac:dyDescent="0.25">
      <c r="B2411" s="53">
        <f t="shared" si="37"/>
        <v>480</v>
      </c>
      <c r="C2411" s="59"/>
      <c r="D2411" s="60"/>
      <c r="E2411" s="60"/>
      <c r="F2411" s="60"/>
      <c r="G2411" s="61"/>
      <c r="K2411" s="59"/>
      <c r="L2411" s="60"/>
      <c r="M2411" s="60"/>
      <c r="N2411" s="60"/>
      <c r="O2411" s="61"/>
      <c r="S2411" s="59"/>
      <c r="T2411" s="60"/>
      <c r="U2411" s="60"/>
      <c r="V2411" s="60"/>
      <c r="W2411" s="61"/>
      <c r="AA2411" s="59"/>
      <c r="AB2411" s="60"/>
      <c r="AC2411" s="60"/>
      <c r="AD2411" s="60"/>
      <c r="AE2411" s="61"/>
    </row>
    <row r="2412" spans="2:31" x14ac:dyDescent="0.25">
      <c r="B2412" s="53">
        <f t="shared" si="37"/>
        <v>480</v>
      </c>
      <c r="C2412" s="59"/>
      <c r="D2412" s="15" t="str">
        <f>IF(D2410="","","Исполнитель"&amp;": ")</f>
        <v/>
      </c>
      <c r="E2412" s="62" t="str">
        <f>IFERROR(VLOOKUP(C$13&amp;$B2412,Aux!$B:$M,4,0),"")</f>
        <v/>
      </c>
      <c r="F2412" s="62"/>
      <c r="G2412" s="63" t="str">
        <f>IFERROR(IF(VLOOKUP(C$13&amp;$B2410,Aux!$B:$M,8,0)="Да","✔","🕓"),"")</f>
        <v/>
      </c>
      <c r="K2412" s="59"/>
      <c r="L2412" s="15" t="str">
        <f>IF(L2410="","","Исполнитель"&amp;": ")</f>
        <v/>
      </c>
      <c r="M2412" s="62" t="str">
        <f>IFERROR(VLOOKUP(K$13&amp;$B2412,Aux!$B:$M,4,0),"")</f>
        <v/>
      </c>
      <c r="N2412" s="62"/>
      <c r="O2412" s="63" t="str">
        <f>IFERROR(IF(VLOOKUP(K$13&amp;$B2410,Aux!$B:$M,8,0)="Да","✔","🕓"),"")</f>
        <v/>
      </c>
      <c r="S2412" s="59"/>
      <c r="T2412" s="15" t="str">
        <f>IF(T2410="","","Исполнитель"&amp;": ")</f>
        <v/>
      </c>
      <c r="U2412" s="62" t="str">
        <f>IFERROR(VLOOKUP(S$13&amp;$B2412,Aux!$B:$M,4,0),"")</f>
        <v/>
      </c>
      <c r="V2412" s="62"/>
      <c r="W2412" s="63" t="str">
        <f>IFERROR(IF(VLOOKUP(S$13&amp;$B2410,Aux!$B:$M,8,0)="Да","✔","🕓"),"")</f>
        <v/>
      </c>
      <c r="AA2412" s="59"/>
      <c r="AB2412" s="15" t="str">
        <f>IF(AB2410="","","Исполнитель"&amp;": ")</f>
        <v/>
      </c>
      <c r="AC2412" s="62" t="str">
        <f>IFERROR(VLOOKUP(AA$13&amp;$B2412,Aux!$B:$M,4,0),"")</f>
        <v/>
      </c>
      <c r="AD2412" s="62"/>
      <c r="AE2412" s="63" t="str">
        <f>IFERROR(IF(VLOOKUP(AA$13&amp;$B2410,Aux!$B:$M,8,0)="Да","✔","🕓"),"")</f>
        <v/>
      </c>
    </row>
    <row r="2413" spans="2:31" x14ac:dyDescent="0.25">
      <c r="B2413" s="53">
        <f t="shared" si="37"/>
        <v>480</v>
      </c>
      <c r="C2413" s="59"/>
      <c r="D2413" s="16" t="str">
        <f>IF(D2410="","","Срок сдачи"&amp;": ")</f>
        <v/>
      </c>
      <c r="E2413" s="64" t="str">
        <f>IFERROR(VLOOKUP(C$13&amp;$B2413,Aux!$B:$M,6,0),"")</f>
        <v/>
      </c>
      <c r="F2413" s="64"/>
      <c r="G2413" s="63"/>
      <c r="K2413" s="59"/>
      <c r="L2413" s="16" t="str">
        <f>IF(L2410="","","Срок сдачи"&amp;": ")</f>
        <v/>
      </c>
      <c r="M2413" s="64" t="str">
        <f>IFERROR(VLOOKUP(K$13&amp;$B2413,Aux!$B:$M,6,0),"")</f>
        <v/>
      </c>
      <c r="N2413" s="64"/>
      <c r="O2413" s="63"/>
      <c r="S2413" s="59"/>
      <c r="T2413" s="16" t="str">
        <f>IF(T2410="","","Срок сдачи"&amp;": ")</f>
        <v/>
      </c>
      <c r="U2413" s="64" t="str">
        <f>IFERROR(VLOOKUP(S$13&amp;$B2413,Aux!$B:$M,6,0),"")</f>
        <v/>
      </c>
      <c r="V2413" s="64"/>
      <c r="W2413" s="63"/>
      <c r="AA2413" s="59"/>
      <c r="AB2413" s="16" t="str">
        <f>IF(AB2410="","","Срок сдачи"&amp;": ")</f>
        <v/>
      </c>
      <c r="AC2413" s="64" t="str">
        <f>IFERROR(VLOOKUP(AA$13&amp;$B2413,Aux!$B:$M,6,0),"")</f>
        <v/>
      </c>
      <c r="AD2413" s="64"/>
      <c r="AE2413" s="63"/>
    </row>
    <row r="2414" spans="2:31" x14ac:dyDescent="0.25">
      <c r="B2414" s="53">
        <f t="shared" si="37"/>
        <v>480</v>
      </c>
      <c r="C2414" s="7"/>
      <c r="D2414" s="17"/>
      <c r="E2414" s="7"/>
      <c r="F2414" s="18"/>
      <c r="G2414" s="18"/>
      <c r="K2414" s="13"/>
      <c r="L2414" s="17"/>
      <c r="M2414" s="13"/>
      <c r="N2414" s="14"/>
      <c r="O2414" s="14"/>
      <c r="S2414" s="13"/>
      <c r="T2414" s="17"/>
      <c r="U2414" s="13"/>
      <c r="V2414" s="14"/>
      <c r="W2414" s="14"/>
      <c r="AA2414" s="13"/>
      <c r="AB2414" s="17"/>
      <c r="AC2414" s="13"/>
      <c r="AD2414" s="14"/>
      <c r="AE2414" s="30"/>
    </row>
    <row r="2415" spans="2:31" x14ac:dyDescent="0.25">
      <c r="B2415" s="53">
        <f t="shared" si="37"/>
        <v>481</v>
      </c>
      <c r="C2415" s="59" t="str">
        <f>IFERROR(VLOOKUP(C$13&amp;$B2419,Aux!$B:$M,5,0),"")</f>
        <v/>
      </c>
      <c r="D2415" s="60" t="str">
        <f>IFERROR(VLOOKUP(C$13&amp;$B2415,Aux!$B:$M,3,0),"")</f>
        <v/>
      </c>
      <c r="E2415" s="60"/>
      <c r="F2415" s="60"/>
      <c r="G2415" s="61" t="str">
        <f>IFERROR(VLOOKUP(C$13&amp;$B2415,Aux!$B:$M,9,0),"")</f>
        <v/>
      </c>
      <c r="K2415" s="59" t="str">
        <f>IFERROR(VLOOKUP(K$13&amp;$B2419,Aux!$B:$M,5,0),"")</f>
        <v/>
      </c>
      <c r="L2415" s="60" t="str">
        <f>IFERROR(VLOOKUP(K$13&amp;$B2415,Aux!$B:$M,3,0),"")</f>
        <v/>
      </c>
      <c r="M2415" s="60"/>
      <c r="N2415" s="60"/>
      <c r="O2415" s="61" t="str">
        <f>IFERROR(VLOOKUP(K$13&amp;$B2415,Aux!$B:$M,9,0),"")</f>
        <v/>
      </c>
      <c r="S2415" s="59" t="str">
        <f>IFERROR(VLOOKUP(S$13&amp;$B2419,Aux!$B:$M,5,0),"")</f>
        <v/>
      </c>
      <c r="T2415" s="60" t="str">
        <f>IFERROR(VLOOKUP(S$13&amp;$B2415,Aux!$B:$M,3,0),"")</f>
        <v/>
      </c>
      <c r="U2415" s="60"/>
      <c r="V2415" s="60"/>
      <c r="W2415" s="61" t="str">
        <f>IFERROR(VLOOKUP(S$13&amp;$B2415,Aux!$B:$M,9,0),"")</f>
        <v/>
      </c>
      <c r="AA2415" s="59" t="str">
        <f>IFERROR(VLOOKUP(AA$13&amp;$B2419,Aux!$B:$M,5,0),"")</f>
        <v/>
      </c>
      <c r="AB2415" s="60" t="str">
        <f>IFERROR(VLOOKUP(AA$13&amp;$B2415,Aux!$B:$M,3,0),"")</f>
        <v/>
      </c>
      <c r="AC2415" s="60"/>
      <c r="AD2415" s="60"/>
      <c r="AE2415" s="61" t="str">
        <f>IFERROR(VLOOKUP(AA$13&amp;$B2415,Aux!$B:$M,9,0),"")</f>
        <v/>
      </c>
    </row>
    <row r="2416" spans="2:31" x14ac:dyDescent="0.25">
      <c r="B2416" s="53">
        <f t="shared" si="37"/>
        <v>481</v>
      </c>
      <c r="C2416" s="59"/>
      <c r="D2416" s="60"/>
      <c r="E2416" s="60"/>
      <c r="F2416" s="60"/>
      <c r="G2416" s="61"/>
      <c r="K2416" s="59"/>
      <c r="L2416" s="60"/>
      <c r="M2416" s="60"/>
      <c r="N2416" s="60"/>
      <c r="O2416" s="61"/>
      <c r="S2416" s="59"/>
      <c r="T2416" s="60"/>
      <c r="U2416" s="60"/>
      <c r="V2416" s="60"/>
      <c r="W2416" s="61"/>
      <c r="AA2416" s="59"/>
      <c r="AB2416" s="60"/>
      <c r="AC2416" s="60"/>
      <c r="AD2416" s="60"/>
      <c r="AE2416" s="61"/>
    </row>
    <row r="2417" spans="2:31" x14ac:dyDescent="0.25">
      <c r="B2417" s="53">
        <f t="shared" si="37"/>
        <v>481</v>
      </c>
      <c r="C2417" s="59"/>
      <c r="D2417" s="15" t="str">
        <f>IF(D2415="","","Исполнитель"&amp;": ")</f>
        <v/>
      </c>
      <c r="E2417" s="62" t="str">
        <f>IFERROR(VLOOKUP(C$13&amp;$B2417,Aux!$B:$M,4,0),"")</f>
        <v/>
      </c>
      <c r="F2417" s="62"/>
      <c r="G2417" s="63" t="str">
        <f>IFERROR(IF(VLOOKUP(C$13&amp;$B2415,Aux!$B:$M,8,0)="Да","✔","🕓"),"")</f>
        <v/>
      </c>
      <c r="K2417" s="59"/>
      <c r="L2417" s="15" t="str">
        <f>IF(L2415="","","Исполнитель"&amp;": ")</f>
        <v/>
      </c>
      <c r="M2417" s="62" t="str">
        <f>IFERROR(VLOOKUP(K$13&amp;$B2417,Aux!$B:$M,4,0),"")</f>
        <v/>
      </c>
      <c r="N2417" s="62"/>
      <c r="O2417" s="63" t="str">
        <f>IFERROR(IF(VLOOKUP(K$13&amp;$B2415,Aux!$B:$M,8,0)="Да","✔","🕓"),"")</f>
        <v/>
      </c>
      <c r="S2417" s="59"/>
      <c r="T2417" s="15" t="str">
        <f>IF(T2415="","","Исполнитель"&amp;": ")</f>
        <v/>
      </c>
      <c r="U2417" s="62" t="str">
        <f>IFERROR(VLOOKUP(S$13&amp;$B2417,Aux!$B:$M,4,0),"")</f>
        <v/>
      </c>
      <c r="V2417" s="62"/>
      <c r="W2417" s="63" t="str">
        <f>IFERROR(IF(VLOOKUP(S$13&amp;$B2415,Aux!$B:$M,8,0)="Да","✔","🕓"),"")</f>
        <v/>
      </c>
      <c r="AA2417" s="59"/>
      <c r="AB2417" s="15" t="str">
        <f>IF(AB2415="","","Исполнитель"&amp;": ")</f>
        <v/>
      </c>
      <c r="AC2417" s="62" t="str">
        <f>IFERROR(VLOOKUP(AA$13&amp;$B2417,Aux!$B:$M,4,0),"")</f>
        <v/>
      </c>
      <c r="AD2417" s="62"/>
      <c r="AE2417" s="63" t="str">
        <f>IFERROR(IF(VLOOKUP(AA$13&amp;$B2415,Aux!$B:$M,8,0)="Да","✔","🕓"),"")</f>
        <v/>
      </c>
    </row>
    <row r="2418" spans="2:31" x14ac:dyDescent="0.25">
      <c r="B2418" s="53">
        <f t="shared" si="37"/>
        <v>481</v>
      </c>
      <c r="C2418" s="59"/>
      <c r="D2418" s="16" t="str">
        <f>IF(D2415="","","Срок сдачи"&amp;": ")</f>
        <v/>
      </c>
      <c r="E2418" s="64" t="str">
        <f>IFERROR(VLOOKUP(C$13&amp;$B2418,Aux!$B:$M,6,0),"")</f>
        <v/>
      </c>
      <c r="F2418" s="64"/>
      <c r="G2418" s="63"/>
      <c r="K2418" s="59"/>
      <c r="L2418" s="16" t="str">
        <f>IF(L2415="","","Срок сдачи"&amp;": ")</f>
        <v/>
      </c>
      <c r="M2418" s="64" t="str">
        <f>IFERROR(VLOOKUP(K$13&amp;$B2418,Aux!$B:$M,6,0),"")</f>
        <v/>
      </c>
      <c r="N2418" s="64"/>
      <c r="O2418" s="63"/>
      <c r="S2418" s="59"/>
      <c r="T2418" s="16" t="str">
        <f>IF(T2415="","","Срок сдачи"&amp;": ")</f>
        <v/>
      </c>
      <c r="U2418" s="64" t="str">
        <f>IFERROR(VLOOKUP(S$13&amp;$B2418,Aux!$B:$M,6,0),"")</f>
        <v/>
      </c>
      <c r="V2418" s="64"/>
      <c r="W2418" s="63"/>
      <c r="AA2418" s="59"/>
      <c r="AB2418" s="16" t="str">
        <f>IF(AB2415="","","Срок сдачи"&amp;": ")</f>
        <v/>
      </c>
      <c r="AC2418" s="64" t="str">
        <f>IFERROR(VLOOKUP(AA$13&amp;$B2418,Aux!$B:$M,6,0),"")</f>
        <v/>
      </c>
      <c r="AD2418" s="64"/>
      <c r="AE2418" s="63"/>
    </row>
    <row r="2419" spans="2:31" x14ac:dyDescent="0.25">
      <c r="B2419" s="53">
        <f t="shared" si="37"/>
        <v>481</v>
      </c>
      <c r="C2419" s="7"/>
      <c r="D2419" s="17"/>
      <c r="E2419" s="7"/>
      <c r="F2419" s="18"/>
      <c r="G2419" s="18"/>
      <c r="K2419" s="13"/>
      <c r="L2419" s="17"/>
      <c r="M2419" s="13"/>
      <c r="N2419" s="14"/>
      <c r="O2419" s="14"/>
      <c r="S2419" s="13"/>
      <c r="T2419" s="17"/>
      <c r="U2419" s="13"/>
      <c r="V2419" s="14"/>
      <c r="W2419" s="14"/>
      <c r="AA2419" s="13"/>
      <c r="AB2419" s="17"/>
      <c r="AC2419" s="13"/>
      <c r="AD2419" s="14"/>
      <c r="AE2419" s="30"/>
    </row>
    <row r="2420" spans="2:31" x14ac:dyDescent="0.25">
      <c r="B2420" s="53">
        <f t="shared" si="37"/>
        <v>482</v>
      </c>
      <c r="C2420" s="59" t="str">
        <f>IFERROR(VLOOKUP(C$13&amp;$B2424,Aux!$B:$M,5,0),"")</f>
        <v/>
      </c>
      <c r="D2420" s="60" t="str">
        <f>IFERROR(VLOOKUP(C$13&amp;$B2420,Aux!$B:$M,3,0),"")</f>
        <v/>
      </c>
      <c r="E2420" s="60"/>
      <c r="F2420" s="60"/>
      <c r="G2420" s="61" t="str">
        <f>IFERROR(VLOOKUP(C$13&amp;$B2420,Aux!$B:$M,9,0),"")</f>
        <v/>
      </c>
      <c r="K2420" s="59" t="str">
        <f>IFERROR(VLOOKUP(K$13&amp;$B2424,Aux!$B:$M,5,0),"")</f>
        <v/>
      </c>
      <c r="L2420" s="60" t="str">
        <f>IFERROR(VLOOKUP(K$13&amp;$B2420,Aux!$B:$M,3,0),"")</f>
        <v/>
      </c>
      <c r="M2420" s="60"/>
      <c r="N2420" s="60"/>
      <c r="O2420" s="61" t="str">
        <f>IFERROR(VLOOKUP(K$13&amp;$B2420,Aux!$B:$M,9,0),"")</f>
        <v/>
      </c>
      <c r="S2420" s="59" t="str">
        <f>IFERROR(VLOOKUP(S$13&amp;$B2424,Aux!$B:$M,5,0),"")</f>
        <v/>
      </c>
      <c r="T2420" s="60" t="str">
        <f>IFERROR(VLOOKUP(S$13&amp;$B2420,Aux!$B:$M,3,0),"")</f>
        <v/>
      </c>
      <c r="U2420" s="60"/>
      <c r="V2420" s="60"/>
      <c r="W2420" s="61" t="str">
        <f>IFERROR(VLOOKUP(S$13&amp;$B2420,Aux!$B:$M,9,0),"")</f>
        <v/>
      </c>
      <c r="AA2420" s="59" t="str">
        <f>IFERROR(VLOOKUP(AA$13&amp;$B2424,Aux!$B:$M,5,0),"")</f>
        <v/>
      </c>
      <c r="AB2420" s="60" t="str">
        <f>IFERROR(VLOOKUP(AA$13&amp;$B2420,Aux!$B:$M,3,0),"")</f>
        <v/>
      </c>
      <c r="AC2420" s="60"/>
      <c r="AD2420" s="60"/>
      <c r="AE2420" s="61" t="str">
        <f>IFERROR(VLOOKUP(AA$13&amp;$B2420,Aux!$B:$M,9,0),"")</f>
        <v/>
      </c>
    </row>
    <row r="2421" spans="2:31" x14ac:dyDescent="0.25">
      <c r="B2421" s="53">
        <f t="shared" si="37"/>
        <v>482</v>
      </c>
      <c r="C2421" s="59"/>
      <c r="D2421" s="60"/>
      <c r="E2421" s="60"/>
      <c r="F2421" s="60"/>
      <c r="G2421" s="61"/>
      <c r="K2421" s="59"/>
      <c r="L2421" s="60"/>
      <c r="M2421" s="60"/>
      <c r="N2421" s="60"/>
      <c r="O2421" s="61"/>
      <c r="S2421" s="59"/>
      <c r="T2421" s="60"/>
      <c r="U2421" s="60"/>
      <c r="V2421" s="60"/>
      <c r="W2421" s="61"/>
      <c r="AA2421" s="59"/>
      <c r="AB2421" s="60"/>
      <c r="AC2421" s="60"/>
      <c r="AD2421" s="60"/>
      <c r="AE2421" s="61"/>
    </row>
    <row r="2422" spans="2:31" x14ac:dyDescent="0.25">
      <c r="B2422" s="53">
        <f t="shared" si="37"/>
        <v>482</v>
      </c>
      <c r="C2422" s="59"/>
      <c r="D2422" s="15" t="str">
        <f>IF(D2420="","","Исполнитель"&amp;": ")</f>
        <v/>
      </c>
      <c r="E2422" s="62" t="str">
        <f>IFERROR(VLOOKUP(C$13&amp;$B2422,Aux!$B:$M,4,0),"")</f>
        <v/>
      </c>
      <c r="F2422" s="62"/>
      <c r="G2422" s="63" t="str">
        <f>IFERROR(IF(VLOOKUP(C$13&amp;$B2420,Aux!$B:$M,8,0)="Да","✔","🕓"),"")</f>
        <v/>
      </c>
      <c r="K2422" s="59"/>
      <c r="L2422" s="15" t="str">
        <f>IF(L2420="","","Исполнитель"&amp;": ")</f>
        <v/>
      </c>
      <c r="M2422" s="62" t="str">
        <f>IFERROR(VLOOKUP(K$13&amp;$B2422,Aux!$B:$M,4,0),"")</f>
        <v/>
      </c>
      <c r="N2422" s="62"/>
      <c r="O2422" s="63" t="str">
        <f>IFERROR(IF(VLOOKUP(K$13&amp;$B2420,Aux!$B:$M,8,0)="Да","✔","🕓"),"")</f>
        <v/>
      </c>
      <c r="S2422" s="59"/>
      <c r="T2422" s="15" t="str">
        <f>IF(T2420="","","Исполнитель"&amp;": ")</f>
        <v/>
      </c>
      <c r="U2422" s="62" t="str">
        <f>IFERROR(VLOOKUP(S$13&amp;$B2422,Aux!$B:$M,4,0),"")</f>
        <v/>
      </c>
      <c r="V2422" s="62"/>
      <c r="W2422" s="63" t="str">
        <f>IFERROR(IF(VLOOKUP(S$13&amp;$B2420,Aux!$B:$M,8,0)="Да","✔","🕓"),"")</f>
        <v/>
      </c>
      <c r="AA2422" s="59"/>
      <c r="AB2422" s="15" t="str">
        <f>IF(AB2420="","","Исполнитель"&amp;": ")</f>
        <v/>
      </c>
      <c r="AC2422" s="62" t="str">
        <f>IFERROR(VLOOKUP(AA$13&amp;$B2422,Aux!$B:$M,4,0),"")</f>
        <v/>
      </c>
      <c r="AD2422" s="62"/>
      <c r="AE2422" s="63" t="str">
        <f>IFERROR(IF(VLOOKUP(AA$13&amp;$B2420,Aux!$B:$M,8,0)="Да","✔","🕓"),"")</f>
        <v/>
      </c>
    </row>
    <row r="2423" spans="2:31" x14ac:dyDescent="0.25">
      <c r="B2423" s="53">
        <f t="shared" si="37"/>
        <v>482</v>
      </c>
      <c r="C2423" s="59"/>
      <c r="D2423" s="16" t="str">
        <f>IF(D2420="","","Срок сдачи"&amp;": ")</f>
        <v/>
      </c>
      <c r="E2423" s="64" t="str">
        <f>IFERROR(VLOOKUP(C$13&amp;$B2423,Aux!$B:$M,6,0),"")</f>
        <v/>
      </c>
      <c r="F2423" s="64"/>
      <c r="G2423" s="63"/>
      <c r="K2423" s="59"/>
      <c r="L2423" s="16" t="str">
        <f>IF(L2420="","","Срок сдачи"&amp;": ")</f>
        <v/>
      </c>
      <c r="M2423" s="64" t="str">
        <f>IFERROR(VLOOKUP(K$13&amp;$B2423,Aux!$B:$M,6,0),"")</f>
        <v/>
      </c>
      <c r="N2423" s="64"/>
      <c r="O2423" s="63"/>
      <c r="S2423" s="59"/>
      <c r="T2423" s="16" t="str">
        <f>IF(T2420="","","Срок сдачи"&amp;": ")</f>
        <v/>
      </c>
      <c r="U2423" s="64" t="str">
        <f>IFERROR(VLOOKUP(S$13&amp;$B2423,Aux!$B:$M,6,0),"")</f>
        <v/>
      </c>
      <c r="V2423" s="64"/>
      <c r="W2423" s="63"/>
      <c r="AA2423" s="59"/>
      <c r="AB2423" s="16" t="str">
        <f>IF(AB2420="","","Срок сдачи"&amp;": ")</f>
        <v/>
      </c>
      <c r="AC2423" s="64" t="str">
        <f>IFERROR(VLOOKUP(AA$13&amp;$B2423,Aux!$B:$M,6,0),"")</f>
        <v/>
      </c>
      <c r="AD2423" s="64"/>
      <c r="AE2423" s="63"/>
    </row>
    <row r="2424" spans="2:31" x14ac:dyDescent="0.25">
      <c r="B2424" s="53">
        <f t="shared" si="37"/>
        <v>482</v>
      </c>
      <c r="C2424" s="7"/>
      <c r="D2424" s="17"/>
      <c r="E2424" s="7"/>
      <c r="F2424" s="18"/>
      <c r="G2424" s="18"/>
      <c r="K2424" s="13"/>
      <c r="L2424" s="17"/>
      <c r="M2424" s="13"/>
      <c r="N2424" s="14"/>
      <c r="O2424" s="14"/>
      <c r="S2424" s="13"/>
      <c r="T2424" s="17"/>
      <c r="U2424" s="13"/>
      <c r="V2424" s="14"/>
      <c r="W2424" s="14"/>
      <c r="AA2424" s="13"/>
      <c r="AB2424" s="17"/>
      <c r="AC2424" s="13"/>
      <c r="AD2424" s="14"/>
      <c r="AE2424" s="30"/>
    </row>
    <row r="2425" spans="2:31" x14ac:dyDescent="0.25">
      <c r="B2425" s="53">
        <f t="shared" si="37"/>
        <v>483</v>
      </c>
      <c r="C2425" s="59" t="str">
        <f>IFERROR(VLOOKUP(C$13&amp;$B2429,Aux!$B:$M,5,0),"")</f>
        <v/>
      </c>
      <c r="D2425" s="60" t="str">
        <f>IFERROR(VLOOKUP(C$13&amp;$B2425,Aux!$B:$M,3,0),"")</f>
        <v/>
      </c>
      <c r="E2425" s="60"/>
      <c r="F2425" s="60"/>
      <c r="G2425" s="61" t="str">
        <f>IFERROR(VLOOKUP(C$13&amp;$B2425,Aux!$B:$M,9,0),"")</f>
        <v/>
      </c>
      <c r="K2425" s="59" t="str">
        <f>IFERROR(VLOOKUP(K$13&amp;$B2429,Aux!$B:$M,5,0),"")</f>
        <v/>
      </c>
      <c r="L2425" s="60" t="str">
        <f>IFERROR(VLOOKUP(K$13&amp;$B2425,Aux!$B:$M,3,0),"")</f>
        <v/>
      </c>
      <c r="M2425" s="60"/>
      <c r="N2425" s="60"/>
      <c r="O2425" s="61" t="str">
        <f>IFERROR(VLOOKUP(K$13&amp;$B2425,Aux!$B:$M,9,0),"")</f>
        <v/>
      </c>
      <c r="S2425" s="59" t="str">
        <f>IFERROR(VLOOKUP(S$13&amp;$B2429,Aux!$B:$M,5,0),"")</f>
        <v/>
      </c>
      <c r="T2425" s="60" t="str">
        <f>IFERROR(VLOOKUP(S$13&amp;$B2425,Aux!$B:$M,3,0),"")</f>
        <v/>
      </c>
      <c r="U2425" s="60"/>
      <c r="V2425" s="60"/>
      <c r="W2425" s="61" t="str">
        <f>IFERROR(VLOOKUP(S$13&amp;$B2425,Aux!$B:$M,9,0),"")</f>
        <v/>
      </c>
      <c r="AA2425" s="59" t="str">
        <f>IFERROR(VLOOKUP(AA$13&amp;$B2429,Aux!$B:$M,5,0),"")</f>
        <v/>
      </c>
      <c r="AB2425" s="60" t="str">
        <f>IFERROR(VLOOKUP(AA$13&amp;$B2425,Aux!$B:$M,3,0),"")</f>
        <v/>
      </c>
      <c r="AC2425" s="60"/>
      <c r="AD2425" s="60"/>
      <c r="AE2425" s="61" t="str">
        <f>IFERROR(VLOOKUP(AA$13&amp;$B2425,Aux!$B:$M,9,0),"")</f>
        <v/>
      </c>
    </row>
    <row r="2426" spans="2:31" x14ac:dyDescent="0.25">
      <c r="B2426" s="53">
        <f t="shared" si="37"/>
        <v>483</v>
      </c>
      <c r="C2426" s="59"/>
      <c r="D2426" s="60"/>
      <c r="E2426" s="60"/>
      <c r="F2426" s="60"/>
      <c r="G2426" s="61"/>
      <c r="K2426" s="59"/>
      <c r="L2426" s="60"/>
      <c r="M2426" s="60"/>
      <c r="N2426" s="60"/>
      <c r="O2426" s="61"/>
      <c r="S2426" s="59"/>
      <c r="T2426" s="60"/>
      <c r="U2426" s="60"/>
      <c r="V2426" s="60"/>
      <c r="W2426" s="61"/>
      <c r="AA2426" s="59"/>
      <c r="AB2426" s="60"/>
      <c r="AC2426" s="60"/>
      <c r="AD2426" s="60"/>
      <c r="AE2426" s="61"/>
    </row>
    <row r="2427" spans="2:31" x14ac:dyDescent="0.25">
      <c r="B2427" s="53">
        <f t="shared" si="37"/>
        <v>483</v>
      </c>
      <c r="C2427" s="59"/>
      <c r="D2427" s="15" t="str">
        <f>IF(D2425="","","Исполнитель"&amp;": ")</f>
        <v/>
      </c>
      <c r="E2427" s="62" t="str">
        <f>IFERROR(VLOOKUP(C$13&amp;$B2427,Aux!$B:$M,4,0),"")</f>
        <v/>
      </c>
      <c r="F2427" s="62"/>
      <c r="G2427" s="63" t="str">
        <f>IFERROR(IF(VLOOKUP(C$13&amp;$B2425,Aux!$B:$M,8,0)="Да","✔","🕓"),"")</f>
        <v/>
      </c>
      <c r="K2427" s="59"/>
      <c r="L2427" s="15" t="str">
        <f>IF(L2425="","","Исполнитель"&amp;": ")</f>
        <v/>
      </c>
      <c r="M2427" s="62" t="str">
        <f>IFERROR(VLOOKUP(K$13&amp;$B2427,Aux!$B:$M,4,0),"")</f>
        <v/>
      </c>
      <c r="N2427" s="62"/>
      <c r="O2427" s="63" t="str">
        <f>IFERROR(IF(VLOOKUP(K$13&amp;$B2425,Aux!$B:$M,8,0)="Да","✔","🕓"),"")</f>
        <v/>
      </c>
      <c r="S2427" s="59"/>
      <c r="T2427" s="15" t="str">
        <f>IF(T2425="","","Исполнитель"&amp;": ")</f>
        <v/>
      </c>
      <c r="U2427" s="62" t="str">
        <f>IFERROR(VLOOKUP(S$13&amp;$B2427,Aux!$B:$M,4,0),"")</f>
        <v/>
      </c>
      <c r="V2427" s="62"/>
      <c r="W2427" s="63" t="str">
        <f>IFERROR(IF(VLOOKUP(S$13&amp;$B2425,Aux!$B:$M,8,0)="Да","✔","🕓"),"")</f>
        <v/>
      </c>
      <c r="AA2427" s="59"/>
      <c r="AB2427" s="15" t="str">
        <f>IF(AB2425="","","Исполнитель"&amp;": ")</f>
        <v/>
      </c>
      <c r="AC2427" s="62" t="str">
        <f>IFERROR(VLOOKUP(AA$13&amp;$B2427,Aux!$B:$M,4,0),"")</f>
        <v/>
      </c>
      <c r="AD2427" s="62"/>
      <c r="AE2427" s="63" t="str">
        <f>IFERROR(IF(VLOOKUP(AA$13&amp;$B2425,Aux!$B:$M,8,0)="Да","✔","🕓"),"")</f>
        <v/>
      </c>
    </row>
    <row r="2428" spans="2:31" x14ac:dyDescent="0.25">
      <c r="B2428" s="53">
        <f t="shared" si="37"/>
        <v>483</v>
      </c>
      <c r="C2428" s="59"/>
      <c r="D2428" s="16" t="str">
        <f>IF(D2425="","","Срок сдачи"&amp;": ")</f>
        <v/>
      </c>
      <c r="E2428" s="64" t="str">
        <f>IFERROR(VLOOKUP(C$13&amp;$B2428,Aux!$B:$M,6,0),"")</f>
        <v/>
      </c>
      <c r="F2428" s="64"/>
      <c r="G2428" s="63"/>
      <c r="K2428" s="59"/>
      <c r="L2428" s="16" t="str">
        <f>IF(L2425="","","Срок сдачи"&amp;": ")</f>
        <v/>
      </c>
      <c r="M2428" s="64" t="str">
        <f>IFERROR(VLOOKUP(K$13&amp;$B2428,Aux!$B:$M,6,0),"")</f>
        <v/>
      </c>
      <c r="N2428" s="64"/>
      <c r="O2428" s="63"/>
      <c r="S2428" s="59"/>
      <c r="T2428" s="16" t="str">
        <f>IF(T2425="","","Срок сдачи"&amp;": ")</f>
        <v/>
      </c>
      <c r="U2428" s="64" t="str">
        <f>IFERROR(VLOOKUP(S$13&amp;$B2428,Aux!$B:$M,6,0),"")</f>
        <v/>
      </c>
      <c r="V2428" s="64"/>
      <c r="W2428" s="63"/>
      <c r="AA2428" s="59"/>
      <c r="AB2428" s="16" t="str">
        <f>IF(AB2425="","","Срок сдачи"&amp;": ")</f>
        <v/>
      </c>
      <c r="AC2428" s="64" t="str">
        <f>IFERROR(VLOOKUP(AA$13&amp;$B2428,Aux!$B:$M,6,0),"")</f>
        <v/>
      </c>
      <c r="AD2428" s="64"/>
      <c r="AE2428" s="63"/>
    </row>
    <row r="2429" spans="2:31" x14ac:dyDescent="0.25">
      <c r="B2429" s="53">
        <f t="shared" si="37"/>
        <v>483</v>
      </c>
      <c r="C2429" s="7"/>
      <c r="D2429" s="17"/>
      <c r="E2429" s="7"/>
      <c r="F2429" s="18"/>
      <c r="G2429" s="18"/>
      <c r="K2429" s="13"/>
      <c r="L2429" s="17"/>
      <c r="M2429" s="13"/>
      <c r="N2429" s="14"/>
      <c r="O2429" s="14"/>
      <c r="S2429" s="13"/>
      <c r="T2429" s="17"/>
      <c r="U2429" s="13"/>
      <c r="V2429" s="14"/>
      <c r="W2429" s="14"/>
      <c r="AA2429" s="13"/>
      <c r="AB2429" s="17"/>
      <c r="AC2429" s="13"/>
      <c r="AD2429" s="14"/>
      <c r="AE2429" s="30"/>
    </row>
    <row r="2430" spans="2:31" x14ac:dyDescent="0.25">
      <c r="B2430" s="53">
        <f t="shared" si="37"/>
        <v>484</v>
      </c>
      <c r="C2430" s="59" t="str">
        <f>IFERROR(VLOOKUP(C$13&amp;$B2434,Aux!$B:$M,5,0),"")</f>
        <v/>
      </c>
      <c r="D2430" s="60" t="str">
        <f>IFERROR(VLOOKUP(C$13&amp;$B2430,Aux!$B:$M,3,0),"")</f>
        <v/>
      </c>
      <c r="E2430" s="60"/>
      <c r="F2430" s="60"/>
      <c r="G2430" s="61" t="str">
        <f>IFERROR(VLOOKUP(C$13&amp;$B2430,Aux!$B:$M,9,0),"")</f>
        <v/>
      </c>
      <c r="K2430" s="59" t="str">
        <f>IFERROR(VLOOKUP(K$13&amp;$B2434,Aux!$B:$M,5,0),"")</f>
        <v/>
      </c>
      <c r="L2430" s="60" t="str">
        <f>IFERROR(VLOOKUP(K$13&amp;$B2430,Aux!$B:$M,3,0),"")</f>
        <v/>
      </c>
      <c r="M2430" s="60"/>
      <c r="N2430" s="60"/>
      <c r="O2430" s="61" t="str">
        <f>IFERROR(VLOOKUP(K$13&amp;$B2430,Aux!$B:$M,9,0),"")</f>
        <v/>
      </c>
      <c r="S2430" s="59" t="str">
        <f>IFERROR(VLOOKUP(S$13&amp;$B2434,Aux!$B:$M,5,0),"")</f>
        <v/>
      </c>
      <c r="T2430" s="60" t="str">
        <f>IFERROR(VLOOKUP(S$13&amp;$B2430,Aux!$B:$M,3,0),"")</f>
        <v/>
      </c>
      <c r="U2430" s="60"/>
      <c r="V2430" s="60"/>
      <c r="W2430" s="61" t="str">
        <f>IFERROR(VLOOKUP(S$13&amp;$B2430,Aux!$B:$M,9,0),"")</f>
        <v/>
      </c>
      <c r="AA2430" s="59" t="str">
        <f>IFERROR(VLOOKUP(AA$13&amp;$B2434,Aux!$B:$M,5,0),"")</f>
        <v/>
      </c>
      <c r="AB2430" s="60" t="str">
        <f>IFERROR(VLOOKUP(AA$13&amp;$B2430,Aux!$B:$M,3,0),"")</f>
        <v/>
      </c>
      <c r="AC2430" s="60"/>
      <c r="AD2430" s="60"/>
      <c r="AE2430" s="61" t="str">
        <f>IFERROR(VLOOKUP(AA$13&amp;$B2430,Aux!$B:$M,9,0),"")</f>
        <v/>
      </c>
    </row>
    <row r="2431" spans="2:31" x14ac:dyDescent="0.25">
      <c r="B2431" s="53">
        <f t="shared" si="37"/>
        <v>484</v>
      </c>
      <c r="C2431" s="59"/>
      <c r="D2431" s="60"/>
      <c r="E2431" s="60"/>
      <c r="F2431" s="60"/>
      <c r="G2431" s="61"/>
      <c r="K2431" s="59"/>
      <c r="L2431" s="60"/>
      <c r="M2431" s="60"/>
      <c r="N2431" s="60"/>
      <c r="O2431" s="61"/>
      <c r="S2431" s="59"/>
      <c r="T2431" s="60"/>
      <c r="U2431" s="60"/>
      <c r="V2431" s="60"/>
      <c r="W2431" s="61"/>
      <c r="AA2431" s="59"/>
      <c r="AB2431" s="60"/>
      <c r="AC2431" s="60"/>
      <c r="AD2431" s="60"/>
      <c r="AE2431" s="61"/>
    </row>
    <row r="2432" spans="2:31" x14ac:dyDescent="0.25">
      <c r="B2432" s="53">
        <f t="shared" si="37"/>
        <v>484</v>
      </c>
      <c r="C2432" s="59"/>
      <c r="D2432" s="15" t="str">
        <f>IF(D2430="","","Исполнитель"&amp;": ")</f>
        <v/>
      </c>
      <c r="E2432" s="62" t="str">
        <f>IFERROR(VLOOKUP(C$13&amp;$B2432,Aux!$B:$M,4,0),"")</f>
        <v/>
      </c>
      <c r="F2432" s="62"/>
      <c r="G2432" s="63" t="str">
        <f>IFERROR(IF(VLOOKUP(C$13&amp;$B2430,Aux!$B:$M,8,0)="Да","✔","🕓"),"")</f>
        <v/>
      </c>
      <c r="K2432" s="59"/>
      <c r="L2432" s="15" t="str">
        <f>IF(L2430="","","Исполнитель"&amp;": ")</f>
        <v/>
      </c>
      <c r="M2432" s="62" t="str">
        <f>IFERROR(VLOOKUP(K$13&amp;$B2432,Aux!$B:$M,4,0),"")</f>
        <v/>
      </c>
      <c r="N2432" s="62"/>
      <c r="O2432" s="63" t="str">
        <f>IFERROR(IF(VLOOKUP(K$13&amp;$B2430,Aux!$B:$M,8,0)="Да","✔","🕓"),"")</f>
        <v/>
      </c>
      <c r="S2432" s="59"/>
      <c r="T2432" s="15" t="str">
        <f>IF(T2430="","","Исполнитель"&amp;": ")</f>
        <v/>
      </c>
      <c r="U2432" s="62" t="str">
        <f>IFERROR(VLOOKUP(S$13&amp;$B2432,Aux!$B:$M,4,0),"")</f>
        <v/>
      </c>
      <c r="V2432" s="62"/>
      <c r="W2432" s="63" t="str">
        <f>IFERROR(IF(VLOOKUP(S$13&amp;$B2430,Aux!$B:$M,8,0)="Да","✔","🕓"),"")</f>
        <v/>
      </c>
      <c r="AA2432" s="59"/>
      <c r="AB2432" s="15" t="str">
        <f>IF(AB2430="","","Исполнитель"&amp;": ")</f>
        <v/>
      </c>
      <c r="AC2432" s="62" t="str">
        <f>IFERROR(VLOOKUP(AA$13&amp;$B2432,Aux!$B:$M,4,0),"")</f>
        <v/>
      </c>
      <c r="AD2432" s="62"/>
      <c r="AE2432" s="63" t="str">
        <f>IFERROR(IF(VLOOKUP(AA$13&amp;$B2430,Aux!$B:$M,8,0)="Да","✔","🕓"),"")</f>
        <v/>
      </c>
    </row>
    <row r="2433" spans="2:31" x14ac:dyDescent="0.25">
      <c r="B2433" s="53">
        <f t="shared" si="37"/>
        <v>484</v>
      </c>
      <c r="C2433" s="59"/>
      <c r="D2433" s="16" t="str">
        <f>IF(D2430="","","Срок сдачи"&amp;": ")</f>
        <v/>
      </c>
      <c r="E2433" s="64" t="str">
        <f>IFERROR(VLOOKUP(C$13&amp;$B2433,Aux!$B:$M,6,0),"")</f>
        <v/>
      </c>
      <c r="F2433" s="64"/>
      <c r="G2433" s="63"/>
      <c r="K2433" s="59"/>
      <c r="L2433" s="16" t="str">
        <f>IF(L2430="","","Срок сдачи"&amp;": ")</f>
        <v/>
      </c>
      <c r="M2433" s="64" t="str">
        <f>IFERROR(VLOOKUP(K$13&amp;$B2433,Aux!$B:$M,6,0),"")</f>
        <v/>
      </c>
      <c r="N2433" s="64"/>
      <c r="O2433" s="63"/>
      <c r="S2433" s="59"/>
      <c r="T2433" s="16" t="str">
        <f>IF(T2430="","","Срок сдачи"&amp;": ")</f>
        <v/>
      </c>
      <c r="U2433" s="64" t="str">
        <f>IFERROR(VLOOKUP(S$13&amp;$B2433,Aux!$B:$M,6,0),"")</f>
        <v/>
      </c>
      <c r="V2433" s="64"/>
      <c r="W2433" s="63"/>
      <c r="AA2433" s="59"/>
      <c r="AB2433" s="16" t="str">
        <f>IF(AB2430="","","Срок сдачи"&amp;": ")</f>
        <v/>
      </c>
      <c r="AC2433" s="64" t="str">
        <f>IFERROR(VLOOKUP(AA$13&amp;$B2433,Aux!$B:$M,6,0),"")</f>
        <v/>
      </c>
      <c r="AD2433" s="64"/>
      <c r="AE2433" s="63"/>
    </row>
    <row r="2434" spans="2:31" x14ac:dyDescent="0.25">
      <c r="B2434" s="53">
        <f t="shared" si="37"/>
        <v>484</v>
      </c>
      <c r="C2434" s="7"/>
      <c r="D2434" s="17"/>
      <c r="E2434" s="7"/>
      <c r="F2434" s="18"/>
      <c r="G2434" s="18"/>
      <c r="K2434" s="13"/>
      <c r="L2434" s="17"/>
      <c r="M2434" s="13"/>
      <c r="N2434" s="14"/>
      <c r="O2434" s="14"/>
      <c r="S2434" s="13"/>
      <c r="T2434" s="17"/>
      <c r="U2434" s="13"/>
      <c r="V2434" s="14"/>
      <c r="W2434" s="14"/>
      <c r="AA2434" s="13"/>
      <c r="AB2434" s="17"/>
      <c r="AC2434" s="13"/>
      <c r="AD2434" s="14"/>
      <c r="AE2434" s="30"/>
    </row>
    <row r="2435" spans="2:31" x14ac:dyDescent="0.25">
      <c r="B2435" s="53">
        <f t="shared" si="37"/>
        <v>485</v>
      </c>
      <c r="C2435" s="59" t="str">
        <f>IFERROR(VLOOKUP(C$13&amp;$B2439,Aux!$B:$M,5,0),"")</f>
        <v/>
      </c>
      <c r="D2435" s="60" t="str">
        <f>IFERROR(VLOOKUP(C$13&amp;$B2435,Aux!$B:$M,3,0),"")</f>
        <v/>
      </c>
      <c r="E2435" s="60"/>
      <c r="F2435" s="60"/>
      <c r="G2435" s="61" t="str">
        <f>IFERROR(VLOOKUP(C$13&amp;$B2435,Aux!$B:$M,9,0),"")</f>
        <v/>
      </c>
      <c r="K2435" s="59" t="str">
        <f>IFERROR(VLOOKUP(K$13&amp;$B2439,Aux!$B:$M,5,0),"")</f>
        <v/>
      </c>
      <c r="L2435" s="60" t="str">
        <f>IFERROR(VLOOKUP(K$13&amp;$B2435,Aux!$B:$M,3,0),"")</f>
        <v/>
      </c>
      <c r="M2435" s="60"/>
      <c r="N2435" s="60"/>
      <c r="O2435" s="61" t="str">
        <f>IFERROR(VLOOKUP(K$13&amp;$B2435,Aux!$B:$M,9,0),"")</f>
        <v/>
      </c>
      <c r="S2435" s="59" t="str">
        <f>IFERROR(VLOOKUP(S$13&amp;$B2439,Aux!$B:$M,5,0),"")</f>
        <v/>
      </c>
      <c r="T2435" s="60" t="str">
        <f>IFERROR(VLOOKUP(S$13&amp;$B2435,Aux!$B:$M,3,0),"")</f>
        <v/>
      </c>
      <c r="U2435" s="60"/>
      <c r="V2435" s="60"/>
      <c r="W2435" s="61" t="str">
        <f>IFERROR(VLOOKUP(S$13&amp;$B2435,Aux!$B:$M,9,0),"")</f>
        <v/>
      </c>
      <c r="AA2435" s="59" t="str">
        <f>IFERROR(VLOOKUP(AA$13&amp;$B2439,Aux!$B:$M,5,0),"")</f>
        <v/>
      </c>
      <c r="AB2435" s="60" t="str">
        <f>IFERROR(VLOOKUP(AA$13&amp;$B2435,Aux!$B:$M,3,0),"")</f>
        <v/>
      </c>
      <c r="AC2435" s="60"/>
      <c r="AD2435" s="60"/>
      <c r="AE2435" s="61" t="str">
        <f>IFERROR(VLOOKUP(AA$13&amp;$B2435,Aux!$B:$M,9,0),"")</f>
        <v/>
      </c>
    </row>
    <row r="2436" spans="2:31" x14ac:dyDescent="0.25">
      <c r="B2436" s="53">
        <f t="shared" si="37"/>
        <v>485</v>
      </c>
      <c r="C2436" s="59"/>
      <c r="D2436" s="60"/>
      <c r="E2436" s="60"/>
      <c r="F2436" s="60"/>
      <c r="G2436" s="61"/>
      <c r="K2436" s="59"/>
      <c r="L2436" s="60"/>
      <c r="M2436" s="60"/>
      <c r="N2436" s="60"/>
      <c r="O2436" s="61"/>
      <c r="S2436" s="59"/>
      <c r="T2436" s="60"/>
      <c r="U2436" s="60"/>
      <c r="V2436" s="60"/>
      <c r="W2436" s="61"/>
      <c r="AA2436" s="59"/>
      <c r="AB2436" s="60"/>
      <c r="AC2436" s="60"/>
      <c r="AD2436" s="60"/>
      <c r="AE2436" s="61"/>
    </row>
    <row r="2437" spans="2:31" x14ac:dyDescent="0.25">
      <c r="B2437" s="53">
        <f t="shared" si="37"/>
        <v>485</v>
      </c>
      <c r="C2437" s="59"/>
      <c r="D2437" s="15" t="str">
        <f>IF(D2435="","","Исполнитель"&amp;": ")</f>
        <v/>
      </c>
      <c r="E2437" s="62" t="str">
        <f>IFERROR(VLOOKUP(C$13&amp;$B2437,Aux!$B:$M,4,0),"")</f>
        <v/>
      </c>
      <c r="F2437" s="62"/>
      <c r="G2437" s="63" t="str">
        <f>IFERROR(IF(VLOOKUP(C$13&amp;$B2435,Aux!$B:$M,8,0)="Да","✔","🕓"),"")</f>
        <v/>
      </c>
      <c r="K2437" s="59"/>
      <c r="L2437" s="15" t="str">
        <f>IF(L2435="","","Исполнитель"&amp;": ")</f>
        <v/>
      </c>
      <c r="M2437" s="62" t="str">
        <f>IFERROR(VLOOKUP(K$13&amp;$B2437,Aux!$B:$M,4,0),"")</f>
        <v/>
      </c>
      <c r="N2437" s="62"/>
      <c r="O2437" s="63" t="str">
        <f>IFERROR(IF(VLOOKUP(K$13&amp;$B2435,Aux!$B:$M,8,0)="Да","✔","🕓"),"")</f>
        <v/>
      </c>
      <c r="S2437" s="59"/>
      <c r="T2437" s="15" t="str">
        <f>IF(T2435="","","Исполнитель"&amp;": ")</f>
        <v/>
      </c>
      <c r="U2437" s="62" t="str">
        <f>IFERROR(VLOOKUP(S$13&amp;$B2437,Aux!$B:$M,4,0),"")</f>
        <v/>
      </c>
      <c r="V2437" s="62"/>
      <c r="W2437" s="63" t="str">
        <f>IFERROR(IF(VLOOKUP(S$13&amp;$B2435,Aux!$B:$M,8,0)="Да","✔","🕓"),"")</f>
        <v/>
      </c>
      <c r="AA2437" s="59"/>
      <c r="AB2437" s="15" t="str">
        <f>IF(AB2435="","","Исполнитель"&amp;": ")</f>
        <v/>
      </c>
      <c r="AC2437" s="62" t="str">
        <f>IFERROR(VLOOKUP(AA$13&amp;$B2437,Aux!$B:$M,4,0),"")</f>
        <v/>
      </c>
      <c r="AD2437" s="62"/>
      <c r="AE2437" s="63" t="str">
        <f>IFERROR(IF(VLOOKUP(AA$13&amp;$B2435,Aux!$B:$M,8,0)="Да","✔","🕓"),"")</f>
        <v/>
      </c>
    </row>
    <row r="2438" spans="2:31" x14ac:dyDescent="0.25">
      <c r="B2438" s="53">
        <f t="shared" si="37"/>
        <v>485</v>
      </c>
      <c r="C2438" s="59"/>
      <c r="D2438" s="16" t="str">
        <f>IF(D2435="","","Срок сдачи"&amp;": ")</f>
        <v/>
      </c>
      <c r="E2438" s="64" t="str">
        <f>IFERROR(VLOOKUP(C$13&amp;$B2438,Aux!$B:$M,6,0),"")</f>
        <v/>
      </c>
      <c r="F2438" s="64"/>
      <c r="G2438" s="63"/>
      <c r="K2438" s="59"/>
      <c r="L2438" s="16" t="str">
        <f>IF(L2435="","","Срок сдачи"&amp;": ")</f>
        <v/>
      </c>
      <c r="M2438" s="64" t="str">
        <f>IFERROR(VLOOKUP(K$13&amp;$B2438,Aux!$B:$M,6,0),"")</f>
        <v/>
      </c>
      <c r="N2438" s="64"/>
      <c r="O2438" s="63"/>
      <c r="S2438" s="59"/>
      <c r="T2438" s="16" t="str">
        <f>IF(T2435="","","Срок сдачи"&amp;": ")</f>
        <v/>
      </c>
      <c r="U2438" s="64" t="str">
        <f>IFERROR(VLOOKUP(S$13&amp;$B2438,Aux!$B:$M,6,0),"")</f>
        <v/>
      </c>
      <c r="V2438" s="64"/>
      <c r="W2438" s="63"/>
      <c r="AA2438" s="59"/>
      <c r="AB2438" s="16" t="str">
        <f>IF(AB2435="","","Срок сдачи"&amp;": ")</f>
        <v/>
      </c>
      <c r="AC2438" s="64" t="str">
        <f>IFERROR(VLOOKUP(AA$13&amp;$B2438,Aux!$B:$M,6,0),"")</f>
        <v/>
      </c>
      <c r="AD2438" s="64"/>
      <c r="AE2438" s="63"/>
    </row>
    <row r="2439" spans="2:31" x14ac:dyDescent="0.25">
      <c r="B2439" s="53">
        <f t="shared" si="37"/>
        <v>485</v>
      </c>
      <c r="C2439" s="7"/>
      <c r="D2439" s="17"/>
      <c r="E2439" s="7"/>
      <c r="F2439" s="18"/>
      <c r="G2439" s="18"/>
      <c r="K2439" s="13"/>
      <c r="L2439" s="17"/>
      <c r="M2439" s="13"/>
      <c r="N2439" s="14"/>
      <c r="O2439" s="14"/>
      <c r="S2439" s="13"/>
      <c r="T2439" s="17"/>
      <c r="U2439" s="13"/>
      <c r="V2439" s="14"/>
      <c r="W2439" s="14"/>
      <c r="AA2439" s="13"/>
      <c r="AB2439" s="17"/>
      <c r="AC2439" s="13"/>
      <c r="AD2439" s="14"/>
      <c r="AE2439" s="30"/>
    </row>
    <row r="2440" spans="2:31" x14ac:dyDescent="0.25">
      <c r="B2440" s="53">
        <f t="shared" si="37"/>
        <v>486</v>
      </c>
      <c r="C2440" s="59" t="str">
        <f>IFERROR(VLOOKUP(C$13&amp;$B2444,Aux!$B:$M,5,0),"")</f>
        <v/>
      </c>
      <c r="D2440" s="60" t="str">
        <f>IFERROR(VLOOKUP(C$13&amp;$B2440,Aux!$B:$M,3,0),"")</f>
        <v/>
      </c>
      <c r="E2440" s="60"/>
      <c r="F2440" s="60"/>
      <c r="G2440" s="61" t="str">
        <f>IFERROR(VLOOKUP(C$13&amp;$B2440,Aux!$B:$M,9,0),"")</f>
        <v/>
      </c>
      <c r="K2440" s="59" t="str">
        <f>IFERROR(VLOOKUP(K$13&amp;$B2444,Aux!$B:$M,5,0),"")</f>
        <v/>
      </c>
      <c r="L2440" s="60" t="str">
        <f>IFERROR(VLOOKUP(K$13&amp;$B2440,Aux!$B:$M,3,0),"")</f>
        <v/>
      </c>
      <c r="M2440" s="60"/>
      <c r="N2440" s="60"/>
      <c r="O2440" s="61" t="str">
        <f>IFERROR(VLOOKUP(K$13&amp;$B2440,Aux!$B:$M,9,0),"")</f>
        <v/>
      </c>
      <c r="S2440" s="59" t="str">
        <f>IFERROR(VLOOKUP(S$13&amp;$B2444,Aux!$B:$M,5,0),"")</f>
        <v/>
      </c>
      <c r="T2440" s="60" t="str">
        <f>IFERROR(VLOOKUP(S$13&amp;$B2440,Aux!$B:$M,3,0),"")</f>
        <v/>
      </c>
      <c r="U2440" s="60"/>
      <c r="V2440" s="60"/>
      <c r="W2440" s="61" t="str">
        <f>IFERROR(VLOOKUP(S$13&amp;$B2440,Aux!$B:$M,9,0),"")</f>
        <v/>
      </c>
      <c r="AA2440" s="59" t="str">
        <f>IFERROR(VLOOKUP(AA$13&amp;$B2444,Aux!$B:$M,5,0),"")</f>
        <v/>
      </c>
      <c r="AB2440" s="60" t="str">
        <f>IFERROR(VLOOKUP(AA$13&amp;$B2440,Aux!$B:$M,3,0),"")</f>
        <v/>
      </c>
      <c r="AC2440" s="60"/>
      <c r="AD2440" s="60"/>
      <c r="AE2440" s="61" t="str">
        <f>IFERROR(VLOOKUP(AA$13&amp;$B2440,Aux!$B:$M,9,0),"")</f>
        <v/>
      </c>
    </row>
    <row r="2441" spans="2:31" x14ac:dyDescent="0.25">
      <c r="B2441" s="53">
        <f t="shared" si="37"/>
        <v>486</v>
      </c>
      <c r="C2441" s="59"/>
      <c r="D2441" s="60"/>
      <c r="E2441" s="60"/>
      <c r="F2441" s="60"/>
      <c r="G2441" s="61"/>
      <c r="K2441" s="59"/>
      <c r="L2441" s="60"/>
      <c r="M2441" s="60"/>
      <c r="N2441" s="60"/>
      <c r="O2441" s="61"/>
      <c r="S2441" s="59"/>
      <c r="T2441" s="60"/>
      <c r="U2441" s="60"/>
      <c r="V2441" s="60"/>
      <c r="W2441" s="61"/>
      <c r="AA2441" s="59"/>
      <c r="AB2441" s="60"/>
      <c r="AC2441" s="60"/>
      <c r="AD2441" s="60"/>
      <c r="AE2441" s="61"/>
    </row>
    <row r="2442" spans="2:31" x14ac:dyDescent="0.25">
      <c r="B2442" s="53">
        <f t="shared" si="37"/>
        <v>486</v>
      </c>
      <c r="C2442" s="59"/>
      <c r="D2442" s="15" t="str">
        <f>IF(D2440="","","Исполнитель"&amp;": ")</f>
        <v/>
      </c>
      <c r="E2442" s="62" t="str">
        <f>IFERROR(VLOOKUP(C$13&amp;$B2442,Aux!$B:$M,4,0),"")</f>
        <v/>
      </c>
      <c r="F2442" s="62"/>
      <c r="G2442" s="63" t="str">
        <f>IFERROR(IF(VLOOKUP(C$13&amp;$B2440,Aux!$B:$M,8,0)="Да","✔","🕓"),"")</f>
        <v/>
      </c>
      <c r="K2442" s="59"/>
      <c r="L2442" s="15" t="str">
        <f>IF(L2440="","","Исполнитель"&amp;": ")</f>
        <v/>
      </c>
      <c r="M2442" s="62" t="str">
        <f>IFERROR(VLOOKUP(K$13&amp;$B2442,Aux!$B:$M,4,0),"")</f>
        <v/>
      </c>
      <c r="N2442" s="62"/>
      <c r="O2442" s="63" t="str">
        <f>IFERROR(IF(VLOOKUP(K$13&amp;$B2440,Aux!$B:$M,8,0)="Да","✔","🕓"),"")</f>
        <v/>
      </c>
      <c r="S2442" s="59"/>
      <c r="T2442" s="15" t="str">
        <f>IF(T2440="","","Исполнитель"&amp;": ")</f>
        <v/>
      </c>
      <c r="U2442" s="62" t="str">
        <f>IFERROR(VLOOKUP(S$13&amp;$B2442,Aux!$B:$M,4,0),"")</f>
        <v/>
      </c>
      <c r="V2442" s="62"/>
      <c r="W2442" s="63" t="str">
        <f>IFERROR(IF(VLOOKUP(S$13&amp;$B2440,Aux!$B:$M,8,0)="Да","✔","🕓"),"")</f>
        <v/>
      </c>
      <c r="AA2442" s="59"/>
      <c r="AB2442" s="15" t="str">
        <f>IF(AB2440="","","Исполнитель"&amp;": ")</f>
        <v/>
      </c>
      <c r="AC2442" s="62" t="str">
        <f>IFERROR(VLOOKUP(AA$13&amp;$B2442,Aux!$B:$M,4,0),"")</f>
        <v/>
      </c>
      <c r="AD2442" s="62"/>
      <c r="AE2442" s="63" t="str">
        <f>IFERROR(IF(VLOOKUP(AA$13&amp;$B2440,Aux!$B:$M,8,0)="Да","✔","🕓"),"")</f>
        <v/>
      </c>
    </row>
    <row r="2443" spans="2:31" x14ac:dyDescent="0.25">
      <c r="B2443" s="53">
        <f t="shared" si="37"/>
        <v>486</v>
      </c>
      <c r="C2443" s="59"/>
      <c r="D2443" s="16" t="str">
        <f>IF(D2440="","","Срок сдачи"&amp;": ")</f>
        <v/>
      </c>
      <c r="E2443" s="64" t="str">
        <f>IFERROR(VLOOKUP(C$13&amp;$B2443,Aux!$B:$M,6,0),"")</f>
        <v/>
      </c>
      <c r="F2443" s="64"/>
      <c r="G2443" s="63"/>
      <c r="K2443" s="59"/>
      <c r="L2443" s="16" t="str">
        <f>IF(L2440="","","Срок сдачи"&amp;": ")</f>
        <v/>
      </c>
      <c r="M2443" s="64" t="str">
        <f>IFERROR(VLOOKUP(K$13&amp;$B2443,Aux!$B:$M,6,0),"")</f>
        <v/>
      </c>
      <c r="N2443" s="64"/>
      <c r="O2443" s="63"/>
      <c r="S2443" s="59"/>
      <c r="T2443" s="16" t="str">
        <f>IF(T2440="","","Срок сдачи"&amp;": ")</f>
        <v/>
      </c>
      <c r="U2443" s="64" t="str">
        <f>IFERROR(VLOOKUP(S$13&amp;$B2443,Aux!$B:$M,6,0),"")</f>
        <v/>
      </c>
      <c r="V2443" s="64"/>
      <c r="W2443" s="63"/>
      <c r="AA2443" s="59"/>
      <c r="AB2443" s="16" t="str">
        <f>IF(AB2440="","","Срок сдачи"&amp;": ")</f>
        <v/>
      </c>
      <c r="AC2443" s="64" t="str">
        <f>IFERROR(VLOOKUP(AA$13&amp;$B2443,Aux!$B:$M,6,0),"")</f>
        <v/>
      </c>
      <c r="AD2443" s="64"/>
      <c r="AE2443" s="63"/>
    </row>
    <row r="2444" spans="2:31" x14ac:dyDescent="0.25">
      <c r="B2444" s="53">
        <f t="shared" si="37"/>
        <v>486</v>
      </c>
      <c r="C2444" s="7"/>
      <c r="D2444" s="17"/>
      <c r="E2444" s="7"/>
      <c r="F2444" s="18"/>
      <c r="G2444" s="18"/>
      <c r="K2444" s="13"/>
      <c r="L2444" s="17"/>
      <c r="M2444" s="13"/>
      <c r="N2444" s="14"/>
      <c r="O2444" s="14"/>
      <c r="S2444" s="13"/>
      <c r="T2444" s="17"/>
      <c r="U2444" s="13"/>
      <c r="V2444" s="14"/>
      <c r="W2444" s="14"/>
      <c r="AA2444" s="13"/>
      <c r="AB2444" s="17"/>
      <c r="AC2444" s="13"/>
      <c r="AD2444" s="14"/>
      <c r="AE2444" s="30"/>
    </row>
    <row r="2445" spans="2:31" x14ac:dyDescent="0.25">
      <c r="B2445" s="53">
        <f t="shared" si="37"/>
        <v>487</v>
      </c>
      <c r="C2445" s="59" t="str">
        <f>IFERROR(VLOOKUP(C$13&amp;$B2449,Aux!$B:$M,5,0),"")</f>
        <v/>
      </c>
      <c r="D2445" s="60" t="str">
        <f>IFERROR(VLOOKUP(C$13&amp;$B2445,Aux!$B:$M,3,0),"")</f>
        <v/>
      </c>
      <c r="E2445" s="60"/>
      <c r="F2445" s="60"/>
      <c r="G2445" s="61" t="str">
        <f>IFERROR(VLOOKUP(C$13&amp;$B2445,Aux!$B:$M,9,0),"")</f>
        <v/>
      </c>
      <c r="K2445" s="59" t="str">
        <f>IFERROR(VLOOKUP(K$13&amp;$B2449,Aux!$B:$M,5,0),"")</f>
        <v/>
      </c>
      <c r="L2445" s="60" t="str">
        <f>IFERROR(VLOOKUP(K$13&amp;$B2445,Aux!$B:$M,3,0),"")</f>
        <v/>
      </c>
      <c r="M2445" s="60"/>
      <c r="N2445" s="60"/>
      <c r="O2445" s="61" t="str">
        <f>IFERROR(VLOOKUP(K$13&amp;$B2445,Aux!$B:$M,9,0),"")</f>
        <v/>
      </c>
      <c r="S2445" s="59" t="str">
        <f>IFERROR(VLOOKUP(S$13&amp;$B2449,Aux!$B:$M,5,0),"")</f>
        <v/>
      </c>
      <c r="T2445" s="60" t="str">
        <f>IFERROR(VLOOKUP(S$13&amp;$B2445,Aux!$B:$M,3,0),"")</f>
        <v/>
      </c>
      <c r="U2445" s="60"/>
      <c r="V2445" s="60"/>
      <c r="W2445" s="61" t="str">
        <f>IFERROR(VLOOKUP(S$13&amp;$B2445,Aux!$B:$M,9,0),"")</f>
        <v/>
      </c>
      <c r="AA2445" s="59" t="str">
        <f>IFERROR(VLOOKUP(AA$13&amp;$B2449,Aux!$B:$M,5,0),"")</f>
        <v/>
      </c>
      <c r="AB2445" s="60" t="str">
        <f>IFERROR(VLOOKUP(AA$13&amp;$B2445,Aux!$B:$M,3,0),"")</f>
        <v/>
      </c>
      <c r="AC2445" s="60"/>
      <c r="AD2445" s="60"/>
      <c r="AE2445" s="61" t="str">
        <f>IFERROR(VLOOKUP(AA$13&amp;$B2445,Aux!$B:$M,9,0),"")</f>
        <v/>
      </c>
    </row>
    <row r="2446" spans="2:31" x14ac:dyDescent="0.25">
      <c r="B2446" s="53">
        <f t="shared" si="37"/>
        <v>487</v>
      </c>
      <c r="C2446" s="59"/>
      <c r="D2446" s="60"/>
      <c r="E2446" s="60"/>
      <c r="F2446" s="60"/>
      <c r="G2446" s="61"/>
      <c r="K2446" s="59"/>
      <c r="L2446" s="60"/>
      <c r="M2446" s="60"/>
      <c r="N2446" s="60"/>
      <c r="O2446" s="61"/>
      <c r="S2446" s="59"/>
      <c r="T2446" s="60"/>
      <c r="U2446" s="60"/>
      <c r="V2446" s="60"/>
      <c r="W2446" s="61"/>
      <c r="AA2446" s="59"/>
      <c r="AB2446" s="60"/>
      <c r="AC2446" s="60"/>
      <c r="AD2446" s="60"/>
      <c r="AE2446" s="61"/>
    </row>
    <row r="2447" spans="2:31" x14ac:dyDescent="0.25">
      <c r="B2447" s="53">
        <f t="shared" si="37"/>
        <v>487</v>
      </c>
      <c r="C2447" s="59"/>
      <c r="D2447" s="15" t="str">
        <f>IF(D2445="","","Исполнитель"&amp;": ")</f>
        <v/>
      </c>
      <c r="E2447" s="62" t="str">
        <f>IFERROR(VLOOKUP(C$13&amp;$B2447,Aux!$B:$M,4,0),"")</f>
        <v/>
      </c>
      <c r="F2447" s="62"/>
      <c r="G2447" s="63" t="str">
        <f>IFERROR(IF(VLOOKUP(C$13&amp;$B2445,Aux!$B:$M,8,0)="Да","✔","🕓"),"")</f>
        <v/>
      </c>
      <c r="K2447" s="59"/>
      <c r="L2447" s="15" t="str">
        <f>IF(L2445="","","Исполнитель"&amp;": ")</f>
        <v/>
      </c>
      <c r="M2447" s="62" t="str">
        <f>IFERROR(VLOOKUP(K$13&amp;$B2447,Aux!$B:$M,4,0),"")</f>
        <v/>
      </c>
      <c r="N2447" s="62"/>
      <c r="O2447" s="63" t="str">
        <f>IFERROR(IF(VLOOKUP(K$13&amp;$B2445,Aux!$B:$M,8,0)="Да","✔","🕓"),"")</f>
        <v/>
      </c>
      <c r="S2447" s="59"/>
      <c r="T2447" s="15" t="str">
        <f>IF(T2445="","","Исполнитель"&amp;": ")</f>
        <v/>
      </c>
      <c r="U2447" s="62" t="str">
        <f>IFERROR(VLOOKUP(S$13&amp;$B2447,Aux!$B:$M,4,0),"")</f>
        <v/>
      </c>
      <c r="V2447" s="62"/>
      <c r="W2447" s="63" t="str">
        <f>IFERROR(IF(VLOOKUP(S$13&amp;$B2445,Aux!$B:$M,8,0)="Да","✔","🕓"),"")</f>
        <v/>
      </c>
      <c r="AA2447" s="59"/>
      <c r="AB2447" s="15" t="str">
        <f>IF(AB2445="","","Исполнитель"&amp;": ")</f>
        <v/>
      </c>
      <c r="AC2447" s="62" t="str">
        <f>IFERROR(VLOOKUP(AA$13&amp;$B2447,Aux!$B:$M,4,0),"")</f>
        <v/>
      </c>
      <c r="AD2447" s="62"/>
      <c r="AE2447" s="63" t="str">
        <f>IFERROR(IF(VLOOKUP(AA$13&amp;$B2445,Aux!$B:$M,8,0)="Да","✔","🕓"),"")</f>
        <v/>
      </c>
    </row>
    <row r="2448" spans="2:31" x14ac:dyDescent="0.25">
      <c r="B2448" s="53">
        <f t="shared" si="37"/>
        <v>487</v>
      </c>
      <c r="C2448" s="59"/>
      <c r="D2448" s="16" t="str">
        <f>IF(D2445="","","Срок сдачи"&amp;": ")</f>
        <v/>
      </c>
      <c r="E2448" s="64" t="str">
        <f>IFERROR(VLOOKUP(C$13&amp;$B2448,Aux!$B:$M,6,0),"")</f>
        <v/>
      </c>
      <c r="F2448" s="64"/>
      <c r="G2448" s="63"/>
      <c r="K2448" s="59"/>
      <c r="L2448" s="16" t="str">
        <f>IF(L2445="","","Срок сдачи"&amp;": ")</f>
        <v/>
      </c>
      <c r="M2448" s="64" t="str">
        <f>IFERROR(VLOOKUP(K$13&amp;$B2448,Aux!$B:$M,6,0),"")</f>
        <v/>
      </c>
      <c r="N2448" s="64"/>
      <c r="O2448" s="63"/>
      <c r="S2448" s="59"/>
      <c r="T2448" s="16" t="str">
        <f>IF(T2445="","","Срок сдачи"&amp;": ")</f>
        <v/>
      </c>
      <c r="U2448" s="64" t="str">
        <f>IFERROR(VLOOKUP(S$13&amp;$B2448,Aux!$B:$M,6,0),"")</f>
        <v/>
      </c>
      <c r="V2448" s="64"/>
      <c r="W2448" s="63"/>
      <c r="AA2448" s="59"/>
      <c r="AB2448" s="16" t="str">
        <f>IF(AB2445="","","Срок сдачи"&amp;": ")</f>
        <v/>
      </c>
      <c r="AC2448" s="64" t="str">
        <f>IFERROR(VLOOKUP(AA$13&amp;$B2448,Aux!$B:$M,6,0),"")</f>
        <v/>
      </c>
      <c r="AD2448" s="64"/>
      <c r="AE2448" s="63"/>
    </row>
    <row r="2449" spans="2:31" x14ac:dyDescent="0.25">
      <c r="B2449" s="53">
        <f t="shared" si="37"/>
        <v>487</v>
      </c>
      <c r="C2449" s="7"/>
      <c r="D2449" s="17"/>
      <c r="E2449" s="7"/>
      <c r="F2449" s="18"/>
      <c r="G2449" s="18"/>
      <c r="K2449" s="13"/>
      <c r="L2449" s="17"/>
      <c r="M2449" s="13"/>
      <c r="N2449" s="14"/>
      <c r="O2449" s="14"/>
      <c r="S2449" s="13"/>
      <c r="T2449" s="17"/>
      <c r="U2449" s="13"/>
      <c r="V2449" s="14"/>
      <c r="W2449" s="14"/>
      <c r="AA2449" s="13"/>
      <c r="AB2449" s="17"/>
      <c r="AC2449" s="13"/>
      <c r="AD2449" s="14"/>
      <c r="AE2449" s="30"/>
    </row>
    <row r="2450" spans="2:31" x14ac:dyDescent="0.25">
      <c r="B2450" s="53">
        <f t="shared" si="37"/>
        <v>488</v>
      </c>
      <c r="C2450" s="59" t="str">
        <f>IFERROR(VLOOKUP(C$13&amp;$B2454,Aux!$B:$M,5,0),"")</f>
        <v/>
      </c>
      <c r="D2450" s="60" t="str">
        <f>IFERROR(VLOOKUP(C$13&amp;$B2450,Aux!$B:$M,3,0),"")</f>
        <v/>
      </c>
      <c r="E2450" s="60"/>
      <c r="F2450" s="60"/>
      <c r="G2450" s="61" t="str">
        <f>IFERROR(VLOOKUP(C$13&amp;$B2450,Aux!$B:$M,9,0),"")</f>
        <v/>
      </c>
      <c r="K2450" s="59" t="str">
        <f>IFERROR(VLOOKUP(K$13&amp;$B2454,Aux!$B:$M,5,0),"")</f>
        <v/>
      </c>
      <c r="L2450" s="60" t="str">
        <f>IFERROR(VLOOKUP(K$13&amp;$B2450,Aux!$B:$M,3,0),"")</f>
        <v/>
      </c>
      <c r="M2450" s="60"/>
      <c r="N2450" s="60"/>
      <c r="O2450" s="61" t="str">
        <f>IFERROR(VLOOKUP(K$13&amp;$B2450,Aux!$B:$M,9,0),"")</f>
        <v/>
      </c>
      <c r="S2450" s="59" t="str">
        <f>IFERROR(VLOOKUP(S$13&amp;$B2454,Aux!$B:$M,5,0),"")</f>
        <v/>
      </c>
      <c r="T2450" s="60" t="str">
        <f>IFERROR(VLOOKUP(S$13&amp;$B2450,Aux!$B:$M,3,0),"")</f>
        <v/>
      </c>
      <c r="U2450" s="60"/>
      <c r="V2450" s="60"/>
      <c r="W2450" s="61" t="str">
        <f>IFERROR(VLOOKUP(S$13&amp;$B2450,Aux!$B:$M,9,0),"")</f>
        <v/>
      </c>
      <c r="AA2450" s="59" t="str">
        <f>IFERROR(VLOOKUP(AA$13&amp;$B2454,Aux!$B:$M,5,0),"")</f>
        <v/>
      </c>
      <c r="AB2450" s="60" t="str">
        <f>IFERROR(VLOOKUP(AA$13&amp;$B2450,Aux!$B:$M,3,0),"")</f>
        <v/>
      </c>
      <c r="AC2450" s="60"/>
      <c r="AD2450" s="60"/>
      <c r="AE2450" s="61" t="str">
        <f>IFERROR(VLOOKUP(AA$13&amp;$B2450,Aux!$B:$M,9,0),"")</f>
        <v/>
      </c>
    </row>
    <row r="2451" spans="2:31" x14ac:dyDescent="0.25">
      <c r="B2451" s="53">
        <f t="shared" si="37"/>
        <v>488</v>
      </c>
      <c r="C2451" s="59"/>
      <c r="D2451" s="60"/>
      <c r="E2451" s="60"/>
      <c r="F2451" s="60"/>
      <c r="G2451" s="61"/>
      <c r="K2451" s="59"/>
      <c r="L2451" s="60"/>
      <c r="M2451" s="60"/>
      <c r="N2451" s="60"/>
      <c r="O2451" s="61"/>
      <c r="S2451" s="59"/>
      <c r="T2451" s="60"/>
      <c r="U2451" s="60"/>
      <c r="V2451" s="60"/>
      <c r="W2451" s="61"/>
      <c r="AA2451" s="59"/>
      <c r="AB2451" s="60"/>
      <c r="AC2451" s="60"/>
      <c r="AD2451" s="60"/>
      <c r="AE2451" s="61"/>
    </row>
    <row r="2452" spans="2:31" x14ac:dyDescent="0.25">
      <c r="B2452" s="53">
        <f t="shared" si="37"/>
        <v>488</v>
      </c>
      <c r="C2452" s="59"/>
      <c r="D2452" s="15" t="str">
        <f>IF(D2450="","","Исполнитель"&amp;": ")</f>
        <v/>
      </c>
      <c r="E2452" s="62" t="str">
        <f>IFERROR(VLOOKUP(C$13&amp;$B2452,Aux!$B:$M,4,0),"")</f>
        <v/>
      </c>
      <c r="F2452" s="62"/>
      <c r="G2452" s="63" t="str">
        <f>IFERROR(IF(VLOOKUP(C$13&amp;$B2450,Aux!$B:$M,8,0)="Да","✔","🕓"),"")</f>
        <v/>
      </c>
      <c r="K2452" s="59"/>
      <c r="L2452" s="15" t="str">
        <f>IF(L2450="","","Исполнитель"&amp;": ")</f>
        <v/>
      </c>
      <c r="M2452" s="62" t="str">
        <f>IFERROR(VLOOKUP(K$13&amp;$B2452,Aux!$B:$M,4,0),"")</f>
        <v/>
      </c>
      <c r="N2452" s="62"/>
      <c r="O2452" s="63" t="str">
        <f>IFERROR(IF(VLOOKUP(K$13&amp;$B2450,Aux!$B:$M,8,0)="Да","✔","🕓"),"")</f>
        <v/>
      </c>
      <c r="S2452" s="59"/>
      <c r="T2452" s="15" t="str">
        <f>IF(T2450="","","Исполнитель"&amp;": ")</f>
        <v/>
      </c>
      <c r="U2452" s="62" t="str">
        <f>IFERROR(VLOOKUP(S$13&amp;$B2452,Aux!$B:$M,4,0),"")</f>
        <v/>
      </c>
      <c r="V2452" s="62"/>
      <c r="W2452" s="63" t="str">
        <f>IFERROR(IF(VLOOKUP(S$13&amp;$B2450,Aux!$B:$M,8,0)="Да","✔","🕓"),"")</f>
        <v/>
      </c>
      <c r="AA2452" s="59"/>
      <c r="AB2452" s="15" t="str">
        <f>IF(AB2450="","","Исполнитель"&amp;": ")</f>
        <v/>
      </c>
      <c r="AC2452" s="62" t="str">
        <f>IFERROR(VLOOKUP(AA$13&amp;$B2452,Aux!$B:$M,4,0),"")</f>
        <v/>
      </c>
      <c r="AD2452" s="62"/>
      <c r="AE2452" s="63" t="str">
        <f>IFERROR(IF(VLOOKUP(AA$13&amp;$B2450,Aux!$B:$M,8,0)="Да","✔","🕓"),"")</f>
        <v/>
      </c>
    </row>
    <row r="2453" spans="2:31" x14ac:dyDescent="0.25">
      <c r="B2453" s="53">
        <f t="shared" ref="B2453:B2516" si="38">B2448+1</f>
        <v>488</v>
      </c>
      <c r="C2453" s="59"/>
      <c r="D2453" s="16" t="str">
        <f>IF(D2450="","","Срок сдачи"&amp;": ")</f>
        <v/>
      </c>
      <c r="E2453" s="64" t="str">
        <f>IFERROR(VLOOKUP(C$13&amp;$B2453,Aux!$B:$M,6,0),"")</f>
        <v/>
      </c>
      <c r="F2453" s="64"/>
      <c r="G2453" s="63"/>
      <c r="K2453" s="59"/>
      <c r="L2453" s="16" t="str">
        <f>IF(L2450="","","Срок сдачи"&amp;": ")</f>
        <v/>
      </c>
      <c r="M2453" s="64" t="str">
        <f>IFERROR(VLOOKUP(K$13&amp;$B2453,Aux!$B:$M,6,0),"")</f>
        <v/>
      </c>
      <c r="N2453" s="64"/>
      <c r="O2453" s="63"/>
      <c r="S2453" s="59"/>
      <c r="T2453" s="16" t="str">
        <f>IF(T2450="","","Срок сдачи"&amp;": ")</f>
        <v/>
      </c>
      <c r="U2453" s="64" t="str">
        <f>IFERROR(VLOOKUP(S$13&amp;$B2453,Aux!$B:$M,6,0),"")</f>
        <v/>
      </c>
      <c r="V2453" s="64"/>
      <c r="W2453" s="63"/>
      <c r="AA2453" s="59"/>
      <c r="AB2453" s="16" t="str">
        <f>IF(AB2450="","","Срок сдачи"&amp;": ")</f>
        <v/>
      </c>
      <c r="AC2453" s="64" t="str">
        <f>IFERROR(VLOOKUP(AA$13&amp;$B2453,Aux!$B:$M,6,0),"")</f>
        <v/>
      </c>
      <c r="AD2453" s="64"/>
      <c r="AE2453" s="63"/>
    </row>
    <row r="2454" spans="2:31" x14ac:dyDescent="0.25">
      <c r="B2454" s="53">
        <f t="shared" si="38"/>
        <v>488</v>
      </c>
      <c r="C2454" s="7"/>
      <c r="D2454" s="17"/>
      <c r="E2454" s="7"/>
      <c r="F2454" s="18"/>
      <c r="G2454" s="18"/>
      <c r="K2454" s="13"/>
      <c r="L2454" s="17"/>
      <c r="M2454" s="13"/>
      <c r="N2454" s="14"/>
      <c r="O2454" s="14"/>
      <c r="S2454" s="13"/>
      <c r="T2454" s="17"/>
      <c r="U2454" s="13"/>
      <c r="V2454" s="14"/>
      <c r="W2454" s="14"/>
      <c r="AA2454" s="13"/>
      <c r="AB2454" s="17"/>
      <c r="AC2454" s="13"/>
      <c r="AD2454" s="14"/>
      <c r="AE2454" s="30"/>
    </row>
    <row r="2455" spans="2:31" x14ac:dyDescent="0.25">
      <c r="B2455" s="53">
        <f t="shared" si="38"/>
        <v>489</v>
      </c>
      <c r="C2455" s="59" t="str">
        <f>IFERROR(VLOOKUP(C$13&amp;$B2459,Aux!$B:$M,5,0),"")</f>
        <v/>
      </c>
      <c r="D2455" s="60" t="str">
        <f>IFERROR(VLOOKUP(C$13&amp;$B2455,Aux!$B:$M,3,0),"")</f>
        <v/>
      </c>
      <c r="E2455" s="60"/>
      <c r="F2455" s="60"/>
      <c r="G2455" s="61" t="str">
        <f>IFERROR(VLOOKUP(C$13&amp;$B2455,Aux!$B:$M,9,0),"")</f>
        <v/>
      </c>
      <c r="K2455" s="59" t="str">
        <f>IFERROR(VLOOKUP(K$13&amp;$B2459,Aux!$B:$M,5,0),"")</f>
        <v/>
      </c>
      <c r="L2455" s="60" t="str">
        <f>IFERROR(VLOOKUP(K$13&amp;$B2455,Aux!$B:$M,3,0),"")</f>
        <v/>
      </c>
      <c r="M2455" s="60"/>
      <c r="N2455" s="60"/>
      <c r="O2455" s="61" t="str">
        <f>IFERROR(VLOOKUP(K$13&amp;$B2455,Aux!$B:$M,9,0),"")</f>
        <v/>
      </c>
      <c r="S2455" s="59" t="str">
        <f>IFERROR(VLOOKUP(S$13&amp;$B2459,Aux!$B:$M,5,0),"")</f>
        <v/>
      </c>
      <c r="T2455" s="60" t="str">
        <f>IFERROR(VLOOKUP(S$13&amp;$B2455,Aux!$B:$M,3,0),"")</f>
        <v/>
      </c>
      <c r="U2455" s="60"/>
      <c r="V2455" s="60"/>
      <c r="W2455" s="61" t="str">
        <f>IFERROR(VLOOKUP(S$13&amp;$B2455,Aux!$B:$M,9,0),"")</f>
        <v/>
      </c>
      <c r="AA2455" s="59" t="str">
        <f>IFERROR(VLOOKUP(AA$13&amp;$B2459,Aux!$B:$M,5,0),"")</f>
        <v/>
      </c>
      <c r="AB2455" s="60" t="str">
        <f>IFERROR(VLOOKUP(AA$13&amp;$B2455,Aux!$B:$M,3,0),"")</f>
        <v/>
      </c>
      <c r="AC2455" s="60"/>
      <c r="AD2455" s="60"/>
      <c r="AE2455" s="61" t="str">
        <f>IFERROR(VLOOKUP(AA$13&amp;$B2455,Aux!$B:$M,9,0),"")</f>
        <v/>
      </c>
    </row>
    <row r="2456" spans="2:31" x14ac:dyDescent="0.25">
      <c r="B2456" s="53">
        <f t="shared" si="38"/>
        <v>489</v>
      </c>
      <c r="C2456" s="59"/>
      <c r="D2456" s="60"/>
      <c r="E2456" s="60"/>
      <c r="F2456" s="60"/>
      <c r="G2456" s="61"/>
      <c r="K2456" s="59"/>
      <c r="L2456" s="60"/>
      <c r="M2456" s="60"/>
      <c r="N2456" s="60"/>
      <c r="O2456" s="61"/>
      <c r="S2456" s="59"/>
      <c r="T2456" s="60"/>
      <c r="U2456" s="60"/>
      <c r="V2456" s="60"/>
      <c r="W2456" s="61"/>
      <c r="AA2456" s="59"/>
      <c r="AB2456" s="60"/>
      <c r="AC2456" s="60"/>
      <c r="AD2456" s="60"/>
      <c r="AE2456" s="61"/>
    </row>
    <row r="2457" spans="2:31" x14ac:dyDescent="0.25">
      <c r="B2457" s="53">
        <f t="shared" si="38"/>
        <v>489</v>
      </c>
      <c r="C2457" s="59"/>
      <c r="D2457" s="15" t="str">
        <f>IF(D2455="","","Исполнитель"&amp;": ")</f>
        <v/>
      </c>
      <c r="E2457" s="62" t="str">
        <f>IFERROR(VLOOKUP(C$13&amp;$B2457,Aux!$B:$M,4,0),"")</f>
        <v/>
      </c>
      <c r="F2457" s="62"/>
      <c r="G2457" s="63" t="str">
        <f>IFERROR(IF(VLOOKUP(C$13&amp;$B2455,Aux!$B:$M,8,0)="Да","✔","🕓"),"")</f>
        <v/>
      </c>
      <c r="K2457" s="59"/>
      <c r="L2457" s="15" t="str">
        <f>IF(L2455="","","Исполнитель"&amp;": ")</f>
        <v/>
      </c>
      <c r="M2457" s="62" t="str">
        <f>IFERROR(VLOOKUP(K$13&amp;$B2457,Aux!$B:$M,4,0),"")</f>
        <v/>
      </c>
      <c r="N2457" s="62"/>
      <c r="O2457" s="63" t="str">
        <f>IFERROR(IF(VLOOKUP(K$13&amp;$B2455,Aux!$B:$M,8,0)="Да","✔","🕓"),"")</f>
        <v/>
      </c>
      <c r="S2457" s="59"/>
      <c r="T2457" s="15" t="str">
        <f>IF(T2455="","","Исполнитель"&amp;": ")</f>
        <v/>
      </c>
      <c r="U2457" s="62" t="str">
        <f>IFERROR(VLOOKUP(S$13&amp;$B2457,Aux!$B:$M,4,0),"")</f>
        <v/>
      </c>
      <c r="V2457" s="62"/>
      <c r="W2457" s="63" t="str">
        <f>IFERROR(IF(VLOOKUP(S$13&amp;$B2455,Aux!$B:$M,8,0)="Да","✔","🕓"),"")</f>
        <v/>
      </c>
      <c r="AA2457" s="59"/>
      <c r="AB2457" s="15" t="str">
        <f>IF(AB2455="","","Исполнитель"&amp;": ")</f>
        <v/>
      </c>
      <c r="AC2457" s="62" t="str">
        <f>IFERROR(VLOOKUP(AA$13&amp;$B2457,Aux!$B:$M,4,0),"")</f>
        <v/>
      </c>
      <c r="AD2457" s="62"/>
      <c r="AE2457" s="63" t="str">
        <f>IFERROR(IF(VLOOKUP(AA$13&amp;$B2455,Aux!$B:$M,8,0)="Да","✔","🕓"),"")</f>
        <v/>
      </c>
    </row>
    <row r="2458" spans="2:31" x14ac:dyDescent="0.25">
      <c r="B2458" s="53">
        <f t="shared" si="38"/>
        <v>489</v>
      </c>
      <c r="C2458" s="59"/>
      <c r="D2458" s="16" t="str">
        <f>IF(D2455="","","Срок сдачи"&amp;": ")</f>
        <v/>
      </c>
      <c r="E2458" s="64" t="str">
        <f>IFERROR(VLOOKUP(C$13&amp;$B2458,Aux!$B:$M,6,0),"")</f>
        <v/>
      </c>
      <c r="F2458" s="64"/>
      <c r="G2458" s="63"/>
      <c r="K2458" s="59"/>
      <c r="L2458" s="16" t="str">
        <f>IF(L2455="","","Срок сдачи"&amp;": ")</f>
        <v/>
      </c>
      <c r="M2458" s="64" t="str">
        <f>IFERROR(VLOOKUP(K$13&amp;$B2458,Aux!$B:$M,6,0),"")</f>
        <v/>
      </c>
      <c r="N2458" s="64"/>
      <c r="O2458" s="63"/>
      <c r="S2458" s="59"/>
      <c r="T2458" s="16" t="str">
        <f>IF(T2455="","","Срок сдачи"&amp;": ")</f>
        <v/>
      </c>
      <c r="U2458" s="64" t="str">
        <f>IFERROR(VLOOKUP(S$13&amp;$B2458,Aux!$B:$M,6,0),"")</f>
        <v/>
      </c>
      <c r="V2458" s="64"/>
      <c r="W2458" s="63"/>
      <c r="AA2458" s="59"/>
      <c r="AB2458" s="16" t="str">
        <f>IF(AB2455="","","Срок сдачи"&amp;": ")</f>
        <v/>
      </c>
      <c r="AC2458" s="64" t="str">
        <f>IFERROR(VLOOKUP(AA$13&amp;$B2458,Aux!$B:$M,6,0),"")</f>
        <v/>
      </c>
      <c r="AD2458" s="64"/>
      <c r="AE2458" s="63"/>
    </row>
    <row r="2459" spans="2:31" x14ac:dyDescent="0.25">
      <c r="B2459" s="53">
        <f t="shared" si="38"/>
        <v>489</v>
      </c>
      <c r="C2459" s="7"/>
      <c r="D2459" s="17"/>
      <c r="E2459" s="7"/>
      <c r="F2459" s="18"/>
      <c r="G2459" s="18"/>
      <c r="K2459" s="13"/>
      <c r="L2459" s="17"/>
      <c r="M2459" s="13"/>
      <c r="N2459" s="14"/>
      <c r="O2459" s="14"/>
      <c r="S2459" s="13"/>
      <c r="T2459" s="17"/>
      <c r="U2459" s="13"/>
      <c r="V2459" s="14"/>
      <c r="W2459" s="14"/>
      <c r="AA2459" s="13"/>
      <c r="AB2459" s="17"/>
      <c r="AC2459" s="13"/>
      <c r="AD2459" s="14"/>
      <c r="AE2459" s="30"/>
    </row>
    <row r="2460" spans="2:31" x14ac:dyDescent="0.25">
      <c r="B2460" s="53">
        <f t="shared" si="38"/>
        <v>490</v>
      </c>
      <c r="C2460" s="59" t="str">
        <f>IFERROR(VLOOKUP(C$13&amp;$B2464,Aux!$B:$M,5,0),"")</f>
        <v/>
      </c>
      <c r="D2460" s="60" t="str">
        <f>IFERROR(VLOOKUP(C$13&amp;$B2460,Aux!$B:$M,3,0),"")</f>
        <v/>
      </c>
      <c r="E2460" s="60"/>
      <c r="F2460" s="60"/>
      <c r="G2460" s="61" t="str">
        <f>IFERROR(VLOOKUP(C$13&amp;$B2460,Aux!$B:$M,9,0),"")</f>
        <v/>
      </c>
      <c r="K2460" s="59" t="str">
        <f>IFERROR(VLOOKUP(K$13&amp;$B2464,Aux!$B:$M,5,0),"")</f>
        <v/>
      </c>
      <c r="L2460" s="60" t="str">
        <f>IFERROR(VLOOKUP(K$13&amp;$B2460,Aux!$B:$M,3,0),"")</f>
        <v/>
      </c>
      <c r="M2460" s="60"/>
      <c r="N2460" s="60"/>
      <c r="O2460" s="61" t="str">
        <f>IFERROR(VLOOKUP(K$13&amp;$B2460,Aux!$B:$M,9,0),"")</f>
        <v/>
      </c>
      <c r="S2460" s="59" t="str">
        <f>IFERROR(VLOOKUP(S$13&amp;$B2464,Aux!$B:$M,5,0),"")</f>
        <v/>
      </c>
      <c r="T2460" s="60" t="str">
        <f>IFERROR(VLOOKUP(S$13&amp;$B2460,Aux!$B:$M,3,0),"")</f>
        <v/>
      </c>
      <c r="U2460" s="60"/>
      <c r="V2460" s="60"/>
      <c r="W2460" s="61" t="str">
        <f>IFERROR(VLOOKUP(S$13&amp;$B2460,Aux!$B:$M,9,0),"")</f>
        <v/>
      </c>
      <c r="AA2460" s="59" t="str">
        <f>IFERROR(VLOOKUP(AA$13&amp;$B2464,Aux!$B:$M,5,0),"")</f>
        <v/>
      </c>
      <c r="AB2460" s="60" t="str">
        <f>IFERROR(VLOOKUP(AA$13&amp;$B2460,Aux!$B:$M,3,0),"")</f>
        <v/>
      </c>
      <c r="AC2460" s="60"/>
      <c r="AD2460" s="60"/>
      <c r="AE2460" s="61" t="str">
        <f>IFERROR(VLOOKUP(AA$13&amp;$B2460,Aux!$B:$M,9,0),"")</f>
        <v/>
      </c>
    </row>
    <row r="2461" spans="2:31" x14ac:dyDescent="0.25">
      <c r="B2461" s="53">
        <f t="shared" si="38"/>
        <v>490</v>
      </c>
      <c r="C2461" s="59"/>
      <c r="D2461" s="60"/>
      <c r="E2461" s="60"/>
      <c r="F2461" s="60"/>
      <c r="G2461" s="61"/>
      <c r="K2461" s="59"/>
      <c r="L2461" s="60"/>
      <c r="M2461" s="60"/>
      <c r="N2461" s="60"/>
      <c r="O2461" s="61"/>
      <c r="S2461" s="59"/>
      <c r="T2461" s="60"/>
      <c r="U2461" s="60"/>
      <c r="V2461" s="60"/>
      <c r="W2461" s="61"/>
      <c r="AA2461" s="59"/>
      <c r="AB2461" s="60"/>
      <c r="AC2461" s="60"/>
      <c r="AD2461" s="60"/>
      <c r="AE2461" s="61"/>
    </row>
    <row r="2462" spans="2:31" x14ac:dyDescent="0.25">
      <c r="B2462" s="53">
        <f t="shared" si="38"/>
        <v>490</v>
      </c>
      <c r="C2462" s="59"/>
      <c r="D2462" s="15" t="str">
        <f>IF(D2460="","","Исполнитель"&amp;": ")</f>
        <v/>
      </c>
      <c r="E2462" s="62" t="str">
        <f>IFERROR(VLOOKUP(C$13&amp;$B2462,Aux!$B:$M,4,0),"")</f>
        <v/>
      </c>
      <c r="F2462" s="62"/>
      <c r="G2462" s="63" t="str">
        <f>IFERROR(IF(VLOOKUP(C$13&amp;$B2460,Aux!$B:$M,8,0)="Да","✔","🕓"),"")</f>
        <v/>
      </c>
      <c r="K2462" s="59"/>
      <c r="L2462" s="15" t="str">
        <f>IF(L2460="","","Исполнитель"&amp;": ")</f>
        <v/>
      </c>
      <c r="M2462" s="62" t="str">
        <f>IFERROR(VLOOKUP(K$13&amp;$B2462,Aux!$B:$M,4,0),"")</f>
        <v/>
      </c>
      <c r="N2462" s="62"/>
      <c r="O2462" s="63" t="str">
        <f>IFERROR(IF(VLOOKUP(K$13&amp;$B2460,Aux!$B:$M,8,0)="Да","✔","🕓"),"")</f>
        <v/>
      </c>
      <c r="S2462" s="59"/>
      <c r="T2462" s="15" t="str">
        <f>IF(T2460="","","Исполнитель"&amp;": ")</f>
        <v/>
      </c>
      <c r="U2462" s="62" t="str">
        <f>IFERROR(VLOOKUP(S$13&amp;$B2462,Aux!$B:$M,4,0),"")</f>
        <v/>
      </c>
      <c r="V2462" s="62"/>
      <c r="W2462" s="63" t="str">
        <f>IFERROR(IF(VLOOKUP(S$13&amp;$B2460,Aux!$B:$M,8,0)="Да","✔","🕓"),"")</f>
        <v/>
      </c>
      <c r="AA2462" s="59"/>
      <c r="AB2462" s="15" t="str">
        <f>IF(AB2460="","","Исполнитель"&amp;": ")</f>
        <v/>
      </c>
      <c r="AC2462" s="62" t="str">
        <f>IFERROR(VLOOKUP(AA$13&amp;$B2462,Aux!$B:$M,4,0),"")</f>
        <v/>
      </c>
      <c r="AD2462" s="62"/>
      <c r="AE2462" s="63" t="str">
        <f>IFERROR(IF(VLOOKUP(AA$13&amp;$B2460,Aux!$B:$M,8,0)="Да","✔","🕓"),"")</f>
        <v/>
      </c>
    </row>
    <row r="2463" spans="2:31" x14ac:dyDescent="0.25">
      <c r="B2463" s="53">
        <f t="shared" si="38"/>
        <v>490</v>
      </c>
      <c r="C2463" s="59"/>
      <c r="D2463" s="16" t="str">
        <f>IF(D2460="","","Срок сдачи"&amp;": ")</f>
        <v/>
      </c>
      <c r="E2463" s="64" t="str">
        <f>IFERROR(VLOOKUP(C$13&amp;$B2463,Aux!$B:$M,6,0),"")</f>
        <v/>
      </c>
      <c r="F2463" s="64"/>
      <c r="G2463" s="63"/>
      <c r="K2463" s="59"/>
      <c r="L2463" s="16" t="str">
        <f>IF(L2460="","","Срок сдачи"&amp;": ")</f>
        <v/>
      </c>
      <c r="M2463" s="64" t="str">
        <f>IFERROR(VLOOKUP(K$13&amp;$B2463,Aux!$B:$M,6,0),"")</f>
        <v/>
      </c>
      <c r="N2463" s="64"/>
      <c r="O2463" s="63"/>
      <c r="S2463" s="59"/>
      <c r="T2463" s="16" t="str">
        <f>IF(T2460="","","Срок сдачи"&amp;": ")</f>
        <v/>
      </c>
      <c r="U2463" s="64" t="str">
        <f>IFERROR(VLOOKUP(S$13&amp;$B2463,Aux!$B:$M,6,0),"")</f>
        <v/>
      </c>
      <c r="V2463" s="64"/>
      <c r="W2463" s="63"/>
      <c r="AA2463" s="59"/>
      <c r="AB2463" s="16" t="str">
        <f>IF(AB2460="","","Срок сдачи"&amp;": ")</f>
        <v/>
      </c>
      <c r="AC2463" s="64" t="str">
        <f>IFERROR(VLOOKUP(AA$13&amp;$B2463,Aux!$B:$M,6,0),"")</f>
        <v/>
      </c>
      <c r="AD2463" s="64"/>
      <c r="AE2463" s="63"/>
    </row>
    <row r="2464" spans="2:31" x14ac:dyDescent="0.25">
      <c r="B2464" s="53">
        <f t="shared" si="38"/>
        <v>490</v>
      </c>
      <c r="C2464" s="7"/>
      <c r="D2464" s="17"/>
      <c r="E2464" s="7"/>
      <c r="F2464" s="18"/>
      <c r="G2464" s="18"/>
      <c r="K2464" s="13"/>
      <c r="L2464" s="17"/>
      <c r="M2464" s="13"/>
      <c r="N2464" s="14"/>
      <c r="O2464" s="14"/>
      <c r="S2464" s="13"/>
      <c r="T2464" s="17"/>
      <c r="U2464" s="13"/>
      <c r="V2464" s="14"/>
      <c r="W2464" s="14"/>
      <c r="AA2464" s="13"/>
      <c r="AB2464" s="17"/>
      <c r="AC2464" s="13"/>
      <c r="AD2464" s="14"/>
      <c r="AE2464" s="30"/>
    </row>
    <row r="2465" spans="2:31" x14ac:dyDescent="0.25">
      <c r="B2465" s="53">
        <f t="shared" si="38"/>
        <v>491</v>
      </c>
      <c r="C2465" s="59" t="str">
        <f>IFERROR(VLOOKUP(C$13&amp;$B2469,Aux!$B:$M,5,0),"")</f>
        <v/>
      </c>
      <c r="D2465" s="60" t="str">
        <f>IFERROR(VLOOKUP(C$13&amp;$B2465,Aux!$B:$M,3,0),"")</f>
        <v/>
      </c>
      <c r="E2465" s="60"/>
      <c r="F2465" s="60"/>
      <c r="G2465" s="61" t="str">
        <f>IFERROR(VLOOKUP(C$13&amp;$B2465,Aux!$B:$M,9,0),"")</f>
        <v/>
      </c>
      <c r="K2465" s="59" t="str">
        <f>IFERROR(VLOOKUP(K$13&amp;$B2469,Aux!$B:$M,5,0),"")</f>
        <v/>
      </c>
      <c r="L2465" s="60" t="str">
        <f>IFERROR(VLOOKUP(K$13&amp;$B2465,Aux!$B:$M,3,0),"")</f>
        <v/>
      </c>
      <c r="M2465" s="60"/>
      <c r="N2465" s="60"/>
      <c r="O2465" s="61" t="str">
        <f>IFERROR(VLOOKUP(K$13&amp;$B2465,Aux!$B:$M,9,0),"")</f>
        <v/>
      </c>
      <c r="S2465" s="59" t="str">
        <f>IFERROR(VLOOKUP(S$13&amp;$B2469,Aux!$B:$M,5,0),"")</f>
        <v/>
      </c>
      <c r="T2465" s="60" t="str">
        <f>IFERROR(VLOOKUP(S$13&amp;$B2465,Aux!$B:$M,3,0),"")</f>
        <v/>
      </c>
      <c r="U2465" s="60"/>
      <c r="V2465" s="60"/>
      <c r="W2465" s="61" t="str">
        <f>IFERROR(VLOOKUP(S$13&amp;$B2465,Aux!$B:$M,9,0),"")</f>
        <v/>
      </c>
      <c r="AA2465" s="59" t="str">
        <f>IFERROR(VLOOKUP(AA$13&amp;$B2469,Aux!$B:$M,5,0),"")</f>
        <v/>
      </c>
      <c r="AB2465" s="60" t="str">
        <f>IFERROR(VLOOKUP(AA$13&amp;$B2465,Aux!$B:$M,3,0),"")</f>
        <v/>
      </c>
      <c r="AC2465" s="60"/>
      <c r="AD2465" s="60"/>
      <c r="AE2465" s="61" t="str">
        <f>IFERROR(VLOOKUP(AA$13&amp;$B2465,Aux!$B:$M,9,0),"")</f>
        <v/>
      </c>
    </row>
    <row r="2466" spans="2:31" x14ac:dyDescent="0.25">
      <c r="B2466" s="53">
        <f t="shared" si="38"/>
        <v>491</v>
      </c>
      <c r="C2466" s="59"/>
      <c r="D2466" s="60"/>
      <c r="E2466" s="60"/>
      <c r="F2466" s="60"/>
      <c r="G2466" s="61"/>
      <c r="K2466" s="59"/>
      <c r="L2466" s="60"/>
      <c r="M2466" s="60"/>
      <c r="N2466" s="60"/>
      <c r="O2466" s="61"/>
      <c r="S2466" s="59"/>
      <c r="T2466" s="60"/>
      <c r="U2466" s="60"/>
      <c r="V2466" s="60"/>
      <c r="W2466" s="61"/>
      <c r="AA2466" s="59"/>
      <c r="AB2466" s="60"/>
      <c r="AC2466" s="60"/>
      <c r="AD2466" s="60"/>
      <c r="AE2466" s="61"/>
    </row>
    <row r="2467" spans="2:31" x14ac:dyDescent="0.25">
      <c r="B2467" s="53">
        <f t="shared" si="38"/>
        <v>491</v>
      </c>
      <c r="C2467" s="59"/>
      <c r="D2467" s="15" t="str">
        <f>IF(D2465="","","Исполнитель"&amp;": ")</f>
        <v/>
      </c>
      <c r="E2467" s="62" t="str">
        <f>IFERROR(VLOOKUP(C$13&amp;$B2467,Aux!$B:$M,4,0),"")</f>
        <v/>
      </c>
      <c r="F2467" s="62"/>
      <c r="G2467" s="63" t="str">
        <f>IFERROR(IF(VLOOKUP(C$13&amp;$B2465,Aux!$B:$M,8,0)="Да","✔","🕓"),"")</f>
        <v/>
      </c>
      <c r="K2467" s="59"/>
      <c r="L2467" s="15" t="str">
        <f>IF(L2465="","","Исполнитель"&amp;": ")</f>
        <v/>
      </c>
      <c r="M2467" s="62" t="str">
        <f>IFERROR(VLOOKUP(K$13&amp;$B2467,Aux!$B:$M,4,0),"")</f>
        <v/>
      </c>
      <c r="N2467" s="62"/>
      <c r="O2467" s="63" t="str">
        <f>IFERROR(IF(VLOOKUP(K$13&amp;$B2465,Aux!$B:$M,8,0)="Да","✔","🕓"),"")</f>
        <v/>
      </c>
      <c r="S2467" s="59"/>
      <c r="T2467" s="15" t="str">
        <f>IF(T2465="","","Исполнитель"&amp;": ")</f>
        <v/>
      </c>
      <c r="U2467" s="62" t="str">
        <f>IFERROR(VLOOKUP(S$13&amp;$B2467,Aux!$B:$M,4,0),"")</f>
        <v/>
      </c>
      <c r="V2467" s="62"/>
      <c r="W2467" s="63" t="str">
        <f>IFERROR(IF(VLOOKUP(S$13&amp;$B2465,Aux!$B:$M,8,0)="Да","✔","🕓"),"")</f>
        <v/>
      </c>
      <c r="AA2467" s="59"/>
      <c r="AB2467" s="15" t="str">
        <f>IF(AB2465="","","Исполнитель"&amp;": ")</f>
        <v/>
      </c>
      <c r="AC2467" s="62" t="str">
        <f>IFERROR(VLOOKUP(AA$13&amp;$B2467,Aux!$B:$M,4,0),"")</f>
        <v/>
      </c>
      <c r="AD2467" s="62"/>
      <c r="AE2467" s="63" t="str">
        <f>IFERROR(IF(VLOOKUP(AA$13&amp;$B2465,Aux!$B:$M,8,0)="Да","✔","🕓"),"")</f>
        <v/>
      </c>
    </row>
    <row r="2468" spans="2:31" x14ac:dyDescent="0.25">
      <c r="B2468" s="53">
        <f t="shared" si="38"/>
        <v>491</v>
      </c>
      <c r="C2468" s="59"/>
      <c r="D2468" s="16" t="str">
        <f>IF(D2465="","","Срок сдачи"&amp;": ")</f>
        <v/>
      </c>
      <c r="E2468" s="64" t="str">
        <f>IFERROR(VLOOKUP(C$13&amp;$B2468,Aux!$B:$M,6,0),"")</f>
        <v/>
      </c>
      <c r="F2468" s="64"/>
      <c r="G2468" s="63"/>
      <c r="K2468" s="59"/>
      <c r="L2468" s="16" t="str">
        <f>IF(L2465="","","Срок сдачи"&amp;": ")</f>
        <v/>
      </c>
      <c r="M2468" s="64" t="str">
        <f>IFERROR(VLOOKUP(K$13&amp;$B2468,Aux!$B:$M,6,0),"")</f>
        <v/>
      </c>
      <c r="N2468" s="64"/>
      <c r="O2468" s="63"/>
      <c r="S2468" s="59"/>
      <c r="T2468" s="16" t="str">
        <f>IF(T2465="","","Срок сдачи"&amp;": ")</f>
        <v/>
      </c>
      <c r="U2468" s="64" t="str">
        <f>IFERROR(VLOOKUP(S$13&amp;$B2468,Aux!$B:$M,6,0),"")</f>
        <v/>
      </c>
      <c r="V2468" s="64"/>
      <c r="W2468" s="63"/>
      <c r="AA2468" s="59"/>
      <c r="AB2468" s="16" t="str">
        <f>IF(AB2465="","","Срок сдачи"&amp;": ")</f>
        <v/>
      </c>
      <c r="AC2468" s="64" t="str">
        <f>IFERROR(VLOOKUP(AA$13&amp;$B2468,Aux!$B:$M,6,0),"")</f>
        <v/>
      </c>
      <c r="AD2468" s="64"/>
      <c r="AE2468" s="63"/>
    </row>
    <row r="2469" spans="2:31" x14ac:dyDescent="0.25">
      <c r="B2469" s="53">
        <f t="shared" si="38"/>
        <v>491</v>
      </c>
      <c r="C2469" s="7"/>
      <c r="D2469" s="17"/>
      <c r="E2469" s="7"/>
      <c r="F2469" s="18"/>
      <c r="G2469" s="18"/>
      <c r="K2469" s="13"/>
      <c r="L2469" s="17"/>
      <c r="M2469" s="13"/>
      <c r="N2469" s="14"/>
      <c r="O2469" s="14"/>
      <c r="S2469" s="13"/>
      <c r="T2469" s="17"/>
      <c r="U2469" s="13"/>
      <c r="V2469" s="14"/>
      <c r="W2469" s="14"/>
      <c r="AA2469" s="13"/>
      <c r="AB2469" s="17"/>
      <c r="AC2469" s="13"/>
      <c r="AD2469" s="14"/>
      <c r="AE2469" s="30"/>
    </row>
    <row r="2470" spans="2:31" x14ac:dyDescent="0.25">
      <c r="B2470" s="53">
        <f t="shared" si="38"/>
        <v>492</v>
      </c>
      <c r="C2470" s="59" t="str">
        <f>IFERROR(VLOOKUP(C$13&amp;$B2474,Aux!$B:$M,5,0),"")</f>
        <v/>
      </c>
      <c r="D2470" s="60" t="str">
        <f>IFERROR(VLOOKUP(C$13&amp;$B2470,Aux!$B:$M,3,0),"")</f>
        <v/>
      </c>
      <c r="E2470" s="60"/>
      <c r="F2470" s="60"/>
      <c r="G2470" s="61" t="str">
        <f>IFERROR(VLOOKUP(C$13&amp;$B2470,Aux!$B:$M,9,0),"")</f>
        <v/>
      </c>
      <c r="K2470" s="59" t="str">
        <f>IFERROR(VLOOKUP(K$13&amp;$B2474,Aux!$B:$M,5,0),"")</f>
        <v/>
      </c>
      <c r="L2470" s="60" t="str">
        <f>IFERROR(VLOOKUP(K$13&amp;$B2470,Aux!$B:$M,3,0),"")</f>
        <v/>
      </c>
      <c r="M2470" s="60"/>
      <c r="N2470" s="60"/>
      <c r="O2470" s="61" t="str">
        <f>IFERROR(VLOOKUP(K$13&amp;$B2470,Aux!$B:$M,9,0),"")</f>
        <v/>
      </c>
      <c r="S2470" s="59" t="str">
        <f>IFERROR(VLOOKUP(S$13&amp;$B2474,Aux!$B:$M,5,0),"")</f>
        <v/>
      </c>
      <c r="T2470" s="60" t="str">
        <f>IFERROR(VLOOKUP(S$13&amp;$B2470,Aux!$B:$M,3,0),"")</f>
        <v/>
      </c>
      <c r="U2470" s="60"/>
      <c r="V2470" s="60"/>
      <c r="W2470" s="61" t="str">
        <f>IFERROR(VLOOKUP(S$13&amp;$B2470,Aux!$B:$M,9,0),"")</f>
        <v/>
      </c>
      <c r="AA2470" s="59" t="str">
        <f>IFERROR(VLOOKUP(AA$13&amp;$B2474,Aux!$B:$M,5,0),"")</f>
        <v/>
      </c>
      <c r="AB2470" s="60" t="str">
        <f>IFERROR(VLOOKUP(AA$13&amp;$B2470,Aux!$B:$M,3,0),"")</f>
        <v/>
      </c>
      <c r="AC2470" s="60"/>
      <c r="AD2470" s="60"/>
      <c r="AE2470" s="61" t="str">
        <f>IFERROR(VLOOKUP(AA$13&amp;$B2470,Aux!$B:$M,9,0),"")</f>
        <v/>
      </c>
    </row>
    <row r="2471" spans="2:31" x14ac:dyDescent="0.25">
      <c r="B2471" s="53">
        <f t="shared" si="38"/>
        <v>492</v>
      </c>
      <c r="C2471" s="59"/>
      <c r="D2471" s="60"/>
      <c r="E2471" s="60"/>
      <c r="F2471" s="60"/>
      <c r="G2471" s="61"/>
      <c r="K2471" s="59"/>
      <c r="L2471" s="60"/>
      <c r="M2471" s="60"/>
      <c r="N2471" s="60"/>
      <c r="O2471" s="61"/>
      <c r="S2471" s="59"/>
      <c r="T2471" s="60"/>
      <c r="U2471" s="60"/>
      <c r="V2471" s="60"/>
      <c r="W2471" s="61"/>
      <c r="AA2471" s="59"/>
      <c r="AB2471" s="60"/>
      <c r="AC2471" s="60"/>
      <c r="AD2471" s="60"/>
      <c r="AE2471" s="61"/>
    </row>
    <row r="2472" spans="2:31" x14ac:dyDescent="0.25">
      <c r="B2472" s="53">
        <f t="shared" si="38"/>
        <v>492</v>
      </c>
      <c r="C2472" s="59"/>
      <c r="D2472" s="15" t="str">
        <f>IF(D2470="","","Исполнитель"&amp;": ")</f>
        <v/>
      </c>
      <c r="E2472" s="62" t="str">
        <f>IFERROR(VLOOKUP(C$13&amp;$B2472,Aux!$B:$M,4,0),"")</f>
        <v/>
      </c>
      <c r="F2472" s="62"/>
      <c r="G2472" s="63" t="str">
        <f>IFERROR(IF(VLOOKUP(C$13&amp;$B2470,Aux!$B:$M,8,0)="Да","✔","🕓"),"")</f>
        <v/>
      </c>
      <c r="K2472" s="59"/>
      <c r="L2472" s="15" t="str">
        <f>IF(L2470="","","Исполнитель"&amp;": ")</f>
        <v/>
      </c>
      <c r="M2472" s="62" t="str">
        <f>IFERROR(VLOOKUP(K$13&amp;$B2472,Aux!$B:$M,4,0),"")</f>
        <v/>
      </c>
      <c r="N2472" s="62"/>
      <c r="O2472" s="63" t="str">
        <f>IFERROR(IF(VLOOKUP(K$13&amp;$B2470,Aux!$B:$M,8,0)="Да","✔","🕓"),"")</f>
        <v/>
      </c>
      <c r="S2472" s="59"/>
      <c r="T2472" s="15" t="str">
        <f>IF(T2470="","","Исполнитель"&amp;": ")</f>
        <v/>
      </c>
      <c r="U2472" s="62" t="str">
        <f>IFERROR(VLOOKUP(S$13&amp;$B2472,Aux!$B:$M,4,0),"")</f>
        <v/>
      </c>
      <c r="V2472" s="62"/>
      <c r="W2472" s="63" t="str">
        <f>IFERROR(IF(VLOOKUP(S$13&amp;$B2470,Aux!$B:$M,8,0)="Да","✔","🕓"),"")</f>
        <v/>
      </c>
      <c r="AA2472" s="59"/>
      <c r="AB2472" s="15" t="str">
        <f>IF(AB2470="","","Исполнитель"&amp;": ")</f>
        <v/>
      </c>
      <c r="AC2472" s="62" t="str">
        <f>IFERROR(VLOOKUP(AA$13&amp;$B2472,Aux!$B:$M,4,0),"")</f>
        <v/>
      </c>
      <c r="AD2472" s="62"/>
      <c r="AE2472" s="63" t="str">
        <f>IFERROR(IF(VLOOKUP(AA$13&amp;$B2470,Aux!$B:$M,8,0)="Да","✔","🕓"),"")</f>
        <v/>
      </c>
    </row>
    <row r="2473" spans="2:31" x14ac:dyDescent="0.25">
      <c r="B2473" s="53">
        <f t="shared" si="38"/>
        <v>492</v>
      </c>
      <c r="C2473" s="59"/>
      <c r="D2473" s="16" t="str">
        <f>IF(D2470="","","Срок сдачи"&amp;": ")</f>
        <v/>
      </c>
      <c r="E2473" s="64" t="str">
        <f>IFERROR(VLOOKUP(C$13&amp;$B2473,Aux!$B:$M,6,0),"")</f>
        <v/>
      </c>
      <c r="F2473" s="64"/>
      <c r="G2473" s="63"/>
      <c r="K2473" s="59"/>
      <c r="L2473" s="16" t="str">
        <f>IF(L2470="","","Срок сдачи"&amp;": ")</f>
        <v/>
      </c>
      <c r="M2473" s="64" t="str">
        <f>IFERROR(VLOOKUP(K$13&amp;$B2473,Aux!$B:$M,6,0),"")</f>
        <v/>
      </c>
      <c r="N2473" s="64"/>
      <c r="O2473" s="63"/>
      <c r="S2473" s="59"/>
      <c r="T2473" s="16" t="str">
        <f>IF(T2470="","","Срок сдачи"&amp;": ")</f>
        <v/>
      </c>
      <c r="U2473" s="64" t="str">
        <f>IFERROR(VLOOKUP(S$13&amp;$B2473,Aux!$B:$M,6,0),"")</f>
        <v/>
      </c>
      <c r="V2473" s="64"/>
      <c r="W2473" s="63"/>
      <c r="AA2473" s="59"/>
      <c r="AB2473" s="16" t="str">
        <f>IF(AB2470="","","Срок сдачи"&amp;": ")</f>
        <v/>
      </c>
      <c r="AC2473" s="64" t="str">
        <f>IFERROR(VLOOKUP(AA$13&amp;$B2473,Aux!$B:$M,6,0),"")</f>
        <v/>
      </c>
      <c r="AD2473" s="64"/>
      <c r="AE2473" s="63"/>
    </row>
    <row r="2474" spans="2:31" x14ac:dyDescent="0.25">
      <c r="B2474" s="53">
        <f t="shared" si="38"/>
        <v>492</v>
      </c>
      <c r="C2474" s="7"/>
      <c r="D2474" s="17"/>
      <c r="E2474" s="7"/>
      <c r="F2474" s="18"/>
      <c r="G2474" s="18"/>
      <c r="K2474" s="13"/>
      <c r="L2474" s="17"/>
      <c r="M2474" s="13"/>
      <c r="N2474" s="14"/>
      <c r="O2474" s="14"/>
      <c r="S2474" s="13"/>
      <c r="T2474" s="17"/>
      <c r="U2474" s="13"/>
      <c r="V2474" s="14"/>
      <c r="W2474" s="14"/>
      <c r="AA2474" s="13"/>
      <c r="AB2474" s="17"/>
      <c r="AC2474" s="13"/>
      <c r="AD2474" s="14"/>
      <c r="AE2474" s="30"/>
    </row>
    <row r="2475" spans="2:31" x14ac:dyDescent="0.25">
      <c r="B2475" s="53">
        <f t="shared" si="38"/>
        <v>493</v>
      </c>
      <c r="C2475" s="59" t="str">
        <f>IFERROR(VLOOKUP(C$13&amp;$B2479,Aux!$B:$M,5,0),"")</f>
        <v/>
      </c>
      <c r="D2475" s="60" t="str">
        <f>IFERROR(VLOOKUP(C$13&amp;$B2475,Aux!$B:$M,3,0),"")</f>
        <v/>
      </c>
      <c r="E2475" s="60"/>
      <c r="F2475" s="60"/>
      <c r="G2475" s="61" t="str">
        <f>IFERROR(VLOOKUP(C$13&amp;$B2475,Aux!$B:$M,9,0),"")</f>
        <v/>
      </c>
      <c r="K2475" s="59" t="str">
        <f>IFERROR(VLOOKUP(K$13&amp;$B2479,Aux!$B:$M,5,0),"")</f>
        <v/>
      </c>
      <c r="L2475" s="60" t="str">
        <f>IFERROR(VLOOKUP(K$13&amp;$B2475,Aux!$B:$M,3,0),"")</f>
        <v/>
      </c>
      <c r="M2475" s="60"/>
      <c r="N2475" s="60"/>
      <c r="O2475" s="61" t="str">
        <f>IFERROR(VLOOKUP(K$13&amp;$B2475,Aux!$B:$M,9,0),"")</f>
        <v/>
      </c>
      <c r="S2475" s="59" t="str">
        <f>IFERROR(VLOOKUP(S$13&amp;$B2479,Aux!$B:$M,5,0),"")</f>
        <v/>
      </c>
      <c r="T2475" s="60" t="str">
        <f>IFERROR(VLOOKUP(S$13&amp;$B2475,Aux!$B:$M,3,0),"")</f>
        <v/>
      </c>
      <c r="U2475" s="60"/>
      <c r="V2475" s="60"/>
      <c r="W2475" s="61" t="str">
        <f>IFERROR(VLOOKUP(S$13&amp;$B2475,Aux!$B:$M,9,0),"")</f>
        <v/>
      </c>
      <c r="AA2475" s="59" t="str">
        <f>IFERROR(VLOOKUP(AA$13&amp;$B2479,Aux!$B:$M,5,0),"")</f>
        <v/>
      </c>
      <c r="AB2475" s="60" t="str">
        <f>IFERROR(VLOOKUP(AA$13&amp;$B2475,Aux!$B:$M,3,0),"")</f>
        <v/>
      </c>
      <c r="AC2475" s="60"/>
      <c r="AD2475" s="60"/>
      <c r="AE2475" s="61" t="str">
        <f>IFERROR(VLOOKUP(AA$13&amp;$B2475,Aux!$B:$M,9,0),"")</f>
        <v/>
      </c>
    </row>
    <row r="2476" spans="2:31" x14ac:dyDescent="0.25">
      <c r="B2476" s="53">
        <f t="shared" si="38"/>
        <v>493</v>
      </c>
      <c r="C2476" s="59"/>
      <c r="D2476" s="60"/>
      <c r="E2476" s="60"/>
      <c r="F2476" s="60"/>
      <c r="G2476" s="61"/>
      <c r="K2476" s="59"/>
      <c r="L2476" s="60"/>
      <c r="M2476" s="60"/>
      <c r="N2476" s="60"/>
      <c r="O2476" s="61"/>
      <c r="S2476" s="59"/>
      <c r="T2476" s="60"/>
      <c r="U2476" s="60"/>
      <c r="V2476" s="60"/>
      <c r="W2476" s="61"/>
      <c r="AA2476" s="59"/>
      <c r="AB2476" s="60"/>
      <c r="AC2476" s="60"/>
      <c r="AD2476" s="60"/>
      <c r="AE2476" s="61"/>
    </row>
    <row r="2477" spans="2:31" x14ac:dyDescent="0.25">
      <c r="B2477" s="53">
        <f t="shared" si="38"/>
        <v>493</v>
      </c>
      <c r="C2477" s="59"/>
      <c r="D2477" s="15" t="str">
        <f>IF(D2475="","","Исполнитель"&amp;": ")</f>
        <v/>
      </c>
      <c r="E2477" s="62" t="str">
        <f>IFERROR(VLOOKUP(C$13&amp;$B2477,Aux!$B:$M,4,0),"")</f>
        <v/>
      </c>
      <c r="F2477" s="62"/>
      <c r="G2477" s="63" t="str">
        <f>IFERROR(IF(VLOOKUP(C$13&amp;$B2475,Aux!$B:$M,8,0)="Да","✔","🕓"),"")</f>
        <v/>
      </c>
      <c r="K2477" s="59"/>
      <c r="L2477" s="15" t="str">
        <f>IF(L2475="","","Исполнитель"&amp;": ")</f>
        <v/>
      </c>
      <c r="M2477" s="62" t="str">
        <f>IFERROR(VLOOKUP(K$13&amp;$B2477,Aux!$B:$M,4,0),"")</f>
        <v/>
      </c>
      <c r="N2477" s="62"/>
      <c r="O2477" s="63" t="str">
        <f>IFERROR(IF(VLOOKUP(K$13&amp;$B2475,Aux!$B:$M,8,0)="Да","✔","🕓"),"")</f>
        <v/>
      </c>
      <c r="S2477" s="59"/>
      <c r="T2477" s="15" t="str">
        <f>IF(T2475="","","Исполнитель"&amp;": ")</f>
        <v/>
      </c>
      <c r="U2477" s="62" t="str">
        <f>IFERROR(VLOOKUP(S$13&amp;$B2477,Aux!$B:$M,4,0),"")</f>
        <v/>
      </c>
      <c r="V2477" s="62"/>
      <c r="W2477" s="63" t="str">
        <f>IFERROR(IF(VLOOKUP(S$13&amp;$B2475,Aux!$B:$M,8,0)="Да","✔","🕓"),"")</f>
        <v/>
      </c>
      <c r="AA2477" s="59"/>
      <c r="AB2477" s="15" t="str">
        <f>IF(AB2475="","","Исполнитель"&amp;": ")</f>
        <v/>
      </c>
      <c r="AC2477" s="62" t="str">
        <f>IFERROR(VLOOKUP(AA$13&amp;$B2477,Aux!$B:$M,4,0),"")</f>
        <v/>
      </c>
      <c r="AD2477" s="62"/>
      <c r="AE2477" s="63" t="str">
        <f>IFERROR(IF(VLOOKUP(AA$13&amp;$B2475,Aux!$B:$M,8,0)="Да","✔","🕓"),"")</f>
        <v/>
      </c>
    </row>
    <row r="2478" spans="2:31" x14ac:dyDescent="0.25">
      <c r="B2478" s="53">
        <f t="shared" si="38"/>
        <v>493</v>
      </c>
      <c r="C2478" s="59"/>
      <c r="D2478" s="16" t="str">
        <f>IF(D2475="","","Срок сдачи"&amp;": ")</f>
        <v/>
      </c>
      <c r="E2478" s="64" t="str">
        <f>IFERROR(VLOOKUP(C$13&amp;$B2478,Aux!$B:$M,6,0),"")</f>
        <v/>
      </c>
      <c r="F2478" s="64"/>
      <c r="G2478" s="63"/>
      <c r="K2478" s="59"/>
      <c r="L2478" s="16" t="str">
        <f>IF(L2475="","","Срок сдачи"&amp;": ")</f>
        <v/>
      </c>
      <c r="M2478" s="64" t="str">
        <f>IFERROR(VLOOKUP(K$13&amp;$B2478,Aux!$B:$M,6,0),"")</f>
        <v/>
      </c>
      <c r="N2478" s="64"/>
      <c r="O2478" s="63"/>
      <c r="S2478" s="59"/>
      <c r="T2478" s="16" t="str">
        <f>IF(T2475="","","Срок сдачи"&amp;": ")</f>
        <v/>
      </c>
      <c r="U2478" s="64" t="str">
        <f>IFERROR(VLOOKUP(S$13&amp;$B2478,Aux!$B:$M,6,0),"")</f>
        <v/>
      </c>
      <c r="V2478" s="64"/>
      <c r="W2478" s="63"/>
      <c r="AA2478" s="59"/>
      <c r="AB2478" s="16" t="str">
        <f>IF(AB2475="","","Срок сдачи"&amp;": ")</f>
        <v/>
      </c>
      <c r="AC2478" s="64" t="str">
        <f>IFERROR(VLOOKUP(AA$13&amp;$B2478,Aux!$B:$M,6,0),"")</f>
        <v/>
      </c>
      <c r="AD2478" s="64"/>
      <c r="AE2478" s="63"/>
    </row>
    <row r="2479" spans="2:31" x14ac:dyDescent="0.25">
      <c r="B2479" s="53">
        <f t="shared" si="38"/>
        <v>493</v>
      </c>
      <c r="C2479" s="7"/>
      <c r="D2479" s="17"/>
      <c r="E2479" s="7"/>
      <c r="F2479" s="18"/>
      <c r="G2479" s="18"/>
      <c r="K2479" s="13"/>
      <c r="L2479" s="17"/>
      <c r="M2479" s="13"/>
      <c r="N2479" s="14"/>
      <c r="O2479" s="14"/>
      <c r="S2479" s="13"/>
      <c r="T2479" s="17"/>
      <c r="U2479" s="13"/>
      <c r="V2479" s="14"/>
      <c r="W2479" s="14"/>
      <c r="AA2479" s="13"/>
      <c r="AB2479" s="17"/>
      <c r="AC2479" s="13"/>
      <c r="AD2479" s="14"/>
      <c r="AE2479" s="30"/>
    </row>
    <row r="2480" spans="2:31" x14ac:dyDescent="0.25">
      <c r="B2480" s="53">
        <f t="shared" si="38"/>
        <v>494</v>
      </c>
      <c r="C2480" s="59" t="str">
        <f>IFERROR(VLOOKUP(C$13&amp;$B2484,Aux!$B:$M,5,0),"")</f>
        <v/>
      </c>
      <c r="D2480" s="60" t="str">
        <f>IFERROR(VLOOKUP(C$13&amp;$B2480,Aux!$B:$M,3,0),"")</f>
        <v/>
      </c>
      <c r="E2480" s="60"/>
      <c r="F2480" s="60"/>
      <c r="G2480" s="61" t="str">
        <f>IFERROR(VLOOKUP(C$13&amp;$B2480,Aux!$B:$M,9,0),"")</f>
        <v/>
      </c>
      <c r="K2480" s="59" t="str">
        <f>IFERROR(VLOOKUP(K$13&amp;$B2484,Aux!$B:$M,5,0),"")</f>
        <v/>
      </c>
      <c r="L2480" s="60" t="str">
        <f>IFERROR(VLOOKUP(K$13&amp;$B2480,Aux!$B:$M,3,0),"")</f>
        <v/>
      </c>
      <c r="M2480" s="60"/>
      <c r="N2480" s="60"/>
      <c r="O2480" s="61" t="str">
        <f>IFERROR(VLOOKUP(K$13&amp;$B2480,Aux!$B:$M,9,0),"")</f>
        <v/>
      </c>
      <c r="S2480" s="59" t="str">
        <f>IFERROR(VLOOKUP(S$13&amp;$B2484,Aux!$B:$M,5,0),"")</f>
        <v/>
      </c>
      <c r="T2480" s="60" t="str">
        <f>IFERROR(VLOOKUP(S$13&amp;$B2480,Aux!$B:$M,3,0),"")</f>
        <v/>
      </c>
      <c r="U2480" s="60"/>
      <c r="V2480" s="60"/>
      <c r="W2480" s="61" t="str">
        <f>IFERROR(VLOOKUP(S$13&amp;$B2480,Aux!$B:$M,9,0),"")</f>
        <v/>
      </c>
      <c r="AA2480" s="59" t="str">
        <f>IFERROR(VLOOKUP(AA$13&amp;$B2484,Aux!$B:$M,5,0),"")</f>
        <v/>
      </c>
      <c r="AB2480" s="60" t="str">
        <f>IFERROR(VLOOKUP(AA$13&amp;$B2480,Aux!$B:$M,3,0),"")</f>
        <v/>
      </c>
      <c r="AC2480" s="60"/>
      <c r="AD2480" s="60"/>
      <c r="AE2480" s="61" t="str">
        <f>IFERROR(VLOOKUP(AA$13&amp;$B2480,Aux!$B:$M,9,0),"")</f>
        <v/>
      </c>
    </row>
    <row r="2481" spans="2:31" x14ac:dyDescent="0.25">
      <c r="B2481" s="53">
        <f t="shared" si="38"/>
        <v>494</v>
      </c>
      <c r="C2481" s="59"/>
      <c r="D2481" s="60"/>
      <c r="E2481" s="60"/>
      <c r="F2481" s="60"/>
      <c r="G2481" s="61"/>
      <c r="K2481" s="59"/>
      <c r="L2481" s="60"/>
      <c r="M2481" s="60"/>
      <c r="N2481" s="60"/>
      <c r="O2481" s="61"/>
      <c r="S2481" s="59"/>
      <c r="T2481" s="60"/>
      <c r="U2481" s="60"/>
      <c r="V2481" s="60"/>
      <c r="W2481" s="61"/>
      <c r="AA2481" s="59"/>
      <c r="AB2481" s="60"/>
      <c r="AC2481" s="60"/>
      <c r="AD2481" s="60"/>
      <c r="AE2481" s="61"/>
    </row>
    <row r="2482" spans="2:31" x14ac:dyDescent="0.25">
      <c r="B2482" s="53">
        <f t="shared" si="38"/>
        <v>494</v>
      </c>
      <c r="C2482" s="59"/>
      <c r="D2482" s="15" t="str">
        <f>IF(D2480="","","Исполнитель"&amp;": ")</f>
        <v/>
      </c>
      <c r="E2482" s="62" t="str">
        <f>IFERROR(VLOOKUP(C$13&amp;$B2482,Aux!$B:$M,4,0),"")</f>
        <v/>
      </c>
      <c r="F2482" s="62"/>
      <c r="G2482" s="63" t="str">
        <f>IFERROR(IF(VLOOKUP(C$13&amp;$B2480,Aux!$B:$M,8,0)="Да","✔","🕓"),"")</f>
        <v/>
      </c>
      <c r="K2482" s="59"/>
      <c r="L2482" s="15" t="str">
        <f>IF(L2480="","","Исполнитель"&amp;": ")</f>
        <v/>
      </c>
      <c r="M2482" s="62" t="str">
        <f>IFERROR(VLOOKUP(K$13&amp;$B2482,Aux!$B:$M,4,0),"")</f>
        <v/>
      </c>
      <c r="N2482" s="62"/>
      <c r="O2482" s="63" t="str">
        <f>IFERROR(IF(VLOOKUP(K$13&amp;$B2480,Aux!$B:$M,8,0)="Да","✔","🕓"),"")</f>
        <v/>
      </c>
      <c r="S2482" s="59"/>
      <c r="T2482" s="15" t="str">
        <f>IF(T2480="","","Исполнитель"&amp;": ")</f>
        <v/>
      </c>
      <c r="U2482" s="62" t="str">
        <f>IFERROR(VLOOKUP(S$13&amp;$B2482,Aux!$B:$M,4,0),"")</f>
        <v/>
      </c>
      <c r="V2482" s="62"/>
      <c r="W2482" s="63" t="str">
        <f>IFERROR(IF(VLOOKUP(S$13&amp;$B2480,Aux!$B:$M,8,0)="Да","✔","🕓"),"")</f>
        <v/>
      </c>
      <c r="AA2482" s="59"/>
      <c r="AB2482" s="15" t="str">
        <f>IF(AB2480="","","Исполнитель"&amp;": ")</f>
        <v/>
      </c>
      <c r="AC2482" s="62" t="str">
        <f>IFERROR(VLOOKUP(AA$13&amp;$B2482,Aux!$B:$M,4,0),"")</f>
        <v/>
      </c>
      <c r="AD2482" s="62"/>
      <c r="AE2482" s="63" t="str">
        <f>IFERROR(IF(VLOOKUP(AA$13&amp;$B2480,Aux!$B:$M,8,0)="Да","✔","🕓"),"")</f>
        <v/>
      </c>
    </row>
    <row r="2483" spans="2:31" x14ac:dyDescent="0.25">
      <c r="B2483" s="53">
        <f t="shared" si="38"/>
        <v>494</v>
      </c>
      <c r="C2483" s="59"/>
      <c r="D2483" s="16" t="str">
        <f>IF(D2480="","","Срок сдачи"&amp;": ")</f>
        <v/>
      </c>
      <c r="E2483" s="64" t="str">
        <f>IFERROR(VLOOKUP(C$13&amp;$B2483,Aux!$B:$M,6,0),"")</f>
        <v/>
      </c>
      <c r="F2483" s="64"/>
      <c r="G2483" s="63"/>
      <c r="K2483" s="59"/>
      <c r="L2483" s="16" t="str">
        <f>IF(L2480="","","Срок сдачи"&amp;": ")</f>
        <v/>
      </c>
      <c r="M2483" s="64" t="str">
        <f>IFERROR(VLOOKUP(K$13&amp;$B2483,Aux!$B:$M,6,0),"")</f>
        <v/>
      </c>
      <c r="N2483" s="64"/>
      <c r="O2483" s="63"/>
      <c r="S2483" s="59"/>
      <c r="T2483" s="16" t="str">
        <f>IF(T2480="","","Срок сдачи"&amp;": ")</f>
        <v/>
      </c>
      <c r="U2483" s="64" t="str">
        <f>IFERROR(VLOOKUP(S$13&amp;$B2483,Aux!$B:$M,6,0),"")</f>
        <v/>
      </c>
      <c r="V2483" s="64"/>
      <c r="W2483" s="63"/>
      <c r="AA2483" s="59"/>
      <c r="AB2483" s="16" t="str">
        <f>IF(AB2480="","","Срок сдачи"&amp;": ")</f>
        <v/>
      </c>
      <c r="AC2483" s="64" t="str">
        <f>IFERROR(VLOOKUP(AA$13&amp;$B2483,Aux!$B:$M,6,0),"")</f>
        <v/>
      </c>
      <c r="AD2483" s="64"/>
      <c r="AE2483" s="63"/>
    </row>
    <row r="2484" spans="2:31" x14ac:dyDescent="0.25">
      <c r="B2484" s="53">
        <f t="shared" si="38"/>
        <v>494</v>
      </c>
      <c r="C2484" s="7"/>
      <c r="D2484" s="17"/>
      <c r="E2484" s="7"/>
      <c r="F2484" s="18"/>
      <c r="G2484" s="18"/>
      <c r="K2484" s="13"/>
      <c r="L2484" s="17"/>
      <c r="M2484" s="13"/>
      <c r="N2484" s="14"/>
      <c r="O2484" s="14"/>
      <c r="S2484" s="13"/>
      <c r="T2484" s="17"/>
      <c r="U2484" s="13"/>
      <c r="V2484" s="14"/>
      <c r="W2484" s="14"/>
      <c r="AA2484" s="13"/>
      <c r="AB2484" s="17"/>
      <c r="AC2484" s="13"/>
      <c r="AD2484" s="14"/>
      <c r="AE2484" s="30"/>
    </row>
    <row r="2485" spans="2:31" x14ac:dyDescent="0.25">
      <c r="B2485" s="53">
        <f t="shared" si="38"/>
        <v>495</v>
      </c>
      <c r="C2485" s="59" t="str">
        <f>IFERROR(VLOOKUP(C$13&amp;$B2489,Aux!$B:$M,5,0),"")</f>
        <v/>
      </c>
      <c r="D2485" s="60" t="str">
        <f>IFERROR(VLOOKUP(C$13&amp;$B2485,Aux!$B:$M,3,0),"")</f>
        <v/>
      </c>
      <c r="E2485" s="60"/>
      <c r="F2485" s="60"/>
      <c r="G2485" s="61" t="str">
        <f>IFERROR(VLOOKUP(C$13&amp;$B2485,Aux!$B:$M,9,0),"")</f>
        <v/>
      </c>
      <c r="K2485" s="59" t="str">
        <f>IFERROR(VLOOKUP(K$13&amp;$B2489,Aux!$B:$M,5,0),"")</f>
        <v/>
      </c>
      <c r="L2485" s="60" t="str">
        <f>IFERROR(VLOOKUP(K$13&amp;$B2485,Aux!$B:$M,3,0),"")</f>
        <v/>
      </c>
      <c r="M2485" s="60"/>
      <c r="N2485" s="60"/>
      <c r="O2485" s="61" t="str">
        <f>IFERROR(VLOOKUP(K$13&amp;$B2485,Aux!$B:$M,9,0),"")</f>
        <v/>
      </c>
      <c r="S2485" s="59" t="str">
        <f>IFERROR(VLOOKUP(S$13&amp;$B2489,Aux!$B:$M,5,0),"")</f>
        <v/>
      </c>
      <c r="T2485" s="60" t="str">
        <f>IFERROR(VLOOKUP(S$13&amp;$B2485,Aux!$B:$M,3,0),"")</f>
        <v/>
      </c>
      <c r="U2485" s="60"/>
      <c r="V2485" s="60"/>
      <c r="W2485" s="61" t="str">
        <f>IFERROR(VLOOKUP(S$13&amp;$B2485,Aux!$B:$M,9,0),"")</f>
        <v/>
      </c>
      <c r="AA2485" s="59" t="str">
        <f>IFERROR(VLOOKUP(AA$13&amp;$B2489,Aux!$B:$M,5,0),"")</f>
        <v/>
      </c>
      <c r="AB2485" s="60" t="str">
        <f>IFERROR(VLOOKUP(AA$13&amp;$B2485,Aux!$B:$M,3,0),"")</f>
        <v/>
      </c>
      <c r="AC2485" s="60"/>
      <c r="AD2485" s="60"/>
      <c r="AE2485" s="61" t="str">
        <f>IFERROR(VLOOKUP(AA$13&amp;$B2485,Aux!$B:$M,9,0),"")</f>
        <v/>
      </c>
    </row>
    <row r="2486" spans="2:31" x14ac:dyDescent="0.25">
      <c r="B2486" s="53">
        <f t="shared" si="38"/>
        <v>495</v>
      </c>
      <c r="C2486" s="59"/>
      <c r="D2486" s="60"/>
      <c r="E2486" s="60"/>
      <c r="F2486" s="60"/>
      <c r="G2486" s="61"/>
      <c r="K2486" s="59"/>
      <c r="L2486" s="60"/>
      <c r="M2486" s="60"/>
      <c r="N2486" s="60"/>
      <c r="O2486" s="61"/>
      <c r="S2486" s="59"/>
      <c r="T2486" s="60"/>
      <c r="U2486" s="60"/>
      <c r="V2486" s="60"/>
      <c r="W2486" s="61"/>
      <c r="AA2486" s="59"/>
      <c r="AB2486" s="60"/>
      <c r="AC2486" s="60"/>
      <c r="AD2486" s="60"/>
      <c r="AE2486" s="61"/>
    </row>
    <row r="2487" spans="2:31" x14ac:dyDescent="0.25">
      <c r="B2487" s="53">
        <f t="shared" si="38"/>
        <v>495</v>
      </c>
      <c r="C2487" s="59"/>
      <c r="D2487" s="15" t="str">
        <f>IF(D2485="","","Исполнитель"&amp;": ")</f>
        <v/>
      </c>
      <c r="E2487" s="62" t="str">
        <f>IFERROR(VLOOKUP(C$13&amp;$B2487,Aux!$B:$M,4,0),"")</f>
        <v/>
      </c>
      <c r="F2487" s="62"/>
      <c r="G2487" s="63" t="str">
        <f>IFERROR(IF(VLOOKUP(C$13&amp;$B2485,Aux!$B:$M,8,0)="Да","✔","🕓"),"")</f>
        <v/>
      </c>
      <c r="K2487" s="59"/>
      <c r="L2487" s="15" t="str">
        <f>IF(L2485="","","Исполнитель"&amp;": ")</f>
        <v/>
      </c>
      <c r="M2487" s="62" t="str">
        <f>IFERROR(VLOOKUP(K$13&amp;$B2487,Aux!$B:$M,4,0),"")</f>
        <v/>
      </c>
      <c r="N2487" s="62"/>
      <c r="O2487" s="63" t="str">
        <f>IFERROR(IF(VLOOKUP(K$13&amp;$B2485,Aux!$B:$M,8,0)="Да","✔","🕓"),"")</f>
        <v/>
      </c>
      <c r="S2487" s="59"/>
      <c r="T2487" s="15" t="str">
        <f>IF(T2485="","","Исполнитель"&amp;": ")</f>
        <v/>
      </c>
      <c r="U2487" s="62" t="str">
        <f>IFERROR(VLOOKUP(S$13&amp;$B2487,Aux!$B:$M,4,0),"")</f>
        <v/>
      </c>
      <c r="V2487" s="62"/>
      <c r="W2487" s="63" t="str">
        <f>IFERROR(IF(VLOOKUP(S$13&amp;$B2485,Aux!$B:$M,8,0)="Да","✔","🕓"),"")</f>
        <v/>
      </c>
      <c r="AA2487" s="59"/>
      <c r="AB2487" s="15" t="str">
        <f>IF(AB2485="","","Исполнитель"&amp;": ")</f>
        <v/>
      </c>
      <c r="AC2487" s="62" t="str">
        <f>IFERROR(VLOOKUP(AA$13&amp;$B2487,Aux!$B:$M,4,0),"")</f>
        <v/>
      </c>
      <c r="AD2487" s="62"/>
      <c r="AE2487" s="63" t="str">
        <f>IFERROR(IF(VLOOKUP(AA$13&amp;$B2485,Aux!$B:$M,8,0)="Да","✔","🕓"),"")</f>
        <v/>
      </c>
    </row>
    <row r="2488" spans="2:31" x14ac:dyDescent="0.25">
      <c r="B2488" s="53">
        <f t="shared" si="38"/>
        <v>495</v>
      </c>
      <c r="C2488" s="59"/>
      <c r="D2488" s="16" t="str">
        <f>IF(D2485="","","Срок сдачи"&amp;": ")</f>
        <v/>
      </c>
      <c r="E2488" s="64" t="str">
        <f>IFERROR(VLOOKUP(C$13&amp;$B2488,Aux!$B:$M,6,0),"")</f>
        <v/>
      </c>
      <c r="F2488" s="64"/>
      <c r="G2488" s="63"/>
      <c r="K2488" s="59"/>
      <c r="L2488" s="16" t="str">
        <f>IF(L2485="","","Срок сдачи"&amp;": ")</f>
        <v/>
      </c>
      <c r="M2488" s="64" t="str">
        <f>IFERROR(VLOOKUP(K$13&amp;$B2488,Aux!$B:$M,6,0),"")</f>
        <v/>
      </c>
      <c r="N2488" s="64"/>
      <c r="O2488" s="63"/>
      <c r="S2488" s="59"/>
      <c r="T2488" s="16" t="str">
        <f>IF(T2485="","","Срок сдачи"&amp;": ")</f>
        <v/>
      </c>
      <c r="U2488" s="64" t="str">
        <f>IFERROR(VLOOKUP(S$13&amp;$B2488,Aux!$B:$M,6,0),"")</f>
        <v/>
      </c>
      <c r="V2488" s="64"/>
      <c r="W2488" s="63"/>
      <c r="AA2488" s="59"/>
      <c r="AB2488" s="16" t="str">
        <f>IF(AB2485="","","Срок сдачи"&amp;": ")</f>
        <v/>
      </c>
      <c r="AC2488" s="64" t="str">
        <f>IFERROR(VLOOKUP(AA$13&amp;$B2488,Aux!$B:$M,6,0),"")</f>
        <v/>
      </c>
      <c r="AD2488" s="64"/>
      <c r="AE2488" s="63"/>
    </row>
    <row r="2489" spans="2:31" x14ac:dyDescent="0.25">
      <c r="B2489" s="53">
        <f t="shared" si="38"/>
        <v>495</v>
      </c>
      <c r="C2489" s="7"/>
      <c r="D2489" s="17"/>
      <c r="E2489" s="7"/>
      <c r="F2489" s="18"/>
      <c r="G2489" s="18"/>
      <c r="K2489" s="13"/>
      <c r="L2489" s="17"/>
      <c r="M2489" s="13"/>
      <c r="N2489" s="14"/>
      <c r="O2489" s="14"/>
      <c r="S2489" s="13"/>
      <c r="T2489" s="17"/>
      <c r="U2489" s="13"/>
      <c r="V2489" s="14"/>
      <c r="W2489" s="14"/>
      <c r="AA2489" s="13"/>
      <c r="AB2489" s="17"/>
      <c r="AC2489" s="13"/>
      <c r="AD2489" s="14"/>
      <c r="AE2489" s="30"/>
    </row>
    <row r="2490" spans="2:31" x14ac:dyDescent="0.25">
      <c r="B2490" s="53">
        <f t="shared" si="38"/>
        <v>496</v>
      </c>
      <c r="C2490" s="59" t="str">
        <f>IFERROR(VLOOKUP(C$13&amp;$B2494,Aux!$B:$M,5,0),"")</f>
        <v/>
      </c>
      <c r="D2490" s="60" t="str">
        <f>IFERROR(VLOOKUP(C$13&amp;$B2490,Aux!$B:$M,3,0),"")</f>
        <v/>
      </c>
      <c r="E2490" s="60"/>
      <c r="F2490" s="60"/>
      <c r="G2490" s="61" t="str">
        <f>IFERROR(VLOOKUP(C$13&amp;$B2490,Aux!$B:$M,9,0),"")</f>
        <v/>
      </c>
      <c r="K2490" s="59" t="str">
        <f>IFERROR(VLOOKUP(K$13&amp;$B2494,Aux!$B:$M,5,0),"")</f>
        <v/>
      </c>
      <c r="L2490" s="60" t="str">
        <f>IFERROR(VLOOKUP(K$13&amp;$B2490,Aux!$B:$M,3,0),"")</f>
        <v/>
      </c>
      <c r="M2490" s="60"/>
      <c r="N2490" s="60"/>
      <c r="O2490" s="61" t="str">
        <f>IFERROR(VLOOKUP(K$13&amp;$B2490,Aux!$B:$M,9,0),"")</f>
        <v/>
      </c>
      <c r="S2490" s="59" t="str">
        <f>IFERROR(VLOOKUP(S$13&amp;$B2494,Aux!$B:$M,5,0),"")</f>
        <v/>
      </c>
      <c r="T2490" s="60" t="str">
        <f>IFERROR(VLOOKUP(S$13&amp;$B2490,Aux!$B:$M,3,0),"")</f>
        <v/>
      </c>
      <c r="U2490" s="60"/>
      <c r="V2490" s="60"/>
      <c r="W2490" s="61" t="str">
        <f>IFERROR(VLOOKUP(S$13&amp;$B2490,Aux!$B:$M,9,0),"")</f>
        <v/>
      </c>
      <c r="AA2490" s="59" t="str">
        <f>IFERROR(VLOOKUP(AA$13&amp;$B2494,Aux!$B:$M,5,0),"")</f>
        <v/>
      </c>
      <c r="AB2490" s="60" t="str">
        <f>IFERROR(VLOOKUP(AA$13&amp;$B2490,Aux!$B:$M,3,0),"")</f>
        <v/>
      </c>
      <c r="AC2490" s="60"/>
      <c r="AD2490" s="60"/>
      <c r="AE2490" s="61" t="str">
        <f>IFERROR(VLOOKUP(AA$13&amp;$B2490,Aux!$B:$M,9,0),"")</f>
        <v/>
      </c>
    </row>
    <row r="2491" spans="2:31" x14ac:dyDescent="0.25">
      <c r="B2491" s="53">
        <f t="shared" si="38"/>
        <v>496</v>
      </c>
      <c r="C2491" s="59"/>
      <c r="D2491" s="60"/>
      <c r="E2491" s="60"/>
      <c r="F2491" s="60"/>
      <c r="G2491" s="61"/>
      <c r="K2491" s="59"/>
      <c r="L2491" s="60"/>
      <c r="M2491" s="60"/>
      <c r="N2491" s="60"/>
      <c r="O2491" s="61"/>
      <c r="S2491" s="59"/>
      <c r="T2491" s="60"/>
      <c r="U2491" s="60"/>
      <c r="V2491" s="60"/>
      <c r="W2491" s="61"/>
      <c r="AA2491" s="59"/>
      <c r="AB2491" s="60"/>
      <c r="AC2491" s="60"/>
      <c r="AD2491" s="60"/>
      <c r="AE2491" s="61"/>
    </row>
    <row r="2492" spans="2:31" x14ac:dyDescent="0.25">
      <c r="B2492" s="53">
        <f t="shared" si="38"/>
        <v>496</v>
      </c>
      <c r="C2492" s="59"/>
      <c r="D2492" s="15" t="str">
        <f>IF(D2490="","","Исполнитель"&amp;": ")</f>
        <v/>
      </c>
      <c r="E2492" s="62" t="str">
        <f>IFERROR(VLOOKUP(C$13&amp;$B2492,Aux!$B:$M,4,0),"")</f>
        <v/>
      </c>
      <c r="F2492" s="62"/>
      <c r="G2492" s="63" t="str">
        <f>IFERROR(IF(VLOOKUP(C$13&amp;$B2490,Aux!$B:$M,8,0)="Да","✔","🕓"),"")</f>
        <v/>
      </c>
      <c r="K2492" s="59"/>
      <c r="L2492" s="15" t="str">
        <f>IF(L2490="","","Исполнитель"&amp;": ")</f>
        <v/>
      </c>
      <c r="M2492" s="62" t="str">
        <f>IFERROR(VLOOKUP(K$13&amp;$B2492,Aux!$B:$M,4,0),"")</f>
        <v/>
      </c>
      <c r="N2492" s="62"/>
      <c r="O2492" s="63" t="str">
        <f>IFERROR(IF(VLOOKUP(K$13&amp;$B2490,Aux!$B:$M,8,0)="Да","✔","🕓"),"")</f>
        <v/>
      </c>
      <c r="S2492" s="59"/>
      <c r="T2492" s="15" t="str">
        <f>IF(T2490="","","Исполнитель"&amp;": ")</f>
        <v/>
      </c>
      <c r="U2492" s="62" t="str">
        <f>IFERROR(VLOOKUP(S$13&amp;$B2492,Aux!$B:$M,4,0),"")</f>
        <v/>
      </c>
      <c r="V2492" s="62"/>
      <c r="W2492" s="63" t="str">
        <f>IFERROR(IF(VLOOKUP(S$13&amp;$B2490,Aux!$B:$M,8,0)="Да","✔","🕓"),"")</f>
        <v/>
      </c>
      <c r="AA2492" s="59"/>
      <c r="AB2492" s="15" t="str">
        <f>IF(AB2490="","","Исполнитель"&amp;": ")</f>
        <v/>
      </c>
      <c r="AC2492" s="62" t="str">
        <f>IFERROR(VLOOKUP(AA$13&amp;$B2492,Aux!$B:$M,4,0),"")</f>
        <v/>
      </c>
      <c r="AD2492" s="62"/>
      <c r="AE2492" s="63" t="str">
        <f>IFERROR(IF(VLOOKUP(AA$13&amp;$B2490,Aux!$B:$M,8,0)="Да","✔","🕓"),"")</f>
        <v/>
      </c>
    </row>
    <row r="2493" spans="2:31" x14ac:dyDescent="0.25">
      <c r="B2493" s="53">
        <f t="shared" si="38"/>
        <v>496</v>
      </c>
      <c r="C2493" s="59"/>
      <c r="D2493" s="16" t="str">
        <f>IF(D2490="","","Срок сдачи"&amp;": ")</f>
        <v/>
      </c>
      <c r="E2493" s="64" t="str">
        <f>IFERROR(VLOOKUP(C$13&amp;$B2493,Aux!$B:$M,6,0),"")</f>
        <v/>
      </c>
      <c r="F2493" s="64"/>
      <c r="G2493" s="63"/>
      <c r="K2493" s="59"/>
      <c r="L2493" s="16" t="str">
        <f>IF(L2490="","","Срок сдачи"&amp;": ")</f>
        <v/>
      </c>
      <c r="M2493" s="64" t="str">
        <f>IFERROR(VLOOKUP(K$13&amp;$B2493,Aux!$B:$M,6,0),"")</f>
        <v/>
      </c>
      <c r="N2493" s="64"/>
      <c r="O2493" s="63"/>
      <c r="S2493" s="59"/>
      <c r="T2493" s="16" t="str">
        <f>IF(T2490="","","Срок сдачи"&amp;": ")</f>
        <v/>
      </c>
      <c r="U2493" s="64" t="str">
        <f>IFERROR(VLOOKUP(S$13&amp;$B2493,Aux!$B:$M,6,0),"")</f>
        <v/>
      </c>
      <c r="V2493" s="64"/>
      <c r="W2493" s="63"/>
      <c r="AA2493" s="59"/>
      <c r="AB2493" s="16" t="str">
        <f>IF(AB2490="","","Срок сдачи"&amp;": ")</f>
        <v/>
      </c>
      <c r="AC2493" s="64" t="str">
        <f>IFERROR(VLOOKUP(AA$13&amp;$B2493,Aux!$B:$M,6,0),"")</f>
        <v/>
      </c>
      <c r="AD2493" s="64"/>
      <c r="AE2493" s="63"/>
    </row>
    <row r="2494" spans="2:31" x14ac:dyDescent="0.25">
      <c r="B2494" s="53">
        <f t="shared" si="38"/>
        <v>496</v>
      </c>
      <c r="C2494" s="7"/>
      <c r="D2494" s="17"/>
      <c r="E2494" s="7"/>
      <c r="F2494" s="18"/>
      <c r="G2494" s="18"/>
      <c r="K2494" s="13"/>
      <c r="L2494" s="17"/>
      <c r="M2494" s="13"/>
      <c r="N2494" s="14"/>
      <c r="O2494" s="14"/>
      <c r="S2494" s="13"/>
      <c r="T2494" s="17"/>
      <c r="U2494" s="13"/>
      <c r="V2494" s="14"/>
      <c r="W2494" s="14"/>
      <c r="AA2494" s="13"/>
      <c r="AB2494" s="17"/>
      <c r="AC2494" s="13"/>
      <c r="AD2494" s="14"/>
      <c r="AE2494" s="30"/>
    </row>
    <row r="2495" spans="2:31" x14ac:dyDescent="0.25">
      <c r="B2495" s="53">
        <f t="shared" si="38"/>
        <v>497</v>
      </c>
      <c r="C2495" s="59" t="str">
        <f>IFERROR(VLOOKUP(C$13&amp;$B2499,Aux!$B:$M,5,0),"")</f>
        <v/>
      </c>
      <c r="D2495" s="60" t="str">
        <f>IFERROR(VLOOKUP(C$13&amp;$B2495,Aux!$B:$M,3,0),"")</f>
        <v/>
      </c>
      <c r="E2495" s="60"/>
      <c r="F2495" s="60"/>
      <c r="G2495" s="61" t="str">
        <f>IFERROR(VLOOKUP(C$13&amp;$B2495,Aux!$B:$M,9,0),"")</f>
        <v/>
      </c>
      <c r="K2495" s="59" t="str">
        <f>IFERROR(VLOOKUP(K$13&amp;$B2499,Aux!$B:$M,5,0),"")</f>
        <v/>
      </c>
      <c r="L2495" s="60" t="str">
        <f>IFERROR(VLOOKUP(K$13&amp;$B2495,Aux!$B:$M,3,0),"")</f>
        <v/>
      </c>
      <c r="M2495" s="60"/>
      <c r="N2495" s="60"/>
      <c r="O2495" s="61" t="str">
        <f>IFERROR(VLOOKUP(K$13&amp;$B2495,Aux!$B:$M,9,0),"")</f>
        <v/>
      </c>
      <c r="S2495" s="59" t="str">
        <f>IFERROR(VLOOKUP(S$13&amp;$B2499,Aux!$B:$M,5,0),"")</f>
        <v/>
      </c>
      <c r="T2495" s="60" t="str">
        <f>IFERROR(VLOOKUP(S$13&amp;$B2495,Aux!$B:$M,3,0),"")</f>
        <v/>
      </c>
      <c r="U2495" s="60"/>
      <c r="V2495" s="60"/>
      <c r="W2495" s="61" t="str">
        <f>IFERROR(VLOOKUP(S$13&amp;$B2495,Aux!$B:$M,9,0),"")</f>
        <v/>
      </c>
      <c r="AA2495" s="59" t="str">
        <f>IFERROR(VLOOKUP(AA$13&amp;$B2499,Aux!$B:$M,5,0),"")</f>
        <v/>
      </c>
      <c r="AB2495" s="60" t="str">
        <f>IFERROR(VLOOKUP(AA$13&amp;$B2495,Aux!$B:$M,3,0),"")</f>
        <v/>
      </c>
      <c r="AC2495" s="60"/>
      <c r="AD2495" s="60"/>
      <c r="AE2495" s="61" t="str">
        <f>IFERROR(VLOOKUP(AA$13&amp;$B2495,Aux!$B:$M,9,0),"")</f>
        <v/>
      </c>
    </row>
    <row r="2496" spans="2:31" x14ac:dyDescent="0.25">
      <c r="B2496" s="53">
        <f t="shared" si="38"/>
        <v>497</v>
      </c>
      <c r="C2496" s="59"/>
      <c r="D2496" s="60"/>
      <c r="E2496" s="60"/>
      <c r="F2496" s="60"/>
      <c r="G2496" s="61"/>
      <c r="K2496" s="59"/>
      <c r="L2496" s="60"/>
      <c r="M2496" s="60"/>
      <c r="N2496" s="60"/>
      <c r="O2496" s="61"/>
      <c r="S2496" s="59"/>
      <c r="T2496" s="60"/>
      <c r="U2496" s="60"/>
      <c r="V2496" s="60"/>
      <c r="W2496" s="61"/>
      <c r="AA2496" s="59"/>
      <c r="AB2496" s="60"/>
      <c r="AC2496" s="60"/>
      <c r="AD2496" s="60"/>
      <c r="AE2496" s="61"/>
    </row>
    <row r="2497" spans="2:31" x14ac:dyDescent="0.25">
      <c r="B2497" s="53">
        <f t="shared" si="38"/>
        <v>497</v>
      </c>
      <c r="C2497" s="59"/>
      <c r="D2497" s="15" t="str">
        <f>IF(D2495="","","Исполнитель"&amp;": ")</f>
        <v/>
      </c>
      <c r="E2497" s="62" t="str">
        <f>IFERROR(VLOOKUP(C$13&amp;$B2497,Aux!$B:$M,4,0),"")</f>
        <v/>
      </c>
      <c r="F2497" s="62"/>
      <c r="G2497" s="63" t="str">
        <f>IFERROR(IF(VLOOKUP(C$13&amp;$B2495,Aux!$B:$M,8,0)="Да","✔","🕓"),"")</f>
        <v/>
      </c>
      <c r="K2497" s="59"/>
      <c r="L2497" s="15" t="str">
        <f>IF(L2495="","","Исполнитель"&amp;": ")</f>
        <v/>
      </c>
      <c r="M2497" s="62" t="str">
        <f>IFERROR(VLOOKUP(K$13&amp;$B2497,Aux!$B:$M,4,0),"")</f>
        <v/>
      </c>
      <c r="N2497" s="62"/>
      <c r="O2497" s="63" t="str">
        <f>IFERROR(IF(VLOOKUP(K$13&amp;$B2495,Aux!$B:$M,8,0)="Да","✔","🕓"),"")</f>
        <v/>
      </c>
      <c r="S2497" s="59"/>
      <c r="T2497" s="15" t="str">
        <f>IF(T2495="","","Исполнитель"&amp;": ")</f>
        <v/>
      </c>
      <c r="U2497" s="62" t="str">
        <f>IFERROR(VLOOKUP(S$13&amp;$B2497,Aux!$B:$M,4,0),"")</f>
        <v/>
      </c>
      <c r="V2497" s="62"/>
      <c r="W2497" s="63" t="str">
        <f>IFERROR(IF(VLOOKUP(S$13&amp;$B2495,Aux!$B:$M,8,0)="Да","✔","🕓"),"")</f>
        <v/>
      </c>
      <c r="AA2497" s="59"/>
      <c r="AB2497" s="15" t="str">
        <f>IF(AB2495="","","Исполнитель"&amp;": ")</f>
        <v/>
      </c>
      <c r="AC2497" s="62" t="str">
        <f>IFERROR(VLOOKUP(AA$13&amp;$B2497,Aux!$B:$M,4,0),"")</f>
        <v/>
      </c>
      <c r="AD2497" s="62"/>
      <c r="AE2497" s="63" t="str">
        <f>IFERROR(IF(VLOOKUP(AA$13&amp;$B2495,Aux!$B:$M,8,0)="Да","✔","🕓"),"")</f>
        <v/>
      </c>
    </row>
    <row r="2498" spans="2:31" x14ac:dyDescent="0.25">
      <c r="B2498" s="53">
        <f t="shared" si="38"/>
        <v>497</v>
      </c>
      <c r="C2498" s="59"/>
      <c r="D2498" s="16" t="str">
        <f>IF(D2495="","","Срок сдачи"&amp;": ")</f>
        <v/>
      </c>
      <c r="E2498" s="64" t="str">
        <f>IFERROR(VLOOKUP(C$13&amp;$B2498,Aux!$B:$M,6,0),"")</f>
        <v/>
      </c>
      <c r="F2498" s="64"/>
      <c r="G2498" s="63"/>
      <c r="K2498" s="59"/>
      <c r="L2498" s="16" t="str">
        <f>IF(L2495="","","Срок сдачи"&amp;": ")</f>
        <v/>
      </c>
      <c r="M2498" s="64" t="str">
        <f>IFERROR(VLOOKUP(K$13&amp;$B2498,Aux!$B:$M,6,0),"")</f>
        <v/>
      </c>
      <c r="N2498" s="64"/>
      <c r="O2498" s="63"/>
      <c r="S2498" s="59"/>
      <c r="T2498" s="16" t="str">
        <f>IF(T2495="","","Срок сдачи"&amp;": ")</f>
        <v/>
      </c>
      <c r="U2498" s="64" t="str">
        <f>IFERROR(VLOOKUP(S$13&amp;$B2498,Aux!$B:$M,6,0),"")</f>
        <v/>
      </c>
      <c r="V2498" s="64"/>
      <c r="W2498" s="63"/>
      <c r="AA2498" s="59"/>
      <c r="AB2498" s="16" t="str">
        <f>IF(AB2495="","","Срок сдачи"&amp;": ")</f>
        <v/>
      </c>
      <c r="AC2498" s="64" t="str">
        <f>IFERROR(VLOOKUP(AA$13&amp;$B2498,Aux!$B:$M,6,0),"")</f>
        <v/>
      </c>
      <c r="AD2498" s="64"/>
      <c r="AE2498" s="63"/>
    </row>
    <row r="2499" spans="2:31" x14ac:dyDescent="0.25">
      <c r="B2499" s="53">
        <f t="shared" si="38"/>
        <v>497</v>
      </c>
      <c r="C2499" s="7"/>
      <c r="D2499" s="17"/>
      <c r="E2499" s="7"/>
      <c r="F2499" s="18"/>
      <c r="G2499" s="18"/>
      <c r="K2499" s="13"/>
      <c r="L2499" s="17"/>
      <c r="M2499" s="13"/>
      <c r="N2499" s="14"/>
      <c r="O2499" s="14"/>
      <c r="S2499" s="13"/>
      <c r="T2499" s="17"/>
      <c r="U2499" s="13"/>
      <c r="V2499" s="14"/>
      <c r="W2499" s="14"/>
      <c r="AA2499" s="13"/>
      <c r="AB2499" s="17"/>
      <c r="AC2499" s="13"/>
      <c r="AD2499" s="14"/>
      <c r="AE2499" s="30"/>
    </row>
    <row r="2500" spans="2:31" x14ac:dyDescent="0.25">
      <c r="B2500" s="53">
        <f t="shared" si="38"/>
        <v>498</v>
      </c>
      <c r="C2500" s="59" t="str">
        <f>IFERROR(VLOOKUP(C$13&amp;$B2504,Aux!$B:$M,5,0),"")</f>
        <v/>
      </c>
      <c r="D2500" s="60" t="str">
        <f>IFERROR(VLOOKUP(C$13&amp;$B2500,Aux!$B:$M,3,0),"")</f>
        <v/>
      </c>
      <c r="E2500" s="60"/>
      <c r="F2500" s="60"/>
      <c r="G2500" s="61" t="str">
        <f>IFERROR(VLOOKUP(C$13&amp;$B2500,Aux!$B:$M,9,0),"")</f>
        <v/>
      </c>
      <c r="K2500" s="59" t="str">
        <f>IFERROR(VLOOKUP(K$13&amp;$B2504,Aux!$B:$M,5,0),"")</f>
        <v/>
      </c>
      <c r="L2500" s="60" t="str">
        <f>IFERROR(VLOOKUP(K$13&amp;$B2500,Aux!$B:$M,3,0),"")</f>
        <v/>
      </c>
      <c r="M2500" s="60"/>
      <c r="N2500" s="60"/>
      <c r="O2500" s="61" t="str">
        <f>IFERROR(VLOOKUP(K$13&amp;$B2500,Aux!$B:$M,9,0),"")</f>
        <v/>
      </c>
      <c r="S2500" s="59" t="str">
        <f>IFERROR(VLOOKUP(S$13&amp;$B2504,Aux!$B:$M,5,0),"")</f>
        <v/>
      </c>
      <c r="T2500" s="60" t="str">
        <f>IFERROR(VLOOKUP(S$13&amp;$B2500,Aux!$B:$M,3,0),"")</f>
        <v/>
      </c>
      <c r="U2500" s="60"/>
      <c r="V2500" s="60"/>
      <c r="W2500" s="61" t="str">
        <f>IFERROR(VLOOKUP(S$13&amp;$B2500,Aux!$B:$M,9,0),"")</f>
        <v/>
      </c>
      <c r="AA2500" s="59" t="str">
        <f>IFERROR(VLOOKUP(AA$13&amp;$B2504,Aux!$B:$M,5,0),"")</f>
        <v/>
      </c>
      <c r="AB2500" s="60" t="str">
        <f>IFERROR(VLOOKUP(AA$13&amp;$B2500,Aux!$B:$M,3,0),"")</f>
        <v/>
      </c>
      <c r="AC2500" s="60"/>
      <c r="AD2500" s="60"/>
      <c r="AE2500" s="61" t="str">
        <f>IFERROR(VLOOKUP(AA$13&amp;$B2500,Aux!$B:$M,9,0),"")</f>
        <v/>
      </c>
    </row>
    <row r="2501" spans="2:31" x14ac:dyDescent="0.25">
      <c r="B2501" s="53">
        <f t="shared" si="38"/>
        <v>498</v>
      </c>
      <c r="C2501" s="59"/>
      <c r="D2501" s="60"/>
      <c r="E2501" s="60"/>
      <c r="F2501" s="60"/>
      <c r="G2501" s="61"/>
      <c r="K2501" s="59"/>
      <c r="L2501" s="60"/>
      <c r="M2501" s="60"/>
      <c r="N2501" s="60"/>
      <c r="O2501" s="61"/>
      <c r="S2501" s="59"/>
      <c r="T2501" s="60"/>
      <c r="U2501" s="60"/>
      <c r="V2501" s="60"/>
      <c r="W2501" s="61"/>
      <c r="AA2501" s="59"/>
      <c r="AB2501" s="60"/>
      <c r="AC2501" s="60"/>
      <c r="AD2501" s="60"/>
      <c r="AE2501" s="61"/>
    </row>
    <row r="2502" spans="2:31" x14ac:dyDescent="0.25">
      <c r="B2502" s="53">
        <f t="shared" si="38"/>
        <v>498</v>
      </c>
      <c r="C2502" s="59"/>
      <c r="D2502" s="15" t="str">
        <f>IF(D2500="","","Исполнитель"&amp;": ")</f>
        <v/>
      </c>
      <c r="E2502" s="62" t="str">
        <f>IFERROR(VLOOKUP(C$13&amp;$B2502,Aux!$B:$M,4,0),"")</f>
        <v/>
      </c>
      <c r="F2502" s="62"/>
      <c r="G2502" s="63" t="str">
        <f>IFERROR(IF(VLOOKUP(C$13&amp;$B2500,Aux!$B:$M,8,0)="Да","✔","🕓"),"")</f>
        <v/>
      </c>
      <c r="K2502" s="59"/>
      <c r="L2502" s="15" t="str">
        <f>IF(L2500="","","Исполнитель"&amp;": ")</f>
        <v/>
      </c>
      <c r="M2502" s="62" t="str">
        <f>IFERROR(VLOOKUP(K$13&amp;$B2502,Aux!$B:$M,4,0),"")</f>
        <v/>
      </c>
      <c r="N2502" s="62"/>
      <c r="O2502" s="63" t="str">
        <f>IFERROR(IF(VLOOKUP(K$13&amp;$B2500,Aux!$B:$M,8,0)="Да","✔","🕓"),"")</f>
        <v/>
      </c>
      <c r="S2502" s="59"/>
      <c r="T2502" s="15" t="str">
        <f>IF(T2500="","","Исполнитель"&amp;": ")</f>
        <v/>
      </c>
      <c r="U2502" s="62" t="str">
        <f>IFERROR(VLOOKUP(S$13&amp;$B2502,Aux!$B:$M,4,0),"")</f>
        <v/>
      </c>
      <c r="V2502" s="62"/>
      <c r="W2502" s="63" t="str">
        <f>IFERROR(IF(VLOOKUP(S$13&amp;$B2500,Aux!$B:$M,8,0)="Да","✔","🕓"),"")</f>
        <v/>
      </c>
      <c r="AA2502" s="59"/>
      <c r="AB2502" s="15" t="str">
        <f>IF(AB2500="","","Исполнитель"&amp;": ")</f>
        <v/>
      </c>
      <c r="AC2502" s="62" t="str">
        <f>IFERROR(VLOOKUP(AA$13&amp;$B2502,Aux!$B:$M,4,0),"")</f>
        <v/>
      </c>
      <c r="AD2502" s="62"/>
      <c r="AE2502" s="63" t="str">
        <f>IFERROR(IF(VLOOKUP(AA$13&amp;$B2500,Aux!$B:$M,8,0)="Да","✔","🕓"),"")</f>
        <v/>
      </c>
    </row>
    <row r="2503" spans="2:31" x14ac:dyDescent="0.25">
      <c r="B2503" s="53">
        <f t="shared" si="38"/>
        <v>498</v>
      </c>
      <c r="C2503" s="59"/>
      <c r="D2503" s="16" t="str">
        <f>IF(D2500="","","Срок сдачи"&amp;": ")</f>
        <v/>
      </c>
      <c r="E2503" s="64" t="str">
        <f>IFERROR(VLOOKUP(C$13&amp;$B2503,Aux!$B:$M,6,0),"")</f>
        <v/>
      </c>
      <c r="F2503" s="64"/>
      <c r="G2503" s="63"/>
      <c r="K2503" s="59"/>
      <c r="L2503" s="16" t="str">
        <f>IF(L2500="","","Срок сдачи"&amp;": ")</f>
        <v/>
      </c>
      <c r="M2503" s="64" t="str">
        <f>IFERROR(VLOOKUP(K$13&amp;$B2503,Aux!$B:$M,6,0),"")</f>
        <v/>
      </c>
      <c r="N2503" s="64"/>
      <c r="O2503" s="63"/>
      <c r="S2503" s="59"/>
      <c r="T2503" s="16" t="str">
        <f>IF(T2500="","","Срок сдачи"&amp;": ")</f>
        <v/>
      </c>
      <c r="U2503" s="64" t="str">
        <f>IFERROR(VLOOKUP(S$13&amp;$B2503,Aux!$B:$M,6,0),"")</f>
        <v/>
      </c>
      <c r="V2503" s="64"/>
      <c r="W2503" s="63"/>
      <c r="AA2503" s="59"/>
      <c r="AB2503" s="16" t="str">
        <f>IF(AB2500="","","Срок сдачи"&amp;": ")</f>
        <v/>
      </c>
      <c r="AC2503" s="64" t="str">
        <f>IFERROR(VLOOKUP(AA$13&amp;$B2503,Aux!$B:$M,6,0),"")</f>
        <v/>
      </c>
      <c r="AD2503" s="64"/>
      <c r="AE2503" s="63"/>
    </row>
    <row r="2504" spans="2:31" x14ac:dyDescent="0.25">
      <c r="B2504" s="53">
        <f t="shared" si="38"/>
        <v>498</v>
      </c>
      <c r="C2504" s="7"/>
      <c r="D2504" s="17"/>
      <c r="E2504" s="7"/>
      <c r="F2504" s="18"/>
      <c r="G2504" s="18"/>
      <c r="K2504" s="13"/>
      <c r="L2504" s="17"/>
      <c r="M2504" s="13"/>
      <c r="N2504" s="14"/>
      <c r="O2504" s="14"/>
      <c r="S2504" s="13"/>
      <c r="T2504" s="17"/>
      <c r="U2504" s="13"/>
      <c r="V2504" s="14"/>
      <c r="W2504" s="14"/>
      <c r="AA2504" s="13"/>
      <c r="AB2504" s="17"/>
      <c r="AC2504" s="13"/>
      <c r="AD2504" s="14"/>
      <c r="AE2504" s="30"/>
    </row>
    <row r="2505" spans="2:31" x14ac:dyDescent="0.25">
      <c r="B2505" s="53">
        <f t="shared" si="38"/>
        <v>499</v>
      </c>
      <c r="C2505" s="59" t="str">
        <f>IFERROR(VLOOKUP(C$13&amp;$B2509,Aux!$B:$M,5,0),"")</f>
        <v/>
      </c>
      <c r="D2505" s="60" t="str">
        <f>IFERROR(VLOOKUP(C$13&amp;$B2505,Aux!$B:$M,3,0),"")</f>
        <v/>
      </c>
      <c r="E2505" s="60"/>
      <c r="F2505" s="60"/>
      <c r="G2505" s="61" t="str">
        <f>IFERROR(VLOOKUP(C$13&amp;$B2505,Aux!$B:$M,9,0),"")</f>
        <v/>
      </c>
      <c r="K2505" s="59" t="str">
        <f>IFERROR(VLOOKUP(K$13&amp;$B2509,Aux!$B:$M,5,0),"")</f>
        <v/>
      </c>
      <c r="L2505" s="60" t="str">
        <f>IFERROR(VLOOKUP(K$13&amp;$B2505,Aux!$B:$M,3,0),"")</f>
        <v/>
      </c>
      <c r="M2505" s="60"/>
      <c r="N2505" s="60"/>
      <c r="O2505" s="61" t="str">
        <f>IFERROR(VLOOKUP(K$13&amp;$B2505,Aux!$B:$M,9,0),"")</f>
        <v/>
      </c>
      <c r="S2505" s="59" t="str">
        <f>IFERROR(VLOOKUP(S$13&amp;$B2509,Aux!$B:$M,5,0),"")</f>
        <v/>
      </c>
      <c r="T2505" s="60" t="str">
        <f>IFERROR(VLOOKUP(S$13&amp;$B2505,Aux!$B:$M,3,0),"")</f>
        <v/>
      </c>
      <c r="U2505" s="60"/>
      <c r="V2505" s="60"/>
      <c r="W2505" s="61" t="str">
        <f>IFERROR(VLOOKUP(S$13&amp;$B2505,Aux!$B:$M,9,0),"")</f>
        <v/>
      </c>
      <c r="AA2505" s="59" t="str">
        <f>IFERROR(VLOOKUP(AA$13&amp;$B2509,Aux!$B:$M,5,0),"")</f>
        <v/>
      </c>
      <c r="AB2505" s="60" t="str">
        <f>IFERROR(VLOOKUP(AA$13&amp;$B2505,Aux!$B:$M,3,0),"")</f>
        <v/>
      </c>
      <c r="AC2505" s="60"/>
      <c r="AD2505" s="60"/>
      <c r="AE2505" s="61" t="str">
        <f>IFERROR(VLOOKUP(AA$13&amp;$B2505,Aux!$B:$M,9,0),"")</f>
        <v/>
      </c>
    </row>
    <row r="2506" spans="2:31" x14ac:dyDescent="0.25">
      <c r="B2506" s="53">
        <f t="shared" si="38"/>
        <v>499</v>
      </c>
      <c r="C2506" s="59"/>
      <c r="D2506" s="60"/>
      <c r="E2506" s="60"/>
      <c r="F2506" s="60"/>
      <c r="G2506" s="61"/>
      <c r="K2506" s="59"/>
      <c r="L2506" s="60"/>
      <c r="M2506" s="60"/>
      <c r="N2506" s="60"/>
      <c r="O2506" s="61"/>
      <c r="S2506" s="59"/>
      <c r="T2506" s="60"/>
      <c r="U2506" s="60"/>
      <c r="V2506" s="60"/>
      <c r="W2506" s="61"/>
      <c r="AA2506" s="59"/>
      <c r="AB2506" s="60"/>
      <c r="AC2506" s="60"/>
      <c r="AD2506" s="60"/>
      <c r="AE2506" s="61"/>
    </row>
    <row r="2507" spans="2:31" x14ac:dyDescent="0.25">
      <c r="B2507" s="53">
        <f t="shared" si="38"/>
        <v>499</v>
      </c>
      <c r="C2507" s="59"/>
      <c r="D2507" s="15" t="str">
        <f>IF(D2505="","","Исполнитель"&amp;": ")</f>
        <v/>
      </c>
      <c r="E2507" s="62" t="str">
        <f>IFERROR(VLOOKUP(C$13&amp;$B2507,Aux!$B:$M,4,0),"")</f>
        <v/>
      </c>
      <c r="F2507" s="62"/>
      <c r="G2507" s="63" t="str">
        <f>IFERROR(IF(VLOOKUP(C$13&amp;$B2505,Aux!$B:$M,8,0)="Да","✔","🕓"),"")</f>
        <v/>
      </c>
      <c r="K2507" s="59"/>
      <c r="L2507" s="15" t="str">
        <f>IF(L2505="","","Исполнитель"&amp;": ")</f>
        <v/>
      </c>
      <c r="M2507" s="62" t="str">
        <f>IFERROR(VLOOKUP(K$13&amp;$B2507,Aux!$B:$M,4,0),"")</f>
        <v/>
      </c>
      <c r="N2507" s="62"/>
      <c r="O2507" s="63" t="str">
        <f>IFERROR(IF(VLOOKUP(K$13&amp;$B2505,Aux!$B:$M,8,0)="Да","✔","🕓"),"")</f>
        <v/>
      </c>
      <c r="S2507" s="59"/>
      <c r="T2507" s="15" t="str">
        <f>IF(T2505="","","Исполнитель"&amp;": ")</f>
        <v/>
      </c>
      <c r="U2507" s="62" t="str">
        <f>IFERROR(VLOOKUP(S$13&amp;$B2507,Aux!$B:$M,4,0),"")</f>
        <v/>
      </c>
      <c r="V2507" s="62"/>
      <c r="W2507" s="63" t="str">
        <f>IFERROR(IF(VLOOKUP(S$13&amp;$B2505,Aux!$B:$M,8,0)="Да","✔","🕓"),"")</f>
        <v/>
      </c>
      <c r="AA2507" s="59"/>
      <c r="AB2507" s="15" t="str">
        <f>IF(AB2505="","","Исполнитель"&amp;": ")</f>
        <v/>
      </c>
      <c r="AC2507" s="62" t="str">
        <f>IFERROR(VLOOKUP(AA$13&amp;$B2507,Aux!$B:$M,4,0),"")</f>
        <v/>
      </c>
      <c r="AD2507" s="62"/>
      <c r="AE2507" s="63" t="str">
        <f>IFERROR(IF(VLOOKUP(AA$13&amp;$B2505,Aux!$B:$M,8,0)="Да","✔","🕓"),"")</f>
        <v/>
      </c>
    </row>
    <row r="2508" spans="2:31" x14ac:dyDescent="0.25">
      <c r="B2508" s="53">
        <f t="shared" si="38"/>
        <v>499</v>
      </c>
      <c r="C2508" s="59"/>
      <c r="D2508" s="16" t="str">
        <f>IF(D2505="","","Срок сдачи"&amp;": ")</f>
        <v/>
      </c>
      <c r="E2508" s="64" t="str">
        <f>IFERROR(VLOOKUP(C$13&amp;$B2508,Aux!$B:$M,6,0),"")</f>
        <v/>
      </c>
      <c r="F2508" s="64"/>
      <c r="G2508" s="63"/>
      <c r="K2508" s="59"/>
      <c r="L2508" s="16" t="str">
        <f>IF(L2505="","","Срок сдачи"&amp;": ")</f>
        <v/>
      </c>
      <c r="M2508" s="64" t="str">
        <f>IFERROR(VLOOKUP(K$13&amp;$B2508,Aux!$B:$M,6,0),"")</f>
        <v/>
      </c>
      <c r="N2508" s="64"/>
      <c r="O2508" s="63"/>
      <c r="S2508" s="59"/>
      <c r="T2508" s="16" t="str">
        <f>IF(T2505="","","Срок сдачи"&amp;": ")</f>
        <v/>
      </c>
      <c r="U2508" s="64" t="str">
        <f>IFERROR(VLOOKUP(S$13&amp;$B2508,Aux!$B:$M,6,0),"")</f>
        <v/>
      </c>
      <c r="V2508" s="64"/>
      <c r="W2508" s="63"/>
      <c r="AA2508" s="59"/>
      <c r="AB2508" s="16" t="str">
        <f>IF(AB2505="","","Срок сдачи"&amp;": ")</f>
        <v/>
      </c>
      <c r="AC2508" s="64" t="str">
        <f>IFERROR(VLOOKUP(AA$13&amp;$B2508,Aux!$B:$M,6,0),"")</f>
        <v/>
      </c>
      <c r="AD2508" s="64"/>
      <c r="AE2508" s="63"/>
    </row>
    <row r="2509" spans="2:31" x14ac:dyDescent="0.25">
      <c r="B2509" s="53">
        <f t="shared" si="38"/>
        <v>499</v>
      </c>
      <c r="C2509" s="7"/>
      <c r="D2509" s="17"/>
      <c r="E2509" s="7"/>
      <c r="F2509" s="18"/>
      <c r="G2509" s="18"/>
      <c r="K2509" s="13"/>
      <c r="L2509" s="17"/>
      <c r="M2509" s="13"/>
      <c r="N2509" s="14"/>
      <c r="O2509" s="14"/>
      <c r="S2509" s="13"/>
      <c r="T2509" s="17"/>
      <c r="U2509" s="13"/>
      <c r="V2509" s="14"/>
      <c r="W2509" s="14"/>
      <c r="AA2509" s="13"/>
      <c r="AB2509" s="17"/>
      <c r="AC2509" s="13"/>
      <c r="AD2509" s="14"/>
      <c r="AE2509" s="30"/>
    </row>
    <row r="2510" spans="2:31" x14ac:dyDescent="0.25">
      <c r="B2510" s="53">
        <f t="shared" si="38"/>
        <v>500</v>
      </c>
      <c r="C2510" s="59" t="str">
        <f>IFERROR(VLOOKUP(C$13&amp;$B2514,Aux!$B:$M,5,0),"")</f>
        <v/>
      </c>
      <c r="D2510" s="60" t="str">
        <f>IFERROR(VLOOKUP(C$13&amp;$B2510,Aux!$B:$M,3,0),"")</f>
        <v/>
      </c>
      <c r="E2510" s="60"/>
      <c r="F2510" s="60"/>
      <c r="G2510" s="61" t="str">
        <f>IFERROR(VLOOKUP(C$13&amp;$B2510,Aux!$B:$M,9,0),"")</f>
        <v/>
      </c>
      <c r="K2510" s="59" t="str">
        <f>IFERROR(VLOOKUP(K$13&amp;$B2514,Aux!$B:$M,5,0),"")</f>
        <v/>
      </c>
      <c r="L2510" s="60" t="str">
        <f>IFERROR(VLOOKUP(K$13&amp;$B2510,Aux!$B:$M,3,0),"")</f>
        <v/>
      </c>
      <c r="M2510" s="60"/>
      <c r="N2510" s="60"/>
      <c r="O2510" s="61" t="str">
        <f>IFERROR(VLOOKUP(K$13&amp;$B2510,Aux!$B:$M,9,0),"")</f>
        <v/>
      </c>
      <c r="S2510" s="59" t="str">
        <f>IFERROR(VLOOKUP(S$13&amp;$B2514,Aux!$B:$M,5,0),"")</f>
        <v/>
      </c>
      <c r="T2510" s="60" t="str">
        <f>IFERROR(VLOOKUP(S$13&amp;$B2510,Aux!$B:$M,3,0),"")</f>
        <v/>
      </c>
      <c r="U2510" s="60"/>
      <c r="V2510" s="60"/>
      <c r="W2510" s="61" t="str">
        <f>IFERROR(VLOOKUP(S$13&amp;$B2510,Aux!$B:$M,9,0),"")</f>
        <v/>
      </c>
      <c r="AA2510" s="59" t="str">
        <f>IFERROR(VLOOKUP(AA$13&amp;$B2514,Aux!$B:$M,5,0),"")</f>
        <v/>
      </c>
      <c r="AB2510" s="60" t="str">
        <f>IFERROR(VLOOKUP(AA$13&amp;$B2510,Aux!$B:$M,3,0),"")</f>
        <v/>
      </c>
      <c r="AC2510" s="60"/>
      <c r="AD2510" s="60"/>
      <c r="AE2510" s="61" t="str">
        <f>IFERROR(VLOOKUP(AA$13&amp;$B2510,Aux!$B:$M,9,0),"")</f>
        <v/>
      </c>
    </row>
    <row r="2511" spans="2:31" x14ac:dyDescent="0.25">
      <c r="B2511" s="53">
        <f t="shared" si="38"/>
        <v>500</v>
      </c>
      <c r="C2511" s="59"/>
      <c r="D2511" s="60"/>
      <c r="E2511" s="60"/>
      <c r="F2511" s="60"/>
      <c r="G2511" s="61"/>
      <c r="K2511" s="59"/>
      <c r="L2511" s="60"/>
      <c r="M2511" s="60"/>
      <c r="N2511" s="60"/>
      <c r="O2511" s="61"/>
      <c r="S2511" s="59"/>
      <c r="T2511" s="60"/>
      <c r="U2511" s="60"/>
      <c r="V2511" s="60"/>
      <c r="W2511" s="61"/>
      <c r="AA2511" s="59"/>
      <c r="AB2511" s="60"/>
      <c r="AC2511" s="60"/>
      <c r="AD2511" s="60"/>
      <c r="AE2511" s="61"/>
    </row>
    <row r="2512" spans="2:31" x14ac:dyDescent="0.25">
      <c r="B2512" s="53">
        <f t="shared" si="38"/>
        <v>500</v>
      </c>
      <c r="C2512" s="59"/>
      <c r="D2512" s="15" t="str">
        <f>IF(D2510="","","Исполнитель"&amp;": ")</f>
        <v/>
      </c>
      <c r="E2512" s="62" t="str">
        <f>IFERROR(VLOOKUP(C$13&amp;$B2512,Aux!$B:$M,4,0),"")</f>
        <v/>
      </c>
      <c r="F2512" s="62"/>
      <c r="G2512" s="63" t="str">
        <f>IFERROR(IF(VLOOKUP(C$13&amp;$B2510,Aux!$B:$M,8,0)="Да","✔","🕓"),"")</f>
        <v/>
      </c>
      <c r="K2512" s="59"/>
      <c r="L2512" s="15" t="str">
        <f>IF(L2510="","","Исполнитель"&amp;": ")</f>
        <v/>
      </c>
      <c r="M2512" s="62" t="str">
        <f>IFERROR(VLOOKUP(K$13&amp;$B2512,Aux!$B:$M,4,0),"")</f>
        <v/>
      </c>
      <c r="N2512" s="62"/>
      <c r="O2512" s="63" t="str">
        <f>IFERROR(IF(VLOOKUP(K$13&amp;$B2510,Aux!$B:$M,8,0)="Да","✔","🕓"),"")</f>
        <v/>
      </c>
      <c r="S2512" s="59"/>
      <c r="T2512" s="15" t="str">
        <f>IF(T2510="","","Исполнитель"&amp;": ")</f>
        <v/>
      </c>
      <c r="U2512" s="62" t="str">
        <f>IFERROR(VLOOKUP(S$13&amp;$B2512,Aux!$B:$M,4,0),"")</f>
        <v/>
      </c>
      <c r="V2512" s="62"/>
      <c r="W2512" s="63" t="str">
        <f>IFERROR(IF(VLOOKUP(S$13&amp;$B2510,Aux!$B:$M,8,0)="Да","✔","🕓"),"")</f>
        <v/>
      </c>
      <c r="AA2512" s="59"/>
      <c r="AB2512" s="15" t="str">
        <f>IF(AB2510="","","Исполнитель"&amp;": ")</f>
        <v/>
      </c>
      <c r="AC2512" s="62" t="str">
        <f>IFERROR(VLOOKUP(AA$13&amp;$B2512,Aux!$B:$M,4,0),"")</f>
        <v/>
      </c>
      <c r="AD2512" s="62"/>
      <c r="AE2512" s="63" t="str">
        <f>IFERROR(IF(VLOOKUP(AA$13&amp;$B2510,Aux!$B:$M,8,0)="Да","✔","🕓"),"")</f>
        <v/>
      </c>
    </row>
    <row r="2513" spans="2:31" x14ac:dyDescent="0.25">
      <c r="B2513" s="53">
        <f t="shared" si="38"/>
        <v>500</v>
      </c>
      <c r="C2513" s="59"/>
      <c r="D2513" s="16" t="str">
        <f>IF(D2510="","","Срок сдачи"&amp;": ")</f>
        <v/>
      </c>
      <c r="E2513" s="64" t="str">
        <f>IFERROR(VLOOKUP(C$13&amp;$B2513,Aux!$B:$M,6,0),"")</f>
        <v/>
      </c>
      <c r="F2513" s="64"/>
      <c r="G2513" s="63"/>
      <c r="K2513" s="59"/>
      <c r="L2513" s="16" t="str">
        <f>IF(L2510="","","Срок сдачи"&amp;": ")</f>
        <v/>
      </c>
      <c r="M2513" s="64" t="str">
        <f>IFERROR(VLOOKUP(K$13&amp;$B2513,Aux!$B:$M,6,0),"")</f>
        <v/>
      </c>
      <c r="N2513" s="64"/>
      <c r="O2513" s="63"/>
      <c r="S2513" s="59"/>
      <c r="T2513" s="16" t="str">
        <f>IF(T2510="","","Срок сдачи"&amp;": ")</f>
        <v/>
      </c>
      <c r="U2513" s="64" t="str">
        <f>IFERROR(VLOOKUP(S$13&amp;$B2513,Aux!$B:$M,6,0),"")</f>
        <v/>
      </c>
      <c r="V2513" s="64"/>
      <c r="W2513" s="63"/>
      <c r="AA2513" s="59"/>
      <c r="AB2513" s="16" t="str">
        <f>IF(AB2510="","","Срок сдачи"&amp;": ")</f>
        <v/>
      </c>
      <c r="AC2513" s="64" t="str">
        <f>IFERROR(VLOOKUP(AA$13&amp;$B2513,Aux!$B:$M,6,0),"")</f>
        <v/>
      </c>
      <c r="AD2513" s="64"/>
      <c r="AE2513" s="63"/>
    </row>
    <row r="2514" spans="2:31" x14ac:dyDescent="0.25">
      <c r="B2514" s="53">
        <f t="shared" si="38"/>
        <v>500</v>
      </c>
      <c r="C2514" s="7"/>
      <c r="D2514" s="17"/>
      <c r="E2514" s="7"/>
      <c r="F2514" s="18"/>
      <c r="G2514" s="18"/>
      <c r="K2514" s="13"/>
      <c r="L2514" s="17"/>
      <c r="M2514" s="13"/>
      <c r="N2514" s="14"/>
      <c r="O2514" s="14"/>
      <c r="S2514" s="13"/>
      <c r="T2514" s="17"/>
      <c r="U2514" s="13"/>
      <c r="V2514" s="14"/>
      <c r="W2514" s="14"/>
      <c r="AA2514" s="13"/>
      <c r="AB2514" s="17"/>
      <c r="AC2514" s="13"/>
      <c r="AD2514" s="14"/>
      <c r="AE2514" s="30"/>
    </row>
    <row r="2515" spans="2:31" x14ac:dyDescent="0.25">
      <c r="B2515" s="53">
        <f t="shared" si="38"/>
        <v>501</v>
      </c>
      <c r="C2515" s="59" t="str">
        <f>IFERROR(VLOOKUP(C$13&amp;$B2519,Aux!$B:$M,5,0),"")</f>
        <v/>
      </c>
      <c r="D2515" s="60" t="str">
        <f>IFERROR(VLOOKUP(C$13&amp;$B2515,Aux!$B:$M,3,0),"")</f>
        <v/>
      </c>
      <c r="E2515" s="60"/>
      <c r="F2515" s="60"/>
      <c r="G2515" s="61" t="str">
        <f>IFERROR(VLOOKUP(C$13&amp;$B2515,Aux!$B:$M,9,0),"")</f>
        <v/>
      </c>
      <c r="K2515" s="59" t="str">
        <f>IFERROR(VLOOKUP(K$13&amp;$B2519,Aux!$B:$M,5,0),"")</f>
        <v/>
      </c>
      <c r="L2515" s="60" t="str">
        <f>IFERROR(VLOOKUP(K$13&amp;$B2515,Aux!$B:$M,3,0),"")</f>
        <v/>
      </c>
      <c r="M2515" s="60"/>
      <c r="N2515" s="60"/>
      <c r="O2515" s="61" t="str">
        <f>IFERROR(VLOOKUP(K$13&amp;$B2515,Aux!$B:$M,9,0),"")</f>
        <v/>
      </c>
      <c r="S2515" s="59" t="str">
        <f>IFERROR(VLOOKUP(S$13&amp;$B2519,Aux!$B:$M,5,0),"")</f>
        <v/>
      </c>
      <c r="T2515" s="60" t="str">
        <f>IFERROR(VLOOKUP(S$13&amp;$B2515,Aux!$B:$M,3,0),"")</f>
        <v/>
      </c>
      <c r="U2515" s="60"/>
      <c r="V2515" s="60"/>
      <c r="W2515" s="61" t="str">
        <f>IFERROR(VLOOKUP(S$13&amp;$B2515,Aux!$B:$M,9,0),"")</f>
        <v/>
      </c>
      <c r="AA2515" s="59" t="str">
        <f>IFERROR(VLOOKUP(AA$13&amp;$B2519,Aux!$B:$M,5,0),"")</f>
        <v/>
      </c>
      <c r="AB2515" s="60" t="str">
        <f>IFERROR(VLOOKUP(AA$13&amp;$B2515,Aux!$B:$M,3,0),"")</f>
        <v/>
      </c>
      <c r="AC2515" s="60"/>
      <c r="AD2515" s="60"/>
      <c r="AE2515" s="61" t="str">
        <f>IFERROR(VLOOKUP(AA$13&amp;$B2515,Aux!$B:$M,9,0),"")</f>
        <v/>
      </c>
    </row>
    <row r="2516" spans="2:31" x14ac:dyDescent="0.25">
      <c r="B2516" s="53">
        <f t="shared" si="38"/>
        <v>501</v>
      </c>
      <c r="C2516" s="59"/>
      <c r="D2516" s="60"/>
      <c r="E2516" s="60"/>
      <c r="F2516" s="60"/>
      <c r="G2516" s="61"/>
      <c r="K2516" s="59"/>
      <c r="L2516" s="60"/>
      <c r="M2516" s="60"/>
      <c r="N2516" s="60"/>
      <c r="O2516" s="61"/>
      <c r="S2516" s="59"/>
      <c r="T2516" s="60"/>
      <c r="U2516" s="60"/>
      <c r="V2516" s="60"/>
      <c r="W2516" s="61"/>
      <c r="AA2516" s="59"/>
      <c r="AB2516" s="60"/>
      <c r="AC2516" s="60"/>
      <c r="AD2516" s="60"/>
      <c r="AE2516" s="61"/>
    </row>
    <row r="2517" spans="2:31" x14ac:dyDescent="0.25">
      <c r="B2517" s="53">
        <f>B2512+1</f>
        <v>501</v>
      </c>
      <c r="C2517" s="59"/>
      <c r="D2517" s="15" t="str">
        <f>IF(D2515="","","Исполнитель"&amp;": ")</f>
        <v/>
      </c>
      <c r="E2517" s="62" t="str">
        <f>IFERROR(VLOOKUP(C$13&amp;$B2517,Aux!$B:$M,4,0),"")</f>
        <v/>
      </c>
      <c r="F2517" s="62"/>
      <c r="G2517" s="63" t="str">
        <f>IFERROR(IF(VLOOKUP(C$13&amp;$B2515,Aux!$B:$M,8,0)="Да","✔","🕓"),"")</f>
        <v/>
      </c>
      <c r="K2517" s="59"/>
      <c r="L2517" s="15" t="str">
        <f>IF(L2515="","","Исполнитель"&amp;": ")</f>
        <v/>
      </c>
      <c r="M2517" s="62" t="str">
        <f>IFERROR(VLOOKUP(K$13&amp;$B2517,Aux!$B:$M,4,0),"")</f>
        <v/>
      </c>
      <c r="N2517" s="62"/>
      <c r="O2517" s="63" t="str">
        <f>IFERROR(IF(VLOOKUP(K$13&amp;$B2515,Aux!$B:$M,8,0)="Да","✔","🕓"),"")</f>
        <v/>
      </c>
      <c r="S2517" s="59"/>
      <c r="T2517" s="15" t="str">
        <f>IF(T2515="","","Исполнитель"&amp;": ")</f>
        <v/>
      </c>
      <c r="U2517" s="62" t="str">
        <f>IFERROR(VLOOKUP(S$13&amp;$B2517,Aux!$B:$M,4,0),"")</f>
        <v/>
      </c>
      <c r="V2517" s="62"/>
      <c r="W2517" s="63" t="str">
        <f>IFERROR(IF(VLOOKUP(S$13&amp;$B2515,Aux!$B:$M,8,0)="Да","✔","🕓"),"")</f>
        <v/>
      </c>
      <c r="AA2517" s="59"/>
      <c r="AB2517" s="15" t="str">
        <f>IF(AB2515="","","Исполнитель"&amp;": ")</f>
        <v/>
      </c>
      <c r="AC2517" s="62" t="str">
        <f>IFERROR(VLOOKUP(AA$13&amp;$B2517,Aux!$B:$M,4,0),"")</f>
        <v/>
      </c>
      <c r="AD2517" s="62"/>
      <c r="AE2517" s="63" t="str">
        <f>IFERROR(IF(VLOOKUP(AA$13&amp;$B2515,Aux!$B:$M,8,0)="Да","✔","🕓"),"")</f>
        <v/>
      </c>
    </row>
    <row r="2518" spans="2:31" x14ac:dyDescent="0.25">
      <c r="B2518" s="53">
        <f>B2513+1</f>
        <v>501</v>
      </c>
      <c r="C2518" s="59"/>
      <c r="D2518" s="16" t="str">
        <f>IF(D2515="","","Срок сдачи"&amp;": ")</f>
        <v/>
      </c>
      <c r="E2518" s="64" t="str">
        <f>IFERROR(VLOOKUP(C$13&amp;$B2518,Aux!$B:$M,6,0),"")</f>
        <v/>
      </c>
      <c r="F2518" s="64"/>
      <c r="G2518" s="63"/>
      <c r="K2518" s="59"/>
      <c r="L2518" s="16" t="str">
        <f>IF(L2515="","","Срок сдачи"&amp;": ")</f>
        <v/>
      </c>
      <c r="M2518" s="64" t="str">
        <f>IFERROR(VLOOKUP(K$13&amp;$B2518,Aux!$B:$M,6,0),"")</f>
        <v/>
      </c>
      <c r="N2518" s="64"/>
      <c r="O2518" s="63"/>
      <c r="S2518" s="59"/>
      <c r="T2518" s="16" t="str">
        <f>IF(T2515="","","Срок сдачи"&amp;": ")</f>
        <v/>
      </c>
      <c r="U2518" s="64" t="str">
        <f>IFERROR(VLOOKUP(S$13&amp;$B2518,Aux!$B:$M,6,0),"")</f>
        <v/>
      </c>
      <c r="V2518" s="64"/>
      <c r="W2518" s="63"/>
      <c r="AA2518" s="59"/>
      <c r="AB2518" s="16" t="str">
        <f>IF(AB2515="","","Срок сдачи"&amp;": ")</f>
        <v/>
      </c>
      <c r="AC2518" s="64" t="str">
        <f>IFERROR(VLOOKUP(AA$13&amp;$B2518,Aux!$B:$M,6,0),"")</f>
        <v/>
      </c>
      <c r="AD2518" s="64"/>
      <c r="AE2518" s="63"/>
    </row>
    <row r="2519" spans="2:31" x14ac:dyDescent="0.25">
      <c r="B2519" s="53">
        <f>B2514+1</f>
        <v>501</v>
      </c>
      <c r="C2519" s="7"/>
      <c r="D2519" s="17"/>
      <c r="E2519" s="7"/>
      <c r="F2519" s="18"/>
      <c r="G2519" s="18"/>
      <c r="K2519" s="13"/>
      <c r="L2519" s="17"/>
      <c r="M2519" s="13"/>
      <c r="N2519" s="14"/>
      <c r="O2519" s="14"/>
      <c r="S2519" s="13"/>
      <c r="T2519" s="17"/>
      <c r="U2519" s="13"/>
      <c r="V2519" s="14"/>
      <c r="W2519" s="14"/>
      <c r="AA2519" s="13"/>
      <c r="AB2519" s="17"/>
      <c r="AC2519" s="13"/>
      <c r="AD2519" s="14"/>
      <c r="AE2519" s="30"/>
    </row>
  </sheetData>
  <mergeCells count="12040">
    <mergeCell ref="C25:C28"/>
    <mergeCell ref="G25:G26"/>
    <mergeCell ref="E27:F27"/>
    <mergeCell ref="G27:G28"/>
    <mergeCell ref="E28:F28"/>
    <mergeCell ref="D25:F26"/>
    <mergeCell ref="A3:Q3"/>
    <mergeCell ref="R3:AB3"/>
    <mergeCell ref="AJ14:AJ15"/>
    <mergeCell ref="AN14:AN17"/>
    <mergeCell ref="AO14:AP15"/>
    <mergeCell ref="C15:C18"/>
    <mergeCell ref="G15:G16"/>
    <mergeCell ref="K15:K18"/>
    <mergeCell ref="O15:O16"/>
    <mergeCell ref="S15:S18"/>
    <mergeCell ref="E18:F18"/>
    <mergeCell ref="AI16:AJ16"/>
    <mergeCell ref="AP16:AQ16"/>
    <mergeCell ref="AA15:AA18"/>
    <mergeCell ref="AE15:AE16"/>
    <mergeCell ref="AG14:AG17"/>
    <mergeCell ref="AH14:AI15"/>
    <mergeCell ref="AC18:AD18"/>
    <mergeCell ref="AI17:AJ17"/>
    <mergeCell ref="C20:C23"/>
    <mergeCell ref="G20:G21"/>
    <mergeCell ref="E22:F22"/>
    <mergeCell ref="G22:G23"/>
    <mergeCell ref="E23:F23"/>
    <mergeCell ref="D20:F21"/>
    <mergeCell ref="K20:K23"/>
    <mergeCell ref="O20:O21"/>
    <mergeCell ref="M22:N22"/>
    <mergeCell ref="O22:O23"/>
    <mergeCell ref="M23:N23"/>
    <mergeCell ref="G17:G18"/>
    <mergeCell ref="W17:W18"/>
    <mergeCell ref="S13:W13"/>
    <mergeCell ref="AA13:AF13"/>
    <mergeCell ref="K13:O13"/>
    <mergeCell ref="C13:G13"/>
    <mergeCell ref="E17:F17"/>
    <mergeCell ref="M17:N17"/>
    <mergeCell ref="U17:V17"/>
    <mergeCell ref="AC17:AD17"/>
    <mergeCell ref="M18:N18"/>
    <mergeCell ref="U18:V18"/>
    <mergeCell ref="K30:K33"/>
    <mergeCell ref="O30:O31"/>
    <mergeCell ref="M32:N32"/>
    <mergeCell ref="O32:O33"/>
    <mergeCell ref="M33:N33"/>
    <mergeCell ref="L30:N31"/>
    <mergeCell ref="K25:K28"/>
    <mergeCell ref="O25:O26"/>
    <mergeCell ref="M27:N27"/>
    <mergeCell ref="O27:O28"/>
    <mergeCell ref="M28:N28"/>
    <mergeCell ref="L25:N26"/>
    <mergeCell ref="S20:S23"/>
    <mergeCell ref="AQ14:AQ15"/>
    <mergeCell ref="AP17:AQ17"/>
    <mergeCell ref="AE17:AE18"/>
    <mergeCell ref="O17:O18"/>
    <mergeCell ref="AE20:AE21"/>
    <mergeCell ref="AE22:AE23"/>
    <mergeCell ref="L15:N16"/>
    <mergeCell ref="W15:W16"/>
    <mergeCell ref="T15:V16"/>
    <mergeCell ref="AB15:AD16"/>
    <mergeCell ref="L20:N21"/>
    <mergeCell ref="T20:V21"/>
    <mergeCell ref="U23:V23"/>
    <mergeCell ref="AA20:AA23"/>
    <mergeCell ref="AC22:AD22"/>
    <mergeCell ref="AC23:AD23"/>
    <mergeCell ref="W20:W21"/>
    <mergeCell ref="W22:W23"/>
    <mergeCell ref="U22:V22"/>
    <mergeCell ref="AB20:AD21"/>
    <mergeCell ref="C55:C58"/>
    <mergeCell ref="G55:G56"/>
    <mergeCell ref="E57:F57"/>
    <mergeCell ref="G57:G58"/>
    <mergeCell ref="E58:F58"/>
    <mergeCell ref="D55:F56"/>
    <mergeCell ref="C50:C53"/>
    <mergeCell ref="G50:G51"/>
    <mergeCell ref="E52:F52"/>
    <mergeCell ref="G52:G53"/>
    <mergeCell ref="E53:F53"/>
    <mergeCell ref="D50:F51"/>
    <mergeCell ref="C45:C48"/>
    <mergeCell ref="G45:G46"/>
    <mergeCell ref="E47:F47"/>
    <mergeCell ref="G47:G48"/>
    <mergeCell ref="E48:F48"/>
    <mergeCell ref="D45:F46"/>
    <mergeCell ref="C40:C43"/>
    <mergeCell ref="G40:G41"/>
    <mergeCell ref="E42:F42"/>
    <mergeCell ref="G42:G43"/>
    <mergeCell ref="E43:F43"/>
    <mergeCell ref="D40:F41"/>
    <mergeCell ref="C35:C38"/>
    <mergeCell ref="G35:G36"/>
    <mergeCell ref="E37:F37"/>
    <mergeCell ref="G37:G38"/>
    <mergeCell ref="E38:F38"/>
    <mergeCell ref="D35:F36"/>
    <mergeCell ref="C30:C33"/>
    <mergeCell ref="G30:G31"/>
    <mergeCell ref="E32:F32"/>
    <mergeCell ref="G32:G33"/>
    <mergeCell ref="E33:F33"/>
    <mergeCell ref="D30:F31"/>
    <mergeCell ref="C85:C88"/>
    <mergeCell ref="G85:G86"/>
    <mergeCell ref="E87:F87"/>
    <mergeCell ref="G87:G88"/>
    <mergeCell ref="E88:F88"/>
    <mergeCell ref="D85:F86"/>
    <mergeCell ref="C80:C83"/>
    <mergeCell ref="G80:G81"/>
    <mergeCell ref="E82:F82"/>
    <mergeCell ref="G82:G83"/>
    <mergeCell ref="E83:F83"/>
    <mergeCell ref="D80:F81"/>
    <mergeCell ref="C75:C78"/>
    <mergeCell ref="G75:G76"/>
    <mergeCell ref="E77:F77"/>
    <mergeCell ref="G77:G78"/>
    <mergeCell ref="E78:F78"/>
    <mergeCell ref="D75:F76"/>
    <mergeCell ref="C70:C73"/>
    <mergeCell ref="G70:G71"/>
    <mergeCell ref="E72:F72"/>
    <mergeCell ref="G72:G73"/>
    <mergeCell ref="E73:F73"/>
    <mergeCell ref="D70:F71"/>
    <mergeCell ref="C65:C68"/>
    <mergeCell ref="G65:G66"/>
    <mergeCell ref="E67:F67"/>
    <mergeCell ref="G67:G68"/>
    <mergeCell ref="E68:F68"/>
    <mergeCell ref="D65:F66"/>
    <mergeCell ref="C60:C63"/>
    <mergeCell ref="G60:G61"/>
    <mergeCell ref="E62:F62"/>
    <mergeCell ref="G62:G63"/>
    <mergeCell ref="E63:F63"/>
    <mergeCell ref="D60:F61"/>
    <mergeCell ref="C115:C118"/>
    <mergeCell ref="G115:G116"/>
    <mergeCell ref="E117:F117"/>
    <mergeCell ref="G117:G118"/>
    <mergeCell ref="E118:F118"/>
    <mergeCell ref="D115:F116"/>
    <mergeCell ref="C110:C113"/>
    <mergeCell ref="G110:G111"/>
    <mergeCell ref="E112:F112"/>
    <mergeCell ref="G112:G113"/>
    <mergeCell ref="E113:F113"/>
    <mergeCell ref="D110:F111"/>
    <mergeCell ref="C105:C108"/>
    <mergeCell ref="G105:G106"/>
    <mergeCell ref="E107:F107"/>
    <mergeCell ref="G107:G108"/>
    <mergeCell ref="E108:F108"/>
    <mergeCell ref="D105:F106"/>
    <mergeCell ref="C100:C103"/>
    <mergeCell ref="G100:G101"/>
    <mergeCell ref="E102:F102"/>
    <mergeCell ref="G102:G103"/>
    <mergeCell ref="E103:F103"/>
    <mergeCell ref="D100:F101"/>
    <mergeCell ref="C95:C98"/>
    <mergeCell ref="G95:G96"/>
    <mergeCell ref="E97:F97"/>
    <mergeCell ref="G97:G98"/>
    <mergeCell ref="E98:F98"/>
    <mergeCell ref="D95:F96"/>
    <mergeCell ref="C90:C93"/>
    <mergeCell ref="G90:G91"/>
    <mergeCell ref="E92:F92"/>
    <mergeCell ref="G92:G93"/>
    <mergeCell ref="E93:F93"/>
    <mergeCell ref="D90:F91"/>
    <mergeCell ref="C145:C148"/>
    <mergeCell ref="G145:G146"/>
    <mergeCell ref="E147:F147"/>
    <mergeCell ref="G147:G148"/>
    <mergeCell ref="E148:F148"/>
    <mergeCell ref="D145:F146"/>
    <mergeCell ref="C140:C143"/>
    <mergeCell ref="G140:G141"/>
    <mergeCell ref="E142:F142"/>
    <mergeCell ref="G142:G143"/>
    <mergeCell ref="E143:F143"/>
    <mergeCell ref="D140:F141"/>
    <mergeCell ref="C135:C138"/>
    <mergeCell ref="G135:G136"/>
    <mergeCell ref="E137:F137"/>
    <mergeCell ref="G137:G138"/>
    <mergeCell ref="E138:F138"/>
    <mergeCell ref="D135:F136"/>
    <mergeCell ref="C130:C133"/>
    <mergeCell ref="G130:G131"/>
    <mergeCell ref="E132:F132"/>
    <mergeCell ref="G132:G133"/>
    <mergeCell ref="E133:F133"/>
    <mergeCell ref="D130:F131"/>
    <mergeCell ref="C125:C128"/>
    <mergeCell ref="G125:G126"/>
    <mergeCell ref="E127:F127"/>
    <mergeCell ref="G127:G128"/>
    <mergeCell ref="E128:F128"/>
    <mergeCell ref="D125:F126"/>
    <mergeCell ref="C120:C123"/>
    <mergeCell ref="G120:G121"/>
    <mergeCell ref="E122:F122"/>
    <mergeCell ref="G122:G123"/>
    <mergeCell ref="E123:F123"/>
    <mergeCell ref="D120:F121"/>
    <mergeCell ref="C175:C178"/>
    <mergeCell ref="G175:G176"/>
    <mergeCell ref="E177:F177"/>
    <mergeCell ref="G177:G178"/>
    <mergeCell ref="E178:F178"/>
    <mergeCell ref="D175:F176"/>
    <mergeCell ref="C170:C173"/>
    <mergeCell ref="G170:G171"/>
    <mergeCell ref="E172:F172"/>
    <mergeCell ref="G172:G173"/>
    <mergeCell ref="E173:F173"/>
    <mergeCell ref="D170:F171"/>
    <mergeCell ref="C165:C168"/>
    <mergeCell ref="G165:G166"/>
    <mergeCell ref="E167:F167"/>
    <mergeCell ref="G167:G168"/>
    <mergeCell ref="E168:F168"/>
    <mergeCell ref="D165:F166"/>
    <mergeCell ref="C160:C163"/>
    <mergeCell ref="G160:G161"/>
    <mergeCell ref="E162:F162"/>
    <mergeCell ref="G162:G163"/>
    <mergeCell ref="E163:F163"/>
    <mergeCell ref="D160:F161"/>
    <mergeCell ref="C155:C158"/>
    <mergeCell ref="G155:G156"/>
    <mergeCell ref="E157:F157"/>
    <mergeCell ref="G157:G158"/>
    <mergeCell ref="E158:F158"/>
    <mergeCell ref="D155:F156"/>
    <mergeCell ref="C150:C153"/>
    <mergeCell ref="G150:G151"/>
    <mergeCell ref="E152:F152"/>
    <mergeCell ref="G152:G153"/>
    <mergeCell ref="E153:F153"/>
    <mergeCell ref="D150:F151"/>
    <mergeCell ref="C205:C208"/>
    <mergeCell ref="G205:G206"/>
    <mergeCell ref="E207:F207"/>
    <mergeCell ref="G207:G208"/>
    <mergeCell ref="E208:F208"/>
    <mergeCell ref="D205:F206"/>
    <mergeCell ref="C200:C203"/>
    <mergeCell ref="G200:G201"/>
    <mergeCell ref="E202:F202"/>
    <mergeCell ref="G202:G203"/>
    <mergeCell ref="E203:F203"/>
    <mergeCell ref="D200:F201"/>
    <mergeCell ref="C195:C198"/>
    <mergeCell ref="G195:G196"/>
    <mergeCell ref="E197:F197"/>
    <mergeCell ref="G197:G198"/>
    <mergeCell ref="E198:F198"/>
    <mergeCell ref="D195:F196"/>
    <mergeCell ref="C190:C193"/>
    <mergeCell ref="G190:G191"/>
    <mergeCell ref="E192:F192"/>
    <mergeCell ref="G192:G193"/>
    <mergeCell ref="E193:F193"/>
    <mergeCell ref="D190:F191"/>
    <mergeCell ref="C185:C188"/>
    <mergeCell ref="G185:G186"/>
    <mergeCell ref="E187:F187"/>
    <mergeCell ref="G187:G188"/>
    <mergeCell ref="E188:F188"/>
    <mergeCell ref="D185:F186"/>
    <mergeCell ref="C180:C183"/>
    <mergeCell ref="G180:G181"/>
    <mergeCell ref="E182:F182"/>
    <mergeCell ref="G182:G183"/>
    <mergeCell ref="E183:F183"/>
    <mergeCell ref="D180:F181"/>
    <mergeCell ref="C235:C238"/>
    <mergeCell ref="G235:G236"/>
    <mergeCell ref="E237:F237"/>
    <mergeCell ref="G237:G238"/>
    <mergeCell ref="E238:F238"/>
    <mergeCell ref="D235:F236"/>
    <mergeCell ref="C230:C233"/>
    <mergeCell ref="G230:G231"/>
    <mergeCell ref="E232:F232"/>
    <mergeCell ref="G232:G233"/>
    <mergeCell ref="E233:F233"/>
    <mergeCell ref="D230:F231"/>
    <mergeCell ref="C225:C228"/>
    <mergeCell ref="G225:G226"/>
    <mergeCell ref="E227:F227"/>
    <mergeCell ref="G227:G228"/>
    <mergeCell ref="E228:F228"/>
    <mergeCell ref="D225:F226"/>
    <mergeCell ref="C220:C223"/>
    <mergeCell ref="G220:G221"/>
    <mergeCell ref="E222:F222"/>
    <mergeCell ref="G222:G223"/>
    <mergeCell ref="E223:F223"/>
    <mergeCell ref="D220:F221"/>
    <mergeCell ref="C215:C218"/>
    <mergeCell ref="G215:G216"/>
    <mergeCell ref="E217:F217"/>
    <mergeCell ref="G217:G218"/>
    <mergeCell ref="E218:F218"/>
    <mergeCell ref="D215:F216"/>
    <mergeCell ref="C210:C213"/>
    <mergeCell ref="G210:G211"/>
    <mergeCell ref="E212:F212"/>
    <mergeCell ref="G212:G213"/>
    <mergeCell ref="E213:F213"/>
    <mergeCell ref="D210:F211"/>
    <mergeCell ref="C265:C268"/>
    <mergeCell ref="G265:G266"/>
    <mergeCell ref="E267:F267"/>
    <mergeCell ref="G267:G268"/>
    <mergeCell ref="E268:F268"/>
    <mergeCell ref="D265:F266"/>
    <mergeCell ref="C260:C263"/>
    <mergeCell ref="G260:G261"/>
    <mergeCell ref="E262:F262"/>
    <mergeCell ref="G262:G263"/>
    <mergeCell ref="E263:F263"/>
    <mergeCell ref="D260:F261"/>
    <mergeCell ref="C255:C258"/>
    <mergeCell ref="G255:G256"/>
    <mergeCell ref="E257:F257"/>
    <mergeCell ref="G257:G258"/>
    <mergeCell ref="E258:F258"/>
    <mergeCell ref="D255:F256"/>
    <mergeCell ref="C250:C253"/>
    <mergeCell ref="G250:G251"/>
    <mergeCell ref="E252:F252"/>
    <mergeCell ref="G252:G253"/>
    <mergeCell ref="E253:F253"/>
    <mergeCell ref="D250:F251"/>
    <mergeCell ref="C245:C248"/>
    <mergeCell ref="G245:G246"/>
    <mergeCell ref="E247:F247"/>
    <mergeCell ref="G247:G248"/>
    <mergeCell ref="E248:F248"/>
    <mergeCell ref="D245:F246"/>
    <mergeCell ref="C240:C243"/>
    <mergeCell ref="G240:G241"/>
    <mergeCell ref="E242:F242"/>
    <mergeCell ref="G242:G243"/>
    <mergeCell ref="E243:F243"/>
    <mergeCell ref="D240:F241"/>
    <mergeCell ref="C295:C298"/>
    <mergeCell ref="G295:G296"/>
    <mergeCell ref="E297:F297"/>
    <mergeCell ref="G297:G298"/>
    <mergeCell ref="E298:F298"/>
    <mergeCell ref="D295:F296"/>
    <mergeCell ref="C290:C293"/>
    <mergeCell ref="G290:G291"/>
    <mergeCell ref="E292:F292"/>
    <mergeCell ref="G292:G293"/>
    <mergeCell ref="E293:F293"/>
    <mergeCell ref="D290:F291"/>
    <mergeCell ref="C285:C288"/>
    <mergeCell ref="G285:G286"/>
    <mergeCell ref="E287:F287"/>
    <mergeCell ref="G287:G288"/>
    <mergeCell ref="E288:F288"/>
    <mergeCell ref="D285:F286"/>
    <mergeCell ref="C280:C283"/>
    <mergeCell ref="G280:G281"/>
    <mergeCell ref="E282:F282"/>
    <mergeCell ref="G282:G283"/>
    <mergeCell ref="E283:F283"/>
    <mergeCell ref="D280:F281"/>
    <mergeCell ref="C275:C278"/>
    <mergeCell ref="G275:G276"/>
    <mergeCell ref="E277:F277"/>
    <mergeCell ref="G277:G278"/>
    <mergeCell ref="E278:F278"/>
    <mergeCell ref="D275:F276"/>
    <mergeCell ref="C270:C273"/>
    <mergeCell ref="G270:G271"/>
    <mergeCell ref="E272:F272"/>
    <mergeCell ref="G272:G273"/>
    <mergeCell ref="E273:F273"/>
    <mergeCell ref="D270:F271"/>
    <mergeCell ref="C325:C328"/>
    <mergeCell ref="G325:G326"/>
    <mergeCell ref="E327:F327"/>
    <mergeCell ref="G327:G328"/>
    <mergeCell ref="E328:F328"/>
    <mergeCell ref="D325:F326"/>
    <mergeCell ref="C320:C323"/>
    <mergeCell ref="G320:G321"/>
    <mergeCell ref="E322:F322"/>
    <mergeCell ref="G322:G323"/>
    <mergeCell ref="E323:F323"/>
    <mergeCell ref="D320:F321"/>
    <mergeCell ref="C315:C318"/>
    <mergeCell ref="G315:G316"/>
    <mergeCell ref="E317:F317"/>
    <mergeCell ref="G317:G318"/>
    <mergeCell ref="E318:F318"/>
    <mergeCell ref="D315:F316"/>
    <mergeCell ref="C310:C313"/>
    <mergeCell ref="G310:G311"/>
    <mergeCell ref="E312:F312"/>
    <mergeCell ref="G312:G313"/>
    <mergeCell ref="E313:F313"/>
    <mergeCell ref="D310:F311"/>
    <mergeCell ref="C305:C308"/>
    <mergeCell ref="G305:G306"/>
    <mergeCell ref="E307:F307"/>
    <mergeCell ref="G307:G308"/>
    <mergeCell ref="E308:F308"/>
    <mergeCell ref="D305:F306"/>
    <mergeCell ref="C300:C303"/>
    <mergeCell ref="G300:G301"/>
    <mergeCell ref="E302:F302"/>
    <mergeCell ref="G302:G303"/>
    <mergeCell ref="E303:F303"/>
    <mergeCell ref="D300:F301"/>
    <mergeCell ref="C355:C358"/>
    <mergeCell ref="G355:G356"/>
    <mergeCell ref="E357:F357"/>
    <mergeCell ref="G357:G358"/>
    <mergeCell ref="E358:F358"/>
    <mergeCell ref="D355:F356"/>
    <mergeCell ref="C350:C353"/>
    <mergeCell ref="G350:G351"/>
    <mergeCell ref="E352:F352"/>
    <mergeCell ref="G352:G353"/>
    <mergeCell ref="E353:F353"/>
    <mergeCell ref="D350:F351"/>
    <mergeCell ref="C345:C348"/>
    <mergeCell ref="G345:G346"/>
    <mergeCell ref="E347:F347"/>
    <mergeCell ref="G347:G348"/>
    <mergeCell ref="E348:F348"/>
    <mergeCell ref="D345:F346"/>
    <mergeCell ref="C340:C343"/>
    <mergeCell ref="G340:G341"/>
    <mergeCell ref="E342:F342"/>
    <mergeCell ref="G342:G343"/>
    <mergeCell ref="E343:F343"/>
    <mergeCell ref="D340:F341"/>
    <mergeCell ref="C335:C338"/>
    <mergeCell ref="G335:G336"/>
    <mergeCell ref="E337:F337"/>
    <mergeCell ref="G337:G338"/>
    <mergeCell ref="E338:F338"/>
    <mergeCell ref="D335:F336"/>
    <mergeCell ref="C330:C333"/>
    <mergeCell ref="G330:G331"/>
    <mergeCell ref="E332:F332"/>
    <mergeCell ref="G332:G333"/>
    <mergeCell ref="E333:F333"/>
    <mergeCell ref="D330:F331"/>
    <mergeCell ref="C385:C388"/>
    <mergeCell ref="G385:G386"/>
    <mergeCell ref="E387:F387"/>
    <mergeCell ref="G387:G388"/>
    <mergeCell ref="E388:F388"/>
    <mergeCell ref="D385:F386"/>
    <mergeCell ref="C380:C383"/>
    <mergeCell ref="G380:G381"/>
    <mergeCell ref="E382:F382"/>
    <mergeCell ref="G382:G383"/>
    <mergeCell ref="E383:F383"/>
    <mergeCell ref="D380:F381"/>
    <mergeCell ref="C375:C378"/>
    <mergeCell ref="G375:G376"/>
    <mergeCell ref="E377:F377"/>
    <mergeCell ref="G377:G378"/>
    <mergeCell ref="E378:F378"/>
    <mergeCell ref="D375:F376"/>
    <mergeCell ref="C370:C373"/>
    <mergeCell ref="G370:G371"/>
    <mergeCell ref="E372:F372"/>
    <mergeCell ref="G372:G373"/>
    <mergeCell ref="E373:F373"/>
    <mergeCell ref="D370:F371"/>
    <mergeCell ref="C365:C368"/>
    <mergeCell ref="G365:G366"/>
    <mergeCell ref="E367:F367"/>
    <mergeCell ref="G367:G368"/>
    <mergeCell ref="E368:F368"/>
    <mergeCell ref="D365:F366"/>
    <mergeCell ref="C360:C363"/>
    <mergeCell ref="G360:G361"/>
    <mergeCell ref="E362:F362"/>
    <mergeCell ref="G362:G363"/>
    <mergeCell ref="E363:F363"/>
    <mergeCell ref="D360:F361"/>
    <mergeCell ref="C415:C418"/>
    <mergeCell ref="G415:G416"/>
    <mergeCell ref="E417:F417"/>
    <mergeCell ref="G417:G418"/>
    <mergeCell ref="E418:F418"/>
    <mergeCell ref="D415:F416"/>
    <mergeCell ref="C410:C413"/>
    <mergeCell ref="G410:G411"/>
    <mergeCell ref="E412:F412"/>
    <mergeCell ref="G412:G413"/>
    <mergeCell ref="E413:F413"/>
    <mergeCell ref="D410:F411"/>
    <mergeCell ref="C405:C408"/>
    <mergeCell ref="G405:G406"/>
    <mergeCell ref="E407:F407"/>
    <mergeCell ref="G407:G408"/>
    <mergeCell ref="E408:F408"/>
    <mergeCell ref="D405:F406"/>
    <mergeCell ref="C400:C403"/>
    <mergeCell ref="G400:G401"/>
    <mergeCell ref="E402:F402"/>
    <mergeCell ref="G402:G403"/>
    <mergeCell ref="E403:F403"/>
    <mergeCell ref="D400:F401"/>
    <mergeCell ref="C395:C398"/>
    <mergeCell ref="G395:G396"/>
    <mergeCell ref="E397:F397"/>
    <mergeCell ref="G397:G398"/>
    <mergeCell ref="E398:F398"/>
    <mergeCell ref="D395:F396"/>
    <mergeCell ref="C390:C393"/>
    <mergeCell ref="G390:G391"/>
    <mergeCell ref="E392:F392"/>
    <mergeCell ref="G392:G393"/>
    <mergeCell ref="E393:F393"/>
    <mergeCell ref="D390:F391"/>
    <mergeCell ref="C445:C448"/>
    <mergeCell ref="G445:G446"/>
    <mergeCell ref="E447:F447"/>
    <mergeCell ref="G447:G448"/>
    <mergeCell ref="E448:F448"/>
    <mergeCell ref="D445:F446"/>
    <mergeCell ref="C440:C443"/>
    <mergeCell ref="G440:G441"/>
    <mergeCell ref="E442:F442"/>
    <mergeCell ref="G442:G443"/>
    <mergeCell ref="E443:F443"/>
    <mergeCell ref="D440:F441"/>
    <mergeCell ref="C435:C438"/>
    <mergeCell ref="G435:G436"/>
    <mergeCell ref="E437:F437"/>
    <mergeCell ref="G437:G438"/>
    <mergeCell ref="E438:F438"/>
    <mergeCell ref="D435:F436"/>
    <mergeCell ref="C430:C433"/>
    <mergeCell ref="G430:G431"/>
    <mergeCell ref="E432:F432"/>
    <mergeCell ref="G432:G433"/>
    <mergeCell ref="E433:F433"/>
    <mergeCell ref="D430:F431"/>
    <mergeCell ref="C425:C428"/>
    <mergeCell ref="G425:G426"/>
    <mergeCell ref="E427:F427"/>
    <mergeCell ref="G427:G428"/>
    <mergeCell ref="E428:F428"/>
    <mergeCell ref="D425:F426"/>
    <mergeCell ref="C420:C423"/>
    <mergeCell ref="G420:G421"/>
    <mergeCell ref="E422:F422"/>
    <mergeCell ref="G422:G423"/>
    <mergeCell ref="E423:F423"/>
    <mergeCell ref="D420:F421"/>
    <mergeCell ref="C475:C478"/>
    <mergeCell ref="G475:G476"/>
    <mergeCell ref="E477:F477"/>
    <mergeCell ref="G477:G478"/>
    <mergeCell ref="E478:F478"/>
    <mergeCell ref="D475:F476"/>
    <mergeCell ref="C470:C473"/>
    <mergeCell ref="G470:G471"/>
    <mergeCell ref="E472:F472"/>
    <mergeCell ref="G472:G473"/>
    <mergeCell ref="E473:F473"/>
    <mergeCell ref="D470:F471"/>
    <mergeCell ref="C465:C468"/>
    <mergeCell ref="G465:G466"/>
    <mergeCell ref="E467:F467"/>
    <mergeCell ref="G467:G468"/>
    <mergeCell ref="E468:F468"/>
    <mergeCell ref="D465:F466"/>
    <mergeCell ref="C460:C463"/>
    <mergeCell ref="G460:G461"/>
    <mergeCell ref="E462:F462"/>
    <mergeCell ref="G462:G463"/>
    <mergeCell ref="E463:F463"/>
    <mergeCell ref="D460:F461"/>
    <mergeCell ref="C455:C458"/>
    <mergeCell ref="G455:G456"/>
    <mergeCell ref="E457:F457"/>
    <mergeCell ref="G457:G458"/>
    <mergeCell ref="E458:F458"/>
    <mergeCell ref="D455:F456"/>
    <mergeCell ref="C450:C453"/>
    <mergeCell ref="G450:G451"/>
    <mergeCell ref="E452:F452"/>
    <mergeCell ref="G452:G453"/>
    <mergeCell ref="E453:F453"/>
    <mergeCell ref="D450:F451"/>
    <mergeCell ref="C505:C508"/>
    <mergeCell ref="G505:G506"/>
    <mergeCell ref="E507:F507"/>
    <mergeCell ref="G507:G508"/>
    <mergeCell ref="E508:F508"/>
    <mergeCell ref="D505:F506"/>
    <mergeCell ref="C500:C503"/>
    <mergeCell ref="G500:G501"/>
    <mergeCell ref="E502:F502"/>
    <mergeCell ref="G502:G503"/>
    <mergeCell ref="E503:F503"/>
    <mergeCell ref="D500:F501"/>
    <mergeCell ref="C495:C498"/>
    <mergeCell ref="G495:G496"/>
    <mergeCell ref="E497:F497"/>
    <mergeCell ref="G497:G498"/>
    <mergeCell ref="E498:F498"/>
    <mergeCell ref="D495:F496"/>
    <mergeCell ref="C490:C493"/>
    <mergeCell ref="G490:G491"/>
    <mergeCell ref="E492:F492"/>
    <mergeCell ref="G492:G493"/>
    <mergeCell ref="E493:F493"/>
    <mergeCell ref="D490:F491"/>
    <mergeCell ref="C485:C488"/>
    <mergeCell ref="G485:G486"/>
    <mergeCell ref="E487:F487"/>
    <mergeCell ref="G487:G488"/>
    <mergeCell ref="E488:F488"/>
    <mergeCell ref="D485:F486"/>
    <mergeCell ref="C480:C483"/>
    <mergeCell ref="G480:G481"/>
    <mergeCell ref="E482:F482"/>
    <mergeCell ref="G482:G483"/>
    <mergeCell ref="E483:F483"/>
    <mergeCell ref="D480:F481"/>
    <mergeCell ref="C535:C538"/>
    <mergeCell ref="G535:G536"/>
    <mergeCell ref="E537:F537"/>
    <mergeCell ref="G537:G538"/>
    <mergeCell ref="E538:F538"/>
    <mergeCell ref="D535:F536"/>
    <mergeCell ref="C530:C533"/>
    <mergeCell ref="G530:G531"/>
    <mergeCell ref="E532:F532"/>
    <mergeCell ref="G532:G533"/>
    <mergeCell ref="E533:F533"/>
    <mergeCell ref="D530:F531"/>
    <mergeCell ref="C525:C528"/>
    <mergeCell ref="G525:G526"/>
    <mergeCell ref="E527:F527"/>
    <mergeCell ref="G527:G528"/>
    <mergeCell ref="E528:F528"/>
    <mergeCell ref="D525:F526"/>
    <mergeCell ref="C520:C523"/>
    <mergeCell ref="G520:G521"/>
    <mergeCell ref="E522:F522"/>
    <mergeCell ref="G522:G523"/>
    <mergeCell ref="E523:F523"/>
    <mergeCell ref="D520:F521"/>
    <mergeCell ref="C515:C518"/>
    <mergeCell ref="G515:G516"/>
    <mergeCell ref="E517:F517"/>
    <mergeCell ref="G517:G518"/>
    <mergeCell ref="E518:F518"/>
    <mergeCell ref="D515:F516"/>
    <mergeCell ref="C510:C513"/>
    <mergeCell ref="G510:G511"/>
    <mergeCell ref="E512:F512"/>
    <mergeCell ref="G512:G513"/>
    <mergeCell ref="E513:F513"/>
    <mergeCell ref="D510:F511"/>
    <mergeCell ref="C565:C568"/>
    <mergeCell ref="G565:G566"/>
    <mergeCell ref="E567:F567"/>
    <mergeCell ref="G567:G568"/>
    <mergeCell ref="E568:F568"/>
    <mergeCell ref="D565:F566"/>
    <mergeCell ref="C560:C563"/>
    <mergeCell ref="G560:G561"/>
    <mergeCell ref="E562:F562"/>
    <mergeCell ref="G562:G563"/>
    <mergeCell ref="E563:F563"/>
    <mergeCell ref="D560:F561"/>
    <mergeCell ref="C555:C558"/>
    <mergeCell ref="G555:G556"/>
    <mergeCell ref="E557:F557"/>
    <mergeCell ref="G557:G558"/>
    <mergeCell ref="E558:F558"/>
    <mergeCell ref="D555:F556"/>
    <mergeCell ref="C550:C553"/>
    <mergeCell ref="G550:G551"/>
    <mergeCell ref="E552:F552"/>
    <mergeCell ref="G552:G553"/>
    <mergeCell ref="E553:F553"/>
    <mergeCell ref="D550:F551"/>
    <mergeCell ref="C545:C548"/>
    <mergeCell ref="G545:G546"/>
    <mergeCell ref="E547:F547"/>
    <mergeCell ref="G547:G548"/>
    <mergeCell ref="E548:F548"/>
    <mergeCell ref="D545:F546"/>
    <mergeCell ref="C540:C543"/>
    <mergeCell ref="G540:G541"/>
    <mergeCell ref="E542:F542"/>
    <mergeCell ref="G542:G543"/>
    <mergeCell ref="E543:F543"/>
    <mergeCell ref="D540:F541"/>
    <mergeCell ref="C595:C598"/>
    <mergeCell ref="G595:G596"/>
    <mergeCell ref="E597:F597"/>
    <mergeCell ref="G597:G598"/>
    <mergeCell ref="E598:F598"/>
    <mergeCell ref="D595:F596"/>
    <mergeCell ref="C590:C593"/>
    <mergeCell ref="G590:G591"/>
    <mergeCell ref="E592:F592"/>
    <mergeCell ref="G592:G593"/>
    <mergeCell ref="E593:F593"/>
    <mergeCell ref="D590:F591"/>
    <mergeCell ref="C585:C588"/>
    <mergeCell ref="G585:G586"/>
    <mergeCell ref="E587:F587"/>
    <mergeCell ref="G587:G588"/>
    <mergeCell ref="E588:F588"/>
    <mergeCell ref="D585:F586"/>
    <mergeCell ref="C580:C583"/>
    <mergeCell ref="G580:G581"/>
    <mergeCell ref="E582:F582"/>
    <mergeCell ref="G582:G583"/>
    <mergeCell ref="E583:F583"/>
    <mergeCell ref="D580:F581"/>
    <mergeCell ref="C575:C578"/>
    <mergeCell ref="G575:G576"/>
    <mergeCell ref="E577:F577"/>
    <mergeCell ref="G577:G578"/>
    <mergeCell ref="E578:F578"/>
    <mergeCell ref="D575:F576"/>
    <mergeCell ref="C570:C573"/>
    <mergeCell ref="G570:G571"/>
    <mergeCell ref="E572:F572"/>
    <mergeCell ref="G572:G573"/>
    <mergeCell ref="E573:F573"/>
    <mergeCell ref="D570:F571"/>
    <mergeCell ref="C625:C628"/>
    <mergeCell ref="G625:G626"/>
    <mergeCell ref="E627:F627"/>
    <mergeCell ref="G627:G628"/>
    <mergeCell ref="E628:F628"/>
    <mergeCell ref="D625:F626"/>
    <mergeCell ref="C620:C623"/>
    <mergeCell ref="G620:G621"/>
    <mergeCell ref="E622:F622"/>
    <mergeCell ref="G622:G623"/>
    <mergeCell ref="E623:F623"/>
    <mergeCell ref="D620:F621"/>
    <mergeCell ref="C615:C618"/>
    <mergeCell ref="G615:G616"/>
    <mergeCell ref="E617:F617"/>
    <mergeCell ref="G617:G618"/>
    <mergeCell ref="E618:F618"/>
    <mergeCell ref="D615:F616"/>
    <mergeCell ref="C610:C613"/>
    <mergeCell ref="G610:G611"/>
    <mergeCell ref="E612:F612"/>
    <mergeCell ref="G612:G613"/>
    <mergeCell ref="E613:F613"/>
    <mergeCell ref="D610:F611"/>
    <mergeCell ref="C605:C608"/>
    <mergeCell ref="G605:G606"/>
    <mergeCell ref="E607:F607"/>
    <mergeCell ref="G607:G608"/>
    <mergeCell ref="E608:F608"/>
    <mergeCell ref="D605:F606"/>
    <mergeCell ref="C600:C603"/>
    <mergeCell ref="G600:G601"/>
    <mergeCell ref="E602:F602"/>
    <mergeCell ref="G602:G603"/>
    <mergeCell ref="E603:F603"/>
    <mergeCell ref="D600:F601"/>
    <mergeCell ref="C655:C658"/>
    <mergeCell ref="G655:G656"/>
    <mergeCell ref="E657:F657"/>
    <mergeCell ref="G657:G658"/>
    <mergeCell ref="E658:F658"/>
    <mergeCell ref="D655:F656"/>
    <mergeCell ref="C650:C653"/>
    <mergeCell ref="G650:G651"/>
    <mergeCell ref="E652:F652"/>
    <mergeCell ref="G652:G653"/>
    <mergeCell ref="E653:F653"/>
    <mergeCell ref="D650:F651"/>
    <mergeCell ref="C645:C648"/>
    <mergeCell ref="G645:G646"/>
    <mergeCell ref="E647:F647"/>
    <mergeCell ref="G647:G648"/>
    <mergeCell ref="E648:F648"/>
    <mergeCell ref="D645:F646"/>
    <mergeCell ref="C640:C643"/>
    <mergeCell ref="G640:G641"/>
    <mergeCell ref="E642:F642"/>
    <mergeCell ref="G642:G643"/>
    <mergeCell ref="E643:F643"/>
    <mergeCell ref="D640:F641"/>
    <mergeCell ref="C635:C638"/>
    <mergeCell ref="G635:G636"/>
    <mergeCell ref="E637:F637"/>
    <mergeCell ref="G637:G638"/>
    <mergeCell ref="E638:F638"/>
    <mergeCell ref="D635:F636"/>
    <mergeCell ref="C630:C633"/>
    <mergeCell ref="G630:G631"/>
    <mergeCell ref="E632:F632"/>
    <mergeCell ref="G632:G633"/>
    <mergeCell ref="E633:F633"/>
    <mergeCell ref="D630:F631"/>
    <mergeCell ref="C685:C688"/>
    <mergeCell ref="G685:G686"/>
    <mergeCell ref="E687:F687"/>
    <mergeCell ref="G687:G688"/>
    <mergeCell ref="E688:F688"/>
    <mergeCell ref="D685:F686"/>
    <mergeCell ref="C680:C683"/>
    <mergeCell ref="G680:G681"/>
    <mergeCell ref="E682:F682"/>
    <mergeCell ref="G682:G683"/>
    <mergeCell ref="E683:F683"/>
    <mergeCell ref="D680:F681"/>
    <mergeCell ref="C675:C678"/>
    <mergeCell ref="G675:G676"/>
    <mergeCell ref="E677:F677"/>
    <mergeCell ref="G677:G678"/>
    <mergeCell ref="E678:F678"/>
    <mergeCell ref="D675:F676"/>
    <mergeCell ref="C670:C673"/>
    <mergeCell ref="G670:G671"/>
    <mergeCell ref="E672:F672"/>
    <mergeCell ref="G672:G673"/>
    <mergeCell ref="E673:F673"/>
    <mergeCell ref="D670:F671"/>
    <mergeCell ref="C665:C668"/>
    <mergeCell ref="G665:G666"/>
    <mergeCell ref="E667:F667"/>
    <mergeCell ref="G667:G668"/>
    <mergeCell ref="E668:F668"/>
    <mergeCell ref="D665:F666"/>
    <mergeCell ref="C660:C663"/>
    <mergeCell ref="G660:G661"/>
    <mergeCell ref="E662:F662"/>
    <mergeCell ref="G662:G663"/>
    <mergeCell ref="E663:F663"/>
    <mergeCell ref="D660:F661"/>
    <mergeCell ref="C715:C718"/>
    <mergeCell ref="G715:G716"/>
    <mergeCell ref="E717:F717"/>
    <mergeCell ref="G717:G718"/>
    <mergeCell ref="E718:F718"/>
    <mergeCell ref="D715:F716"/>
    <mergeCell ref="C710:C713"/>
    <mergeCell ref="G710:G711"/>
    <mergeCell ref="E712:F712"/>
    <mergeCell ref="G712:G713"/>
    <mergeCell ref="E713:F713"/>
    <mergeCell ref="D710:F711"/>
    <mergeCell ref="C705:C708"/>
    <mergeCell ref="G705:G706"/>
    <mergeCell ref="E707:F707"/>
    <mergeCell ref="G707:G708"/>
    <mergeCell ref="E708:F708"/>
    <mergeCell ref="D705:F706"/>
    <mergeCell ref="C700:C703"/>
    <mergeCell ref="G700:G701"/>
    <mergeCell ref="E702:F702"/>
    <mergeCell ref="G702:G703"/>
    <mergeCell ref="E703:F703"/>
    <mergeCell ref="D700:F701"/>
    <mergeCell ref="C695:C698"/>
    <mergeCell ref="G695:G696"/>
    <mergeCell ref="E697:F697"/>
    <mergeCell ref="G697:G698"/>
    <mergeCell ref="E698:F698"/>
    <mergeCell ref="D695:F696"/>
    <mergeCell ref="C690:C693"/>
    <mergeCell ref="G690:G691"/>
    <mergeCell ref="E692:F692"/>
    <mergeCell ref="G692:G693"/>
    <mergeCell ref="E693:F693"/>
    <mergeCell ref="D690:F691"/>
    <mergeCell ref="C745:C748"/>
    <mergeCell ref="G745:G746"/>
    <mergeCell ref="E747:F747"/>
    <mergeCell ref="G747:G748"/>
    <mergeCell ref="E748:F748"/>
    <mergeCell ref="D745:F746"/>
    <mergeCell ref="C740:C743"/>
    <mergeCell ref="G740:G741"/>
    <mergeCell ref="E742:F742"/>
    <mergeCell ref="G742:G743"/>
    <mergeCell ref="E743:F743"/>
    <mergeCell ref="D740:F741"/>
    <mergeCell ref="C735:C738"/>
    <mergeCell ref="G735:G736"/>
    <mergeCell ref="E737:F737"/>
    <mergeCell ref="G737:G738"/>
    <mergeCell ref="E738:F738"/>
    <mergeCell ref="D735:F736"/>
    <mergeCell ref="C730:C733"/>
    <mergeCell ref="G730:G731"/>
    <mergeCell ref="E732:F732"/>
    <mergeCell ref="G732:G733"/>
    <mergeCell ref="E733:F733"/>
    <mergeCell ref="D730:F731"/>
    <mergeCell ref="C725:C728"/>
    <mergeCell ref="G725:G726"/>
    <mergeCell ref="E727:F727"/>
    <mergeCell ref="G727:G728"/>
    <mergeCell ref="E728:F728"/>
    <mergeCell ref="D725:F726"/>
    <mergeCell ref="C720:C723"/>
    <mergeCell ref="G720:G721"/>
    <mergeCell ref="E722:F722"/>
    <mergeCell ref="G722:G723"/>
    <mergeCell ref="E723:F723"/>
    <mergeCell ref="D720:F721"/>
    <mergeCell ref="C775:C778"/>
    <mergeCell ref="G775:G776"/>
    <mergeCell ref="E777:F777"/>
    <mergeCell ref="G777:G778"/>
    <mergeCell ref="E778:F778"/>
    <mergeCell ref="D775:F776"/>
    <mergeCell ref="C770:C773"/>
    <mergeCell ref="G770:G771"/>
    <mergeCell ref="E772:F772"/>
    <mergeCell ref="G772:G773"/>
    <mergeCell ref="E773:F773"/>
    <mergeCell ref="D770:F771"/>
    <mergeCell ref="C765:C768"/>
    <mergeCell ref="G765:G766"/>
    <mergeCell ref="E767:F767"/>
    <mergeCell ref="G767:G768"/>
    <mergeCell ref="E768:F768"/>
    <mergeCell ref="D765:F766"/>
    <mergeCell ref="C760:C763"/>
    <mergeCell ref="G760:G761"/>
    <mergeCell ref="E762:F762"/>
    <mergeCell ref="G762:G763"/>
    <mergeCell ref="E763:F763"/>
    <mergeCell ref="D760:F761"/>
    <mergeCell ref="C755:C758"/>
    <mergeCell ref="G755:G756"/>
    <mergeCell ref="E757:F757"/>
    <mergeCell ref="G757:G758"/>
    <mergeCell ref="E758:F758"/>
    <mergeCell ref="D755:F756"/>
    <mergeCell ref="C750:C753"/>
    <mergeCell ref="G750:G751"/>
    <mergeCell ref="E752:F752"/>
    <mergeCell ref="G752:G753"/>
    <mergeCell ref="E753:F753"/>
    <mergeCell ref="D750:F751"/>
    <mergeCell ref="C805:C808"/>
    <mergeCell ref="G805:G806"/>
    <mergeCell ref="E807:F807"/>
    <mergeCell ref="G807:G808"/>
    <mergeCell ref="E808:F808"/>
    <mergeCell ref="D805:F806"/>
    <mergeCell ref="C800:C803"/>
    <mergeCell ref="G800:G801"/>
    <mergeCell ref="E802:F802"/>
    <mergeCell ref="G802:G803"/>
    <mergeCell ref="E803:F803"/>
    <mergeCell ref="D800:F801"/>
    <mergeCell ref="C795:C798"/>
    <mergeCell ref="G795:G796"/>
    <mergeCell ref="E797:F797"/>
    <mergeCell ref="G797:G798"/>
    <mergeCell ref="E798:F798"/>
    <mergeCell ref="D795:F796"/>
    <mergeCell ref="C790:C793"/>
    <mergeCell ref="G790:G791"/>
    <mergeCell ref="E792:F792"/>
    <mergeCell ref="G792:G793"/>
    <mergeCell ref="E793:F793"/>
    <mergeCell ref="D790:F791"/>
    <mergeCell ref="C785:C788"/>
    <mergeCell ref="G785:G786"/>
    <mergeCell ref="E787:F787"/>
    <mergeCell ref="G787:G788"/>
    <mergeCell ref="E788:F788"/>
    <mergeCell ref="D785:F786"/>
    <mergeCell ref="C780:C783"/>
    <mergeCell ref="G780:G781"/>
    <mergeCell ref="E782:F782"/>
    <mergeCell ref="G782:G783"/>
    <mergeCell ref="E783:F783"/>
    <mergeCell ref="D780:F781"/>
    <mergeCell ref="C835:C838"/>
    <mergeCell ref="G835:G836"/>
    <mergeCell ref="E837:F837"/>
    <mergeCell ref="G837:G838"/>
    <mergeCell ref="E838:F838"/>
    <mergeCell ref="D835:F836"/>
    <mergeCell ref="C830:C833"/>
    <mergeCell ref="G830:G831"/>
    <mergeCell ref="E832:F832"/>
    <mergeCell ref="G832:G833"/>
    <mergeCell ref="E833:F833"/>
    <mergeCell ref="D830:F831"/>
    <mergeCell ref="C825:C828"/>
    <mergeCell ref="G825:G826"/>
    <mergeCell ref="E827:F827"/>
    <mergeCell ref="G827:G828"/>
    <mergeCell ref="E828:F828"/>
    <mergeCell ref="D825:F826"/>
    <mergeCell ref="C820:C823"/>
    <mergeCell ref="G820:G821"/>
    <mergeCell ref="E822:F822"/>
    <mergeCell ref="G822:G823"/>
    <mergeCell ref="E823:F823"/>
    <mergeCell ref="D820:F821"/>
    <mergeCell ref="C815:C818"/>
    <mergeCell ref="G815:G816"/>
    <mergeCell ref="E817:F817"/>
    <mergeCell ref="G817:G818"/>
    <mergeCell ref="E818:F818"/>
    <mergeCell ref="D815:F816"/>
    <mergeCell ref="C810:C813"/>
    <mergeCell ref="G810:G811"/>
    <mergeCell ref="E812:F812"/>
    <mergeCell ref="G812:G813"/>
    <mergeCell ref="E813:F813"/>
    <mergeCell ref="D810:F811"/>
    <mergeCell ref="C865:C868"/>
    <mergeCell ref="G865:G866"/>
    <mergeCell ref="E867:F867"/>
    <mergeCell ref="G867:G868"/>
    <mergeCell ref="E868:F868"/>
    <mergeCell ref="D865:F866"/>
    <mergeCell ref="C860:C863"/>
    <mergeCell ref="G860:G861"/>
    <mergeCell ref="E862:F862"/>
    <mergeCell ref="G862:G863"/>
    <mergeCell ref="E863:F863"/>
    <mergeCell ref="D860:F861"/>
    <mergeCell ref="C855:C858"/>
    <mergeCell ref="G855:G856"/>
    <mergeCell ref="E857:F857"/>
    <mergeCell ref="G857:G858"/>
    <mergeCell ref="E858:F858"/>
    <mergeCell ref="D855:F856"/>
    <mergeCell ref="C850:C853"/>
    <mergeCell ref="G850:G851"/>
    <mergeCell ref="E852:F852"/>
    <mergeCell ref="G852:G853"/>
    <mergeCell ref="E853:F853"/>
    <mergeCell ref="D850:F851"/>
    <mergeCell ref="C845:C848"/>
    <mergeCell ref="G845:G846"/>
    <mergeCell ref="E847:F847"/>
    <mergeCell ref="G847:G848"/>
    <mergeCell ref="E848:F848"/>
    <mergeCell ref="D845:F846"/>
    <mergeCell ref="C840:C843"/>
    <mergeCell ref="G840:G841"/>
    <mergeCell ref="E842:F842"/>
    <mergeCell ref="G842:G843"/>
    <mergeCell ref="E843:F843"/>
    <mergeCell ref="D840:F841"/>
    <mergeCell ref="C895:C898"/>
    <mergeCell ref="G895:G896"/>
    <mergeCell ref="E897:F897"/>
    <mergeCell ref="G897:G898"/>
    <mergeCell ref="E898:F898"/>
    <mergeCell ref="D895:F896"/>
    <mergeCell ref="C890:C893"/>
    <mergeCell ref="G890:G891"/>
    <mergeCell ref="E892:F892"/>
    <mergeCell ref="G892:G893"/>
    <mergeCell ref="E893:F893"/>
    <mergeCell ref="D890:F891"/>
    <mergeCell ref="C885:C888"/>
    <mergeCell ref="G885:G886"/>
    <mergeCell ref="E887:F887"/>
    <mergeCell ref="G887:G888"/>
    <mergeCell ref="E888:F888"/>
    <mergeCell ref="D885:F886"/>
    <mergeCell ref="C880:C883"/>
    <mergeCell ref="G880:G881"/>
    <mergeCell ref="E882:F882"/>
    <mergeCell ref="G882:G883"/>
    <mergeCell ref="E883:F883"/>
    <mergeCell ref="D880:F881"/>
    <mergeCell ref="C875:C878"/>
    <mergeCell ref="G875:G876"/>
    <mergeCell ref="E877:F877"/>
    <mergeCell ref="G877:G878"/>
    <mergeCell ref="E878:F878"/>
    <mergeCell ref="D875:F876"/>
    <mergeCell ref="C870:C873"/>
    <mergeCell ref="G870:G871"/>
    <mergeCell ref="E872:F872"/>
    <mergeCell ref="G872:G873"/>
    <mergeCell ref="E873:F873"/>
    <mergeCell ref="D870:F871"/>
    <mergeCell ref="C925:C928"/>
    <mergeCell ref="G925:G926"/>
    <mergeCell ref="E927:F927"/>
    <mergeCell ref="G927:G928"/>
    <mergeCell ref="E928:F928"/>
    <mergeCell ref="D925:F926"/>
    <mergeCell ref="C920:C923"/>
    <mergeCell ref="G920:G921"/>
    <mergeCell ref="E922:F922"/>
    <mergeCell ref="G922:G923"/>
    <mergeCell ref="E923:F923"/>
    <mergeCell ref="D920:F921"/>
    <mergeCell ref="C915:C918"/>
    <mergeCell ref="G915:G916"/>
    <mergeCell ref="E917:F917"/>
    <mergeCell ref="G917:G918"/>
    <mergeCell ref="E918:F918"/>
    <mergeCell ref="D915:F916"/>
    <mergeCell ref="C910:C913"/>
    <mergeCell ref="G910:G911"/>
    <mergeCell ref="E912:F912"/>
    <mergeCell ref="G912:G913"/>
    <mergeCell ref="E913:F913"/>
    <mergeCell ref="D910:F911"/>
    <mergeCell ref="C905:C908"/>
    <mergeCell ref="G905:G906"/>
    <mergeCell ref="E907:F907"/>
    <mergeCell ref="G907:G908"/>
    <mergeCell ref="E908:F908"/>
    <mergeCell ref="D905:F906"/>
    <mergeCell ref="C900:C903"/>
    <mergeCell ref="G900:G901"/>
    <mergeCell ref="E902:F902"/>
    <mergeCell ref="G902:G903"/>
    <mergeCell ref="E903:F903"/>
    <mergeCell ref="D900:F901"/>
    <mergeCell ref="C955:C958"/>
    <mergeCell ref="G955:G956"/>
    <mergeCell ref="E957:F957"/>
    <mergeCell ref="G957:G958"/>
    <mergeCell ref="E958:F958"/>
    <mergeCell ref="D955:F956"/>
    <mergeCell ref="C950:C953"/>
    <mergeCell ref="G950:G951"/>
    <mergeCell ref="E952:F952"/>
    <mergeCell ref="G952:G953"/>
    <mergeCell ref="E953:F953"/>
    <mergeCell ref="D950:F951"/>
    <mergeCell ref="C945:C948"/>
    <mergeCell ref="G945:G946"/>
    <mergeCell ref="E947:F947"/>
    <mergeCell ref="G947:G948"/>
    <mergeCell ref="E948:F948"/>
    <mergeCell ref="D945:F946"/>
    <mergeCell ref="C940:C943"/>
    <mergeCell ref="G940:G941"/>
    <mergeCell ref="E942:F942"/>
    <mergeCell ref="G942:G943"/>
    <mergeCell ref="E943:F943"/>
    <mergeCell ref="D940:F941"/>
    <mergeCell ref="C935:C938"/>
    <mergeCell ref="G935:G936"/>
    <mergeCell ref="E937:F937"/>
    <mergeCell ref="G937:G938"/>
    <mergeCell ref="E938:F938"/>
    <mergeCell ref="D935:F936"/>
    <mergeCell ref="C930:C933"/>
    <mergeCell ref="G930:G931"/>
    <mergeCell ref="E932:F932"/>
    <mergeCell ref="G932:G933"/>
    <mergeCell ref="E933:F933"/>
    <mergeCell ref="D930:F931"/>
    <mergeCell ref="E993:F993"/>
    <mergeCell ref="D990:F991"/>
    <mergeCell ref="C985:C988"/>
    <mergeCell ref="G985:G986"/>
    <mergeCell ref="E987:F987"/>
    <mergeCell ref="G987:G988"/>
    <mergeCell ref="E988:F988"/>
    <mergeCell ref="D985:F986"/>
    <mergeCell ref="C980:C983"/>
    <mergeCell ref="G980:G981"/>
    <mergeCell ref="E982:F982"/>
    <mergeCell ref="G982:G983"/>
    <mergeCell ref="E983:F983"/>
    <mergeCell ref="D980:F981"/>
    <mergeCell ref="C975:C978"/>
    <mergeCell ref="G975:G976"/>
    <mergeCell ref="E977:F977"/>
    <mergeCell ref="G977:G978"/>
    <mergeCell ref="E978:F978"/>
    <mergeCell ref="D975:F976"/>
    <mergeCell ref="C970:C973"/>
    <mergeCell ref="G970:G971"/>
    <mergeCell ref="E972:F972"/>
    <mergeCell ref="G972:G973"/>
    <mergeCell ref="E973:F973"/>
    <mergeCell ref="D970:F971"/>
    <mergeCell ref="C965:C968"/>
    <mergeCell ref="G965:G966"/>
    <mergeCell ref="E967:F967"/>
    <mergeCell ref="G967:G968"/>
    <mergeCell ref="E968:F968"/>
    <mergeCell ref="D965:F966"/>
    <mergeCell ref="C960:C963"/>
    <mergeCell ref="G960:G961"/>
    <mergeCell ref="E962:F962"/>
    <mergeCell ref="G962:G963"/>
    <mergeCell ref="E963:F963"/>
    <mergeCell ref="D960:F961"/>
    <mergeCell ref="K55:K58"/>
    <mergeCell ref="O55:O56"/>
    <mergeCell ref="M57:N57"/>
    <mergeCell ref="O57:O58"/>
    <mergeCell ref="M58:N58"/>
    <mergeCell ref="L55:N56"/>
    <mergeCell ref="K50:K53"/>
    <mergeCell ref="O50:O51"/>
    <mergeCell ref="M52:N52"/>
    <mergeCell ref="O52:O53"/>
    <mergeCell ref="M53:N53"/>
    <mergeCell ref="L50:N51"/>
    <mergeCell ref="K45:K48"/>
    <mergeCell ref="O45:O46"/>
    <mergeCell ref="M47:N47"/>
    <mergeCell ref="O47:O48"/>
    <mergeCell ref="M48:N48"/>
    <mergeCell ref="L45:N46"/>
    <mergeCell ref="K40:K43"/>
    <mergeCell ref="O40:O41"/>
    <mergeCell ref="M42:N42"/>
    <mergeCell ref="O42:O43"/>
    <mergeCell ref="M43:N43"/>
    <mergeCell ref="L40:N41"/>
    <mergeCell ref="K35:K38"/>
    <mergeCell ref="O35:O36"/>
    <mergeCell ref="M37:N37"/>
    <mergeCell ref="O37:O38"/>
    <mergeCell ref="M38:N38"/>
    <mergeCell ref="L35:N36"/>
    <mergeCell ref="C1015:C1018"/>
    <mergeCell ref="G1015:G1016"/>
    <mergeCell ref="E1017:F1017"/>
    <mergeCell ref="G1017:G1018"/>
    <mergeCell ref="E1018:F1018"/>
    <mergeCell ref="D1015:F1016"/>
    <mergeCell ref="C1010:C1013"/>
    <mergeCell ref="G1010:G1011"/>
    <mergeCell ref="E1012:F1012"/>
    <mergeCell ref="G1012:G1013"/>
    <mergeCell ref="E1013:F1013"/>
    <mergeCell ref="D1010:F1011"/>
    <mergeCell ref="C1005:C1008"/>
    <mergeCell ref="G1005:G1006"/>
    <mergeCell ref="E1007:F1007"/>
    <mergeCell ref="G1007:G1008"/>
    <mergeCell ref="E1008:F1008"/>
    <mergeCell ref="D1005:F1006"/>
    <mergeCell ref="C1000:C1003"/>
    <mergeCell ref="G1000:G1001"/>
    <mergeCell ref="E1002:F1002"/>
    <mergeCell ref="G1002:G1003"/>
    <mergeCell ref="E1003:F1003"/>
    <mergeCell ref="D1000:F1001"/>
    <mergeCell ref="C995:C998"/>
    <mergeCell ref="G995:G996"/>
    <mergeCell ref="E997:F997"/>
    <mergeCell ref="G997:G998"/>
    <mergeCell ref="E998:F998"/>
    <mergeCell ref="D995:F996"/>
    <mergeCell ref="C990:C993"/>
    <mergeCell ref="G990:G991"/>
    <mergeCell ref="E992:F992"/>
    <mergeCell ref="G992:G993"/>
    <mergeCell ref="K85:K88"/>
    <mergeCell ref="O85:O86"/>
    <mergeCell ref="M87:N87"/>
    <mergeCell ref="O87:O88"/>
    <mergeCell ref="M88:N88"/>
    <mergeCell ref="L85:N86"/>
    <mergeCell ref="K80:K83"/>
    <mergeCell ref="O80:O81"/>
    <mergeCell ref="M82:N82"/>
    <mergeCell ref="O82:O83"/>
    <mergeCell ref="M83:N83"/>
    <mergeCell ref="L80:N81"/>
    <mergeCell ref="K75:K78"/>
    <mergeCell ref="O75:O76"/>
    <mergeCell ref="M77:N77"/>
    <mergeCell ref="O77:O78"/>
    <mergeCell ref="M78:N78"/>
    <mergeCell ref="L75:N76"/>
    <mergeCell ref="K70:K73"/>
    <mergeCell ref="O70:O71"/>
    <mergeCell ref="M72:N72"/>
    <mergeCell ref="O72:O73"/>
    <mergeCell ref="M73:N73"/>
    <mergeCell ref="L70:N71"/>
    <mergeCell ref="K65:K68"/>
    <mergeCell ref="O65:O66"/>
    <mergeCell ref="M67:N67"/>
    <mergeCell ref="O67:O68"/>
    <mergeCell ref="M68:N68"/>
    <mergeCell ref="L65:N66"/>
    <mergeCell ref="K60:K63"/>
    <mergeCell ref="O60:O61"/>
    <mergeCell ref="M62:N62"/>
    <mergeCell ref="O62:O63"/>
    <mergeCell ref="M63:N63"/>
    <mergeCell ref="L60:N61"/>
    <mergeCell ref="K115:K118"/>
    <mergeCell ref="O115:O116"/>
    <mergeCell ref="M117:N117"/>
    <mergeCell ref="O117:O118"/>
    <mergeCell ref="M118:N118"/>
    <mergeCell ref="L115:N116"/>
    <mergeCell ref="K110:K113"/>
    <mergeCell ref="O110:O111"/>
    <mergeCell ref="M112:N112"/>
    <mergeCell ref="O112:O113"/>
    <mergeCell ref="M113:N113"/>
    <mergeCell ref="L110:N111"/>
    <mergeCell ref="K105:K108"/>
    <mergeCell ref="O105:O106"/>
    <mergeCell ref="M107:N107"/>
    <mergeCell ref="O107:O108"/>
    <mergeCell ref="M108:N108"/>
    <mergeCell ref="L105:N106"/>
    <mergeCell ref="K100:K103"/>
    <mergeCell ref="O100:O101"/>
    <mergeCell ref="M102:N102"/>
    <mergeCell ref="O102:O103"/>
    <mergeCell ref="M103:N103"/>
    <mergeCell ref="L100:N101"/>
    <mergeCell ref="K95:K98"/>
    <mergeCell ref="O95:O96"/>
    <mergeCell ref="M97:N97"/>
    <mergeCell ref="O97:O98"/>
    <mergeCell ref="M98:N98"/>
    <mergeCell ref="L95:N96"/>
    <mergeCell ref="K90:K93"/>
    <mergeCell ref="O90:O91"/>
    <mergeCell ref="M92:N92"/>
    <mergeCell ref="O92:O93"/>
    <mergeCell ref="M93:N93"/>
    <mergeCell ref="L90:N91"/>
    <mergeCell ref="K145:K148"/>
    <mergeCell ref="O145:O146"/>
    <mergeCell ref="M147:N147"/>
    <mergeCell ref="O147:O148"/>
    <mergeCell ref="M148:N148"/>
    <mergeCell ref="L145:N146"/>
    <mergeCell ref="K140:K143"/>
    <mergeCell ref="O140:O141"/>
    <mergeCell ref="M142:N142"/>
    <mergeCell ref="O142:O143"/>
    <mergeCell ref="M143:N143"/>
    <mergeCell ref="L140:N141"/>
    <mergeCell ref="K135:K138"/>
    <mergeCell ref="O135:O136"/>
    <mergeCell ref="M137:N137"/>
    <mergeCell ref="O137:O138"/>
    <mergeCell ref="M138:N138"/>
    <mergeCell ref="L135:N136"/>
    <mergeCell ref="K130:K133"/>
    <mergeCell ref="O130:O131"/>
    <mergeCell ref="M132:N132"/>
    <mergeCell ref="O132:O133"/>
    <mergeCell ref="M133:N133"/>
    <mergeCell ref="L130:N131"/>
    <mergeCell ref="K125:K128"/>
    <mergeCell ref="O125:O126"/>
    <mergeCell ref="M127:N127"/>
    <mergeCell ref="O127:O128"/>
    <mergeCell ref="M128:N128"/>
    <mergeCell ref="L125:N126"/>
    <mergeCell ref="K120:K123"/>
    <mergeCell ref="O120:O121"/>
    <mergeCell ref="M122:N122"/>
    <mergeCell ref="O122:O123"/>
    <mergeCell ref="M123:N123"/>
    <mergeCell ref="L120:N121"/>
    <mergeCell ref="K175:K178"/>
    <mergeCell ref="O175:O176"/>
    <mergeCell ref="M177:N177"/>
    <mergeCell ref="O177:O178"/>
    <mergeCell ref="M178:N178"/>
    <mergeCell ref="L175:N176"/>
    <mergeCell ref="K170:K173"/>
    <mergeCell ref="O170:O171"/>
    <mergeCell ref="M172:N172"/>
    <mergeCell ref="O172:O173"/>
    <mergeCell ref="M173:N173"/>
    <mergeCell ref="L170:N171"/>
    <mergeCell ref="K165:K168"/>
    <mergeCell ref="O165:O166"/>
    <mergeCell ref="M167:N167"/>
    <mergeCell ref="O167:O168"/>
    <mergeCell ref="M168:N168"/>
    <mergeCell ref="L165:N166"/>
    <mergeCell ref="K160:K163"/>
    <mergeCell ref="O160:O161"/>
    <mergeCell ref="M162:N162"/>
    <mergeCell ref="O162:O163"/>
    <mergeCell ref="M163:N163"/>
    <mergeCell ref="L160:N161"/>
    <mergeCell ref="K155:K158"/>
    <mergeCell ref="O155:O156"/>
    <mergeCell ref="M157:N157"/>
    <mergeCell ref="O157:O158"/>
    <mergeCell ref="M158:N158"/>
    <mergeCell ref="L155:N156"/>
    <mergeCell ref="K150:K153"/>
    <mergeCell ref="O150:O151"/>
    <mergeCell ref="M152:N152"/>
    <mergeCell ref="O152:O153"/>
    <mergeCell ref="M153:N153"/>
    <mergeCell ref="L150:N151"/>
    <mergeCell ref="K205:K208"/>
    <mergeCell ref="O205:O206"/>
    <mergeCell ref="M207:N207"/>
    <mergeCell ref="O207:O208"/>
    <mergeCell ref="M208:N208"/>
    <mergeCell ref="L205:N206"/>
    <mergeCell ref="K200:K203"/>
    <mergeCell ref="O200:O201"/>
    <mergeCell ref="M202:N202"/>
    <mergeCell ref="O202:O203"/>
    <mergeCell ref="M203:N203"/>
    <mergeCell ref="L200:N201"/>
    <mergeCell ref="K195:K198"/>
    <mergeCell ref="O195:O196"/>
    <mergeCell ref="M197:N197"/>
    <mergeCell ref="O197:O198"/>
    <mergeCell ref="M198:N198"/>
    <mergeCell ref="L195:N196"/>
    <mergeCell ref="K190:K193"/>
    <mergeCell ref="O190:O191"/>
    <mergeCell ref="M192:N192"/>
    <mergeCell ref="O192:O193"/>
    <mergeCell ref="M193:N193"/>
    <mergeCell ref="L190:N191"/>
    <mergeCell ref="K185:K188"/>
    <mergeCell ref="O185:O186"/>
    <mergeCell ref="M187:N187"/>
    <mergeCell ref="O187:O188"/>
    <mergeCell ref="M188:N188"/>
    <mergeCell ref="L185:N186"/>
    <mergeCell ref="K180:K183"/>
    <mergeCell ref="O180:O181"/>
    <mergeCell ref="M182:N182"/>
    <mergeCell ref="O182:O183"/>
    <mergeCell ref="M183:N183"/>
    <mergeCell ref="L180:N181"/>
    <mergeCell ref="K235:K238"/>
    <mergeCell ref="O235:O236"/>
    <mergeCell ref="M237:N237"/>
    <mergeCell ref="O237:O238"/>
    <mergeCell ref="M238:N238"/>
    <mergeCell ref="L235:N236"/>
    <mergeCell ref="K230:K233"/>
    <mergeCell ref="O230:O231"/>
    <mergeCell ref="M232:N232"/>
    <mergeCell ref="O232:O233"/>
    <mergeCell ref="M233:N233"/>
    <mergeCell ref="L230:N231"/>
    <mergeCell ref="K225:K228"/>
    <mergeCell ref="O225:O226"/>
    <mergeCell ref="M227:N227"/>
    <mergeCell ref="O227:O228"/>
    <mergeCell ref="M228:N228"/>
    <mergeCell ref="L225:N226"/>
    <mergeCell ref="K220:K223"/>
    <mergeCell ref="O220:O221"/>
    <mergeCell ref="M222:N222"/>
    <mergeCell ref="O222:O223"/>
    <mergeCell ref="M223:N223"/>
    <mergeCell ref="L220:N221"/>
    <mergeCell ref="K215:K218"/>
    <mergeCell ref="O215:O216"/>
    <mergeCell ref="M217:N217"/>
    <mergeCell ref="O217:O218"/>
    <mergeCell ref="M218:N218"/>
    <mergeCell ref="L215:N216"/>
    <mergeCell ref="K210:K213"/>
    <mergeCell ref="O210:O211"/>
    <mergeCell ref="M212:N212"/>
    <mergeCell ref="O212:O213"/>
    <mergeCell ref="M213:N213"/>
    <mergeCell ref="L210:N211"/>
    <mergeCell ref="K265:K268"/>
    <mergeCell ref="O265:O266"/>
    <mergeCell ref="M267:N267"/>
    <mergeCell ref="O267:O268"/>
    <mergeCell ref="M268:N268"/>
    <mergeCell ref="L265:N266"/>
    <mergeCell ref="K260:K263"/>
    <mergeCell ref="O260:O261"/>
    <mergeCell ref="M262:N262"/>
    <mergeCell ref="O262:O263"/>
    <mergeCell ref="M263:N263"/>
    <mergeCell ref="L260:N261"/>
    <mergeCell ref="K255:K258"/>
    <mergeCell ref="O255:O256"/>
    <mergeCell ref="M257:N257"/>
    <mergeCell ref="O257:O258"/>
    <mergeCell ref="M258:N258"/>
    <mergeCell ref="L255:N256"/>
    <mergeCell ref="K250:K253"/>
    <mergeCell ref="O250:O251"/>
    <mergeCell ref="M252:N252"/>
    <mergeCell ref="O252:O253"/>
    <mergeCell ref="M253:N253"/>
    <mergeCell ref="L250:N251"/>
    <mergeCell ref="K245:K248"/>
    <mergeCell ref="O245:O246"/>
    <mergeCell ref="M247:N247"/>
    <mergeCell ref="O247:O248"/>
    <mergeCell ref="M248:N248"/>
    <mergeCell ref="L245:N246"/>
    <mergeCell ref="K240:K243"/>
    <mergeCell ref="O240:O241"/>
    <mergeCell ref="M242:N242"/>
    <mergeCell ref="O242:O243"/>
    <mergeCell ref="M243:N243"/>
    <mergeCell ref="L240:N241"/>
    <mergeCell ref="K295:K298"/>
    <mergeCell ref="O295:O296"/>
    <mergeCell ref="M297:N297"/>
    <mergeCell ref="O297:O298"/>
    <mergeCell ref="M298:N298"/>
    <mergeCell ref="L295:N296"/>
    <mergeCell ref="K290:K293"/>
    <mergeCell ref="O290:O291"/>
    <mergeCell ref="M292:N292"/>
    <mergeCell ref="O292:O293"/>
    <mergeCell ref="M293:N293"/>
    <mergeCell ref="L290:N291"/>
    <mergeCell ref="K285:K288"/>
    <mergeCell ref="O285:O286"/>
    <mergeCell ref="M287:N287"/>
    <mergeCell ref="O287:O288"/>
    <mergeCell ref="M288:N288"/>
    <mergeCell ref="L285:N286"/>
    <mergeCell ref="K280:K283"/>
    <mergeCell ref="O280:O281"/>
    <mergeCell ref="M282:N282"/>
    <mergeCell ref="O282:O283"/>
    <mergeCell ref="M283:N283"/>
    <mergeCell ref="L280:N281"/>
    <mergeCell ref="K275:K278"/>
    <mergeCell ref="O275:O276"/>
    <mergeCell ref="M277:N277"/>
    <mergeCell ref="O277:O278"/>
    <mergeCell ref="M278:N278"/>
    <mergeCell ref="L275:N276"/>
    <mergeCell ref="K270:K273"/>
    <mergeCell ref="O270:O271"/>
    <mergeCell ref="M272:N272"/>
    <mergeCell ref="O272:O273"/>
    <mergeCell ref="M273:N273"/>
    <mergeCell ref="L270:N271"/>
    <mergeCell ref="K325:K328"/>
    <mergeCell ref="O325:O326"/>
    <mergeCell ref="M327:N327"/>
    <mergeCell ref="O327:O328"/>
    <mergeCell ref="M328:N328"/>
    <mergeCell ref="L325:N326"/>
    <mergeCell ref="K320:K323"/>
    <mergeCell ref="O320:O321"/>
    <mergeCell ref="M322:N322"/>
    <mergeCell ref="O322:O323"/>
    <mergeCell ref="M323:N323"/>
    <mergeCell ref="L320:N321"/>
    <mergeCell ref="K315:K318"/>
    <mergeCell ref="O315:O316"/>
    <mergeCell ref="M317:N317"/>
    <mergeCell ref="O317:O318"/>
    <mergeCell ref="M318:N318"/>
    <mergeCell ref="L315:N316"/>
    <mergeCell ref="K310:K313"/>
    <mergeCell ref="O310:O311"/>
    <mergeCell ref="M312:N312"/>
    <mergeCell ref="O312:O313"/>
    <mergeCell ref="M313:N313"/>
    <mergeCell ref="L310:N311"/>
    <mergeCell ref="K305:K308"/>
    <mergeCell ref="O305:O306"/>
    <mergeCell ref="M307:N307"/>
    <mergeCell ref="O307:O308"/>
    <mergeCell ref="M308:N308"/>
    <mergeCell ref="L305:N306"/>
    <mergeCell ref="K300:K303"/>
    <mergeCell ref="O300:O301"/>
    <mergeCell ref="M302:N302"/>
    <mergeCell ref="O302:O303"/>
    <mergeCell ref="M303:N303"/>
    <mergeCell ref="L300:N301"/>
    <mergeCell ref="K355:K358"/>
    <mergeCell ref="O355:O356"/>
    <mergeCell ref="M357:N357"/>
    <mergeCell ref="O357:O358"/>
    <mergeCell ref="M358:N358"/>
    <mergeCell ref="L355:N356"/>
    <mergeCell ref="K350:K353"/>
    <mergeCell ref="O350:O351"/>
    <mergeCell ref="M352:N352"/>
    <mergeCell ref="O352:O353"/>
    <mergeCell ref="M353:N353"/>
    <mergeCell ref="L350:N351"/>
    <mergeCell ref="K345:K348"/>
    <mergeCell ref="O345:O346"/>
    <mergeCell ref="M347:N347"/>
    <mergeCell ref="O347:O348"/>
    <mergeCell ref="M348:N348"/>
    <mergeCell ref="L345:N346"/>
    <mergeCell ref="K340:K343"/>
    <mergeCell ref="O340:O341"/>
    <mergeCell ref="M342:N342"/>
    <mergeCell ref="O342:O343"/>
    <mergeCell ref="M343:N343"/>
    <mergeCell ref="L340:N341"/>
    <mergeCell ref="K335:K338"/>
    <mergeCell ref="O335:O336"/>
    <mergeCell ref="M337:N337"/>
    <mergeCell ref="O337:O338"/>
    <mergeCell ref="M338:N338"/>
    <mergeCell ref="L335:N336"/>
    <mergeCell ref="K330:K333"/>
    <mergeCell ref="O330:O331"/>
    <mergeCell ref="M332:N332"/>
    <mergeCell ref="O332:O333"/>
    <mergeCell ref="M333:N333"/>
    <mergeCell ref="L330:N331"/>
    <mergeCell ref="K385:K388"/>
    <mergeCell ref="O385:O386"/>
    <mergeCell ref="M387:N387"/>
    <mergeCell ref="O387:O388"/>
    <mergeCell ref="M388:N388"/>
    <mergeCell ref="L385:N386"/>
    <mergeCell ref="K380:K383"/>
    <mergeCell ref="O380:O381"/>
    <mergeCell ref="M382:N382"/>
    <mergeCell ref="O382:O383"/>
    <mergeCell ref="M383:N383"/>
    <mergeCell ref="L380:N381"/>
    <mergeCell ref="K375:K378"/>
    <mergeCell ref="O375:O376"/>
    <mergeCell ref="M377:N377"/>
    <mergeCell ref="O377:O378"/>
    <mergeCell ref="M378:N378"/>
    <mergeCell ref="L375:N376"/>
    <mergeCell ref="K370:K373"/>
    <mergeCell ref="O370:O371"/>
    <mergeCell ref="M372:N372"/>
    <mergeCell ref="O372:O373"/>
    <mergeCell ref="M373:N373"/>
    <mergeCell ref="L370:N371"/>
    <mergeCell ref="K365:K368"/>
    <mergeCell ref="O365:O366"/>
    <mergeCell ref="M367:N367"/>
    <mergeCell ref="O367:O368"/>
    <mergeCell ref="M368:N368"/>
    <mergeCell ref="L365:N366"/>
    <mergeCell ref="K360:K363"/>
    <mergeCell ref="O360:O361"/>
    <mergeCell ref="M362:N362"/>
    <mergeCell ref="O362:O363"/>
    <mergeCell ref="M363:N363"/>
    <mergeCell ref="L360:N361"/>
    <mergeCell ref="K415:K418"/>
    <mergeCell ref="O415:O416"/>
    <mergeCell ref="M417:N417"/>
    <mergeCell ref="O417:O418"/>
    <mergeCell ref="M418:N418"/>
    <mergeCell ref="L415:N416"/>
    <mergeCell ref="K410:K413"/>
    <mergeCell ref="O410:O411"/>
    <mergeCell ref="M412:N412"/>
    <mergeCell ref="O412:O413"/>
    <mergeCell ref="M413:N413"/>
    <mergeCell ref="L410:N411"/>
    <mergeCell ref="K405:K408"/>
    <mergeCell ref="O405:O406"/>
    <mergeCell ref="M407:N407"/>
    <mergeCell ref="O407:O408"/>
    <mergeCell ref="M408:N408"/>
    <mergeCell ref="L405:N406"/>
    <mergeCell ref="K400:K403"/>
    <mergeCell ref="O400:O401"/>
    <mergeCell ref="M402:N402"/>
    <mergeCell ref="O402:O403"/>
    <mergeCell ref="M403:N403"/>
    <mergeCell ref="L400:N401"/>
    <mergeCell ref="K395:K398"/>
    <mergeCell ref="O395:O396"/>
    <mergeCell ref="M397:N397"/>
    <mergeCell ref="O397:O398"/>
    <mergeCell ref="M398:N398"/>
    <mergeCell ref="L395:N396"/>
    <mergeCell ref="K390:K393"/>
    <mergeCell ref="O390:O391"/>
    <mergeCell ref="M392:N392"/>
    <mergeCell ref="O392:O393"/>
    <mergeCell ref="M393:N393"/>
    <mergeCell ref="L390:N391"/>
    <mergeCell ref="K445:K448"/>
    <mergeCell ref="O445:O446"/>
    <mergeCell ref="M447:N447"/>
    <mergeCell ref="O447:O448"/>
    <mergeCell ref="M448:N448"/>
    <mergeCell ref="L445:N446"/>
    <mergeCell ref="K440:K443"/>
    <mergeCell ref="O440:O441"/>
    <mergeCell ref="M442:N442"/>
    <mergeCell ref="O442:O443"/>
    <mergeCell ref="M443:N443"/>
    <mergeCell ref="L440:N441"/>
    <mergeCell ref="K435:K438"/>
    <mergeCell ref="O435:O436"/>
    <mergeCell ref="M437:N437"/>
    <mergeCell ref="O437:O438"/>
    <mergeCell ref="M438:N438"/>
    <mergeCell ref="L435:N436"/>
    <mergeCell ref="K430:K433"/>
    <mergeCell ref="O430:O431"/>
    <mergeCell ref="M432:N432"/>
    <mergeCell ref="O432:O433"/>
    <mergeCell ref="M433:N433"/>
    <mergeCell ref="L430:N431"/>
    <mergeCell ref="K425:K428"/>
    <mergeCell ref="O425:O426"/>
    <mergeCell ref="M427:N427"/>
    <mergeCell ref="O427:O428"/>
    <mergeCell ref="M428:N428"/>
    <mergeCell ref="L425:N426"/>
    <mergeCell ref="K420:K423"/>
    <mergeCell ref="O420:O421"/>
    <mergeCell ref="M422:N422"/>
    <mergeCell ref="O422:O423"/>
    <mergeCell ref="M423:N423"/>
    <mergeCell ref="L420:N421"/>
    <mergeCell ref="K475:K478"/>
    <mergeCell ref="O475:O476"/>
    <mergeCell ref="M477:N477"/>
    <mergeCell ref="O477:O478"/>
    <mergeCell ref="M478:N478"/>
    <mergeCell ref="L475:N476"/>
    <mergeCell ref="K470:K473"/>
    <mergeCell ref="O470:O471"/>
    <mergeCell ref="M472:N472"/>
    <mergeCell ref="O472:O473"/>
    <mergeCell ref="M473:N473"/>
    <mergeCell ref="L470:N471"/>
    <mergeCell ref="K465:K468"/>
    <mergeCell ref="O465:O466"/>
    <mergeCell ref="M467:N467"/>
    <mergeCell ref="O467:O468"/>
    <mergeCell ref="M468:N468"/>
    <mergeCell ref="L465:N466"/>
    <mergeCell ref="K460:K463"/>
    <mergeCell ref="O460:O461"/>
    <mergeCell ref="M462:N462"/>
    <mergeCell ref="O462:O463"/>
    <mergeCell ref="M463:N463"/>
    <mergeCell ref="L460:N461"/>
    <mergeCell ref="K455:K458"/>
    <mergeCell ref="O455:O456"/>
    <mergeCell ref="M457:N457"/>
    <mergeCell ref="O457:O458"/>
    <mergeCell ref="M458:N458"/>
    <mergeCell ref="L455:N456"/>
    <mergeCell ref="K450:K453"/>
    <mergeCell ref="O450:O451"/>
    <mergeCell ref="M452:N452"/>
    <mergeCell ref="O452:O453"/>
    <mergeCell ref="M453:N453"/>
    <mergeCell ref="L450:N451"/>
    <mergeCell ref="K505:K508"/>
    <mergeCell ref="O505:O506"/>
    <mergeCell ref="M507:N507"/>
    <mergeCell ref="O507:O508"/>
    <mergeCell ref="M508:N508"/>
    <mergeCell ref="L505:N506"/>
    <mergeCell ref="K500:K503"/>
    <mergeCell ref="O500:O501"/>
    <mergeCell ref="M502:N502"/>
    <mergeCell ref="O502:O503"/>
    <mergeCell ref="M503:N503"/>
    <mergeCell ref="L500:N501"/>
    <mergeCell ref="K495:K498"/>
    <mergeCell ref="O495:O496"/>
    <mergeCell ref="M497:N497"/>
    <mergeCell ref="O497:O498"/>
    <mergeCell ref="M498:N498"/>
    <mergeCell ref="L495:N496"/>
    <mergeCell ref="K490:K493"/>
    <mergeCell ref="O490:O491"/>
    <mergeCell ref="M492:N492"/>
    <mergeCell ref="O492:O493"/>
    <mergeCell ref="M493:N493"/>
    <mergeCell ref="L490:N491"/>
    <mergeCell ref="K485:K488"/>
    <mergeCell ref="O485:O486"/>
    <mergeCell ref="M487:N487"/>
    <mergeCell ref="O487:O488"/>
    <mergeCell ref="M488:N488"/>
    <mergeCell ref="L485:N486"/>
    <mergeCell ref="K480:K483"/>
    <mergeCell ref="O480:O481"/>
    <mergeCell ref="M482:N482"/>
    <mergeCell ref="O482:O483"/>
    <mergeCell ref="M483:N483"/>
    <mergeCell ref="L480:N481"/>
    <mergeCell ref="K535:K538"/>
    <mergeCell ref="O535:O536"/>
    <mergeCell ref="M537:N537"/>
    <mergeCell ref="O537:O538"/>
    <mergeCell ref="M538:N538"/>
    <mergeCell ref="L535:N536"/>
    <mergeCell ref="K530:K533"/>
    <mergeCell ref="O530:O531"/>
    <mergeCell ref="M532:N532"/>
    <mergeCell ref="O532:O533"/>
    <mergeCell ref="M533:N533"/>
    <mergeCell ref="L530:N531"/>
    <mergeCell ref="K525:K528"/>
    <mergeCell ref="O525:O526"/>
    <mergeCell ref="M527:N527"/>
    <mergeCell ref="O527:O528"/>
    <mergeCell ref="M528:N528"/>
    <mergeCell ref="L525:N526"/>
    <mergeCell ref="K520:K523"/>
    <mergeCell ref="O520:O521"/>
    <mergeCell ref="M522:N522"/>
    <mergeCell ref="O522:O523"/>
    <mergeCell ref="M523:N523"/>
    <mergeCell ref="L520:N521"/>
    <mergeCell ref="K515:K518"/>
    <mergeCell ref="O515:O516"/>
    <mergeCell ref="M517:N517"/>
    <mergeCell ref="O517:O518"/>
    <mergeCell ref="M518:N518"/>
    <mergeCell ref="L515:N516"/>
    <mergeCell ref="K510:K513"/>
    <mergeCell ref="O510:O511"/>
    <mergeCell ref="M512:N512"/>
    <mergeCell ref="O512:O513"/>
    <mergeCell ref="M513:N513"/>
    <mergeCell ref="L510:N511"/>
    <mergeCell ref="K565:K568"/>
    <mergeCell ref="O565:O566"/>
    <mergeCell ref="M567:N567"/>
    <mergeCell ref="O567:O568"/>
    <mergeCell ref="M568:N568"/>
    <mergeCell ref="L565:N566"/>
    <mergeCell ref="K560:K563"/>
    <mergeCell ref="O560:O561"/>
    <mergeCell ref="M562:N562"/>
    <mergeCell ref="O562:O563"/>
    <mergeCell ref="M563:N563"/>
    <mergeCell ref="L560:N561"/>
    <mergeCell ref="K555:K558"/>
    <mergeCell ref="O555:O556"/>
    <mergeCell ref="M557:N557"/>
    <mergeCell ref="O557:O558"/>
    <mergeCell ref="M558:N558"/>
    <mergeCell ref="L555:N556"/>
    <mergeCell ref="K550:K553"/>
    <mergeCell ref="O550:O551"/>
    <mergeCell ref="M552:N552"/>
    <mergeCell ref="O552:O553"/>
    <mergeCell ref="M553:N553"/>
    <mergeCell ref="L550:N551"/>
    <mergeCell ref="K545:K548"/>
    <mergeCell ref="O545:O546"/>
    <mergeCell ref="M547:N547"/>
    <mergeCell ref="O547:O548"/>
    <mergeCell ref="M548:N548"/>
    <mergeCell ref="L545:N546"/>
    <mergeCell ref="K540:K543"/>
    <mergeCell ref="O540:O541"/>
    <mergeCell ref="M542:N542"/>
    <mergeCell ref="O542:O543"/>
    <mergeCell ref="M543:N543"/>
    <mergeCell ref="L540:N541"/>
    <mergeCell ref="K595:K598"/>
    <mergeCell ref="O595:O596"/>
    <mergeCell ref="M597:N597"/>
    <mergeCell ref="O597:O598"/>
    <mergeCell ref="M598:N598"/>
    <mergeCell ref="L595:N596"/>
    <mergeCell ref="K590:K593"/>
    <mergeCell ref="O590:O591"/>
    <mergeCell ref="M592:N592"/>
    <mergeCell ref="O592:O593"/>
    <mergeCell ref="M593:N593"/>
    <mergeCell ref="L590:N591"/>
    <mergeCell ref="K585:K588"/>
    <mergeCell ref="O585:O586"/>
    <mergeCell ref="M587:N587"/>
    <mergeCell ref="O587:O588"/>
    <mergeCell ref="M588:N588"/>
    <mergeCell ref="L585:N586"/>
    <mergeCell ref="K580:K583"/>
    <mergeCell ref="O580:O581"/>
    <mergeCell ref="M582:N582"/>
    <mergeCell ref="O582:O583"/>
    <mergeCell ref="M583:N583"/>
    <mergeCell ref="L580:N581"/>
    <mergeCell ref="K575:K578"/>
    <mergeCell ref="O575:O576"/>
    <mergeCell ref="M577:N577"/>
    <mergeCell ref="O577:O578"/>
    <mergeCell ref="M578:N578"/>
    <mergeCell ref="L575:N576"/>
    <mergeCell ref="K570:K573"/>
    <mergeCell ref="O570:O571"/>
    <mergeCell ref="M572:N572"/>
    <mergeCell ref="O572:O573"/>
    <mergeCell ref="M573:N573"/>
    <mergeCell ref="L570:N571"/>
    <mergeCell ref="K625:K628"/>
    <mergeCell ref="O625:O626"/>
    <mergeCell ref="M627:N627"/>
    <mergeCell ref="O627:O628"/>
    <mergeCell ref="M628:N628"/>
    <mergeCell ref="L625:N626"/>
    <mergeCell ref="K620:K623"/>
    <mergeCell ref="O620:O621"/>
    <mergeCell ref="M622:N622"/>
    <mergeCell ref="O622:O623"/>
    <mergeCell ref="M623:N623"/>
    <mergeCell ref="L620:N621"/>
    <mergeCell ref="K615:K618"/>
    <mergeCell ref="O615:O616"/>
    <mergeCell ref="M617:N617"/>
    <mergeCell ref="O617:O618"/>
    <mergeCell ref="M618:N618"/>
    <mergeCell ref="L615:N616"/>
    <mergeCell ref="K610:K613"/>
    <mergeCell ref="O610:O611"/>
    <mergeCell ref="M612:N612"/>
    <mergeCell ref="O612:O613"/>
    <mergeCell ref="M613:N613"/>
    <mergeCell ref="L610:N611"/>
    <mergeCell ref="K605:K608"/>
    <mergeCell ref="O605:O606"/>
    <mergeCell ref="M607:N607"/>
    <mergeCell ref="O607:O608"/>
    <mergeCell ref="M608:N608"/>
    <mergeCell ref="L605:N606"/>
    <mergeCell ref="K600:K603"/>
    <mergeCell ref="O600:O601"/>
    <mergeCell ref="M602:N602"/>
    <mergeCell ref="O602:O603"/>
    <mergeCell ref="M603:N603"/>
    <mergeCell ref="L600:N601"/>
    <mergeCell ref="K655:K658"/>
    <mergeCell ref="O655:O656"/>
    <mergeCell ref="M657:N657"/>
    <mergeCell ref="O657:O658"/>
    <mergeCell ref="M658:N658"/>
    <mergeCell ref="L655:N656"/>
    <mergeCell ref="K650:K653"/>
    <mergeCell ref="O650:O651"/>
    <mergeCell ref="M652:N652"/>
    <mergeCell ref="O652:O653"/>
    <mergeCell ref="M653:N653"/>
    <mergeCell ref="L650:N651"/>
    <mergeCell ref="K645:K648"/>
    <mergeCell ref="O645:O646"/>
    <mergeCell ref="M647:N647"/>
    <mergeCell ref="O647:O648"/>
    <mergeCell ref="M648:N648"/>
    <mergeCell ref="L645:N646"/>
    <mergeCell ref="K640:K643"/>
    <mergeCell ref="O640:O641"/>
    <mergeCell ref="M642:N642"/>
    <mergeCell ref="O642:O643"/>
    <mergeCell ref="M643:N643"/>
    <mergeCell ref="L640:N641"/>
    <mergeCell ref="K635:K638"/>
    <mergeCell ref="O635:O636"/>
    <mergeCell ref="M637:N637"/>
    <mergeCell ref="O637:O638"/>
    <mergeCell ref="M638:N638"/>
    <mergeCell ref="L635:N636"/>
    <mergeCell ref="K630:K633"/>
    <mergeCell ref="O630:O631"/>
    <mergeCell ref="M632:N632"/>
    <mergeCell ref="O632:O633"/>
    <mergeCell ref="M633:N633"/>
    <mergeCell ref="L630:N631"/>
    <mergeCell ref="K685:K688"/>
    <mergeCell ref="O685:O686"/>
    <mergeCell ref="M687:N687"/>
    <mergeCell ref="O687:O688"/>
    <mergeCell ref="M688:N688"/>
    <mergeCell ref="L685:N686"/>
    <mergeCell ref="K680:K683"/>
    <mergeCell ref="O680:O681"/>
    <mergeCell ref="M682:N682"/>
    <mergeCell ref="O682:O683"/>
    <mergeCell ref="M683:N683"/>
    <mergeCell ref="L680:N681"/>
    <mergeCell ref="K675:K678"/>
    <mergeCell ref="O675:O676"/>
    <mergeCell ref="M677:N677"/>
    <mergeCell ref="O677:O678"/>
    <mergeCell ref="M678:N678"/>
    <mergeCell ref="L675:N676"/>
    <mergeCell ref="K670:K673"/>
    <mergeCell ref="O670:O671"/>
    <mergeCell ref="M672:N672"/>
    <mergeCell ref="O672:O673"/>
    <mergeCell ref="M673:N673"/>
    <mergeCell ref="L670:N671"/>
    <mergeCell ref="K665:K668"/>
    <mergeCell ref="O665:O666"/>
    <mergeCell ref="M667:N667"/>
    <mergeCell ref="O667:O668"/>
    <mergeCell ref="M668:N668"/>
    <mergeCell ref="L665:N666"/>
    <mergeCell ref="K660:K663"/>
    <mergeCell ref="O660:O661"/>
    <mergeCell ref="M662:N662"/>
    <mergeCell ref="O662:O663"/>
    <mergeCell ref="M663:N663"/>
    <mergeCell ref="L660:N661"/>
    <mergeCell ref="K715:K718"/>
    <mergeCell ref="O715:O716"/>
    <mergeCell ref="M717:N717"/>
    <mergeCell ref="O717:O718"/>
    <mergeCell ref="M718:N718"/>
    <mergeCell ref="L715:N716"/>
    <mergeCell ref="K710:K713"/>
    <mergeCell ref="O710:O711"/>
    <mergeCell ref="M712:N712"/>
    <mergeCell ref="O712:O713"/>
    <mergeCell ref="M713:N713"/>
    <mergeCell ref="L710:N711"/>
    <mergeCell ref="K705:K708"/>
    <mergeCell ref="O705:O706"/>
    <mergeCell ref="M707:N707"/>
    <mergeCell ref="O707:O708"/>
    <mergeCell ref="M708:N708"/>
    <mergeCell ref="L705:N706"/>
    <mergeCell ref="K700:K703"/>
    <mergeCell ref="O700:O701"/>
    <mergeCell ref="M702:N702"/>
    <mergeCell ref="O702:O703"/>
    <mergeCell ref="M703:N703"/>
    <mergeCell ref="L700:N701"/>
    <mergeCell ref="K695:K698"/>
    <mergeCell ref="O695:O696"/>
    <mergeCell ref="M697:N697"/>
    <mergeCell ref="O697:O698"/>
    <mergeCell ref="M698:N698"/>
    <mergeCell ref="L695:N696"/>
    <mergeCell ref="K690:K693"/>
    <mergeCell ref="O690:O691"/>
    <mergeCell ref="M692:N692"/>
    <mergeCell ref="O692:O693"/>
    <mergeCell ref="M693:N693"/>
    <mergeCell ref="L690:N691"/>
    <mergeCell ref="K745:K748"/>
    <mergeCell ref="O745:O746"/>
    <mergeCell ref="M747:N747"/>
    <mergeCell ref="O747:O748"/>
    <mergeCell ref="M748:N748"/>
    <mergeCell ref="L745:N746"/>
    <mergeCell ref="K740:K743"/>
    <mergeCell ref="O740:O741"/>
    <mergeCell ref="M742:N742"/>
    <mergeCell ref="O742:O743"/>
    <mergeCell ref="M743:N743"/>
    <mergeCell ref="L740:N741"/>
    <mergeCell ref="K735:K738"/>
    <mergeCell ref="O735:O736"/>
    <mergeCell ref="M737:N737"/>
    <mergeCell ref="O737:O738"/>
    <mergeCell ref="M738:N738"/>
    <mergeCell ref="L735:N736"/>
    <mergeCell ref="K730:K733"/>
    <mergeCell ref="O730:O731"/>
    <mergeCell ref="M732:N732"/>
    <mergeCell ref="O732:O733"/>
    <mergeCell ref="M733:N733"/>
    <mergeCell ref="L730:N731"/>
    <mergeCell ref="K725:K728"/>
    <mergeCell ref="O725:O726"/>
    <mergeCell ref="M727:N727"/>
    <mergeCell ref="O727:O728"/>
    <mergeCell ref="M728:N728"/>
    <mergeCell ref="L725:N726"/>
    <mergeCell ref="K720:K723"/>
    <mergeCell ref="O720:O721"/>
    <mergeCell ref="M722:N722"/>
    <mergeCell ref="O722:O723"/>
    <mergeCell ref="M723:N723"/>
    <mergeCell ref="L720:N721"/>
    <mergeCell ref="K775:K778"/>
    <mergeCell ref="O775:O776"/>
    <mergeCell ref="M777:N777"/>
    <mergeCell ref="O777:O778"/>
    <mergeCell ref="M778:N778"/>
    <mergeCell ref="L775:N776"/>
    <mergeCell ref="K770:K773"/>
    <mergeCell ref="O770:O771"/>
    <mergeCell ref="M772:N772"/>
    <mergeCell ref="O772:O773"/>
    <mergeCell ref="M773:N773"/>
    <mergeCell ref="L770:N771"/>
    <mergeCell ref="K765:K768"/>
    <mergeCell ref="O765:O766"/>
    <mergeCell ref="M767:N767"/>
    <mergeCell ref="O767:O768"/>
    <mergeCell ref="M768:N768"/>
    <mergeCell ref="L765:N766"/>
    <mergeCell ref="K760:K763"/>
    <mergeCell ref="O760:O761"/>
    <mergeCell ref="M762:N762"/>
    <mergeCell ref="O762:O763"/>
    <mergeCell ref="M763:N763"/>
    <mergeCell ref="L760:N761"/>
    <mergeCell ref="K755:K758"/>
    <mergeCell ref="O755:O756"/>
    <mergeCell ref="M757:N757"/>
    <mergeCell ref="O757:O758"/>
    <mergeCell ref="M758:N758"/>
    <mergeCell ref="L755:N756"/>
    <mergeCell ref="K750:K753"/>
    <mergeCell ref="O750:O751"/>
    <mergeCell ref="M752:N752"/>
    <mergeCell ref="O752:O753"/>
    <mergeCell ref="M753:N753"/>
    <mergeCell ref="L750:N751"/>
    <mergeCell ref="K805:K808"/>
    <mergeCell ref="O805:O806"/>
    <mergeCell ref="M807:N807"/>
    <mergeCell ref="O807:O808"/>
    <mergeCell ref="M808:N808"/>
    <mergeCell ref="L805:N806"/>
    <mergeCell ref="K800:K803"/>
    <mergeCell ref="O800:O801"/>
    <mergeCell ref="M802:N802"/>
    <mergeCell ref="O802:O803"/>
    <mergeCell ref="M803:N803"/>
    <mergeCell ref="L800:N801"/>
    <mergeCell ref="K795:K798"/>
    <mergeCell ref="O795:O796"/>
    <mergeCell ref="M797:N797"/>
    <mergeCell ref="O797:O798"/>
    <mergeCell ref="M798:N798"/>
    <mergeCell ref="L795:N796"/>
    <mergeCell ref="K790:K793"/>
    <mergeCell ref="O790:O791"/>
    <mergeCell ref="M792:N792"/>
    <mergeCell ref="O792:O793"/>
    <mergeCell ref="M793:N793"/>
    <mergeCell ref="L790:N791"/>
    <mergeCell ref="K785:K788"/>
    <mergeCell ref="O785:O786"/>
    <mergeCell ref="M787:N787"/>
    <mergeCell ref="O787:O788"/>
    <mergeCell ref="M788:N788"/>
    <mergeCell ref="L785:N786"/>
    <mergeCell ref="K780:K783"/>
    <mergeCell ref="O780:O781"/>
    <mergeCell ref="M782:N782"/>
    <mergeCell ref="O782:O783"/>
    <mergeCell ref="M783:N783"/>
    <mergeCell ref="L780:N781"/>
    <mergeCell ref="K835:K838"/>
    <mergeCell ref="O835:O836"/>
    <mergeCell ref="M837:N837"/>
    <mergeCell ref="O837:O838"/>
    <mergeCell ref="M838:N838"/>
    <mergeCell ref="L835:N836"/>
    <mergeCell ref="K830:K833"/>
    <mergeCell ref="O830:O831"/>
    <mergeCell ref="M832:N832"/>
    <mergeCell ref="O832:O833"/>
    <mergeCell ref="M833:N833"/>
    <mergeCell ref="L830:N831"/>
    <mergeCell ref="K825:K828"/>
    <mergeCell ref="O825:O826"/>
    <mergeCell ref="M827:N827"/>
    <mergeCell ref="O827:O828"/>
    <mergeCell ref="M828:N828"/>
    <mergeCell ref="L825:N826"/>
    <mergeCell ref="K820:K823"/>
    <mergeCell ref="O820:O821"/>
    <mergeCell ref="M822:N822"/>
    <mergeCell ref="O822:O823"/>
    <mergeCell ref="M823:N823"/>
    <mergeCell ref="L820:N821"/>
    <mergeCell ref="K815:K818"/>
    <mergeCell ref="O815:O816"/>
    <mergeCell ref="M817:N817"/>
    <mergeCell ref="O817:O818"/>
    <mergeCell ref="M818:N818"/>
    <mergeCell ref="L815:N816"/>
    <mergeCell ref="K810:K813"/>
    <mergeCell ref="O810:O811"/>
    <mergeCell ref="M812:N812"/>
    <mergeCell ref="O812:O813"/>
    <mergeCell ref="M813:N813"/>
    <mergeCell ref="L810:N811"/>
    <mergeCell ref="K865:K868"/>
    <mergeCell ref="O865:O866"/>
    <mergeCell ref="M867:N867"/>
    <mergeCell ref="O867:O868"/>
    <mergeCell ref="M868:N868"/>
    <mergeCell ref="L865:N866"/>
    <mergeCell ref="K860:K863"/>
    <mergeCell ref="O860:O861"/>
    <mergeCell ref="M862:N862"/>
    <mergeCell ref="O862:O863"/>
    <mergeCell ref="M863:N863"/>
    <mergeCell ref="L860:N861"/>
    <mergeCell ref="K855:K858"/>
    <mergeCell ref="O855:O856"/>
    <mergeCell ref="M857:N857"/>
    <mergeCell ref="O857:O858"/>
    <mergeCell ref="M858:N858"/>
    <mergeCell ref="L855:N856"/>
    <mergeCell ref="K850:K853"/>
    <mergeCell ref="O850:O851"/>
    <mergeCell ref="M852:N852"/>
    <mergeCell ref="O852:O853"/>
    <mergeCell ref="M853:N853"/>
    <mergeCell ref="L850:N851"/>
    <mergeCell ref="K845:K848"/>
    <mergeCell ref="O845:O846"/>
    <mergeCell ref="M847:N847"/>
    <mergeCell ref="O847:O848"/>
    <mergeCell ref="M848:N848"/>
    <mergeCell ref="L845:N846"/>
    <mergeCell ref="K840:K843"/>
    <mergeCell ref="O840:O841"/>
    <mergeCell ref="M842:N842"/>
    <mergeCell ref="O842:O843"/>
    <mergeCell ref="M843:N843"/>
    <mergeCell ref="L840:N841"/>
    <mergeCell ref="K895:K898"/>
    <mergeCell ref="O895:O896"/>
    <mergeCell ref="M897:N897"/>
    <mergeCell ref="O897:O898"/>
    <mergeCell ref="M898:N898"/>
    <mergeCell ref="L895:N896"/>
    <mergeCell ref="K890:K893"/>
    <mergeCell ref="O890:O891"/>
    <mergeCell ref="M892:N892"/>
    <mergeCell ref="O892:O893"/>
    <mergeCell ref="M893:N893"/>
    <mergeCell ref="L890:N891"/>
    <mergeCell ref="K885:K888"/>
    <mergeCell ref="O885:O886"/>
    <mergeCell ref="M887:N887"/>
    <mergeCell ref="O887:O888"/>
    <mergeCell ref="M888:N888"/>
    <mergeCell ref="L885:N886"/>
    <mergeCell ref="K880:K883"/>
    <mergeCell ref="O880:O881"/>
    <mergeCell ref="M882:N882"/>
    <mergeCell ref="O882:O883"/>
    <mergeCell ref="M883:N883"/>
    <mergeCell ref="L880:N881"/>
    <mergeCell ref="K875:K878"/>
    <mergeCell ref="O875:O876"/>
    <mergeCell ref="M877:N877"/>
    <mergeCell ref="O877:O878"/>
    <mergeCell ref="M878:N878"/>
    <mergeCell ref="L875:N876"/>
    <mergeCell ref="K870:K873"/>
    <mergeCell ref="O870:O871"/>
    <mergeCell ref="M872:N872"/>
    <mergeCell ref="O872:O873"/>
    <mergeCell ref="M873:N873"/>
    <mergeCell ref="L870:N871"/>
    <mergeCell ref="K925:K928"/>
    <mergeCell ref="O925:O926"/>
    <mergeCell ref="M927:N927"/>
    <mergeCell ref="O927:O928"/>
    <mergeCell ref="M928:N928"/>
    <mergeCell ref="L925:N926"/>
    <mergeCell ref="K920:K923"/>
    <mergeCell ref="O920:O921"/>
    <mergeCell ref="M922:N922"/>
    <mergeCell ref="O922:O923"/>
    <mergeCell ref="M923:N923"/>
    <mergeCell ref="L920:N921"/>
    <mergeCell ref="K915:K918"/>
    <mergeCell ref="O915:O916"/>
    <mergeCell ref="M917:N917"/>
    <mergeCell ref="O917:O918"/>
    <mergeCell ref="M918:N918"/>
    <mergeCell ref="L915:N916"/>
    <mergeCell ref="K910:K913"/>
    <mergeCell ref="O910:O911"/>
    <mergeCell ref="M912:N912"/>
    <mergeCell ref="O912:O913"/>
    <mergeCell ref="M913:N913"/>
    <mergeCell ref="L910:N911"/>
    <mergeCell ref="K905:K908"/>
    <mergeCell ref="O905:O906"/>
    <mergeCell ref="M907:N907"/>
    <mergeCell ref="O907:O908"/>
    <mergeCell ref="M908:N908"/>
    <mergeCell ref="L905:N906"/>
    <mergeCell ref="K900:K903"/>
    <mergeCell ref="O900:O901"/>
    <mergeCell ref="M902:N902"/>
    <mergeCell ref="O902:O903"/>
    <mergeCell ref="M903:N903"/>
    <mergeCell ref="L900:N901"/>
    <mergeCell ref="K955:K958"/>
    <mergeCell ref="O955:O956"/>
    <mergeCell ref="M957:N957"/>
    <mergeCell ref="O957:O958"/>
    <mergeCell ref="M958:N958"/>
    <mergeCell ref="L955:N956"/>
    <mergeCell ref="K950:K953"/>
    <mergeCell ref="O950:O951"/>
    <mergeCell ref="M952:N952"/>
    <mergeCell ref="O952:O953"/>
    <mergeCell ref="M953:N953"/>
    <mergeCell ref="L950:N951"/>
    <mergeCell ref="K945:K948"/>
    <mergeCell ref="O945:O946"/>
    <mergeCell ref="M947:N947"/>
    <mergeCell ref="O947:O948"/>
    <mergeCell ref="M948:N948"/>
    <mergeCell ref="L945:N946"/>
    <mergeCell ref="K940:K943"/>
    <mergeCell ref="O940:O941"/>
    <mergeCell ref="M942:N942"/>
    <mergeCell ref="O942:O943"/>
    <mergeCell ref="M943:N943"/>
    <mergeCell ref="L940:N941"/>
    <mergeCell ref="K935:K938"/>
    <mergeCell ref="O935:O936"/>
    <mergeCell ref="M937:N937"/>
    <mergeCell ref="O937:O938"/>
    <mergeCell ref="M938:N938"/>
    <mergeCell ref="L935:N936"/>
    <mergeCell ref="K930:K933"/>
    <mergeCell ref="O930:O931"/>
    <mergeCell ref="M932:N932"/>
    <mergeCell ref="O932:O933"/>
    <mergeCell ref="M933:N933"/>
    <mergeCell ref="L930:N931"/>
    <mergeCell ref="O985:O986"/>
    <mergeCell ref="M987:N987"/>
    <mergeCell ref="O987:O988"/>
    <mergeCell ref="M988:N988"/>
    <mergeCell ref="L985:N986"/>
    <mergeCell ref="K980:K983"/>
    <mergeCell ref="O980:O981"/>
    <mergeCell ref="M982:N982"/>
    <mergeCell ref="O982:O983"/>
    <mergeCell ref="M983:N983"/>
    <mergeCell ref="L980:N981"/>
    <mergeCell ref="K975:K978"/>
    <mergeCell ref="O975:O976"/>
    <mergeCell ref="M977:N977"/>
    <mergeCell ref="O977:O978"/>
    <mergeCell ref="M978:N978"/>
    <mergeCell ref="L975:N976"/>
    <mergeCell ref="K970:K973"/>
    <mergeCell ref="O970:O971"/>
    <mergeCell ref="M972:N972"/>
    <mergeCell ref="O972:O973"/>
    <mergeCell ref="M973:N973"/>
    <mergeCell ref="L970:N971"/>
    <mergeCell ref="K965:K968"/>
    <mergeCell ref="O965:O966"/>
    <mergeCell ref="M967:N967"/>
    <mergeCell ref="O967:O968"/>
    <mergeCell ref="M968:N968"/>
    <mergeCell ref="L965:N966"/>
    <mergeCell ref="K960:K963"/>
    <mergeCell ref="O960:O961"/>
    <mergeCell ref="M962:N962"/>
    <mergeCell ref="O962:O963"/>
    <mergeCell ref="M963:N963"/>
    <mergeCell ref="L960:N961"/>
    <mergeCell ref="S35:S38"/>
    <mergeCell ref="W35:W36"/>
    <mergeCell ref="U37:V37"/>
    <mergeCell ref="W37:W38"/>
    <mergeCell ref="U38:V38"/>
    <mergeCell ref="T35:V36"/>
    <mergeCell ref="S30:S33"/>
    <mergeCell ref="W30:W31"/>
    <mergeCell ref="U32:V32"/>
    <mergeCell ref="W32:W33"/>
    <mergeCell ref="U33:V33"/>
    <mergeCell ref="T30:V31"/>
    <mergeCell ref="S25:S28"/>
    <mergeCell ref="W25:W26"/>
    <mergeCell ref="U27:V27"/>
    <mergeCell ref="W27:W28"/>
    <mergeCell ref="U28:V28"/>
    <mergeCell ref="T25:V26"/>
    <mergeCell ref="K1025:K1028"/>
    <mergeCell ref="O1025:O1026"/>
    <mergeCell ref="M1027:N1027"/>
    <mergeCell ref="O1027:O1028"/>
    <mergeCell ref="M1028:N1028"/>
    <mergeCell ref="K1020:K1023"/>
    <mergeCell ref="O1020:O1021"/>
    <mergeCell ref="M1022:N1022"/>
    <mergeCell ref="O1022:O1023"/>
    <mergeCell ref="M1023:N1023"/>
    <mergeCell ref="K1015:K1018"/>
    <mergeCell ref="O1015:O1016"/>
    <mergeCell ref="M1017:N1017"/>
    <mergeCell ref="O1017:O1018"/>
    <mergeCell ref="M1018:N1018"/>
    <mergeCell ref="K1010:K1013"/>
    <mergeCell ref="O1010:O1011"/>
    <mergeCell ref="M1012:N1012"/>
    <mergeCell ref="O1012:O1013"/>
    <mergeCell ref="M1013:N1013"/>
    <mergeCell ref="L1010:N1011"/>
    <mergeCell ref="K1005:K1008"/>
    <mergeCell ref="O1005:O1006"/>
    <mergeCell ref="M1007:N1007"/>
    <mergeCell ref="O1007:O1008"/>
    <mergeCell ref="M1008:N1008"/>
    <mergeCell ref="L1005:N1006"/>
    <mergeCell ref="K1000:K1003"/>
    <mergeCell ref="O1000:O1001"/>
    <mergeCell ref="M1002:N1002"/>
    <mergeCell ref="O1002:O1003"/>
    <mergeCell ref="M1003:N1003"/>
    <mergeCell ref="L1000:N1001"/>
    <mergeCell ref="K995:K998"/>
    <mergeCell ref="O995:O996"/>
    <mergeCell ref="M997:N997"/>
    <mergeCell ref="O997:O998"/>
    <mergeCell ref="M998:N998"/>
    <mergeCell ref="L995:N996"/>
    <mergeCell ref="K990:K993"/>
    <mergeCell ref="O990:O991"/>
    <mergeCell ref="M992:N992"/>
    <mergeCell ref="O992:O993"/>
    <mergeCell ref="M993:N993"/>
    <mergeCell ref="L990:N991"/>
    <mergeCell ref="K985:K988"/>
    <mergeCell ref="S65:S68"/>
    <mergeCell ref="W65:W66"/>
    <mergeCell ref="U67:V67"/>
    <mergeCell ref="W67:W68"/>
    <mergeCell ref="U68:V68"/>
    <mergeCell ref="T65:V66"/>
    <mergeCell ref="S60:S63"/>
    <mergeCell ref="W60:W61"/>
    <mergeCell ref="U62:V62"/>
    <mergeCell ref="W62:W63"/>
    <mergeCell ref="U63:V63"/>
    <mergeCell ref="T60:V61"/>
    <mergeCell ref="S55:S58"/>
    <mergeCell ref="W55:W56"/>
    <mergeCell ref="U57:V57"/>
    <mergeCell ref="W57:W58"/>
    <mergeCell ref="U58:V58"/>
    <mergeCell ref="T55:V56"/>
    <mergeCell ref="S50:S53"/>
    <mergeCell ref="W50:W51"/>
    <mergeCell ref="U52:V52"/>
    <mergeCell ref="W52:W53"/>
    <mergeCell ref="U53:V53"/>
    <mergeCell ref="T50:V51"/>
    <mergeCell ref="S45:S48"/>
    <mergeCell ref="W45:W46"/>
    <mergeCell ref="U47:V47"/>
    <mergeCell ref="W47:W48"/>
    <mergeCell ref="U48:V48"/>
    <mergeCell ref="T45:V46"/>
    <mergeCell ref="S40:S43"/>
    <mergeCell ref="W40:W41"/>
    <mergeCell ref="U42:V42"/>
    <mergeCell ref="W42:W43"/>
    <mergeCell ref="U43:V43"/>
    <mergeCell ref="T40:V41"/>
    <mergeCell ref="S95:S98"/>
    <mergeCell ref="W95:W96"/>
    <mergeCell ref="U97:V97"/>
    <mergeCell ref="W97:W98"/>
    <mergeCell ref="U98:V98"/>
    <mergeCell ref="T95:V96"/>
    <mergeCell ref="S90:S93"/>
    <mergeCell ref="W90:W91"/>
    <mergeCell ref="U92:V92"/>
    <mergeCell ref="W92:W93"/>
    <mergeCell ref="U93:V93"/>
    <mergeCell ref="T90:V91"/>
    <mergeCell ref="S85:S88"/>
    <mergeCell ref="W85:W86"/>
    <mergeCell ref="U87:V87"/>
    <mergeCell ref="W87:W88"/>
    <mergeCell ref="U88:V88"/>
    <mergeCell ref="T85:V86"/>
    <mergeCell ref="S80:S83"/>
    <mergeCell ref="W80:W81"/>
    <mergeCell ref="U82:V82"/>
    <mergeCell ref="W82:W83"/>
    <mergeCell ref="U83:V83"/>
    <mergeCell ref="T80:V81"/>
    <mergeCell ref="S75:S78"/>
    <mergeCell ref="W75:W76"/>
    <mergeCell ref="U77:V77"/>
    <mergeCell ref="W77:W78"/>
    <mergeCell ref="U78:V78"/>
    <mergeCell ref="T75:V76"/>
    <mergeCell ref="S70:S73"/>
    <mergeCell ref="W70:W71"/>
    <mergeCell ref="U72:V72"/>
    <mergeCell ref="W72:W73"/>
    <mergeCell ref="U73:V73"/>
    <mergeCell ref="T70:V71"/>
    <mergeCell ref="S125:S128"/>
    <mergeCell ref="W125:W126"/>
    <mergeCell ref="U127:V127"/>
    <mergeCell ref="W127:W128"/>
    <mergeCell ref="U128:V128"/>
    <mergeCell ref="T125:V126"/>
    <mergeCell ref="S120:S123"/>
    <mergeCell ref="W120:W121"/>
    <mergeCell ref="U122:V122"/>
    <mergeCell ref="W122:W123"/>
    <mergeCell ref="U123:V123"/>
    <mergeCell ref="T120:V121"/>
    <mergeCell ref="S115:S118"/>
    <mergeCell ref="W115:W116"/>
    <mergeCell ref="U117:V117"/>
    <mergeCell ref="W117:W118"/>
    <mergeCell ref="U118:V118"/>
    <mergeCell ref="T115:V116"/>
    <mergeCell ref="S110:S113"/>
    <mergeCell ref="W110:W111"/>
    <mergeCell ref="U112:V112"/>
    <mergeCell ref="W112:W113"/>
    <mergeCell ref="U113:V113"/>
    <mergeCell ref="T110:V111"/>
    <mergeCell ref="S105:S108"/>
    <mergeCell ref="W105:W106"/>
    <mergeCell ref="U107:V107"/>
    <mergeCell ref="W107:W108"/>
    <mergeCell ref="U108:V108"/>
    <mergeCell ref="T105:V106"/>
    <mergeCell ref="S100:S103"/>
    <mergeCell ref="W100:W101"/>
    <mergeCell ref="U102:V102"/>
    <mergeCell ref="W102:W103"/>
    <mergeCell ref="U103:V103"/>
    <mergeCell ref="T100:V101"/>
    <mergeCell ref="S155:S158"/>
    <mergeCell ref="W155:W156"/>
    <mergeCell ref="U157:V157"/>
    <mergeCell ref="W157:W158"/>
    <mergeCell ref="U158:V158"/>
    <mergeCell ref="T155:V156"/>
    <mergeCell ref="S150:S153"/>
    <mergeCell ref="W150:W151"/>
    <mergeCell ref="U152:V152"/>
    <mergeCell ref="W152:W153"/>
    <mergeCell ref="U153:V153"/>
    <mergeCell ref="T150:V151"/>
    <mergeCell ref="S145:S148"/>
    <mergeCell ref="W145:W146"/>
    <mergeCell ref="U147:V147"/>
    <mergeCell ref="W147:W148"/>
    <mergeCell ref="U148:V148"/>
    <mergeCell ref="T145:V146"/>
    <mergeCell ref="S140:S143"/>
    <mergeCell ref="W140:W141"/>
    <mergeCell ref="U142:V142"/>
    <mergeCell ref="W142:W143"/>
    <mergeCell ref="U143:V143"/>
    <mergeCell ref="T140:V141"/>
    <mergeCell ref="S135:S138"/>
    <mergeCell ref="W135:W136"/>
    <mergeCell ref="U137:V137"/>
    <mergeCell ref="W137:W138"/>
    <mergeCell ref="U138:V138"/>
    <mergeCell ref="T135:V136"/>
    <mergeCell ref="S130:S133"/>
    <mergeCell ref="W130:W131"/>
    <mergeCell ref="U132:V132"/>
    <mergeCell ref="W132:W133"/>
    <mergeCell ref="U133:V133"/>
    <mergeCell ref="T130:V131"/>
    <mergeCell ref="S185:S188"/>
    <mergeCell ref="W185:W186"/>
    <mergeCell ref="U187:V187"/>
    <mergeCell ref="W187:W188"/>
    <mergeCell ref="U188:V188"/>
    <mergeCell ref="T185:V186"/>
    <mergeCell ref="S180:S183"/>
    <mergeCell ref="W180:W181"/>
    <mergeCell ref="U182:V182"/>
    <mergeCell ref="W182:W183"/>
    <mergeCell ref="U183:V183"/>
    <mergeCell ref="T180:V181"/>
    <mergeCell ref="S175:S178"/>
    <mergeCell ref="W175:W176"/>
    <mergeCell ref="U177:V177"/>
    <mergeCell ref="W177:W178"/>
    <mergeCell ref="U178:V178"/>
    <mergeCell ref="T175:V176"/>
    <mergeCell ref="S170:S173"/>
    <mergeCell ref="W170:W171"/>
    <mergeCell ref="U172:V172"/>
    <mergeCell ref="W172:W173"/>
    <mergeCell ref="U173:V173"/>
    <mergeCell ref="T170:V171"/>
    <mergeCell ref="S165:S168"/>
    <mergeCell ref="W165:W166"/>
    <mergeCell ref="U167:V167"/>
    <mergeCell ref="W167:W168"/>
    <mergeCell ref="U168:V168"/>
    <mergeCell ref="T165:V166"/>
    <mergeCell ref="S160:S163"/>
    <mergeCell ref="W160:W161"/>
    <mergeCell ref="U162:V162"/>
    <mergeCell ref="W162:W163"/>
    <mergeCell ref="U163:V163"/>
    <mergeCell ref="T160:V161"/>
    <mergeCell ref="S215:S218"/>
    <mergeCell ref="W215:W216"/>
    <mergeCell ref="U217:V217"/>
    <mergeCell ref="W217:W218"/>
    <mergeCell ref="U218:V218"/>
    <mergeCell ref="T215:V216"/>
    <mergeCell ref="S210:S213"/>
    <mergeCell ref="W210:W211"/>
    <mergeCell ref="U212:V212"/>
    <mergeCell ref="W212:W213"/>
    <mergeCell ref="U213:V213"/>
    <mergeCell ref="T210:V211"/>
    <mergeCell ref="S205:S208"/>
    <mergeCell ref="W205:W206"/>
    <mergeCell ref="U207:V207"/>
    <mergeCell ref="W207:W208"/>
    <mergeCell ref="U208:V208"/>
    <mergeCell ref="T205:V206"/>
    <mergeCell ref="S200:S203"/>
    <mergeCell ref="W200:W201"/>
    <mergeCell ref="U202:V202"/>
    <mergeCell ref="W202:W203"/>
    <mergeCell ref="U203:V203"/>
    <mergeCell ref="T200:V201"/>
    <mergeCell ref="S195:S198"/>
    <mergeCell ref="W195:W196"/>
    <mergeCell ref="U197:V197"/>
    <mergeCell ref="W197:W198"/>
    <mergeCell ref="U198:V198"/>
    <mergeCell ref="T195:V196"/>
    <mergeCell ref="S190:S193"/>
    <mergeCell ref="W190:W191"/>
    <mergeCell ref="U192:V192"/>
    <mergeCell ref="W192:W193"/>
    <mergeCell ref="U193:V193"/>
    <mergeCell ref="T190:V191"/>
    <mergeCell ref="S245:S248"/>
    <mergeCell ref="W245:W246"/>
    <mergeCell ref="U247:V247"/>
    <mergeCell ref="W247:W248"/>
    <mergeCell ref="U248:V248"/>
    <mergeCell ref="T245:V246"/>
    <mergeCell ref="S240:S243"/>
    <mergeCell ref="W240:W241"/>
    <mergeCell ref="U242:V242"/>
    <mergeCell ref="W242:W243"/>
    <mergeCell ref="U243:V243"/>
    <mergeCell ref="T240:V241"/>
    <mergeCell ref="S235:S238"/>
    <mergeCell ref="W235:W236"/>
    <mergeCell ref="U237:V237"/>
    <mergeCell ref="W237:W238"/>
    <mergeCell ref="U238:V238"/>
    <mergeCell ref="T235:V236"/>
    <mergeCell ref="S230:S233"/>
    <mergeCell ref="W230:W231"/>
    <mergeCell ref="U232:V232"/>
    <mergeCell ref="W232:W233"/>
    <mergeCell ref="U233:V233"/>
    <mergeCell ref="T230:V231"/>
    <mergeCell ref="S225:S228"/>
    <mergeCell ref="W225:W226"/>
    <mergeCell ref="U227:V227"/>
    <mergeCell ref="W227:W228"/>
    <mergeCell ref="U228:V228"/>
    <mergeCell ref="T225:V226"/>
    <mergeCell ref="S220:S223"/>
    <mergeCell ref="W220:W221"/>
    <mergeCell ref="U222:V222"/>
    <mergeCell ref="W222:W223"/>
    <mergeCell ref="U223:V223"/>
    <mergeCell ref="T220:V221"/>
    <mergeCell ref="S275:S278"/>
    <mergeCell ref="W275:W276"/>
    <mergeCell ref="U277:V277"/>
    <mergeCell ref="W277:W278"/>
    <mergeCell ref="U278:V278"/>
    <mergeCell ref="T275:V276"/>
    <mergeCell ref="S270:S273"/>
    <mergeCell ref="W270:W271"/>
    <mergeCell ref="U272:V272"/>
    <mergeCell ref="W272:W273"/>
    <mergeCell ref="U273:V273"/>
    <mergeCell ref="T270:V271"/>
    <mergeCell ref="S265:S268"/>
    <mergeCell ref="W265:W266"/>
    <mergeCell ref="U267:V267"/>
    <mergeCell ref="W267:W268"/>
    <mergeCell ref="U268:V268"/>
    <mergeCell ref="T265:V266"/>
    <mergeCell ref="S260:S263"/>
    <mergeCell ref="W260:W261"/>
    <mergeCell ref="U262:V262"/>
    <mergeCell ref="W262:W263"/>
    <mergeCell ref="U263:V263"/>
    <mergeCell ref="T260:V261"/>
    <mergeCell ref="S255:S258"/>
    <mergeCell ref="W255:W256"/>
    <mergeCell ref="U257:V257"/>
    <mergeCell ref="W257:W258"/>
    <mergeCell ref="U258:V258"/>
    <mergeCell ref="T255:V256"/>
    <mergeCell ref="S250:S253"/>
    <mergeCell ref="W250:W251"/>
    <mergeCell ref="U252:V252"/>
    <mergeCell ref="W252:W253"/>
    <mergeCell ref="U253:V253"/>
    <mergeCell ref="T250:V251"/>
    <mergeCell ref="S305:S308"/>
    <mergeCell ref="W305:W306"/>
    <mergeCell ref="U307:V307"/>
    <mergeCell ref="W307:W308"/>
    <mergeCell ref="U308:V308"/>
    <mergeCell ref="T305:V306"/>
    <mergeCell ref="S300:S303"/>
    <mergeCell ref="W300:W301"/>
    <mergeCell ref="U302:V302"/>
    <mergeCell ref="W302:W303"/>
    <mergeCell ref="U303:V303"/>
    <mergeCell ref="T300:V301"/>
    <mergeCell ref="S295:S298"/>
    <mergeCell ref="W295:W296"/>
    <mergeCell ref="U297:V297"/>
    <mergeCell ref="W297:W298"/>
    <mergeCell ref="U298:V298"/>
    <mergeCell ref="T295:V296"/>
    <mergeCell ref="S290:S293"/>
    <mergeCell ref="W290:W291"/>
    <mergeCell ref="U292:V292"/>
    <mergeCell ref="W292:W293"/>
    <mergeCell ref="U293:V293"/>
    <mergeCell ref="T290:V291"/>
    <mergeCell ref="S285:S288"/>
    <mergeCell ref="W285:W286"/>
    <mergeCell ref="U287:V287"/>
    <mergeCell ref="W287:W288"/>
    <mergeCell ref="U288:V288"/>
    <mergeCell ref="T285:V286"/>
    <mergeCell ref="S280:S283"/>
    <mergeCell ref="W280:W281"/>
    <mergeCell ref="U282:V282"/>
    <mergeCell ref="W282:W283"/>
    <mergeCell ref="U283:V283"/>
    <mergeCell ref="T280:V281"/>
    <mergeCell ref="S335:S338"/>
    <mergeCell ref="W335:W336"/>
    <mergeCell ref="U337:V337"/>
    <mergeCell ref="W337:W338"/>
    <mergeCell ref="U338:V338"/>
    <mergeCell ref="T335:V336"/>
    <mergeCell ref="S330:S333"/>
    <mergeCell ref="W330:W331"/>
    <mergeCell ref="U332:V332"/>
    <mergeCell ref="W332:W333"/>
    <mergeCell ref="U333:V333"/>
    <mergeCell ref="T330:V331"/>
    <mergeCell ref="S325:S328"/>
    <mergeCell ref="W325:W326"/>
    <mergeCell ref="U327:V327"/>
    <mergeCell ref="W327:W328"/>
    <mergeCell ref="U328:V328"/>
    <mergeCell ref="T325:V326"/>
    <mergeCell ref="S320:S323"/>
    <mergeCell ref="W320:W321"/>
    <mergeCell ref="U322:V322"/>
    <mergeCell ref="W322:W323"/>
    <mergeCell ref="U323:V323"/>
    <mergeCell ref="T320:V321"/>
    <mergeCell ref="S315:S318"/>
    <mergeCell ref="W315:W316"/>
    <mergeCell ref="U317:V317"/>
    <mergeCell ref="W317:W318"/>
    <mergeCell ref="U318:V318"/>
    <mergeCell ref="T315:V316"/>
    <mergeCell ref="S310:S313"/>
    <mergeCell ref="W310:W311"/>
    <mergeCell ref="U312:V312"/>
    <mergeCell ref="W312:W313"/>
    <mergeCell ref="U313:V313"/>
    <mergeCell ref="T310:V311"/>
    <mergeCell ref="S365:S368"/>
    <mergeCell ref="W365:W366"/>
    <mergeCell ref="U367:V367"/>
    <mergeCell ref="W367:W368"/>
    <mergeCell ref="U368:V368"/>
    <mergeCell ref="T365:V366"/>
    <mergeCell ref="S360:S363"/>
    <mergeCell ref="W360:W361"/>
    <mergeCell ref="U362:V362"/>
    <mergeCell ref="W362:W363"/>
    <mergeCell ref="U363:V363"/>
    <mergeCell ref="T360:V361"/>
    <mergeCell ref="S355:S358"/>
    <mergeCell ref="W355:W356"/>
    <mergeCell ref="U357:V357"/>
    <mergeCell ref="W357:W358"/>
    <mergeCell ref="U358:V358"/>
    <mergeCell ref="T355:V356"/>
    <mergeCell ref="S350:S353"/>
    <mergeCell ref="W350:W351"/>
    <mergeCell ref="U352:V352"/>
    <mergeCell ref="W352:W353"/>
    <mergeCell ref="U353:V353"/>
    <mergeCell ref="T350:V351"/>
    <mergeCell ref="S345:S348"/>
    <mergeCell ref="W345:W346"/>
    <mergeCell ref="U347:V347"/>
    <mergeCell ref="W347:W348"/>
    <mergeCell ref="U348:V348"/>
    <mergeCell ref="T345:V346"/>
    <mergeCell ref="S340:S343"/>
    <mergeCell ref="W340:W341"/>
    <mergeCell ref="U342:V342"/>
    <mergeCell ref="W342:W343"/>
    <mergeCell ref="U343:V343"/>
    <mergeCell ref="T340:V341"/>
    <mergeCell ref="S395:S398"/>
    <mergeCell ref="W395:W396"/>
    <mergeCell ref="U397:V397"/>
    <mergeCell ref="W397:W398"/>
    <mergeCell ref="U398:V398"/>
    <mergeCell ref="T395:V396"/>
    <mergeCell ref="S390:S393"/>
    <mergeCell ref="W390:W391"/>
    <mergeCell ref="U392:V392"/>
    <mergeCell ref="W392:W393"/>
    <mergeCell ref="U393:V393"/>
    <mergeCell ref="T390:V391"/>
    <mergeCell ref="S385:S388"/>
    <mergeCell ref="W385:W386"/>
    <mergeCell ref="U387:V387"/>
    <mergeCell ref="W387:W388"/>
    <mergeCell ref="U388:V388"/>
    <mergeCell ref="T385:V386"/>
    <mergeCell ref="S380:S383"/>
    <mergeCell ref="W380:W381"/>
    <mergeCell ref="U382:V382"/>
    <mergeCell ref="W382:W383"/>
    <mergeCell ref="U383:V383"/>
    <mergeCell ref="T380:V381"/>
    <mergeCell ref="S375:S378"/>
    <mergeCell ref="W375:W376"/>
    <mergeCell ref="U377:V377"/>
    <mergeCell ref="W377:W378"/>
    <mergeCell ref="U378:V378"/>
    <mergeCell ref="T375:V376"/>
    <mergeCell ref="S370:S373"/>
    <mergeCell ref="W370:W371"/>
    <mergeCell ref="U372:V372"/>
    <mergeCell ref="W372:W373"/>
    <mergeCell ref="U373:V373"/>
    <mergeCell ref="T370:V371"/>
    <mergeCell ref="S425:S428"/>
    <mergeCell ref="W425:W426"/>
    <mergeCell ref="U427:V427"/>
    <mergeCell ref="W427:W428"/>
    <mergeCell ref="U428:V428"/>
    <mergeCell ref="T425:V426"/>
    <mergeCell ref="S420:S423"/>
    <mergeCell ref="W420:W421"/>
    <mergeCell ref="U422:V422"/>
    <mergeCell ref="W422:W423"/>
    <mergeCell ref="U423:V423"/>
    <mergeCell ref="T420:V421"/>
    <mergeCell ref="S415:S418"/>
    <mergeCell ref="W415:W416"/>
    <mergeCell ref="U417:V417"/>
    <mergeCell ref="W417:W418"/>
    <mergeCell ref="U418:V418"/>
    <mergeCell ref="T415:V416"/>
    <mergeCell ref="S410:S413"/>
    <mergeCell ref="W410:W411"/>
    <mergeCell ref="U412:V412"/>
    <mergeCell ref="W412:W413"/>
    <mergeCell ref="U413:V413"/>
    <mergeCell ref="T410:V411"/>
    <mergeCell ref="S405:S408"/>
    <mergeCell ref="W405:W406"/>
    <mergeCell ref="U407:V407"/>
    <mergeCell ref="W407:W408"/>
    <mergeCell ref="U408:V408"/>
    <mergeCell ref="T405:V406"/>
    <mergeCell ref="S400:S403"/>
    <mergeCell ref="W400:W401"/>
    <mergeCell ref="U402:V402"/>
    <mergeCell ref="W402:W403"/>
    <mergeCell ref="U403:V403"/>
    <mergeCell ref="T400:V401"/>
    <mergeCell ref="S455:S458"/>
    <mergeCell ref="W455:W456"/>
    <mergeCell ref="U457:V457"/>
    <mergeCell ref="W457:W458"/>
    <mergeCell ref="U458:V458"/>
    <mergeCell ref="T455:V456"/>
    <mergeCell ref="S450:S453"/>
    <mergeCell ref="W450:W451"/>
    <mergeCell ref="U452:V452"/>
    <mergeCell ref="W452:W453"/>
    <mergeCell ref="U453:V453"/>
    <mergeCell ref="T450:V451"/>
    <mergeCell ref="S445:S448"/>
    <mergeCell ref="W445:W446"/>
    <mergeCell ref="U447:V447"/>
    <mergeCell ref="W447:W448"/>
    <mergeCell ref="U448:V448"/>
    <mergeCell ref="T445:V446"/>
    <mergeCell ref="S440:S443"/>
    <mergeCell ref="W440:W441"/>
    <mergeCell ref="U442:V442"/>
    <mergeCell ref="W442:W443"/>
    <mergeCell ref="U443:V443"/>
    <mergeCell ref="T440:V441"/>
    <mergeCell ref="S435:S438"/>
    <mergeCell ref="W435:W436"/>
    <mergeCell ref="U437:V437"/>
    <mergeCell ref="W437:W438"/>
    <mergeCell ref="U438:V438"/>
    <mergeCell ref="T435:V436"/>
    <mergeCell ref="S430:S433"/>
    <mergeCell ref="W430:W431"/>
    <mergeCell ref="U432:V432"/>
    <mergeCell ref="W432:W433"/>
    <mergeCell ref="U433:V433"/>
    <mergeCell ref="T430:V431"/>
    <mergeCell ref="S485:S488"/>
    <mergeCell ref="W485:W486"/>
    <mergeCell ref="U487:V487"/>
    <mergeCell ref="W487:W488"/>
    <mergeCell ref="U488:V488"/>
    <mergeCell ref="T485:V486"/>
    <mergeCell ref="S480:S483"/>
    <mergeCell ref="W480:W481"/>
    <mergeCell ref="U482:V482"/>
    <mergeCell ref="W482:W483"/>
    <mergeCell ref="U483:V483"/>
    <mergeCell ref="T480:V481"/>
    <mergeCell ref="S475:S478"/>
    <mergeCell ref="W475:W476"/>
    <mergeCell ref="U477:V477"/>
    <mergeCell ref="W477:W478"/>
    <mergeCell ref="U478:V478"/>
    <mergeCell ref="T475:V476"/>
    <mergeCell ref="S470:S473"/>
    <mergeCell ref="W470:W471"/>
    <mergeCell ref="U472:V472"/>
    <mergeCell ref="W472:W473"/>
    <mergeCell ref="U473:V473"/>
    <mergeCell ref="T470:V471"/>
    <mergeCell ref="S465:S468"/>
    <mergeCell ref="W465:W466"/>
    <mergeCell ref="U467:V467"/>
    <mergeCell ref="W467:W468"/>
    <mergeCell ref="U468:V468"/>
    <mergeCell ref="T465:V466"/>
    <mergeCell ref="S460:S463"/>
    <mergeCell ref="W460:W461"/>
    <mergeCell ref="U462:V462"/>
    <mergeCell ref="W462:W463"/>
    <mergeCell ref="U463:V463"/>
    <mergeCell ref="T460:V461"/>
    <mergeCell ref="S515:S518"/>
    <mergeCell ref="W515:W516"/>
    <mergeCell ref="U517:V517"/>
    <mergeCell ref="W517:W518"/>
    <mergeCell ref="U518:V518"/>
    <mergeCell ref="T515:V516"/>
    <mergeCell ref="S510:S513"/>
    <mergeCell ref="W510:W511"/>
    <mergeCell ref="U512:V512"/>
    <mergeCell ref="W512:W513"/>
    <mergeCell ref="U513:V513"/>
    <mergeCell ref="T510:V511"/>
    <mergeCell ref="S505:S508"/>
    <mergeCell ref="W505:W506"/>
    <mergeCell ref="U507:V507"/>
    <mergeCell ref="W507:W508"/>
    <mergeCell ref="U508:V508"/>
    <mergeCell ref="T505:V506"/>
    <mergeCell ref="S500:S503"/>
    <mergeCell ref="W500:W501"/>
    <mergeCell ref="U502:V502"/>
    <mergeCell ref="W502:W503"/>
    <mergeCell ref="U503:V503"/>
    <mergeCell ref="T500:V501"/>
    <mergeCell ref="S495:S498"/>
    <mergeCell ref="W495:W496"/>
    <mergeCell ref="U497:V497"/>
    <mergeCell ref="W497:W498"/>
    <mergeCell ref="U498:V498"/>
    <mergeCell ref="T495:V496"/>
    <mergeCell ref="S490:S493"/>
    <mergeCell ref="W490:W491"/>
    <mergeCell ref="U492:V492"/>
    <mergeCell ref="W492:W493"/>
    <mergeCell ref="U493:V493"/>
    <mergeCell ref="T490:V491"/>
    <mergeCell ref="S545:S548"/>
    <mergeCell ref="W545:W546"/>
    <mergeCell ref="U547:V547"/>
    <mergeCell ref="W547:W548"/>
    <mergeCell ref="U548:V548"/>
    <mergeCell ref="T545:V546"/>
    <mergeCell ref="S540:S543"/>
    <mergeCell ref="W540:W541"/>
    <mergeCell ref="U542:V542"/>
    <mergeCell ref="W542:W543"/>
    <mergeCell ref="U543:V543"/>
    <mergeCell ref="T540:V541"/>
    <mergeCell ref="S535:S538"/>
    <mergeCell ref="W535:W536"/>
    <mergeCell ref="U537:V537"/>
    <mergeCell ref="W537:W538"/>
    <mergeCell ref="U538:V538"/>
    <mergeCell ref="T535:V536"/>
    <mergeCell ref="S530:S533"/>
    <mergeCell ref="W530:W531"/>
    <mergeCell ref="U532:V532"/>
    <mergeCell ref="W532:W533"/>
    <mergeCell ref="U533:V533"/>
    <mergeCell ref="T530:V531"/>
    <mergeCell ref="S525:S528"/>
    <mergeCell ref="W525:W526"/>
    <mergeCell ref="U527:V527"/>
    <mergeCell ref="W527:W528"/>
    <mergeCell ref="U528:V528"/>
    <mergeCell ref="T525:V526"/>
    <mergeCell ref="S520:S523"/>
    <mergeCell ref="W520:W521"/>
    <mergeCell ref="U522:V522"/>
    <mergeCell ref="W522:W523"/>
    <mergeCell ref="U523:V523"/>
    <mergeCell ref="T520:V521"/>
    <mergeCell ref="S575:S578"/>
    <mergeCell ref="W575:W576"/>
    <mergeCell ref="U577:V577"/>
    <mergeCell ref="W577:W578"/>
    <mergeCell ref="U578:V578"/>
    <mergeCell ref="T575:V576"/>
    <mergeCell ref="S570:S573"/>
    <mergeCell ref="W570:W571"/>
    <mergeCell ref="U572:V572"/>
    <mergeCell ref="W572:W573"/>
    <mergeCell ref="U573:V573"/>
    <mergeCell ref="T570:V571"/>
    <mergeCell ref="S565:S568"/>
    <mergeCell ref="W565:W566"/>
    <mergeCell ref="U567:V567"/>
    <mergeCell ref="W567:W568"/>
    <mergeCell ref="U568:V568"/>
    <mergeCell ref="T565:V566"/>
    <mergeCell ref="S560:S563"/>
    <mergeCell ref="W560:W561"/>
    <mergeCell ref="U562:V562"/>
    <mergeCell ref="W562:W563"/>
    <mergeCell ref="U563:V563"/>
    <mergeCell ref="T560:V561"/>
    <mergeCell ref="S555:S558"/>
    <mergeCell ref="W555:W556"/>
    <mergeCell ref="U557:V557"/>
    <mergeCell ref="W557:W558"/>
    <mergeCell ref="U558:V558"/>
    <mergeCell ref="T555:V556"/>
    <mergeCell ref="S550:S553"/>
    <mergeCell ref="W550:W551"/>
    <mergeCell ref="U552:V552"/>
    <mergeCell ref="W552:W553"/>
    <mergeCell ref="U553:V553"/>
    <mergeCell ref="T550:V551"/>
    <mergeCell ref="S605:S608"/>
    <mergeCell ref="W605:W606"/>
    <mergeCell ref="U607:V607"/>
    <mergeCell ref="W607:W608"/>
    <mergeCell ref="U608:V608"/>
    <mergeCell ref="T605:V606"/>
    <mergeCell ref="S600:S603"/>
    <mergeCell ref="W600:W601"/>
    <mergeCell ref="U602:V602"/>
    <mergeCell ref="W602:W603"/>
    <mergeCell ref="U603:V603"/>
    <mergeCell ref="T600:V601"/>
    <mergeCell ref="S595:S598"/>
    <mergeCell ref="W595:W596"/>
    <mergeCell ref="U597:V597"/>
    <mergeCell ref="W597:W598"/>
    <mergeCell ref="U598:V598"/>
    <mergeCell ref="T595:V596"/>
    <mergeCell ref="S590:S593"/>
    <mergeCell ref="W590:W591"/>
    <mergeCell ref="U592:V592"/>
    <mergeCell ref="W592:W593"/>
    <mergeCell ref="U593:V593"/>
    <mergeCell ref="T590:V591"/>
    <mergeCell ref="S585:S588"/>
    <mergeCell ref="W585:W586"/>
    <mergeCell ref="U587:V587"/>
    <mergeCell ref="W587:W588"/>
    <mergeCell ref="U588:V588"/>
    <mergeCell ref="T585:V586"/>
    <mergeCell ref="S580:S583"/>
    <mergeCell ref="W580:W581"/>
    <mergeCell ref="U582:V582"/>
    <mergeCell ref="W582:W583"/>
    <mergeCell ref="U583:V583"/>
    <mergeCell ref="T580:V581"/>
    <mergeCell ref="S635:S638"/>
    <mergeCell ref="W635:W636"/>
    <mergeCell ref="U637:V637"/>
    <mergeCell ref="W637:W638"/>
    <mergeCell ref="U638:V638"/>
    <mergeCell ref="T635:V636"/>
    <mergeCell ref="S630:S633"/>
    <mergeCell ref="W630:W631"/>
    <mergeCell ref="U632:V632"/>
    <mergeCell ref="W632:W633"/>
    <mergeCell ref="U633:V633"/>
    <mergeCell ref="T630:V631"/>
    <mergeCell ref="S625:S628"/>
    <mergeCell ref="W625:W626"/>
    <mergeCell ref="U627:V627"/>
    <mergeCell ref="W627:W628"/>
    <mergeCell ref="U628:V628"/>
    <mergeCell ref="T625:V626"/>
    <mergeCell ref="S620:S623"/>
    <mergeCell ref="W620:W621"/>
    <mergeCell ref="U622:V622"/>
    <mergeCell ref="W622:W623"/>
    <mergeCell ref="U623:V623"/>
    <mergeCell ref="T620:V621"/>
    <mergeCell ref="S615:S618"/>
    <mergeCell ref="W615:W616"/>
    <mergeCell ref="U617:V617"/>
    <mergeCell ref="W617:W618"/>
    <mergeCell ref="U618:V618"/>
    <mergeCell ref="T615:V616"/>
    <mergeCell ref="S610:S613"/>
    <mergeCell ref="W610:W611"/>
    <mergeCell ref="U612:V612"/>
    <mergeCell ref="W612:W613"/>
    <mergeCell ref="U613:V613"/>
    <mergeCell ref="T610:V611"/>
    <mergeCell ref="S665:S668"/>
    <mergeCell ref="W665:W666"/>
    <mergeCell ref="U667:V667"/>
    <mergeCell ref="W667:W668"/>
    <mergeCell ref="U668:V668"/>
    <mergeCell ref="T665:V666"/>
    <mergeCell ref="S660:S663"/>
    <mergeCell ref="W660:W661"/>
    <mergeCell ref="U662:V662"/>
    <mergeCell ref="W662:W663"/>
    <mergeCell ref="U663:V663"/>
    <mergeCell ref="T660:V661"/>
    <mergeCell ref="S655:S658"/>
    <mergeCell ref="W655:W656"/>
    <mergeCell ref="U657:V657"/>
    <mergeCell ref="W657:W658"/>
    <mergeCell ref="U658:V658"/>
    <mergeCell ref="T655:V656"/>
    <mergeCell ref="S650:S653"/>
    <mergeCell ref="W650:W651"/>
    <mergeCell ref="U652:V652"/>
    <mergeCell ref="W652:W653"/>
    <mergeCell ref="U653:V653"/>
    <mergeCell ref="T650:V651"/>
    <mergeCell ref="S645:S648"/>
    <mergeCell ref="W645:W646"/>
    <mergeCell ref="U647:V647"/>
    <mergeCell ref="W647:W648"/>
    <mergeCell ref="U648:V648"/>
    <mergeCell ref="T645:V646"/>
    <mergeCell ref="S640:S643"/>
    <mergeCell ref="W640:W641"/>
    <mergeCell ref="U642:V642"/>
    <mergeCell ref="W642:W643"/>
    <mergeCell ref="U643:V643"/>
    <mergeCell ref="T640:V641"/>
    <mergeCell ref="S695:S698"/>
    <mergeCell ref="W695:W696"/>
    <mergeCell ref="U697:V697"/>
    <mergeCell ref="W697:W698"/>
    <mergeCell ref="U698:V698"/>
    <mergeCell ref="T695:V696"/>
    <mergeCell ref="S690:S693"/>
    <mergeCell ref="W690:W691"/>
    <mergeCell ref="U692:V692"/>
    <mergeCell ref="W692:W693"/>
    <mergeCell ref="U693:V693"/>
    <mergeCell ref="T690:V691"/>
    <mergeCell ref="S685:S688"/>
    <mergeCell ref="W685:W686"/>
    <mergeCell ref="U687:V687"/>
    <mergeCell ref="W687:W688"/>
    <mergeCell ref="U688:V688"/>
    <mergeCell ref="T685:V686"/>
    <mergeCell ref="S680:S683"/>
    <mergeCell ref="W680:W681"/>
    <mergeCell ref="U682:V682"/>
    <mergeCell ref="W682:W683"/>
    <mergeCell ref="U683:V683"/>
    <mergeCell ref="T680:V681"/>
    <mergeCell ref="S675:S678"/>
    <mergeCell ref="W675:W676"/>
    <mergeCell ref="U677:V677"/>
    <mergeCell ref="W677:W678"/>
    <mergeCell ref="U678:V678"/>
    <mergeCell ref="T675:V676"/>
    <mergeCell ref="S670:S673"/>
    <mergeCell ref="W670:W671"/>
    <mergeCell ref="U672:V672"/>
    <mergeCell ref="W672:W673"/>
    <mergeCell ref="U673:V673"/>
    <mergeCell ref="T670:V671"/>
    <mergeCell ref="S725:S728"/>
    <mergeCell ref="W725:W726"/>
    <mergeCell ref="U727:V727"/>
    <mergeCell ref="W727:W728"/>
    <mergeCell ref="U728:V728"/>
    <mergeCell ref="T725:V726"/>
    <mergeCell ref="S720:S723"/>
    <mergeCell ref="W720:W721"/>
    <mergeCell ref="U722:V722"/>
    <mergeCell ref="W722:W723"/>
    <mergeCell ref="U723:V723"/>
    <mergeCell ref="T720:V721"/>
    <mergeCell ref="S715:S718"/>
    <mergeCell ref="W715:W716"/>
    <mergeCell ref="U717:V717"/>
    <mergeCell ref="W717:W718"/>
    <mergeCell ref="U718:V718"/>
    <mergeCell ref="T715:V716"/>
    <mergeCell ref="S710:S713"/>
    <mergeCell ref="W710:W711"/>
    <mergeCell ref="U712:V712"/>
    <mergeCell ref="W712:W713"/>
    <mergeCell ref="U713:V713"/>
    <mergeCell ref="T710:V711"/>
    <mergeCell ref="S705:S708"/>
    <mergeCell ref="W705:W706"/>
    <mergeCell ref="U707:V707"/>
    <mergeCell ref="W707:W708"/>
    <mergeCell ref="U708:V708"/>
    <mergeCell ref="T705:V706"/>
    <mergeCell ref="S700:S703"/>
    <mergeCell ref="W700:W701"/>
    <mergeCell ref="U702:V702"/>
    <mergeCell ref="W702:W703"/>
    <mergeCell ref="U703:V703"/>
    <mergeCell ref="T700:V701"/>
    <mergeCell ref="S755:S758"/>
    <mergeCell ref="W755:W756"/>
    <mergeCell ref="U757:V757"/>
    <mergeCell ref="W757:W758"/>
    <mergeCell ref="U758:V758"/>
    <mergeCell ref="T755:V756"/>
    <mergeCell ref="S750:S753"/>
    <mergeCell ref="W750:W751"/>
    <mergeCell ref="U752:V752"/>
    <mergeCell ref="W752:W753"/>
    <mergeCell ref="U753:V753"/>
    <mergeCell ref="T750:V751"/>
    <mergeCell ref="S745:S748"/>
    <mergeCell ref="W745:W746"/>
    <mergeCell ref="U747:V747"/>
    <mergeCell ref="W747:W748"/>
    <mergeCell ref="U748:V748"/>
    <mergeCell ref="T745:V746"/>
    <mergeCell ref="S740:S743"/>
    <mergeCell ref="W740:W741"/>
    <mergeCell ref="U742:V742"/>
    <mergeCell ref="W742:W743"/>
    <mergeCell ref="U743:V743"/>
    <mergeCell ref="T740:V741"/>
    <mergeCell ref="S735:S738"/>
    <mergeCell ref="W735:W736"/>
    <mergeCell ref="U737:V737"/>
    <mergeCell ref="W737:W738"/>
    <mergeCell ref="U738:V738"/>
    <mergeCell ref="T735:V736"/>
    <mergeCell ref="S730:S733"/>
    <mergeCell ref="W730:W731"/>
    <mergeCell ref="U732:V732"/>
    <mergeCell ref="W732:W733"/>
    <mergeCell ref="U733:V733"/>
    <mergeCell ref="T730:V731"/>
    <mergeCell ref="S785:S788"/>
    <mergeCell ref="W785:W786"/>
    <mergeCell ref="U787:V787"/>
    <mergeCell ref="W787:W788"/>
    <mergeCell ref="U788:V788"/>
    <mergeCell ref="T785:V786"/>
    <mergeCell ref="S780:S783"/>
    <mergeCell ref="W780:W781"/>
    <mergeCell ref="U782:V782"/>
    <mergeCell ref="W782:W783"/>
    <mergeCell ref="U783:V783"/>
    <mergeCell ref="T780:V781"/>
    <mergeCell ref="S775:S778"/>
    <mergeCell ref="W775:W776"/>
    <mergeCell ref="U777:V777"/>
    <mergeCell ref="W777:W778"/>
    <mergeCell ref="U778:V778"/>
    <mergeCell ref="T775:V776"/>
    <mergeCell ref="S770:S773"/>
    <mergeCell ref="W770:W771"/>
    <mergeCell ref="U772:V772"/>
    <mergeCell ref="W772:W773"/>
    <mergeCell ref="U773:V773"/>
    <mergeCell ref="T770:V771"/>
    <mergeCell ref="S765:S768"/>
    <mergeCell ref="W765:W766"/>
    <mergeCell ref="U767:V767"/>
    <mergeCell ref="W767:W768"/>
    <mergeCell ref="U768:V768"/>
    <mergeCell ref="T765:V766"/>
    <mergeCell ref="S760:S763"/>
    <mergeCell ref="W760:W761"/>
    <mergeCell ref="U762:V762"/>
    <mergeCell ref="W762:W763"/>
    <mergeCell ref="U763:V763"/>
    <mergeCell ref="T760:V761"/>
    <mergeCell ref="S815:S818"/>
    <mergeCell ref="W815:W816"/>
    <mergeCell ref="U817:V817"/>
    <mergeCell ref="W817:W818"/>
    <mergeCell ref="U818:V818"/>
    <mergeCell ref="T815:V816"/>
    <mergeCell ref="S810:S813"/>
    <mergeCell ref="W810:W811"/>
    <mergeCell ref="U812:V812"/>
    <mergeCell ref="W812:W813"/>
    <mergeCell ref="U813:V813"/>
    <mergeCell ref="T810:V811"/>
    <mergeCell ref="S805:S808"/>
    <mergeCell ref="W805:W806"/>
    <mergeCell ref="U807:V807"/>
    <mergeCell ref="W807:W808"/>
    <mergeCell ref="U808:V808"/>
    <mergeCell ref="T805:V806"/>
    <mergeCell ref="S800:S803"/>
    <mergeCell ref="W800:W801"/>
    <mergeCell ref="U802:V802"/>
    <mergeCell ref="W802:W803"/>
    <mergeCell ref="U803:V803"/>
    <mergeCell ref="T800:V801"/>
    <mergeCell ref="S795:S798"/>
    <mergeCell ref="W795:W796"/>
    <mergeCell ref="U797:V797"/>
    <mergeCell ref="W797:W798"/>
    <mergeCell ref="U798:V798"/>
    <mergeCell ref="T795:V796"/>
    <mergeCell ref="S790:S793"/>
    <mergeCell ref="W790:W791"/>
    <mergeCell ref="U792:V792"/>
    <mergeCell ref="W792:W793"/>
    <mergeCell ref="U793:V793"/>
    <mergeCell ref="T790:V791"/>
    <mergeCell ref="S845:S848"/>
    <mergeCell ref="W845:W846"/>
    <mergeCell ref="U847:V847"/>
    <mergeCell ref="W847:W848"/>
    <mergeCell ref="U848:V848"/>
    <mergeCell ref="T845:V846"/>
    <mergeCell ref="S840:S843"/>
    <mergeCell ref="W840:W841"/>
    <mergeCell ref="U842:V842"/>
    <mergeCell ref="W842:W843"/>
    <mergeCell ref="U843:V843"/>
    <mergeCell ref="T840:V841"/>
    <mergeCell ref="S835:S838"/>
    <mergeCell ref="W835:W836"/>
    <mergeCell ref="U837:V837"/>
    <mergeCell ref="W837:W838"/>
    <mergeCell ref="U838:V838"/>
    <mergeCell ref="T835:V836"/>
    <mergeCell ref="S830:S833"/>
    <mergeCell ref="W830:W831"/>
    <mergeCell ref="U832:V832"/>
    <mergeCell ref="W832:W833"/>
    <mergeCell ref="U833:V833"/>
    <mergeCell ref="T830:V831"/>
    <mergeCell ref="S825:S828"/>
    <mergeCell ref="W825:W826"/>
    <mergeCell ref="U827:V827"/>
    <mergeCell ref="W827:W828"/>
    <mergeCell ref="U828:V828"/>
    <mergeCell ref="T825:V826"/>
    <mergeCell ref="S820:S823"/>
    <mergeCell ref="W820:W821"/>
    <mergeCell ref="U822:V822"/>
    <mergeCell ref="W822:W823"/>
    <mergeCell ref="U823:V823"/>
    <mergeCell ref="T820:V821"/>
    <mergeCell ref="S875:S878"/>
    <mergeCell ref="W875:W876"/>
    <mergeCell ref="U877:V877"/>
    <mergeCell ref="W877:W878"/>
    <mergeCell ref="U878:V878"/>
    <mergeCell ref="T875:V876"/>
    <mergeCell ref="S870:S873"/>
    <mergeCell ref="W870:W871"/>
    <mergeCell ref="U872:V872"/>
    <mergeCell ref="W872:W873"/>
    <mergeCell ref="U873:V873"/>
    <mergeCell ref="T870:V871"/>
    <mergeCell ref="S865:S868"/>
    <mergeCell ref="W865:W866"/>
    <mergeCell ref="U867:V867"/>
    <mergeCell ref="W867:W868"/>
    <mergeCell ref="U868:V868"/>
    <mergeCell ref="T865:V866"/>
    <mergeCell ref="S860:S863"/>
    <mergeCell ref="W860:W861"/>
    <mergeCell ref="U862:V862"/>
    <mergeCell ref="W862:W863"/>
    <mergeCell ref="U863:V863"/>
    <mergeCell ref="T860:V861"/>
    <mergeCell ref="S855:S858"/>
    <mergeCell ref="W855:W856"/>
    <mergeCell ref="U857:V857"/>
    <mergeCell ref="W857:W858"/>
    <mergeCell ref="U858:V858"/>
    <mergeCell ref="T855:V856"/>
    <mergeCell ref="S850:S853"/>
    <mergeCell ref="W850:W851"/>
    <mergeCell ref="U852:V852"/>
    <mergeCell ref="W852:W853"/>
    <mergeCell ref="U853:V853"/>
    <mergeCell ref="T850:V851"/>
    <mergeCell ref="S905:S908"/>
    <mergeCell ref="W905:W906"/>
    <mergeCell ref="U907:V907"/>
    <mergeCell ref="W907:W908"/>
    <mergeCell ref="U908:V908"/>
    <mergeCell ref="T905:V906"/>
    <mergeCell ref="S900:S903"/>
    <mergeCell ref="W900:W901"/>
    <mergeCell ref="U902:V902"/>
    <mergeCell ref="W902:W903"/>
    <mergeCell ref="U903:V903"/>
    <mergeCell ref="T900:V901"/>
    <mergeCell ref="S895:S898"/>
    <mergeCell ref="W895:W896"/>
    <mergeCell ref="U897:V897"/>
    <mergeCell ref="W897:W898"/>
    <mergeCell ref="U898:V898"/>
    <mergeCell ref="T895:V896"/>
    <mergeCell ref="S890:S893"/>
    <mergeCell ref="W890:W891"/>
    <mergeCell ref="U892:V892"/>
    <mergeCell ref="W892:W893"/>
    <mergeCell ref="U893:V893"/>
    <mergeCell ref="T890:V891"/>
    <mergeCell ref="S885:S888"/>
    <mergeCell ref="W885:W886"/>
    <mergeCell ref="U887:V887"/>
    <mergeCell ref="W887:W888"/>
    <mergeCell ref="U888:V888"/>
    <mergeCell ref="T885:V886"/>
    <mergeCell ref="S880:S883"/>
    <mergeCell ref="W880:W881"/>
    <mergeCell ref="U882:V882"/>
    <mergeCell ref="W882:W883"/>
    <mergeCell ref="U883:V883"/>
    <mergeCell ref="T880:V881"/>
    <mergeCell ref="S935:S938"/>
    <mergeCell ref="W935:W936"/>
    <mergeCell ref="U937:V937"/>
    <mergeCell ref="W937:W938"/>
    <mergeCell ref="U938:V938"/>
    <mergeCell ref="T935:V936"/>
    <mergeCell ref="S930:S933"/>
    <mergeCell ref="W930:W931"/>
    <mergeCell ref="U932:V932"/>
    <mergeCell ref="W932:W933"/>
    <mergeCell ref="U933:V933"/>
    <mergeCell ref="T930:V931"/>
    <mergeCell ref="S925:S928"/>
    <mergeCell ref="W925:W926"/>
    <mergeCell ref="U927:V927"/>
    <mergeCell ref="W927:W928"/>
    <mergeCell ref="U928:V928"/>
    <mergeCell ref="T925:V926"/>
    <mergeCell ref="S920:S923"/>
    <mergeCell ref="W920:W921"/>
    <mergeCell ref="U922:V922"/>
    <mergeCell ref="W922:W923"/>
    <mergeCell ref="U923:V923"/>
    <mergeCell ref="T920:V921"/>
    <mergeCell ref="S915:S918"/>
    <mergeCell ref="W915:W916"/>
    <mergeCell ref="U917:V917"/>
    <mergeCell ref="W917:W918"/>
    <mergeCell ref="U918:V918"/>
    <mergeCell ref="T915:V916"/>
    <mergeCell ref="S910:S913"/>
    <mergeCell ref="W910:W911"/>
    <mergeCell ref="U912:V912"/>
    <mergeCell ref="W912:W913"/>
    <mergeCell ref="U913:V913"/>
    <mergeCell ref="T910:V911"/>
    <mergeCell ref="S965:S968"/>
    <mergeCell ref="W965:W966"/>
    <mergeCell ref="U967:V967"/>
    <mergeCell ref="W967:W968"/>
    <mergeCell ref="U968:V968"/>
    <mergeCell ref="T965:V966"/>
    <mergeCell ref="S960:S963"/>
    <mergeCell ref="W960:W961"/>
    <mergeCell ref="U962:V962"/>
    <mergeCell ref="W962:W963"/>
    <mergeCell ref="U963:V963"/>
    <mergeCell ref="T960:V961"/>
    <mergeCell ref="S955:S958"/>
    <mergeCell ref="W955:W956"/>
    <mergeCell ref="U957:V957"/>
    <mergeCell ref="W957:W958"/>
    <mergeCell ref="U958:V958"/>
    <mergeCell ref="T955:V956"/>
    <mergeCell ref="S950:S953"/>
    <mergeCell ref="W950:W951"/>
    <mergeCell ref="U952:V952"/>
    <mergeCell ref="W952:W953"/>
    <mergeCell ref="U953:V953"/>
    <mergeCell ref="T950:V951"/>
    <mergeCell ref="S945:S948"/>
    <mergeCell ref="W945:W946"/>
    <mergeCell ref="U947:V947"/>
    <mergeCell ref="W947:W948"/>
    <mergeCell ref="U948:V948"/>
    <mergeCell ref="T945:V946"/>
    <mergeCell ref="S940:S943"/>
    <mergeCell ref="W940:W941"/>
    <mergeCell ref="U942:V942"/>
    <mergeCell ref="W942:W943"/>
    <mergeCell ref="U943:V943"/>
    <mergeCell ref="T940:V941"/>
    <mergeCell ref="S995:S998"/>
    <mergeCell ref="W995:W996"/>
    <mergeCell ref="U997:V997"/>
    <mergeCell ref="W997:W998"/>
    <mergeCell ref="U998:V998"/>
    <mergeCell ref="T995:V996"/>
    <mergeCell ref="S990:S993"/>
    <mergeCell ref="W990:W991"/>
    <mergeCell ref="U992:V992"/>
    <mergeCell ref="W992:W993"/>
    <mergeCell ref="U993:V993"/>
    <mergeCell ref="T990:V991"/>
    <mergeCell ref="S985:S988"/>
    <mergeCell ref="W985:W986"/>
    <mergeCell ref="U987:V987"/>
    <mergeCell ref="W987:W988"/>
    <mergeCell ref="U988:V988"/>
    <mergeCell ref="T985:V986"/>
    <mergeCell ref="S980:S983"/>
    <mergeCell ref="W980:W981"/>
    <mergeCell ref="U982:V982"/>
    <mergeCell ref="W982:W983"/>
    <mergeCell ref="U983:V983"/>
    <mergeCell ref="T980:V981"/>
    <mergeCell ref="S975:S978"/>
    <mergeCell ref="W975:W976"/>
    <mergeCell ref="U977:V977"/>
    <mergeCell ref="W977:W978"/>
    <mergeCell ref="U978:V978"/>
    <mergeCell ref="T975:V976"/>
    <mergeCell ref="S970:S973"/>
    <mergeCell ref="W970:W971"/>
    <mergeCell ref="U972:V972"/>
    <mergeCell ref="W972:W973"/>
    <mergeCell ref="U973:V973"/>
    <mergeCell ref="T970:V971"/>
    <mergeCell ref="AA55:AA58"/>
    <mergeCell ref="AC57:AD57"/>
    <mergeCell ref="AC58:AD58"/>
    <mergeCell ref="AB55:AD56"/>
    <mergeCell ref="AA50:AA53"/>
    <mergeCell ref="AC52:AD52"/>
    <mergeCell ref="AC53:AD53"/>
    <mergeCell ref="AB50:AD51"/>
    <mergeCell ref="AA45:AA48"/>
    <mergeCell ref="AC47:AD47"/>
    <mergeCell ref="AC48:AD48"/>
    <mergeCell ref="AB45:AD46"/>
    <mergeCell ref="AA40:AA43"/>
    <mergeCell ref="AC42:AD42"/>
    <mergeCell ref="AC43:AD43"/>
    <mergeCell ref="AB40:AD41"/>
    <mergeCell ref="AA35:AA38"/>
    <mergeCell ref="AC37:AD37"/>
    <mergeCell ref="AC38:AD38"/>
    <mergeCell ref="AB35:AD36"/>
    <mergeCell ref="AA30:AA33"/>
    <mergeCell ref="AC32:AD32"/>
    <mergeCell ref="AC33:AD33"/>
    <mergeCell ref="AB30:AD31"/>
    <mergeCell ref="AA25:AA28"/>
    <mergeCell ref="AC27:AD27"/>
    <mergeCell ref="AC28:AD28"/>
    <mergeCell ref="AB25:AD26"/>
    <mergeCell ref="S1025:S1028"/>
    <mergeCell ref="W1025:W1026"/>
    <mergeCell ref="U1027:V1027"/>
    <mergeCell ref="W1027:W1028"/>
    <mergeCell ref="U1028:V1028"/>
    <mergeCell ref="T1025:V1026"/>
    <mergeCell ref="S1020:S1023"/>
    <mergeCell ref="W1020:W1021"/>
    <mergeCell ref="U1022:V1022"/>
    <mergeCell ref="W1022:W1023"/>
    <mergeCell ref="U1023:V1023"/>
    <mergeCell ref="T1020:V1021"/>
    <mergeCell ref="S1015:S1018"/>
    <mergeCell ref="W1015:W1016"/>
    <mergeCell ref="U1017:V1017"/>
    <mergeCell ref="W1017:W1018"/>
    <mergeCell ref="U1018:V1018"/>
    <mergeCell ref="T1015:V1016"/>
    <mergeCell ref="S1010:S1013"/>
    <mergeCell ref="W1010:W1011"/>
    <mergeCell ref="U1012:V1012"/>
    <mergeCell ref="W1012:W1013"/>
    <mergeCell ref="U1013:V1013"/>
    <mergeCell ref="T1010:V1011"/>
    <mergeCell ref="S1005:S1008"/>
    <mergeCell ref="W1005:W1006"/>
    <mergeCell ref="U1007:V1007"/>
    <mergeCell ref="W1007:W1008"/>
    <mergeCell ref="U1008:V1008"/>
    <mergeCell ref="T1005:V1006"/>
    <mergeCell ref="S1000:S1003"/>
    <mergeCell ref="W1000:W1001"/>
    <mergeCell ref="U1002:V1002"/>
    <mergeCell ref="W1002:W1003"/>
    <mergeCell ref="U1003:V1003"/>
    <mergeCell ref="T1000:V1001"/>
    <mergeCell ref="AA100:AA103"/>
    <mergeCell ref="AC102:AD102"/>
    <mergeCell ref="AC103:AD103"/>
    <mergeCell ref="AB100:AD101"/>
    <mergeCell ref="AA95:AA98"/>
    <mergeCell ref="AC97:AD97"/>
    <mergeCell ref="AC98:AD98"/>
    <mergeCell ref="AB95:AD96"/>
    <mergeCell ref="AA90:AA93"/>
    <mergeCell ref="AC92:AD92"/>
    <mergeCell ref="AC93:AD93"/>
    <mergeCell ref="AB90:AD91"/>
    <mergeCell ref="AA85:AA88"/>
    <mergeCell ref="AC87:AD87"/>
    <mergeCell ref="AC88:AD88"/>
    <mergeCell ref="AB85:AD86"/>
    <mergeCell ref="AA80:AA83"/>
    <mergeCell ref="AC82:AD82"/>
    <mergeCell ref="AC83:AD83"/>
    <mergeCell ref="AB80:AD81"/>
    <mergeCell ref="AA75:AA78"/>
    <mergeCell ref="AC77:AD77"/>
    <mergeCell ref="AC78:AD78"/>
    <mergeCell ref="AB75:AD76"/>
    <mergeCell ref="AA70:AA73"/>
    <mergeCell ref="AC72:AD72"/>
    <mergeCell ref="AC73:AD73"/>
    <mergeCell ref="AB70:AD71"/>
    <mergeCell ref="AA65:AA68"/>
    <mergeCell ref="AC67:AD67"/>
    <mergeCell ref="AC68:AD68"/>
    <mergeCell ref="AB65:AD66"/>
    <mergeCell ref="AA60:AA63"/>
    <mergeCell ref="AC62:AD62"/>
    <mergeCell ref="AC63:AD63"/>
    <mergeCell ref="AB60:AD61"/>
    <mergeCell ref="AA145:AA148"/>
    <mergeCell ref="AC147:AD147"/>
    <mergeCell ref="AC148:AD148"/>
    <mergeCell ref="AB145:AD146"/>
    <mergeCell ref="AA140:AA143"/>
    <mergeCell ref="AC142:AD142"/>
    <mergeCell ref="AC143:AD143"/>
    <mergeCell ref="AB140:AD141"/>
    <mergeCell ref="AA135:AA138"/>
    <mergeCell ref="AC137:AD137"/>
    <mergeCell ref="AC138:AD138"/>
    <mergeCell ref="AB135:AD136"/>
    <mergeCell ref="AA130:AA133"/>
    <mergeCell ref="AC132:AD132"/>
    <mergeCell ref="AC133:AD133"/>
    <mergeCell ref="AB130:AD131"/>
    <mergeCell ref="AA125:AA128"/>
    <mergeCell ref="AC127:AD127"/>
    <mergeCell ref="AC128:AD128"/>
    <mergeCell ref="AB125:AD126"/>
    <mergeCell ref="AA120:AA123"/>
    <mergeCell ref="AC122:AD122"/>
    <mergeCell ref="AC123:AD123"/>
    <mergeCell ref="AB120:AD121"/>
    <mergeCell ref="AA115:AA118"/>
    <mergeCell ref="AC117:AD117"/>
    <mergeCell ref="AC118:AD118"/>
    <mergeCell ref="AB115:AD116"/>
    <mergeCell ref="AA110:AA113"/>
    <mergeCell ref="AC112:AD112"/>
    <mergeCell ref="AC113:AD113"/>
    <mergeCell ref="AB110:AD111"/>
    <mergeCell ref="AA105:AA108"/>
    <mergeCell ref="AC107:AD107"/>
    <mergeCell ref="AC108:AD108"/>
    <mergeCell ref="AB105:AD106"/>
    <mergeCell ref="AA190:AA193"/>
    <mergeCell ref="AC192:AD192"/>
    <mergeCell ref="AC193:AD193"/>
    <mergeCell ref="AB190:AD191"/>
    <mergeCell ref="AA185:AA188"/>
    <mergeCell ref="AC187:AD187"/>
    <mergeCell ref="AC188:AD188"/>
    <mergeCell ref="AB185:AD186"/>
    <mergeCell ref="AA180:AA183"/>
    <mergeCell ref="AC182:AD182"/>
    <mergeCell ref="AC183:AD183"/>
    <mergeCell ref="AB180:AD181"/>
    <mergeCell ref="AA175:AA178"/>
    <mergeCell ref="AC177:AD177"/>
    <mergeCell ref="AC178:AD178"/>
    <mergeCell ref="AB175:AD176"/>
    <mergeCell ref="AA170:AA173"/>
    <mergeCell ref="AC172:AD172"/>
    <mergeCell ref="AC173:AD173"/>
    <mergeCell ref="AB170:AD171"/>
    <mergeCell ref="AA165:AA168"/>
    <mergeCell ref="AC167:AD167"/>
    <mergeCell ref="AC168:AD168"/>
    <mergeCell ref="AB165:AD166"/>
    <mergeCell ref="AA160:AA163"/>
    <mergeCell ref="AC162:AD162"/>
    <mergeCell ref="AC163:AD163"/>
    <mergeCell ref="AB160:AD161"/>
    <mergeCell ref="AA155:AA158"/>
    <mergeCell ref="AC157:AD157"/>
    <mergeCell ref="AC158:AD158"/>
    <mergeCell ref="AB155:AD156"/>
    <mergeCell ref="AA150:AA153"/>
    <mergeCell ref="AC152:AD152"/>
    <mergeCell ref="AC153:AD153"/>
    <mergeCell ref="AB150:AD151"/>
    <mergeCell ref="AA235:AA238"/>
    <mergeCell ref="AC237:AD237"/>
    <mergeCell ref="AC238:AD238"/>
    <mergeCell ref="AB235:AD236"/>
    <mergeCell ref="AA230:AA233"/>
    <mergeCell ref="AC232:AD232"/>
    <mergeCell ref="AC233:AD233"/>
    <mergeCell ref="AB230:AD231"/>
    <mergeCell ref="AA225:AA228"/>
    <mergeCell ref="AC227:AD227"/>
    <mergeCell ref="AC228:AD228"/>
    <mergeCell ref="AB225:AD226"/>
    <mergeCell ref="AA220:AA223"/>
    <mergeCell ref="AC222:AD222"/>
    <mergeCell ref="AC223:AD223"/>
    <mergeCell ref="AB220:AD221"/>
    <mergeCell ref="AA215:AA218"/>
    <mergeCell ref="AC217:AD217"/>
    <mergeCell ref="AC218:AD218"/>
    <mergeCell ref="AB215:AD216"/>
    <mergeCell ref="AA210:AA213"/>
    <mergeCell ref="AC212:AD212"/>
    <mergeCell ref="AC213:AD213"/>
    <mergeCell ref="AB210:AD211"/>
    <mergeCell ref="AA205:AA208"/>
    <mergeCell ref="AC207:AD207"/>
    <mergeCell ref="AC208:AD208"/>
    <mergeCell ref="AB205:AD206"/>
    <mergeCell ref="AA200:AA203"/>
    <mergeCell ref="AC202:AD202"/>
    <mergeCell ref="AC203:AD203"/>
    <mergeCell ref="AB200:AD201"/>
    <mergeCell ref="AA195:AA198"/>
    <mergeCell ref="AC197:AD197"/>
    <mergeCell ref="AC198:AD198"/>
    <mergeCell ref="AB195:AD196"/>
    <mergeCell ref="AA280:AA283"/>
    <mergeCell ref="AC282:AD282"/>
    <mergeCell ref="AC283:AD283"/>
    <mergeCell ref="AB280:AD281"/>
    <mergeCell ref="AA275:AA278"/>
    <mergeCell ref="AC277:AD277"/>
    <mergeCell ref="AC278:AD278"/>
    <mergeCell ref="AB275:AD276"/>
    <mergeCell ref="AA270:AA273"/>
    <mergeCell ref="AC272:AD272"/>
    <mergeCell ref="AC273:AD273"/>
    <mergeCell ref="AB270:AD271"/>
    <mergeCell ref="AA265:AA268"/>
    <mergeCell ref="AC267:AD267"/>
    <mergeCell ref="AC268:AD268"/>
    <mergeCell ref="AB265:AD266"/>
    <mergeCell ref="AA260:AA263"/>
    <mergeCell ref="AC262:AD262"/>
    <mergeCell ref="AC263:AD263"/>
    <mergeCell ref="AB260:AD261"/>
    <mergeCell ref="AA255:AA258"/>
    <mergeCell ref="AC257:AD257"/>
    <mergeCell ref="AC258:AD258"/>
    <mergeCell ref="AB255:AD256"/>
    <mergeCell ref="AA250:AA253"/>
    <mergeCell ref="AC252:AD252"/>
    <mergeCell ref="AC253:AD253"/>
    <mergeCell ref="AB250:AD251"/>
    <mergeCell ref="AA245:AA248"/>
    <mergeCell ref="AC247:AD247"/>
    <mergeCell ref="AC248:AD248"/>
    <mergeCell ref="AB245:AD246"/>
    <mergeCell ref="AA240:AA243"/>
    <mergeCell ref="AC242:AD242"/>
    <mergeCell ref="AC243:AD243"/>
    <mergeCell ref="AB240:AD241"/>
    <mergeCell ref="AA325:AA328"/>
    <mergeCell ref="AC327:AD327"/>
    <mergeCell ref="AC328:AD328"/>
    <mergeCell ref="AB325:AD326"/>
    <mergeCell ref="AA320:AA323"/>
    <mergeCell ref="AC322:AD322"/>
    <mergeCell ref="AC323:AD323"/>
    <mergeCell ref="AB320:AD321"/>
    <mergeCell ref="AA315:AA318"/>
    <mergeCell ref="AC317:AD317"/>
    <mergeCell ref="AC318:AD318"/>
    <mergeCell ref="AB315:AD316"/>
    <mergeCell ref="AA310:AA313"/>
    <mergeCell ref="AC312:AD312"/>
    <mergeCell ref="AC313:AD313"/>
    <mergeCell ref="AB310:AD311"/>
    <mergeCell ref="AA305:AA308"/>
    <mergeCell ref="AC307:AD307"/>
    <mergeCell ref="AC308:AD308"/>
    <mergeCell ref="AB305:AD306"/>
    <mergeCell ref="AA300:AA303"/>
    <mergeCell ref="AC302:AD302"/>
    <mergeCell ref="AC303:AD303"/>
    <mergeCell ref="AB300:AD301"/>
    <mergeCell ref="AA295:AA298"/>
    <mergeCell ref="AC297:AD297"/>
    <mergeCell ref="AC298:AD298"/>
    <mergeCell ref="AB295:AD296"/>
    <mergeCell ref="AA290:AA293"/>
    <mergeCell ref="AC292:AD292"/>
    <mergeCell ref="AC293:AD293"/>
    <mergeCell ref="AB290:AD291"/>
    <mergeCell ref="AA285:AA288"/>
    <mergeCell ref="AC287:AD287"/>
    <mergeCell ref="AC288:AD288"/>
    <mergeCell ref="AB285:AD286"/>
    <mergeCell ref="AA370:AA373"/>
    <mergeCell ref="AC372:AD372"/>
    <mergeCell ref="AC373:AD373"/>
    <mergeCell ref="AB370:AD371"/>
    <mergeCell ref="AA365:AA368"/>
    <mergeCell ref="AC367:AD367"/>
    <mergeCell ref="AC368:AD368"/>
    <mergeCell ref="AB365:AD366"/>
    <mergeCell ref="AA360:AA363"/>
    <mergeCell ref="AC362:AD362"/>
    <mergeCell ref="AC363:AD363"/>
    <mergeCell ref="AB360:AD361"/>
    <mergeCell ref="AA355:AA358"/>
    <mergeCell ref="AC357:AD357"/>
    <mergeCell ref="AC358:AD358"/>
    <mergeCell ref="AB355:AD356"/>
    <mergeCell ref="AA350:AA353"/>
    <mergeCell ref="AC352:AD352"/>
    <mergeCell ref="AC353:AD353"/>
    <mergeCell ref="AB350:AD351"/>
    <mergeCell ref="AA345:AA348"/>
    <mergeCell ref="AC347:AD347"/>
    <mergeCell ref="AC348:AD348"/>
    <mergeCell ref="AB345:AD346"/>
    <mergeCell ref="AA340:AA343"/>
    <mergeCell ref="AC342:AD342"/>
    <mergeCell ref="AC343:AD343"/>
    <mergeCell ref="AB340:AD341"/>
    <mergeCell ref="AA335:AA338"/>
    <mergeCell ref="AC337:AD337"/>
    <mergeCell ref="AC338:AD338"/>
    <mergeCell ref="AB335:AD336"/>
    <mergeCell ref="AA330:AA333"/>
    <mergeCell ref="AC332:AD332"/>
    <mergeCell ref="AC333:AD333"/>
    <mergeCell ref="AB330:AD331"/>
    <mergeCell ref="AA415:AA418"/>
    <mergeCell ref="AC417:AD417"/>
    <mergeCell ref="AC418:AD418"/>
    <mergeCell ref="AB415:AD416"/>
    <mergeCell ref="AA410:AA413"/>
    <mergeCell ref="AC412:AD412"/>
    <mergeCell ref="AC413:AD413"/>
    <mergeCell ref="AB410:AD411"/>
    <mergeCell ref="AA405:AA408"/>
    <mergeCell ref="AC407:AD407"/>
    <mergeCell ref="AC408:AD408"/>
    <mergeCell ref="AB405:AD406"/>
    <mergeCell ref="AA400:AA403"/>
    <mergeCell ref="AC402:AD402"/>
    <mergeCell ref="AC403:AD403"/>
    <mergeCell ref="AB400:AD401"/>
    <mergeCell ref="AA395:AA398"/>
    <mergeCell ref="AC397:AD397"/>
    <mergeCell ref="AC398:AD398"/>
    <mergeCell ref="AB395:AD396"/>
    <mergeCell ref="AA390:AA393"/>
    <mergeCell ref="AC392:AD392"/>
    <mergeCell ref="AC393:AD393"/>
    <mergeCell ref="AB390:AD391"/>
    <mergeCell ref="AA385:AA388"/>
    <mergeCell ref="AC387:AD387"/>
    <mergeCell ref="AC388:AD388"/>
    <mergeCell ref="AB385:AD386"/>
    <mergeCell ref="AA380:AA383"/>
    <mergeCell ref="AC382:AD382"/>
    <mergeCell ref="AC383:AD383"/>
    <mergeCell ref="AB380:AD381"/>
    <mergeCell ref="AA375:AA378"/>
    <mergeCell ref="AC377:AD377"/>
    <mergeCell ref="AC378:AD378"/>
    <mergeCell ref="AB375:AD376"/>
    <mergeCell ref="AA460:AA463"/>
    <mergeCell ref="AC462:AD462"/>
    <mergeCell ref="AC463:AD463"/>
    <mergeCell ref="AB460:AD461"/>
    <mergeCell ref="AA455:AA458"/>
    <mergeCell ref="AC457:AD457"/>
    <mergeCell ref="AC458:AD458"/>
    <mergeCell ref="AB455:AD456"/>
    <mergeCell ref="AA450:AA453"/>
    <mergeCell ref="AC452:AD452"/>
    <mergeCell ref="AC453:AD453"/>
    <mergeCell ref="AB450:AD451"/>
    <mergeCell ref="AA445:AA448"/>
    <mergeCell ref="AC447:AD447"/>
    <mergeCell ref="AC448:AD448"/>
    <mergeCell ref="AB445:AD446"/>
    <mergeCell ref="AA440:AA443"/>
    <mergeCell ref="AC442:AD442"/>
    <mergeCell ref="AC443:AD443"/>
    <mergeCell ref="AB440:AD441"/>
    <mergeCell ref="AA435:AA438"/>
    <mergeCell ref="AC437:AD437"/>
    <mergeCell ref="AC438:AD438"/>
    <mergeCell ref="AB435:AD436"/>
    <mergeCell ref="AA430:AA433"/>
    <mergeCell ref="AC432:AD432"/>
    <mergeCell ref="AC433:AD433"/>
    <mergeCell ref="AB430:AD431"/>
    <mergeCell ref="AA425:AA428"/>
    <mergeCell ref="AC427:AD427"/>
    <mergeCell ref="AC428:AD428"/>
    <mergeCell ref="AB425:AD426"/>
    <mergeCell ref="AA420:AA423"/>
    <mergeCell ref="AC422:AD422"/>
    <mergeCell ref="AC423:AD423"/>
    <mergeCell ref="AB420:AD421"/>
    <mergeCell ref="AA505:AA508"/>
    <mergeCell ref="AC507:AD507"/>
    <mergeCell ref="AC508:AD508"/>
    <mergeCell ref="AB505:AD506"/>
    <mergeCell ref="AA500:AA503"/>
    <mergeCell ref="AC502:AD502"/>
    <mergeCell ref="AC503:AD503"/>
    <mergeCell ref="AB500:AD501"/>
    <mergeCell ref="AA495:AA498"/>
    <mergeCell ref="AC497:AD497"/>
    <mergeCell ref="AC498:AD498"/>
    <mergeCell ref="AB495:AD496"/>
    <mergeCell ref="AA490:AA493"/>
    <mergeCell ref="AC492:AD492"/>
    <mergeCell ref="AC493:AD493"/>
    <mergeCell ref="AB490:AD491"/>
    <mergeCell ref="AA485:AA488"/>
    <mergeCell ref="AC487:AD487"/>
    <mergeCell ref="AC488:AD488"/>
    <mergeCell ref="AB485:AD486"/>
    <mergeCell ref="AA480:AA483"/>
    <mergeCell ref="AC482:AD482"/>
    <mergeCell ref="AC483:AD483"/>
    <mergeCell ref="AB480:AD481"/>
    <mergeCell ref="AA475:AA478"/>
    <mergeCell ref="AC477:AD477"/>
    <mergeCell ref="AC478:AD478"/>
    <mergeCell ref="AB475:AD476"/>
    <mergeCell ref="AA470:AA473"/>
    <mergeCell ref="AC472:AD472"/>
    <mergeCell ref="AC473:AD473"/>
    <mergeCell ref="AB470:AD471"/>
    <mergeCell ref="AA465:AA468"/>
    <mergeCell ref="AC467:AD467"/>
    <mergeCell ref="AC468:AD468"/>
    <mergeCell ref="AB465:AD466"/>
    <mergeCell ref="AA550:AA553"/>
    <mergeCell ref="AC552:AD552"/>
    <mergeCell ref="AC553:AD553"/>
    <mergeCell ref="AB550:AD551"/>
    <mergeCell ref="AA545:AA548"/>
    <mergeCell ref="AC547:AD547"/>
    <mergeCell ref="AC548:AD548"/>
    <mergeCell ref="AB545:AD546"/>
    <mergeCell ref="AA540:AA543"/>
    <mergeCell ref="AC542:AD542"/>
    <mergeCell ref="AC543:AD543"/>
    <mergeCell ref="AB540:AD541"/>
    <mergeCell ref="AA535:AA538"/>
    <mergeCell ref="AC537:AD537"/>
    <mergeCell ref="AC538:AD538"/>
    <mergeCell ref="AB535:AD536"/>
    <mergeCell ref="AA530:AA533"/>
    <mergeCell ref="AC532:AD532"/>
    <mergeCell ref="AC533:AD533"/>
    <mergeCell ref="AB530:AD531"/>
    <mergeCell ref="AA525:AA528"/>
    <mergeCell ref="AC527:AD527"/>
    <mergeCell ref="AC528:AD528"/>
    <mergeCell ref="AB525:AD526"/>
    <mergeCell ref="AA520:AA523"/>
    <mergeCell ref="AC522:AD522"/>
    <mergeCell ref="AC523:AD523"/>
    <mergeCell ref="AB520:AD521"/>
    <mergeCell ref="AA515:AA518"/>
    <mergeCell ref="AC517:AD517"/>
    <mergeCell ref="AC518:AD518"/>
    <mergeCell ref="AB515:AD516"/>
    <mergeCell ref="AA510:AA513"/>
    <mergeCell ref="AC512:AD512"/>
    <mergeCell ref="AC513:AD513"/>
    <mergeCell ref="AB510:AD511"/>
    <mergeCell ref="AA595:AA598"/>
    <mergeCell ref="AC597:AD597"/>
    <mergeCell ref="AC598:AD598"/>
    <mergeCell ref="AB595:AD596"/>
    <mergeCell ref="AA590:AA593"/>
    <mergeCell ref="AC592:AD592"/>
    <mergeCell ref="AC593:AD593"/>
    <mergeCell ref="AB590:AD591"/>
    <mergeCell ref="AA585:AA588"/>
    <mergeCell ref="AC587:AD587"/>
    <mergeCell ref="AC588:AD588"/>
    <mergeCell ref="AB585:AD586"/>
    <mergeCell ref="AA580:AA583"/>
    <mergeCell ref="AC582:AD582"/>
    <mergeCell ref="AC583:AD583"/>
    <mergeCell ref="AB580:AD581"/>
    <mergeCell ref="AA575:AA578"/>
    <mergeCell ref="AC577:AD577"/>
    <mergeCell ref="AC578:AD578"/>
    <mergeCell ref="AB575:AD576"/>
    <mergeCell ref="AA570:AA573"/>
    <mergeCell ref="AC572:AD572"/>
    <mergeCell ref="AC573:AD573"/>
    <mergeCell ref="AB570:AD571"/>
    <mergeCell ref="AA565:AA568"/>
    <mergeCell ref="AC567:AD567"/>
    <mergeCell ref="AC568:AD568"/>
    <mergeCell ref="AB565:AD566"/>
    <mergeCell ref="AA560:AA563"/>
    <mergeCell ref="AC562:AD562"/>
    <mergeCell ref="AC563:AD563"/>
    <mergeCell ref="AB560:AD561"/>
    <mergeCell ref="AA555:AA558"/>
    <mergeCell ref="AC557:AD557"/>
    <mergeCell ref="AC558:AD558"/>
    <mergeCell ref="AB555:AD556"/>
    <mergeCell ref="AA640:AA643"/>
    <mergeCell ref="AC642:AD642"/>
    <mergeCell ref="AC643:AD643"/>
    <mergeCell ref="AB640:AD641"/>
    <mergeCell ref="AA635:AA638"/>
    <mergeCell ref="AC637:AD637"/>
    <mergeCell ref="AC638:AD638"/>
    <mergeCell ref="AB635:AD636"/>
    <mergeCell ref="AA630:AA633"/>
    <mergeCell ref="AC632:AD632"/>
    <mergeCell ref="AC633:AD633"/>
    <mergeCell ref="AB630:AD631"/>
    <mergeCell ref="AA625:AA628"/>
    <mergeCell ref="AC627:AD627"/>
    <mergeCell ref="AC628:AD628"/>
    <mergeCell ref="AB625:AD626"/>
    <mergeCell ref="AA620:AA623"/>
    <mergeCell ref="AC622:AD622"/>
    <mergeCell ref="AC623:AD623"/>
    <mergeCell ref="AB620:AD621"/>
    <mergeCell ref="AA615:AA618"/>
    <mergeCell ref="AC617:AD617"/>
    <mergeCell ref="AC618:AD618"/>
    <mergeCell ref="AB615:AD616"/>
    <mergeCell ref="AA610:AA613"/>
    <mergeCell ref="AC612:AD612"/>
    <mergeCell ref="AC613:AD613"/>
    <mergeCell ref="AB610:AD611"/>
    <mergeCell ref="AA605:AA608"/>
    <mergeCell ref="AC607:AD607"/>
    <mergeCell ref="AC608:AD608"/>
    <mergeCell ref="AB605:AD606"/>
    <mergeCell ref="AA600:AA603"/>
    <mergeCell ref="AC602:AD602"/>
    <mergeCell ref="AC603:AD603"/>
    <mergeCell ref="AB600:AD601"/>
    <mergeCell ref="AA685:AA688"/>
    <mergeCell ref="AC687:AD687"/>
    <mergeCell ref="AC688:AD688"/>
    <mergeCell ref="AB685:AD686"/>
    <mergeCell ref="AA680:AA683"/>
    <mergeCell ref="AC682:AD682"/>
    <mergeCell ref="AC683:AD683"/>
    <mergeCell ref="AB680:AD681"/>
    <mergeCell ref="AA675:AA678"/>
    <mergeCell ref="AC677:AD677"/>
    <mergeCell ref="AC678:AD678"/>
    <mergeCell ref="AB675:AD676"/>
    <mergeCell ref="AA670:AA673"/>
    <mergeCell ref="AC672:AD672"/>
    <mergeCell ref="AC673:AD673"/>
    <mergeCell ref="AB670:AD671"/>
    <mergeCell ref="AA665:AA668"/>
    <mergeCell ref="AC667:AD667"/>
    <mergeCell ref="AC668:AD668"/>
    <mergeCell ref="AB665:AD666"/>
    <mergeCell ref="AA660:AA663"/>
    <mergeCell ref="AC662:AD662"/>
    <mergeCell ref="AC663:AD663"/>
    <mergeCell ref="AB660:AD661"/>
    <mergeCell ref="AA655:AA658"/>
    <mergeCell ref="AC657:AD657"/>
    <mergeCell ref="AC658:AD658"/>
    <mergeCell ref="AB655:AD656"/>
    <mergeCell ref="AA650:AA653"/>
    <mergeCell ref="AC652:AD652"/>
    <mergeCell ref="AC653:AD653"/>
    <mergeCell ref="AB650:AD651"/>
    <mergeCell ref="AA645:AA648"/>
    <mergeCell ref="AC647:AD647"/>
    <mergeCell ref="AC648:AD648"/>
    <mergeCell ref="AB645:AD646"/>
    <mergeCell ref="AA730:AA733"/>
    <mergeCell ref="AC732:AD732"/>
    <mergeCell ref="AC733:AD733"/>
    <mergeCell ref="AB730:AD731"/>
    <mergeCell ref="AA725:AA728"/>
    <mergeCell ref="AC727:AD727"/>
    <mergeCell ref="AC728:AD728"/>
    <mergeCell ref="AB725:AD726"/>
    <mergeCell ref="AA720:AA723"/>
    <mergeCell ref="AC722:AD722"/>
    <mergeCell ref="AC723:AD723"/>
    <mergeCell ref="AB720:AD721"/>
    <mergeCell ref="AA715:AA718"/>
    <mergeCell ref="AC717:AD717"/>
    <mergeCell ref="AC718:AD718"/>
    <mergeCell ref="AB715:AD716"/>
    <mergeCell ref="AA710:AA713"/>
    <mergeCell ref="AC712:AD712"/>
    <mergeCell ref="AC713:AD713"/>
    <mergeCell ref="AB710:AD711"/>
    <mergeCell ref="AA705:AA708"/>
    <mergeCell ref="AC707:AD707"/>
    <mergeCell ref="AC708:AD708"/>
    <mergeCell ref="AB705:AD706"/>
    <mergeCell ref="AA700:AA703"/>
    <mergeCell ref="AC702:AD702"/>
    <mergeCell ref="AC703:AD703"/>
    <mergeCell ref="AB700:AD701"/>
    <mergeCell ref="AA695:AA698"/>
    <mergeCell ref="AC697:AD697"/>
    <mergeCell ref="AC698:AD698"/>
    <mergeCell ref="AB695:AD696"/>
    <mergeCell ref="AA690:AA693"/>
    <mergeCell ref="AC692:AD692"/>
    <mergeCell ref="AC693:AD693"/>
    <mergeCell ref="AB690:AD691"/>
    <mergeCell ref="AA775:AA778"/>
    <mergeCell ref="AC777:AD777"/>
    <mergeCell ref="AC778:AD778"/>
    <mergeCell ref="AB775:AD776"/>
    <mergeCell ref="AA770:AA773"/>
    <mergeCell ref="AC772:AD772"/>
    <mergeCell ref="AC773:AD773"/>
    <mergeCell ref="AB770:AD771"/>
    <mergeCell ref="AA765:AA768"/>
    <mergeCell ref="AC767:AD767"/>
    <mergeCell ref="AC768:AD768"/>
    <mergeCell ref="AB765:AD766"/>
    <mergeCell ref="AA760:AA763"/>
    <mergeCell ref="AC762:AD762"/>
    <mergeCell ref="AC763:AD763"/>
    <mergeCell ref="AB760:AD761"/>
    <mergeCell ref="AA755:AA758"/>
    <mergeCell ref="AC757:AD757"/>
    <mergeCell ref="AC758:AD758"/>
    <mergeCell ref="AB755:AD756"/>
    <mergeCell ref="AA750:AA753"/>
    <mergeCell ref="AC752:AD752"/>
    <mergeCell ref="AC753:AD753"/>
    <mergeCell ref="AB750:AD751"/>
    <mergeCell ref="AA745:AA748"/>
    <mergeCell ref="AC747:AD747"/>
    <mergeCell ref="AC748:AD748"/>
    <mergeCell ref="AB745:AD746"/>
    <mergeCell ref="AA740:AA743"/>
    <mergeCell ref="AC742:AD742"/>
    <mergeCell ref="AC743:AD743"/>
    <mergeCell ref="AB740:AD741"/>
    <mergeCell ref="AA735:AA738"/>
    <mergeCell ref="AC737:AD737"/>
    <mergeCell ref="AC738:AD738"/>
    <mergeCell ref="AB735:AD736"/>
    <mergeCell ref="AA820:AA823"/>
    <mergeCell ref="AC822:AD822"/>
    <mergeCell ref="AC823:AD823"/>
    <mergeCell ref="AB820:AD821"/>
    <mergeCell ref="AA815:AA818"/>
    <mergeCell ref="AC817:AD817"/>
    <mergeCell ref="AC818:AD818"/>
    <mergeCell ref="AB815:AD816"/>
    <mergeCell ref="AA810:AA813"/>
    <mergeCell ref="AC812:AD812"/>
    <mergeCell ref="AC813:AD813"/>
    <mergeCell ref="AB810:AD811"/>
    <mergeCell ref="AA805:AA808"/>
    <mergeCell ref="AC807:AD807"/>
    <mergeCell ref="AC808:AD808"/>
    <mergeCell ref="AB805:AD806"/>
    <mergeCell ref="AA800:AA803"/>
    <mergeCell ref="AC802:AD802"/>
    <mergeCell ref="AC803:AD803"/>
    <mergeCell ref="AB800:AD801"/>
    <mergeCell ref="AA795:AA798"/>
    <mergeCell ref="AC797:AD797"/>
    <mergeCell ref="AC798:AD798"/>
    <mergeCell ref="AB795:AD796"/>
    <mergeCell ref="AA790:AA793"/>
    <mergeCell ref="AC792:AD792"/>
    <mergeCell ref="AC793:AD793"/>
    <mergeCell ref="AB790:AD791"/>
    <mergeCell ref="AA785:AA788"/>
    <mergeCell ref="AC787:AD787"/>
    <mergeCell ref="AC788:AD788"/>
    <mergeCell ref="AB785:AD786"/>
    <mergeCell ref="AA780:AA783"/>
    <mergeCell ref="AC782:AD782"/>
    <mergeCell ref="AC783:AD783"/>
    <mergeCell ref="AB780:AD781"/>
    <mergeCell ref="AA865:AA868"/>
    <mergeCell ref="AC867:AD867"/>
    <mergeCell ref="AC868:AD868"/>
    <mergeCell ref="AB865:AD866"/>
    <mergeCell ref="AA860:AA863"/>
    <mergeCell ref="AC862:AD862"/>
    <mergeCell ref="AC863:AD863"/>
    <mergeCell ref="AB860:AD861"/>
    <mergeCell ref="AA855:AA858"/>
    <mergeCell ref="AC857:AD857"/>
    <mergeCell ref="AC858:AD858"/>
    <mergeCell ref="AB855:AD856"/>
    <mergeCell ref="AA850:AA853"/>
    <mergeCell ref="AC852:AD852"/>
    <mergeCell ref="AC853:AD853"/>
    <mergeCell ref="AB850:AD851"/>
    <mergeCell ref="AA845:AA848"/>
    <mergeCell ref="AC847:AD847"/>
    <mergeCell ref="AC848:AD848"/>
    <mergeCell ref="AB845:AD846"/>
    <mergeCell ref="AA840:AA843"/>
    <mergeCell ref="AC842:AD842"/>
    <mergeCell ref="AC843:AD843"/>
    <mergeCell ref="AB840:AD841"/>
    <mergeCell ref="AA835:AA838"/>
    <mergeCell ref="AC837:AD837"/>
    <mergeCell ref="AC838:AD838"/>
    <mergeCell ref="AB835:AD836"/>
    <mergeCell ref="AA830:AA833"/>
    <mergeCell ref="AC832:AD832"/>
    <mergeCell ref="AC833:AD833"/>
    <mergeCell ref="AB830:AD831"/>
    <mergeCell ref="AA825:AA828"/>
    <mergeCell ref="AC827:AD827"/>
    <mergeCell ref="AC828:AD828"/>
    <mergeCell ref="AB825:AD826"/>
    <mergeCell ref="AA910:AA913"/>
    <mergeCell ref="AC912:AD912"/>
    <mergeCell ref="AC913:AD913"/>
    <mergeCell ref="AB910:AD911"/>
    <mergeCell ref="AA905:AA908"/>
    <mergeCell ref="AC907:AD907"/>
    <mergeCell ref="AC908:AD908"/>
    <mergeCell ref="AB905:AD906"/>
    <mergeCell ref="AA900:AA903"/>
    <mergeCell ref="AC902:AD902"/>
    <mergeCell ref="AC903:AD903"/>
    <mergeCell ref="AB900:AD901"/>
    <mergeCell ref="AA895:AA898"/>
    <mergeCell ref="AC897:AD897"/>
    <mergeCell ref="AC898:AD898"/>
    <mergeCell ref="AB895:AD896"/>
    <mergeCell ref="AA890:AA893"/>
    <mergeCell ref="AC892:AD892"/>
    <mergeCell ref="AC893:AD893"/>
    <mergeCell ref="AB890:AD891"/>
    <mergeCell ref="AA885:AA888"/>
    <mergeCell ref="AC887:AD887"/>
    <mergeCell ref="AC888:AD888"/>
    <mergeCell ref="AB885:AD886"/>
    <mergeCell ref="AA880:AA883"/>
    <mergeCell ref="AC882:AD882"/>
    <mergeCell ref="AC883:AD883"/>
    <mergeCell ref="AB880:AD881"/>
    <mergeCell ref="AA875:AA878"/>
    <mergeCell ref="AC877:AD877"/>
    <mergeCell ref="AC878:AD878"/>
    <mergeCell ref="AB875:AD876"/>
    <mergeCell ref="AA870:AA873"/>
    <mergeCell ref="AC872:AD872"/>
    <mergeCell ref="AC873:AD873"/>
    <mergeCell ref="AB870:AD871"/>
    <mergeCell ref="AA955:AA958"/>
    <mergeCell ref="AC957:AD957"/>
    <mergeCell ref="AC958:AD958"/>
    <mergeCell ref="AB955:AD956"/>
    <mergeCell ref="AA950:AA953"/>
    <mergeCell ref="AC952:AD952"/>
    <mergeCell ref="AC953:AD953"/>
    <mergeCell ref="AB950:AD951"/>
    <mergeCell ref="AA945:AA948"/>
    <mergeCell ref="AC947:AD947"/>
    <mergeCell ref="AC948:AD948"/>
    <mergeCell ref="AB945:AD946"/>
    <mergeCell ref="AA940:AA943"/>
    <mergeCell ref="AC942:AD942"/>
    <mergeCell ref="AC943:AD943"/>
    <mergeCell ref="AB940:AD941"/>
    <mergeCell ref="AA935:AA938"/>
    <mergeCell ref="AC937:AD937"/>
    <mergeCell ref="AC938:AD938"/>
    <mergeCell ref="AB935:AD936"/>
    <mergeCell ref="AA930:AA933"/>
    <mergeCell ref="AC932:AD932"/>
    <mergeCell ref="AC933:AD933"/>
    <mergeCell ref="AB930:AD931"/>
    <mergeCell ref="AA925:AA928"/>
    <mergeCell ref="AC927:AD927"/>
    <mergeCell ref="AC928:AD928"/>
    <mergeCell ref="AB925:AD926"/>
    <mergeCell ref="AA920:AA923"/>
    <mergeCell ref="AC922:AD922"/>
    <mergeCell ref="AC923:AD923"/>
    <mergeCell ref="AB920:AD921"/>
    <mergeCell ref="AA915:AA918"/>
    <mergeCell ref="AC917:AD917"/>
    <mergeCell ref="AC918:AD918"/>
    <mergeCell ref="AB915:AD916"/>
    <mergeCell ref="AB1000:AD1001"/>
    <mergeCell ref="AA995:AA998"/>
    <mergeCell ref="AC997:AD997"/>
    <mergeCell ref="AC998:AD998"/>
    <mergeCell ref="AB995:AD996"/>
    <mergeCell ref="AA990:AA993"/>
    <mergeCell ref="AC992:AD992"/>
    <mergeCell ref="AC993:AD993"/>
    <mergeCell ref="AB990:AD991"/>
    <mergeCell ref="AA985:AA988"/>
    <mergeCell ref="AC987:AD987"/>
    <mergeCell ref="AC988:AD988"/>
    <mergeCell ref="AB985:AD986"/>
    <mergeCell ref="AA980:AA983"/>
    <mergeCell ref="AC982:AD982"/>
    <mergeCell ref="AC983:AD983"/>
    <mergeCell ref="AB980:AD981"/>
    <mergeCell ref="AA975:AA978"/>
    <mergeCell ref="AC977:AD977"/>
    <mergeCell ref="AC978:AD978"/>
    <mergeCell ref="AB975:AD976"/>
    <mergeCell ref="AA970:AA973"/>
    <mergeCell ref="AC972:AD972"/>
    <mergeCell ref="AC973:AD973"/>
    <mergeCell ref="AB970:AD971"/>
    <mergeCell ref="AA965:AA968"/>
    <mergeCell ref="AC967:AD967"/>
    <mergeCell ref="AC968:AD968"/>
    <mergeCell ref="AB965:AD966"/>
    <mergeCell ref="AA960:AA963"/>
    <mergeCell ref="AC962:AD962"/>
    <mergeCell ref="AC963:AD963"/>
    <mergeCell ref="AB960:AD961"/>
    <mergeCell ref="G1042:G1043"/>
    <mergeCell ref="E1043:F1043"/>
    <mergeCell ref="E1037:F1037"/>
    <mergeCell ref="G1037:G1038"/>
    <mergeCell ref="E1038:F1038"/>
    <mergeCell ref="E1032:F1032"/>
    <mergeCell ref="G1032:G1033"/>
    <mergeCell ref="E1033:F1033"/>
    <mergeCell ref="D15:F16"/>
    <mergeCell ref="AA1035:AA1038"/>
    <mergeCell ref="AC1037:AD1037"/>
    <mergeCell ref="AC1038:AD1038"/>
    <mergeCell ref="AB1035:AD1036"/>
    <mergeCell ref="AA1030:AA1033"/>
    <mergeCell ref="AC1032:AD1032"/>
    <mergeCell ref="AC1033:AD1033"/>
    <mergeCell ref="AB1030:AD1031"/>
    <mergeCell ref="S1035:S1038"/>
    <mergeCell ref="W1035:W1036"/>
    <mergeCell ref="U1037:V1037"/>
    <mergeCell ref="W1037:W1038"/>
    <mergeCell ref="U1038:V1038"/>
    <mergeCell ref="T1035:V1036"/>
    <mergeCell ref="S1030:S1033"/>
    <mergeCell ref="W1030:W1031"/>
    <mergeCell ref="U1032:V1032"/>
    <mergeCell ref="W1032:W1033"/>
    <mergeCell ref="U1033:V1033"/>
    <mergeCell ref="T1030:V1031"/>
    <mergeCell ref="C1025:C1028"/>
    <mergeCell ref="G1025:G1026"/>
    <mergeCell ref="E1027:F1027"/>
    <mergeCell ref="G1027:G1028"/>
    <mergeCell ref="E1028:F1028"/>
    <mergeCell ref="D1025:F1026"/>
    <mergeCell ref="C1020:C1023"/>
    <mergeCell ref="G1020:G1021"/>
    <mergeCell ref="E1022:F1022"/>
    <mergeCell ref="G1022:G1023"/>
    <mergeCell ref="E1023:F1023"/>
    <mergeCell ref="D1020:F1021"/>
    <mergeCell ref="AA1025:AA1028"/>
    <mergeCell ref="AC1027:AD1027"/>
    <mergeCell ref="AC1028:AD1028"/>
    <mergeCell ref="AB1025:AD1026"/>
    <mergeCell ref="AA1020:AA1023"/>
    <mergeCell ref="AC1022:AD1022"/>
    <mergeCell ref="AC1023:AD1023"/>
    <mergeCell ref="AB1020:AD1021"/>
    <mergeCell ref="AA1015:AA1018"/>
    <mergeCell ref="AC1017:AD1017"/>
    <mergeCell ref="AC1018:AD1018"/>
    <mergeCell ref="AB1015:AD1016"/>
    <mergeCell ref="AA1010:AA1013"/>
    <mergeCell ref="AC1012:AD1012"/>
    <mergeCell ref="AC1013:AD1013"/>
    <mergeCell ref="AB1010:AD1011"/>
    <mergeCell ref="AA1005:AA1008"/>
    <mergeCell ref="AC1007:AD1007"/>
    <mergeCell ref="AC1008:AD1008"/>
    <mergeCell ref="AB1005:AD1006"/>
    <mergeCell ref="AA1000:AA1003"/>
    <mergeCell ref="AC1002:AD1002"/>
    <mergeCell ref="AC1003:AD1003"/>
    <mergeCell ref="G1162:G1163"/>
    <mergeCell ref="E1163:F1163"/>
    <mergeCell ref="E1157:F1157"/>
    <mergeCell ref="G1157:G1158"/>
    <mergeCell ref="E1158:F1158"/>
    <mergeCell ref="E1152:F1152"/>
    <mergeCell ref="G1152:G1153"/>
    <mergeCell ref="E1153:F1153"/>
    <mergeCell ref="E1147:F1147"/>
    <mergeCell ref="G1147:G1148"/>
    <mergeCell ref="E1148:F1148"/>
    <mergeCell ref="E1142:F1142"/>
    <mergeCell ref="G1142:G1143"/>
    <mergeCell ref="E1143:F1143"/>
    <mergeCell ref="E1137:F1137"/>
    <mergeCell ref="G1137:G1138"/>
    <mergeCell ref="E1138:F1138"/>
    <mergeCell ref="E1132:F1132"/>
    <mergeCell ref="G1132:G1133"/>
    <mergeCell ref="E1133:F1133"/>
    <mergeCell ref="E1127:F1127"/>
    <mergeCell ref="G1127:G1128"/>
    <mergeCell ref="E1128:F1128"/>
    <mergeCell ref="E1122:F1122"/>
    <mergeCell ref="G1122:G1123"/>
    <mergeCell ref="E1123:F1123"/>
    <mergeCell ref="E1117:F1117"/>
    <mergeCell ref="G1117:G1118"/>
    <mergeCell ref="E1118:F1118"/>
    <mergeCell ref="E1112:F1112"/>
    <mergeCell ref="G1112:G1113"/>
    <mergeCell ref="E1113:F1113"/>
    <mergeCell ref="E1107:F1107"/>
    <mergeCell ref="G1107:G1108"/>
    <mergeCell ref="E1108:F1108"/>
    <mergeCell ref="G1282:G1283"/>
    <mergeCell ref="E1283:F1283"/>
    <mergeCell ref="E1277:F1277"/>
    <mergeCell ref="G1277:G1278"/>
    <mergeCell ref="E1278:F1278"/>
    <mergeCell ref="E1272:F1272"/>
    <mergeCell ref="G1272:G1273"/>
    <mergeCell ref="E1273:F1273"/>
    <mergeCell ref="E1267:F1267"/>
    <mergeCell ref="G1267:G1268"/>
    <mergeCell ref="E1268:F1268"/>
    <mergeCell ref="E1262:F1262"/>
    <mergeCell ref="G1262:G1263"/>
    <mergeCell ref="E1263:F1263"/>
    <mergeCell ref="E1257:F1257"/>
    <mergeCell ref="G1257:G1258"/>
    <mergeCell ref="E1258:F1258"/>
    <mergeCell ref="E1252:F1252"/>
    <mergeCell ref="G1252:G1253"/>
    <mergeCell ref="E1253:F1253"/>
    <mergeCell ref="E1247:F1247"/>
    <mergeCell ref="G1247:G1248"/>
    <mergeCell ref="E1248:F1248"/>
    <mergeCell ref="E1242:F1242"/>
    <mergeCell ref="G1242:G1243"/>
    <mergeCell ref="E1243:F1243"/>
    <mergeCell ref="E1237:F1237"/>
    <mergeCell ref="G1237:G1238"/>
    <mergeCell ref="E1238:F1238"/>
    <mergeCell ref="E1232:F1232"/>
    <mergeCell ref="G1232:G1233"/>
    <mergeCell ref="E1233:F1233"/>
    <mergeCell ref="E1227:F1227"/>
    <mergeCell ref="G1227:G1228"/>
    <mergeCell ref="E1228:F1228"/>
    <mergeCell ref="G1402:G1403"/>
    <mergeCell ref="E1403:F1403"/>
    <mergeCell ref="E1397:F1397"/>
    <mergeCell ref="G1397:G1398"/>
    <mergeCell ref="E1398:F1398"/>
    <mergeCell ref="E1392:F1392"/>
    <mergeCell ref="G1392:G1393"/>
    <mergeCell ref="E1393:F1393"/>
    <mergeCell ref="E1387:F1387"/>
    <mergeCell ref="G1387:G1388"/>
    <mergeCell ref="E1388:F1388"/>
    <mergeCell ref="E1382:F1382"/>
    <mergeCell ref="G1382:G1383"/>
    <mergeCell ref="E1383:F1383"/>
    <mergeCell ref="E1377:F1377"/>
    <mergeCell ref="G1377:G1378"/>
    <mergeCell ref="E1378:F1378"/>
    <mergeCell ref="E1372:F1372"/>
    <mergeCell ref="G1372:G1373"/>
    <mergeCell ref="E1373:F1373"/>
    <mergeCell ref="E1367:F1367"/>
    <mergeCell ref="G1367:G1368"/>
    <mergeCell ref="E1368:F1368"/>
    <mergeCell ref="E1362:F1362"/>
    <mergeCell ref="G1362:G1363"/>
    <mergeCell ref="E1363:F1363"/>
    <mergeCell ref="E1357:F1357"/>
    <mergeCell ref="G1357:G1358"/>
    <mergeCell ref="E1358:F1358"/>
    <mergeCell ref="E1352:F1352"/>
    <mergeCell ref="G1352:G1353"/>
    <mergeCell ref="E1353:F1353"/>
    <mergeCell ref="E1347:F1347"/>
    <mergeCell ref="G1347:G1348"/>
    <mergeCell ref="E1348:F1348"/>
    <mergeCell ref="G1522:G1523"/>
    <mergeCell ref="E1523:F1523"/>
    <mergeCell ref="E1517:F1517"/>
    <mergeCell ref="G1517:G1518"/>
    <mergeCell ref="E1518:F1518"/>
    <mergeCell ref="E1512:F1512"/>
    <mergeCell ref="G1512:G1513"/>
    <mergeCell ref="E1513:F1513"/>
    <mergeCell ref="E1507:F1507"/>
    <mergeCell ref="G1507:G1508"/>
    <mergeCell ref="E1508:F1508"/>
    <mergeCell ref="E1502:F1502"/>
    <mergeCell ref="G1502:G1503"/>
    <mergeCell ref="E1503:F1503"/>
    <mergeCell ref="E1497:F1497"/>
    <mergeCell ref="G1497:G1498"/>
    <mergeCell ref="E1498:F1498"/>
    <mergeCell ref="E1492:F1492"/>
    <mergeCell ref="G1492:G1493"/>
    <mergeCell ref="E1493:F1493"/>
    <mergeCell ref="E1487:F1487"/>
    <mergeCell ref="G1487:G1488"/>
    <mergeCell ref="E1488:F1488"/>
    <mergeCell ref="E1482:F1482"/>
    <mergeCell ref="G1482:G1483"/>
    <mergeCell ref="E1483:F1483"/>
    <mergeCell ref="E1477:F1477"/>
    <mergeCell ref="G1477:G1478"/>
    <mergeCell ref="E1478:F1478"/>
    <mergeCell ref="E1472:F1472"/>
    <mergeCell ref="G1472:G1473"/>
    <mergeCell ref="E1473:F1473"/>
    <mergeCell ref="E1467:F1467"/>
    <mergeCell ref="G1467:G1468"/>
    <mergeCell ref="E1468:F1468"/>
    <mergeCell ref="G1642:G1643"/>
    <mergeCell ref="E1643:F1643"/>
    <mergeCell ref="E1637:F1637"/>
    <mergeCell ref="G1637:G1638"/>
    <mergeCell ref="E1638:F1638"/>
    <mergeCell ref="E1632:F1632"/>
    <mergeCell ref="G1632:G1633"/>
    <mergeCell ref="E1633:F1633"/>
    <mergeCell ref="E1627:F1627"/>
    <mergeCell ref="G1627:G1628"/>
    <mergeCell ref="E1628:F1628"/>
    <mergeCell ref="E1622:F1622"/>
    <mergeCell ref="G1622:G1623"/>
    <mergeCell ref="E1623:F1623"/>
    <mergeCell ref="E1617:F1617"/>
    <mergeCell ref="G1617:G1618"/>
    <mergeCell ref="E1618:F1618"/>
    <mergeCell ref="E1612:F1612"/>
    <mergeCell ref="G1612:G1613"/>
    <mergeCell ref="E1613:F1613"/>
    <mergeCell ref="E1607:F1607"/>
    <mergeCell ref="G1607:G1608"/>
    <mergeCell ref="E1608:F1608"/>
    <mergeCell ref="E1602:F1602"/>
    <mergeCell ref="G1602:G1603"/>
    <mergeCell ref="E1603:F1603"/>
    <mergeCell ref="E1597:F1597"/>
    <mergeCell ref="G1597:G1598"/>
    <mergeCell ref="E1598:F1598"/>
    <mergeCell ref="E1592:F1592"/>
    <mergeCell ref="G1592:G1593"/>
    <mergeCell ref="E1593:F1593"/>
    <mergeCell ref="E1587:F1587"/>
    <mergeCell ref="G1587:G1588"/>
    <mergeCell ref="E1588:F1588"/>
    <mergeCell ref="G1762:G1763"/>
    <mergeCell ref="E1763:F1763"/>
    <mergeCell ref="E1757:F1757"/>
    <mergeCell ref="G1757:G1758"/>
    <mergeCell ref="E1758:F1758"/>
    <mergeCell ref="E1752:F1752"/>
    <mergeCell ref="G1752:G1753"/>
    <mergeCell ref="E1753:F1753"/>
    <mergeCell ref="E1747:F1747"/>
    <mergeCell ref="G1747:G1748"/>
    <mergeCell ref="E1748:F1748"/>
    <mergeCell ref="E1742:F1742"/>
    <mergeCell ref="G1742:G1743"/>
    <mergeCell ref="E1743:F1743"/>
    <mergeCell ref="E1737:F1737"/>
    <mergeCell ref="G1737:G1738"/>
    <mergeCell ref="E1738:F1738"/>
    <mergeCell ref="E1732:F1732"/>
    <mergeCell ref="G1732:G1733"/>
    <mergeCell ref="E1733:F1733"/>
    <mergeCell ref="E1727:F1727"/>
    <mergeCell ref="G1727:G1728"/>
    <mergeCell ref="E1728:F1728"/>
    <mergeCell ref="E1722:F1722"/>
    <mergeCell ref="G1722:G1723"/>
    <mergeCell ref="E1723:F1723"/>
    <mergeCell ref="E1717:F1717"/>
    <mergeCell ref="G1717:G1718"/>
    <mergeCell ref="E1718:F1718"/>
    <mergeCell ref="E1712:F1712"/>
    <mergeCell ref="G1712:G1713"/>
    <mergeCell ref="E1713:F1713"/>
    <mergeCell ref="E1707:F1707"/>
    <mergeCell ref="G1707:G1708"/>
    <mergeCell ref="E1708:F1708"/>
    <mergeCell ref="G1882:G1883"/>
    <mergeCell ref="E1883:F1883"/>
    <mergeCell ref="E1877:F1877"/>
    <mergeCell ref="G1877:G1878"/>
    <mergeCell ref="E1878:F1878"/>
    <mergeCell ref="E1872:F1872"/>
    <mergeCell ref="G1872:G1873"/>
    <mergeCell ref="E1873:F1873"/>
    <mergeCell ref="E1867:F1867"/>
    <mergeCell ref="G1867:G1868"/>
    <mergeCell ref="E1868:F1868"/>
    <mergeCell ref="E1862:F1862"/>
    <mergeCell ref="G1862:G1863"/>
    <mergeCell ref="E1863:F1863"/>
    <mergeCell ref="E1857:F1857"/>
    <mergeCell ref="G1857:G1858"/>
    <mergeCell ref="E1858:F1858"/>
    <mergeCell ref="E1852:F1852"/>
    <mergeCell ref="G1852:G1853"/>
    <mergeCell ref="E1853:F1853"/>
    <mergeCell ref="E1847:F1847"/>
    <mergeCell ref="G1847:G1848"/>
    <mergeCell ref="E1848:F1848"/>
    <mergeCell ref="E1842:F1842"/>
    <mergeCell ref="G1842:G1843"/>
    <mergeCell ref="E1843:F1843"/>
    <mergeCell ref="E1837:F1837"/>
    <mergeCell ref="G1837:G1838"/>
    <mergeCell ref="E1838:F1838"/>
    <mergeCell ref="E1832:F1832"/>
    <mergeCell ref="G1832:G1833"/>
    <mergeCell ref="E1833:F1833"/>
    <mergeCell ref="E1827:F1827"/>
    <mergeCell ref="G1827:G1828"/>
    <mergeCell ref="E1828:F1828"/>
    <mergeCell ref="G2002:G2003"/>
    <mergeCell ref="E2003:F2003"/>
    <mergeCell ref="E1997:F1997"/>
    <mergeCell ref="G1997:G1998"/>
    <mergeCell ref="E1998:F1998"/>
    <mergeCell ref="E1992:F1992"/>
    <mergeCell ref="G1992:G1993"/>
    <mergeCell ref="E1993:F1993"/>
    <mergeCell ref="E1987:F1987"/>
    <mergeCell ref="G1987:G1988"/>
    <mergeCell ref="E1988:F1988"/>
    <mergeCell ref="E1982:F1982"/>
    <mergeCell ref="G1982:G1983"/>
    <mergeCell ref="E1983:F1983"/>
    <mergeCell ref="E1977:F1977"/>
    <mergeCell ref="G1977:G1978"/>
    <mergeCell ref="E1978:F1978"/>
    <mergeCell ref="E1972:F1972"/>
    <mergeCell ref="G1972:G1973"/>
    <mergeCell ref="E1973:F1973"/>
    <mergeCell ref="E1967:F1967"/>
    <mergeCell ref="G1967:G1968"/>
    <mergeCell ref="E1968:F1968"/>
    <mergeCell ref="E1962:F1962"/>
    <mergeCell ref="G1962:G1963"/>
    <mergeCell ref="E1963:F1963"/>
    <mergeCell ref="E1957:F1957"/>
    <mergeCell ref="G1957:G1958"/>
    <mergeCell ref="E1958:F1958"/>
    <mergeCell ref="E1952:F1952"/>
    <mergeCell ref="G1952:G1953"/>
    <mergeCell ref="E1953:F1953"/>
    <mergeCell ref="E1947:F1947"/>
    <mergeCell ref="G1947:G1948"/>
    <mergeCell ref="E1948:F1948"/>
    <mergeCell ref="G2122:G2123"/>
    <mergeCell ref="E2123:F2123"/>
    <mergeCell ref="E2117:F2117"/>
    <mergeCell ref="G2117:G2118"/>
    <mergeCell ref="E2118:F2118"/>
    <mergeCell ref="E2112:F2112"/>
    <mergeCell ref="G2112:G2113"/>
    <mergeCell ref="E2113:F2113"/>
    <mergeCell ref="E2107:F2107"/>
    <mergeCell ref="G2107:G2108"/>
    <mergeCell ref="E2108:F2108"/>
    <mergeCell ref="E2102:F2102"/>
    <mergeCell ref="G2102:G2103"/>
    <mergeCell ref="E2103:F2103"/>
    <mergeCell ref="E2097:F2097"/>
    <mergeCell ref="G2097:G2098"/>
    <mergeCell ref="E2098:F2098"/>
    <mergeCell ref="E2092:F2092"/>
    <mergeCell ref="G2092:G2093"/>
    <mergeCell ref="E2093:F2093"/>
    <mergeCell ref="E2087:F2087"/>
    <mergeCell ref="G2087:G2088"/>
    <mergeCell ref="E2088:F2088"/>
    <mergeCell ref="E2082:F2082"/>
    <mergeCell ref="G2082:G2083"/>
    <mergeCell ref="E2083:F2083"/>
    <mergeCell ref="E2077:F2077"/>
    <mergeCell ref="G2077:G2078"/>
    <mergeCell ref="E2078:F2078"/>
    <mergeCell ref="E2072:F2072"/>
    <mergeCell ref="G2072:G2073"/>
    <mergeCell ref="E2073:F2073"/>
    <mergeCell ref="E2067:F2067"/>
    <mergeCell ref="G2067:G2068"/>
    <mergeCell ref="E2068:F2068"/>
    <mergeCell ref="G2242:G2243"/>
    <mergeCell ref="E2243:F2243"/>
    <mergeCell ref="E2237:F2237"/>
    <mergeCell ref="G2237:G2238"/>
    <mergeCell ref="E2238:F2238"/>
    <mergeCell ref="E2232:F2232"/>
    <mergeCell ref="G2232:G2233"/>
    <mergeCell ref="E2233:F2233"/>
    <mergeCell ref="E2227:F2227"/>
    <mergeCell ref="G2227:G2228"/>
    <mergeCell ref="E2228:F2228"/>
    <mergeCell ref="E2222:F2222"/>
    <mergeCell ref="G2222:G2223"/>
    <mergeCell ref="E2223:F2223"/>
    <mergeCell ref="E2217:F2217"/>
    <mergeCell ref="G2217:G2218"/>
    <mergeCell ref="E2218:F2218"/>
    <mergeCell ref="E2212:F2212"/>
    <mergeCell ref="G2212:G2213"/>
    <mergeCell ref="E2213:F2213"/>
    <mergeCell ref="E2207:F2207"/>
    <mergeCell ref="G2207:G2208"/>
    <mergeCell ref="E2208:F2208"/>
    <mergeCell ref="E2202:F2202"/>
    <mergeCell ref="G2202:G2203"/>
    <mergeCell ref="E2203:F2203"/>
    <mergeCell ref="E2197:F2197"/>
    <mergeCell ref="G2197:G2198"/>
    <mergeCell ref="E2198:F2198"/>
    <mergeCell ref="E2192:F2192"/>
    <mergeCell ref="G2192:G2193"/>
    <mergeCell ref="E2193:F2193"/>
    <mergeCell ref="E2187:F2187"/>
    <mergeCell ref="G2187:G2188"/>
    <mergeCell ref="E2188:F2188"/>
    <mergeCell ref="G2352:G2353"/>
    <mergeCell ref="E2353:F2353"/>
    <mergeCell ref="E2347:F2347"/>
    <mergeCell ref="G2347:G2348"/>
    <mergeCell ref="E2348:F2348"/>
    <mergeCell ref="E2342:F2342"/>
    <mergeCell ref="G2342:G2343"/>
    <mergeCell ref="E2343:F2343"/>
    <mergeCell ref="E2337:F2337"/>
    <mergeCell ref="G2337:G2338"/>
    <mergeCell ref="E2338:F2338"/>
    <mergeCell ref="E2332:F2332"/>
    <mergeCell ref="G2332:G2333"/>
    <mergeCell ref="E2333:F2333"/>
    <mergeCell ref="E2327:F2327"/>
    <mergeCell ref="G2327:G2328"/>
    <mergeCell ref="E2328:F2328"/>
    <mergeCell ref="E2322:F2322"/>
    <mergeCell ref="G2322:G2323"/>
    <mergeCell ref="E2323:F2323"/>
    <mergeCell ref="E2317:F2317"/>
    <mergeCell ref="G2317:G2318"/>
    <mergeCell ref="E2318:F2318"/>
    <mergeCell ref="E2312:F2312"/>
    <mergeCell ref="G2312:G2313"/>
    <mergeCell ref="E2313:F2313"/>
    <mergeCell ref="E2307:F2307"/>
    <mergeCell ref="G2307:G2308"/>
    <mergeCell ref="E2308:F2308"/>
    <mergeCell ref="E2302:F2302"/>
    <mergeCell ref="G2302:G2303"/>
    <mergeCell ref="E2303:F2303"/>
    <mergeCell ref="E2297:F2297"/>
    <mergeCell ref="G2297:G2298"/>
    <mergeCell ref="E2298:F2298"/>
    <mergeCell ref="E2452:F2452"/>
    <mergeCell ref="G2452:G2453"/>
    <mergeCell ref="E2453:F2453"/>
    <mergeCell ref="E2447:F2447"/>
    <mergeCell ref="G2447:G2448"/>
    <mergeCell ref="E2448:F2448"/>
    <mergeCell ref="E2442:F2442"/>
    <mergeCell ref="G2442:G2443"/>
    <mergeCell ref="E2443:F2443"/>
    <mergeCell ref="E2437:F2437"/>
    <mergeCell ref="G2437:G2438"/>
    <mergeCell ref="E2438:F2438"/>
    <mergeCell ref="E2432:F2432"/>
    <mergeCell ref="G2432:G2433"/>
    <mergeCell ref="E2433:F2433"/>
    <mergeCell ref="E2427:F2427"/>
    <mergeCell ref="G2427:G2428"/>
    <mergeCell ref="E2428:F2428"/>
    <mergeCell ref="E2422:F2422"/>
    <mergeCell ref="G2422:G2423"/>
    <mergeCell ref="E2423:F2423"/>
    <mergeCell ref="E2417:F2417"/>
    <mergeCell ref="G2417:G2418"/>
    <mergeCell ref="E2418:F2418"/>
    <mergeCell ref="E2412:F2412"/>
    <mergeCell ref="G2412:G2413"/>
    <mergeCell ref="E2413:F2413"/>
    <mergeCell ref="E2407:F2407"/>
    <mergeCell ref="G2407:G2408"/>
    <mergeCell ref="E2408:F2408"/>
    <mergeCell ref="E2402:F2402"/>
    <mergeCell ref="G2402:G2403"/>
    <mergeCell ref="E2403:F2403"/>
    <mergeCell ref="K1050:K1053"/>
    <mergeCell ref="O1050:O1051"/>
    <mergeCell ref="M1052:N1052"/>
    <mergeCell ref="O1052:O1053"/>
    <mergeCell ref="M1053:N1053"/>
    <mergeCell ref="K1045:K1048"/>
    <mergeCell ref="O1045:O1046"/>
    <mergeCell ref="M1047:N1047"/>
    <mergeCell ref="O1047:O1048"/>
    <mergeCell ref="M1048:N1048"/>
    <mergeCell ref="K1040:K1043"/>
    <mergeCell ref="O1040:O1041"/>
    <mergeCell ref="M1042:N1042"/>
    <mergeCell ref="O1042:O1043"/>
    <mergeCell ref="M1043:N1043"/>
    <mergeCell ref="K1035:K1038"/>
    <mergeCell ref="O1035:O1036"/>
    <mergeCell ref="M1037:N1037"/>
    <mergeCell ref="O1037:O1038"/>
    <mergeCell ref="M1038:N1038"/>
    <mergeCell ref="K1030:K1033"/>
    <mergeCell ref="O1030:O1031"/>
    <mergeCell ref="M1032:N1032"/>
    <mergeCell ref="O1032:O1033"/>
    <mergeCell ref="M1033:N1033"/>
    <mergeCell ref="E2517:F2517"/>
    <mergeCell ref="G2517:G2518"/>
    <mergeCell ref="E2518:F2518"/>
    <mergeCell ref="E2512:F2512"/>
    <mergeCell ref="G2512:G2513"/>
    <mergeCell ref="E2513:F2513"/>
    <mergeCell ref="E2507:F2507"/>
    <mergeCell ref="G2507:G2508"/>
    <mergeCell ref="E2508:F2508"/>
    <mergeCell ref="E2502:F2502"/>
    <mergeCell ref="G2502:G2503"/>
    <mergeCell ref="E2503:F2503"/>
    <mergeCell ref="E2497:F2497"/>
    <mergeCell ref="G2497:G2498"/>
    <mergeCell ref="E2498:F2498"/>
    <mergeCell ref="E2492:F2492"/>
    <mergeCell ref="G2492:G2493"/>
    <mergeCell ref="E2493:F2493"/>
    <mergeCell ref="E2487:F2487"/>
    <mergeCell ref="G2487:G2488"/>
    <mergeCell ref="E2488:F2488"/>
    <mergeCell ref="E2482:F2482"/>
    <mergeCell ref="G2482:G2483"/>
    <mergeCell ref="E2483:F2483"/>
    <mergeCell ref="E2477:F2477"/>
    <mergeCell ref="G2477:G2478"/>
    <mergeCell ref="E2478:F2478"/>
    <mergeCell ref="E2472:F2472"/>
    <mergeCell ref="G2472:G2473"/>
    <mergeCell ref="E2473:F2473"/>
    <mergeCell ref="E2467:F2467"/>
    <mergeCell ref="G2467:G2468"/>
    <mergeCell ref="E2468:F2468"/>
    <mergeCell ref="E2462:F2462"/>
    <mergeCell ref="G2462:G2463"/>
    <mergeCell ref="E2463:F2463"/>
    <mergeCell ref="E2457:F2457"/>
    <mergeCell ref="G2457:G2458"/>
    <mergeCell ref="E2458:F2458"/>
    <mergeCell ref="K1085:K1088"/>
    <mergeCell ref="O1085:O1086"/>
    <mergeCell ref="M1087:N1087"/>
    <mergeCell ref="O1087:O1088"/>
    <mergeCell ref="M1088:N1088"/>
    <mergeCell ref="L1085:N1086"/>
    <mergeCell ref="K1080:K1083"/>
    <mergeCell ref="O1080:O1081"/>
    <mergeCell ref="M1082:N1082"/>
    <mergeCell ref="O1082:O1083"/>
    <mergeCell ref="M1083:N1083"/>
    <mergeCell ref="L1080:N1081"/>
    <mergeCell ref="K1075:K1078"/>
    <mergeCell ref="O1075:O1076"/>
    <mergeCell ref="M1077:N1077"/>
    <mergeCell ref="O1077:O1078"/>
    <mergeCell ref="M1078:N1078"/>
    <mergeCell ref="K1070:K1073"/>
    <mergeCell ref="O1070:O1071"/>
    <mergeCell ref="M1072:N1072"/>
    <mergeCell ref="O1072:O1073"/>
    <mergeCell ref="M1073:N1073"/>
    <mergeCell ref="K1065:K1068"/>
    <mergeCell ref="O1065:O1066"/>
    <mergeCell ref="M1067:N1067"/>
    <mergeCell ref="O1067:O1068"/>
    <mergeCell ref="M1068:N1068"/>
    <mergeCell ref="K1060:K1063"/>
    <mergeCell ref="O1060:O1061"/>
    <mergeCell ref="M1062:N1062"/>
    <mergeCell ref="O1062:O1063"/>
    <mergeCell ref="M1063:N1063"/>
    <mergeCell ref="K1055:K1058"/>
    <mergeCell ref="O1055:O1056"/>
    <mergeCell ref="M1057:N1057"/>
    <mergeCell ref="O1057:O1058"/>
    <mergeCell ref="M1058:N1058"/>
    <mergeCell ref="K1115:K1118"/>
    <mergeCell ref="O1115:O1116"/>
    <mergeCell ref="M1117:N1117"/>
    <mergeCell ref="O1117:O1118"/>
    <mergeCell ref="M1118:N1118"/>
    <mergeCell ref="L1115:N1116"/>
    <mergeCell ref="K1110:K1113"/>
    <mergeCell ref="O1110:O1111"/>
    <mergeCell ref="M1112:N1112"/>
    <mergeCell ref="O1112:O1113"/>
    <mergeCell ref="M1113:N1113"/>
    <mergeCell ref="L1110:N1111"/>
    <mergeCell ref="K1105:K1108"/>
    <mergeCell ref="O1105:O1106"/>
    <mergeCell ref="M1107:N1107"/>
    <mergeCell ref="O1107:O1108"/>
    <mergeCell ref="M1108:N1108"/>
    <mergeCell ref="L1105:N1106"/>
    <mergeCell ref="K1100:K1103"/>
    <mergeCell ref="O1100:O1101"/>
    <mergeCell ref="M1102:N1102"/>
    <mergeCell ref="O1102:O1103"/>
    <mergeCell ref="M1103:N1103"/>
    <mergeCell ref="L1100:N1101"/>
    <mergeCell ref="K1095:K1098"/>
    <mergeCell ref="O1095:O1096"/>
    <mergeCell ref="M1097:N1097"/>
    <mergeCell ref="O1097:O1098"/>
    <mergeCell ref="M1098:N1098"/>
    <mergeCell ref="L1095:N1096"/>
    <mergeCell ref="K1090:K1093"/>
    <mergeCell ref="O1090:O1091"/>
    <mergeCell ref="M1092:N1092"/>
    <mergeCell ref="O1092:O1093"/>
    <mergeCell ref="M1093:N1093"/>
    <mergeCell ref="L1090:N1091"/>
    <mergeCell ref="K1145:K1148"/>
    <mergeCell ref="O1145:O1146"/>
    <mergeCell ref="M1147:N1147"/>
    <mergeCell ref="O1147:O1148"/>
    <mergeCell ref="M1148:N1148"/>
    <mergeCell ref="L1145:N1146"/>
    <mergeCell ref="K1140:K1143"/>
    <mergeCell ref="O1140:O1141"/>
    <mergeCell ref="M1142:N1142"/>
    <mergeCell ref="O1142:O1143"/>
    <mergeCell ref="M1143:N1143"/>
    <mergeCell ref="L1140:N1141"/>
    <mergeCell ref="K1135:K1138"/>
    <mergeCell ref="O1135:O1136"/>
    <mergeCell ref="M1137:N1137"/>
    <mergeCell ref="O1137:O1138"/>
    <mergeCell ref="M1138:N1138"/>
    <mergeCell ref="L1135:N1136"/>
    <mergeCell ref="K1130:K1133"/>
    <mergeCell ref="O1130:O1131"/>
    <mergeCell ref="M1132:N1132"/>
    <mergeCell ref="O1132:O1133"/>
    <mergeCell ref="M1133:N1133"/>
    <mergeCell ref="L1130:N1131"/>
    <mergeCell ref="K1125:K1128"/>
    <mergeCell ref="O1125:O1126"/>
    <mergeCell ref="M1127:N1127"/>
    <mergeCell ref="O1127:O1128"/>
    <mergeCell ref="M1128:N1128"/>
    <mergeCell ref="L1125:N1126"/>
    <mergeCell ref="K1120:K1123"/>
    <mergeCell ref="O1120:O1121"/>
    <mergeCell ref="M1122:N1122"/>
    <mergeCell ref="O1122:O1123"/>
    <mergeCell ref="M1123:N1123"/>
    <mergeCell ref="L1120:N1121"/>
    <mergeCell ref="K1175:K1178"/>
    <mergeCell ref="O1175:O1176"/>
    <mergeCell ref="M1177:N1177"/>
    <mergeCell ref="O1177:O1178"/>
    <mergeCell ref="M1178:N1178"/>
    <mergeCell ref="L1175:N1176"/>
    <mergeCell ref="K1170:K1173"/>
    <mergeCell ref="O1170:O1171"/>
    <mergeCell ref="M1172:N1172"/>
    <mergeCell ref="O1172:O1173"/>
    <mergeCell ref="M1173:N1173"/>
    <mergeCell ref="L1170:N1171"/>
    <mergeCell ref="K1165:K1168"/>
    <mergeCell ref="O1165:O1166"/>
    <mergeCell ref="M1167:N1167"/>
    <mergeCell ref="O1167:O1168"/>
    <mergeCell ref="M1168:N1168"/>
    <mergeCell ref="L1165:N1166"/>
    <mergeCell ref="K1160:K1163"/>
    <mergeCell ref="O1160:O1161"/>
    <mergeCell ref="M1162:N1162"/>
    <mergeCell ref="O1162:O1163"/>
    <mergeCell ref="M1163:N1163"/>
    <mergeCell ref="L1160:N1161"/>
    <mergeCell ref="K1155:K1158"/>
    <mergeCell ref="O1155:O1156"/>
    <mergeCell ref="M1157:N1157"/>
    <mergeCell ref="O1157:O1158"/>
    <mergeCell ref="M1158:N1158"/>
    <mergeCell ref="L1155:N1156"/>
    <mergeCell ref="K1150:K1153"/>
    <mergeCell ref="O1150:O1151"/>
    <mergeCell ref="M1152:N1152"/>
    <mergeCell ref="O1152:O1153"/>
    <mergeCell ref="M1153:N1153"/>
    <mergeCell ref="L1150:N1151"/>
    <mergeCell ref="K1205:K1208"/>
    <mergeCell ref="O1205:O1206"/>
    <mergeCell ref="M1207:N1207"/>
    <mergeCell ref="O1207:O1208"/>
    <mergeCell ref="M1208:N1208"/>
    <mergeCell ref="L1205:N1206"/>
    <mergeCell ref="K1200:K1203"/>
    <mergeCell ref="O1200:O1201"/>
    <mergeCell ref="M1202:N1202"/>
    <mergeCell ref="O1202:O1203"/>
    <mergeCell ref="M1203:N1203"/>
    <mergeCell ref="L1200:N1201"/>
    <mergeCell ref="K1195:K1198"/>
    <mergeCell ref="O1195:O1196"/>
    <mergeCell ref="M1197:N1197"/>
    <mergeCell ref="O1197:O1198"/>
    <mergeCell ref="M1198:N1198"/>
    <mergeCell ref="L1195:N1196"/>
    <mergeCell ref="K1190:K1193"/>
    <mergeCell ref="O1190:O1191"/>
    <mergeCell ref="M1192:N1192"/>
    <mergeCell ref="O1192:O1193"/>
    <mergeCell ref="M1193:N1193"/>
    <mergeCell ref="L1190:N1191"/>
    <mergeCell ref="K1185:K1188"/>
    <mergeCell ref="O1185:O1186"/>
    <mergeCell ref="M1187:N1187"/>
    <mergeCell ref="O1187:O1188"/>
    <mergeCell ref="M1188:N1188"/>
    <mergeCell ref="L1185:N1186"/>
    <mergeCell ref="K1180:K1183"/>
    <mergeCell ref="O1180:O1181"/>
    <mergeCell ref="M1182:N1182"/>
    <mergeCell ref="O1182:O1183"/>
    <mergeCell ref="M1183:N1183"/>
    <mergeCell ref="L1180:N1181"/>
    <mergeCell ref="K1235:K1238"/>
    <mergeCell ref="O1235:O1236"/>
    <mergeCell ref="M1237:N1237"/>
    <mergeCell ref="O1237:O1238"/>
    <mergeCell ref="M1238:N1238"/>
    <mergeCell ref="L1235:N1236"/>
    <mergeCell ref="K1230:K1233"/>
    <mergeCell ref="O1230:O1231"/>
    <mergeCell ref="M1232:N1232"/>
    <mergeCell ref="O1232:O1233"/>
    <mergeCell ref="M1233:N1233"/>
    <mergeCell ref="L1230:N1231"/>
    <mergeCell ref="K1225:K1228"/>
    <mergeCell ref="O1225:O1226"/>
    <mergeCell ref="M1227:N1227"/>
    <mergeCell ref="O1227:O1228"/>
    <mergeCell ref="M1228:N1228"/>
    <mergeCell ref="L1225:N1226"/>
    <mergeCell ref="K1220:K1223"/>
    <mergeCell ref="O1220:O1221"/>
    <mergeCell ref="M1222:N1222"/>
    <mergeCell ref="O1222:O1223"/>
    <mergeCell ref="M1223:N1223"/>
    <mergeCell ref="L1220:N1221"/>
    <mergeCell ref="K1215:K1218"/>
    <mergeCell ref="O1215:O1216"/>
    <mergeCell ref="M1217:N1217"/>
    <mergeCell ref="O1217:O1218"/>
    <mergeCell ref="M1218:N1218"/>
    <mergeCell ref="L1215:N1216"/>
    <mergeCell ref="K1210:K1213"/>
    <mergeCell ref="O1210:O1211"/>
    <mergeCell ref="M1212:N1212"/>
    <mergeCell ref="O1212:O1213"/>
    <mergeCell ref="M1213:N1213"/>
    <mergeCell ref="L1210:N1211"/>
    <mergeCell ref="K1265:K1268"/>
    <mergeCell ref="O1265:O1266"/>
    <mergeCell ref="M1267:N1267"/>
    <mergeCell ref="O1267:O1268"/>
    <mergeCell ref="M1268:N1268"/>
    <mergeCell ref="L1265:N1266"/>
    <mergeCell ref="K1260:K1263"/>
    <mergeCell ref="O1260:O1261"/>
    <mergeCell ref="M1262:N1262"/>
    <mergeCell ref="O1262:O1263"/>
    <mergeCell ref="M1263:N1263"/>
    <mergeCell ref="L1260:N1261"/>
    <mergeCell ref="K1255:K1258"/>
    <mergeCell ref="O1255:O1256"/>
    <mergeCell ref="M1257:N1257"/>
    <mergeCell ref="O1257:O1258"/>
    <mergeCell ref="M1258:N1258"/>
    <mergeCell ref="L1255:N1256"/>
    <mergeCell ref="K1250:K1253"/>
    <mergeCell ref="O1250:O1251"/>
    <mergeCell ref="M1252:N1252"/>
    <mergeCell ref="O1252:O1253"/>
    <mergeCell ref="M1253:N1253"/>
    <mergeCell ref="L1250:N1251"/>
    <mergeCell ref="K1245:K1248"/>
    <mergeCell ref="O1245:O1246"/>
    <mergeCell ref="M1247:N1247"/>
    <mergeCell ref="O1247:O1248"/>
    <mergeCell ref="M1248:N1248"/>
    <mergeCell ref="L1245:N1246"/>
    <mergeCell ref="K1240:K1243"/>
    <mergeCell ref="O1240:O1241"/>
    <mergeCell ref="M1242:N1242"/>
    <mergeCell ref="O1242:O1243"/>
    <mergeCell ref="M1243:N1243"/>
    <mergeCell ref="L1240:N1241"/>
    <mergeCell ref="K1295:K1298"/>
    <mergeCell ref="O1295:O1296"/>
    <mergeCell ref="M1297:N1297"/>
    <mergeCell ref="O1297:O1298"/>
    <mergeCell ref="M1298:N1298"/>
    <mergeCell ref="L1295:N1296"/>
    <mergeCell ref="K1290:K1293"/>
    <mergeCell ref="O1290:O1291"/>
    <mergeCell ref="M1292:N1292"/>
    <mergeCell ref="O1292:O1293"/>
    <mergeCell ref="M1293:N1293"/>
    <mergeCell ref="L1290:N1291"/>
    <mergeCell ref="K1285:K1288"/>
    <mergeCell ref="O1285:O1286"/>
    <mergeCell ref="M1287:N1287"/>
    <mergeCell ref="O1287:O1288"/>
    <mergeCell ref="M1288:N1288"/>
    <mergeCell ref="L1285:N1286"/>
    <mergeCell ref="K1280:K1283"/>
    <mergeCell ref="O1280:O1281"/>
    <mergeCell ref="M1282:N1282"/>
    <mergeCell ref="O1282:O1283"/>
    <mergeCell ref="M1283:N1283"/>
    <mergeCell ref="L1280:N1281"/>
    <mergeCell ref="K1275:K1278"/>
    <mergeCell ref="O1275:O1276"/>
    <mergeCell ref="M1277:N1277"/>
    <mergeCell ref="O1277:O1278"/>
    <mergeCell ref="M1278:N1278"/>
    <mergeCell ref="L1275:N1276"/>
    <mergeCell ref="K1270:K1273"/>
    <mergeCell ref="O1270:O1271"/>
    <mergeCell ref="M1272:N1272"/>
    <mergeCell ref="O1272:O1273"/>
    <mergeCell ref="M1273:N1273"/>
    <mergeCell ref="L1270:N1271"/>
    <mergeCell ref="K1325:K1328"/>
    <mergeCell ref="O1325:O1326"/>
    <mergeCell ref="M1327:N1327"/>
    <mergeCell ref="O1327:O1328"/>
    <mergeCell ref="M1328:N1328"/>
    <mergeCell ref="L1325:N1326"/>
    <mergeCell ref="K1320:K1323"/>
    <mergeCell ref="O1320:O1321"/>
    <mergeCell ref="M1322:N1322"/>
    <mergeCell ref="O1322:O1323"/>
    <mergeCell ref="M1323:N1323"/>
    <mergeCell ref="L1320:N1321"/>
    <mergeCell ref="K1315:K1318"/>
    <mergeCell ref="O1315:O1316"/>
    <mergeCell ref="M1317:N1317"/>
    <mergeCell ref="O1317:O1318"/>
    <mergeCell ref="M1318:N1318"/>
    <mergeCell ref="L1315:N1316"/>
    <mergeCell ref="K1310:K1313"/>
    <mergeCell ref="O1310:O1311"/>
    <mergeCell ref="M1312:N1312"/>
    <mergeCell ref="O1312:O1313"/>
    <mergeCell ref="M1313:N1313"/>
    <mergeCell ref="L1310:N1311"/>
    <mergeCell ref="K1305:K1308"/>
    <mergeCell ref="O1305:O1306"/>
    <mergeCell ref="M1307:N1307"/>
    <mergeCell ref="O1307:O1308"/>
    <mergeCell ref="M1308:N1308"/>
    <mergeCell ref="L1305:N1306"/>
    <mergeCell ref="K1300:K1303"/>
    <mergeCell ref="O1300:O1301"/>
    <mergeCell ref="M1302:N1302"/>
    <mergeCell ref="O1302:O1303"/>
    <mergeCell ref="M1303:N1303"/>
    <mergeCell ref="L1300:N1301"/>
    <mergeCell ref="K1355:K1358"/>
    <mergeCell ref="O1355:O1356"/>
    <mergeCell ref="M1357:N1357"/>
    <mergeCell ref="O1357:O1358"/>
    <mergeCell ref="M1358:N1358"/>
    <mergeCell ref="L1355:N1356"/>
    <mergeCell ref="K1350:K1353"/>
    <mergeCell ref="O1350:O1351"/>
    <mergeCell ref="M1352:N1352"/>
    <mergeCell ref="O1352:O1353"/>
    <mergeCell ref="M1353:N1353"/>
    <mergeCell ref="L1350:N1351"/>
    <mergeCell ref="K1345:K1348"/>
    <mergeCell ref="O1345:O1346"/>
    <mergeCell ref="M1347:N1347"/>
    <mergeCell ref="O1347:O1348"/>
    <mergeCell ref="M1348:N1348"/>
    <mergeCell ref="L1345:N1346"/>
    <mergeCell ref="K1340:K1343"/>
    <mergeCell ref="O1340:O1341"/>
    <mergeCell ref="M1342:N1342"/>
    <mergeCell ref="O1342:O1343"/>
    <mergeCell ref="M1343:N1343"/>
    <mergeCell ref="L1340:N1341"/>
    <mergeCell ref="K1335:K1338"/>
    <mergeCell ref="O1335:O1336"/>
    <mergeCell ref="M1337:N1337"/>
    <mergeCell ref="O1337:O1338"/>
    <mergeCell ref="M1338:N1338"/>
    <mergeCell ref="L1335:N1336"/>
    <mergeCell ref="K1330:K1333"/>
    <mergeCell ref="O1330:O1331"/>
    <mergeCell ref="M1332:N1332"/>
    <mergeCell ref="O1332:O1333"/>
    <mergeCell ref="M1333:N1333"/>
    <mergeCell ref="L1330:N1331"/>
    <mergeCell ref="K1385:K1388"/>
    <mergeCell ref="O1385:O1386"/>
    <mergeCell ref="M1387:N1387"/>
    <mergeCell ref="O1387:O1388"/>
    <mergeCell ref="M1388:N1388"/>
    <mergeCell ref="L1385:N1386"/>
    <mergeCell ref="K1380:K1383"/>
    <mergeCell ref="O1380:O1381"/>
    <mergeCell ref="M1382:N1382"/>
    <mergeCell ref="O1382:O1383"/>
    <mergeCell ref="M1383:N1383"/>
    <mergeCell ref="L1380:N1381"/>
    <mergeCell ref="K1375:K1378"/>
    <mergeCell ref="O1375:O1376"/>
    <mergeCell ref="M1377:N1377"/>
    <mergeCell ref="O1377:O1378"/>
    <mergeCell ref="M1378:N1378"/>
    <mergeCell ref="L1375:N1376"/>
    <mergeCell ref="K1370:K1373"/>
    <mergeCell ref="O1370:O1371"/>
    <mergeCell ref="M1372:N1372"/>
    <mergeCell ref="O1372:O1373"/>
    <mergeCell ref="M1373:N1373"/>
    <mergeCell ref="L1370:N1371"/>
    <mergeCell ref="K1365:K1368"/>
    <mergeCell ref="O1365:O1366"/>
    <mergeCell ref="M1367:N1367"/>
    <mergeCell ref="O1367:O1368"/>
    <mergeCell ref="M1368:N1368"/>
    <mergeCell ref="L1365:N1366"/>
    <mergeCell ref="K1360:K1363"/>
    <mergeCell ref="O1360:O1361"/>
    <mergeCell ref="M1362:N1362"/>
    <mergeCell ref="O1362:O1363"/>
    <mergeCell ref="M1363:N1363"/>
    <mergeCell ref="L1360:N1361"/>
    <mergeCell ref="K1415:K1418"/>
    <mergeCell ref="O1415:O1416"/>
    <mergeCell ref="M1417:N1417"/>
    <mergeCell ref="O1417:O1418"/>
    <mergeCell ref="M1418:N1418"/>
    <mergeCell ref="L1415:N1416"/>
    <mergeCell ref="K1410:K1413"/>
    <mergeCell ref="O1410:O1411"/>
    <mergeCell ref="M1412:N1412"/>
    <mergeCell ref="O1412:O1413"/>
    <mergeCell ref="M1413:N1413"/>
    <mergeCell ref="L1410:N1411"/>
    <mergeCell ref="K1405:K1408"/>
    <mergeCell ref="O1405:O1406"/>
    <mergeCell ref="M1407:N1407"/>
    <mergeCell ref="O1407:O1408"/>
    <mergeCell ref="M1408:N1408"/>
    <mergeCell ref="L1405:N1406"/>
    <mergeCell ref="K1400:K1403"/>
    <mergeCell ref="O1400:O1401"/>
    <mergeCell ref="M1402:N1402"/>
    <mergeCell ref="O1402:O1403"/>
    <mergeCell ref="M1403:N1403"/>
    <mergeCell ref="L1400:N1401"/>
    <mergeCell ref="K1395:K1398"/>
    <mergeCell ref="O1395:O1396"/>
    <mergeCell ref="M1397:N1397"/>
    <mergeCell ref="O1397:O1398"/>
    <mergeCell ref="M1398:N1398"/>
    <mergeCell ref="L1395:N1396"/>
    <mergeCell ref="K1390:K1393"/>
    <mergeCell ref="O1390:O1391"/>
    <mergeCell ref="M1392:N1392"/>
    <mergeCell ref="O1392:O1393"/>
    <mergeCell ref="M1393:N1393"/>
    <mergeCell ref="L1390:N1391"/>
    <mergeCell ref="K1445:K1448"/>
    <mergeCell ref="O1445:O1446"/>
    <mergeCell ref="M1447:N1447"/>
    <mergeCell ref="O1447:O1448"/>
    <mergeCell ref="M1448:N1448"/>
    <mergeCell ref="L1445:N1446"/>
    <mergeCell ref="K1440:K1443"/>
    <mergeCell ref="O1440:O1441"/>
    <mergeCell ref="M1442:N1442"/>
    <mergeCell ref="O1442:O1443"/>
    <mergeCell ref="M1443:N1443"/>
    <mergeCell ref="L1440:N1441"/>
    <mergeCell ref="K1435:K1438"/>
    <mergeCell ref="O1435:O1436"/>
    <mergeCell ref="M1437:N1437"/>
    <mergeCell ref="O1437:O1438"/>
    <mergeCell ref="M1438:N1438"/>
    <mergeCell ref="L1435:N1436"/>
    <mergeCell ref="K1430:K1433"/>
    <mergeCell ref="O1430:O1431"/>
    <mergeCell ref="M1432:N1432"/>
    <mergeCell ref="O1432:O1433"/>
    <mergeCell ref="M1433:N1433"/>
    <mergeCell ref="L1430:N1431"/>
    <mergeCell ref="K1425:K1428"/>
    <mergeCell ref="O1425:O1426"/>
    <mergeCell ref="M1427:N1427"/>
    <mergeCell ref="O1427:O1428"/>
    <mergeCell ref="M1428:N1428"/>
    <mergeCell ref="L1425:N1426"/>
    <mergeCell ref="K1420:K1423"/>
    <mergeCell ref="O1420:O1421"/>
    <mergeCell ref="M1422:N1422"/>
    <mergeCell ref="O1422:O1423"/>
    <mergeCell ref="M1423:N1423"/>
    <mergeCell ref="L1420:N1421"/>
    <mergeCell ref="K1475:K1478"/>
    <mergeCell ref="O1475:O1476"/>
    <mergeCell ref="M1477:N1477"/>
    <mergeCell ref="O1477:O1478"/>
    <mergeCell ref="M1478:N1478"/>
    <mergeCell ref="L1475:N1476"/>
    <mergeCell ref="K1470:K1473"/>
    <mergeCell ref="O1470:O1471"/>
    <mergeCell ref="M1472:N1472"/>
    <mergeCell ref="O1472:O1473"/>
    <mergeCell ref="M1473:N1473"/>
    <mergeCell ref="L1470:N1471"/>
    <mergeCell ref="K1465:K1468"/>
    <mergeCell ref="O1465:O1466"/>
    <mergeCell ref="M1467:N1467"/>
    <mergeCell ref="O1467:O1468"/>
    <mergeCell ref="M1468:N1468"/>
    <mergeCell ref="L1465:N1466"/>
    <mergeCell ref="K1460:K1463"/>
    <mergeCell ref="O1460:O1461"/>
    <mergeCell ref="M1462:N1462"/>
    <mergeCell ref="O1462:O1463"/>
    <mergeCell ref="M1463:N1463"/>
    <mergeCell ref="L1460:N1461"/>
    <mergeCell ref="K1455:K1458"/>
    <mergeCell ref="O1455:O1456"/>
    <mergeCell ref="M1457:N1457"/>
    <mergeCell ref="O1457:O1458"/>
    <mergeCell ref="M1458:N1458"/>
    <mergeCell ref="L1455:N1456"/>
    <mergeCell ref="K1450:K1453"/>
    <mergeCell ref="O1450:O1451"/>
    <mergeCell ref="M1452:N1452"/>
    <mergeCell ref="O1452:O1453"/>
    <mergeCell ref="M1453:N1453"/>
    <mergeCell ref="L1450:N1451"/>
    <mergeCell ref="K1505:K1508"/>
    <mergeCell ref="O1505:O1506"/>
    <mergeCell ref="M1507:N1507"/>
    <mergeCell ref="O1507:O1508"/>
    <mergeCell ref="M1508:N1508"/>
    <mergeCell ref="L1505:N1506"/>
    <mergeCell ref="K1500:K1503"/>
    <mergeCell ref="O1500:O1501"/>
    <mergeCell ref="M1502:N1502"/>
    <mergeCell ref="O1502:O1503"/>
    <mergeCell ref="M1503:N1503"/>
    <mergeCell ref="L1500:N1501"/>
    <mergeCell ref="K1495:K1498"/>
    <mergeCell ref="O1495:O1496"/>
    <mergeCell ref="M1497:N1497"/>
    <mergeCell ref="O1497:O1498"/>
    <mergeCell ref="M1498:N1498"/>
    <mergeCell ref="L1495:N1496"/>
    <mergeCell ref="K1490:K1493"/>
    <mergeCell ref="O1490:O1491"/>
    <mergeCell ref="M1492:N1492"/>
    <mergeCell ref="O1492:O1493"/>
    <mergeCell ref="M1493:N1493"/>
    <mergeCell ref="L1490:N1491"/>
    <mergeCell ref="K1485:K1488"/>
    <mergeCell ref="O1485:O1486"/>
    <mergeCell ref="M1487:N1487"/>
    <mergeCell ref="O1487:O1488"/>
    <mergeCell ref="M1488:N1488"/>
    <mergeCell ref="L1485:N1486"/>
    <mergeCell ref="K1480:K1483"/>
    <mergeCell ref="O1480:O1481"/>
    <mergeCell ref="M1482:N1482"/>
    <mergeCell ref="O1482:O1483"/>
    <mergeCell ref="M1483:N1483"/>
    <mergeCell ref="L1480:N1481"/>
    <mergeCell ref="K1535:K1538"/>
    <mergeCell ref="O1535:O1536"/>
    <mergeCell ref="M1537:N1537"/>
    <mergeCell ref="O1537:O1538"/>
    <mergeCell ref="M1538:N1538"/>
    <mergeCell ref="L1535:N1536"/>
    <mergeCell ref="K1530:K1533"/>
    <mergeCell ref="O1530:O1531"/>
    <mergeCell ref="M1532:N1532"/>
    <mergeCell ref="O1532:O1533"/>
    <mergeCell ref="M1533:N1533"/>
    <mergeCell ref="L1530:N1531"/>
    <mergeCell ref="K1525:K1528"/>
    <mergeCell ref="O1525:O1526"/>
    <mergeCell ref="M1527:N1527"/>
    <mergeCell ref="O1527:O1528"/>
    <mergeCell ref="M1528:N1528"/>
    <mergeCell ref="L1525:N1526"/>
    <mergeCell ref="K1520:K1523"/>
    <mergeCell ref="O1520:O1521"/>
    <mergeCell ref="M1522:N1522"/>
    <mergeCell ref="O1522:O1523"/>
    <mergeCell ref="M1523:N1523"/>
    <mergeCell ref="L1520:N1521"/>
    <mergeCell ref="K1515:K1518"/>
    <mergeCell ref="O1515:O1516"/>
    <mergeCell ref="M1517:N1517"/>
    <mergeCell ref="O1517:O1518"/>
    <mergeCell ref="M1518:N1518"/>
    <mergeCell ref="L1515:N1516"/>
    <mergeCell ref="K1510:K1513"/>
    <mergeCell ref="O1510:O1511"/>
    <mergeCell ref="M1512:N1512"/>
    <mergeCell ref="O1512:O1513"/>
    <mergeCell ref="M1513:N1513"/>
    <mergeCell ref="L1510:N1511"/>
    <mergeCell ref="K1565:K1568"/>
    <mergeCell ref="O1565:O1566"/>
    <mergeCell ref="M1567:N1567"/>
    <mergeCell ref="O1567:O1568"/>
    <mergeCell ref="M1568:N1568"/>
    <mergeCell ref="L1565:N1566"/>
    <mergeCell ref="K1560:K1563"/>
    <mergeCell ref="O1560:O1561"/>
    <mergeCell ref="M1562:N1562"/>
    <mergeCell ref="O1562:O1563"/>
    <mergeCell ref="M1563:N1563"/>
    <mergeCell ref="L1560:N1561"/>
    <mergeCell ref="K1555:K1558"/>
    <mergeCell ref="O1555:O1556"/>
    <mergeCell ref="M1557:N1557"/>
    <mergeCell ref="O1557:O1558"/>
    <mergeCell ref="M1558:N1558"/>
    <mergeCell ref="L1555:N1556"/>
    <mergeCell ref="K1550:K1553"/>
    <mergeCell ref="O1550:O1551"/>
    <mergeCell ref="M1552:N1552"/>
    <mergeCell ref="O1552:O1553"/>
    <mergeCell ref="M1553:N1553"/>
    <mergeCell ref="L1550:N1551"/>
    <mergeCell ref="K1545:K1548"/>
    <mergeCell ref="O1545:O1546"/>
    <mergeCell ref="M1547:N1547"/>
    <mergeCell ref="O1547:O1548"/>
    <mergeCell ref="M1548:N1548"/>
    <mergeCell ref="L1545:N1546"/>
    <mergeCell ref="K1540:K1543"/>
    <mergeCell ref="O1540:O1541"/>
    <mergeCell ref="M1542:N1542"/>
    <mergeCell ref="O1542:O1543"/>
    <mergeCell ref="M1543:N1543"/>
    <mergeCell ref="L1540:N1541"/>
    <mergeCell ref="K1595:K1598"/>
    <mergeCell ref="O1595:O1596"/>
    <mergeCell ref="M1597:N1597"/>
    <mergeCell ref="O1597:O1598"/>
    <mergeCell ref="M1598:N1598"/>
    <mergeCell ref="L1595:N1596"/>
    <mergeCell ref="K1590:K1593"/>
    <mergeCell ref="O1590:O1591"/>
    <mergeCell ref="M1592:N1592"/>
    <mergeCell ref="O1592:O1593"/>
    <mergeCell ref="M1593:N1593"/>
    <mergeCell ref="L1590:N1591"/>
    <mergeCell ref="K1585:K1588"/>
    <mergeCell ref="O1585:O1586"/>
    <mergeCell ref="M1587:N1587"/>
    <mergeCell ref="O1587:O1588"/>
    <mergeCell ref="M1588:N1588"/>
    <mergeCell ref="L1585:N1586"/>
    <mergeCell ref="K1580:K1583"/>
    <mergeCell ref="O1580:O1581"/>
    <mergeCell ref="M1582:N1582"/>
    <mergeCell ref="O1582:O1583"/>
    <mergeCell ref="M1583:N1583"/>
    <mergeCell ref="L1580:N1581"/>
    <mergeCell ref="K1575:K1578"/>
    <mergeCell ref="O1575:O1576"/>
    <mergeCell ref="M1577:N1577"/>
    <mergeCell ref="O1577:O1578"/>
    <mergeCell ref="M1578:N1578"/>
    <mergeCell ref="L1575:N1576"/>
    <mergeCell ref="K1570:K1573"/>
    <mergeCell ref="O1570:O1571"/>
    <mergeCell ref="M1572:N1572"/>
    <mergeCell ref="O1572:O1573"/>
    <mergeCell ref="M1573:N1573"/>
    <mergeCell ref="L1570:N1571"/>
    <mergeCell ref="K1625:K1628"/>
    <mergeCell ref="O1625:O1626"/>
    <mergeCell ref="M1627:N1627"/>
    <mergeCell ref="O1627:O1628"/>
    <mergeCell ref="M1628:N1628"/>
    <mergeCell ref="L1625:N1626"/>
    <mergeCell ref="K1620:K1623"/>
    <mergeCell ref="O1620:O1621"/>
    <mergeCell ref="M1622:N1622"/>
    <mergeCell ref="O1622:O1623"/>
    <mergeCell ref="M1623:N1623"/>
    <mergeCell ref="L1620:N1621"/>
    <mergeCell ref="K1615:K1618"/>
    <mergeCell ref="O1615:O1616"/>
    <mergeCell ref="M1617:N1617"/>
    <mergeCell ref="O1617:O1618"/>
    <mergeCell ref="M1618:N1618"/>
    <mergeCell ref="L1615:N1616"/>
    <mergeCell ref="K1610:K1613"/>
    <mergeCell ref="O1610:O1611"/>
    <mergeCell ref="M1612:N1612"/>
    <mergeCell ref="O1612:O1613"/>
    <mergeCell ref="M1613:N1613"/>
    <mergeCell ref="L1610:N1611"/>
    <mergeCell ref="K1605:K1608"/>
    <mergeCell ref="O1605:O1606"/>
    <mergeCell ref="M1607:N1607"/>
    <mergeCell ref="O1607:O1608"/>
    <mergeCell ref="M1608:N1608"/>
    <mergeCell ref="L1605:N1606"/>
    <mergeCell ref="K1600:K1603"/>
    <mergeCell ref="O1600:O1601"/>
    <mergeCell ref="M1602:N1602"/>
    <mergeCell ref="O1602:O1603"/>
    <mergeCell ref="M1603:N1603"/>
    <mergeCell ref="L1600:N1601"/>
    <mergeCell ref="K1655:K1658"/>
    <mergeCell ref="O1655:O1656"/>
    <mergeCell ref="M1657:N1657"/>
    <mergeCell ref="O1657:O1658"/>
    <mergeCell ref="M1658:N1658"/>
    <mergeCell ref="L1655:N1656"/>
    <mergeCell ref="K1650:K1653"/>
    <mergeCell ref="O1650:O1651"/>
    <mergeCell ref="M1652:N1652"/>
    <mergeCell ref="O1652:O1653"/>
    <mergeCell ref="M1653:N1653"/>
    <mergeCell ref="L1650:N1651"/>
    <mergeCell ref="K1645:K1648"/>
    <mergeCell ref="O1645:O1646"/>
    <mergeCell ref="M1647:N1647"/>
    <mergeCell ref="O1647:O1648"/>
    <mergeCell ref="M1648:N1648"/>
    <mergeCell ref="L1645:N1646"/>
    <mergeCell ref="K1640:K1643"/>
    <mergeCell ref="O1640:O1641"/>
    <mergeCell ref="M1642:N1642"/>
    <mergeCell ref="O1642:O1643"/>
    <mergeCell ref="M1643:N1643"/>
    <mergeCell ref="L1640:N1641"/>
    <mergeCell ref="K1635:K1638"/>
    <mergeCell ref="O1635:O1636"/>
    <mergeCell ref="M1637:N1637"/>
    <mergeCell ref="O1637:O1638"/>
    <mergeCell ref="M1638:N1638"/>
    <mergeCell ref="L1635:N1636"/>
    <mergeCell ref="K1630:K1633"/>
    <mergeCell ref="O1630:O1631"/>
    <mergeCell ref="M1632:N1632"/>
    <mergeCell ref="O1632:O1633"/>
    <mergeCell ref="M1633:N1633"/>
    <mergeCell ref="L1630:N1631"/>
    <mergeCell ref="K1685:K1688"/>
    <mergeCell ref="O1685:O1686"/>
    <mergeCell ref="M1687:N1687"/>
    <mergeCell ref="O1687:O1688"/>
    <mergeCell ref="M1688:N1688"/>
    <mergeCell ref="L1685:N1686"/>
    <mergeCell ref="K1680:K1683"/>
    <mergeCell ref="O1680:O1681"/>
    <mergeCell ref="M1682:N1682"/>
    <mergeCell ref="O1682:O1683"/>
    <mergeCell ref="M1683:N1683"/>
    <mergeCell ref="L1680:N1681"/>
    <mergeCell ref="K1675:K1678"/>
    <mergeCell ref="O1675:O1676"/>
    <mergeCell ref="M1677:N1677"/>
    <mergeCell ref="O1677:O1678"/>
    <mergeCell ref="M1678:N1678"/>
    <mergeCell ref="L1675:N1676"/>
    <mergeCell ref="K1670:K1673"/>
    <mergeCell ref="O1670:O1671"/>
    <mergeCell ref="M1672:N1672"/>
    <mergeCell ref="O1672:O1673"/>
    <mergeCell ref="M1673:N1673"/>
    <mergeCell ref="L1670:N1671"/>
    <mergeCell ref="K1665:K1668"/>
    <mergeCell ref="O1665:O1666"/>
    <mergeCell ref="M1667:N1667"/>
    <mergeCell ref="O1667:O1668"/>
    <mergeCell ref="M1668:N1668"/>
    <mergeCell ref="L1665:N1666"/>
    <mergeCell ref="K1660:K1663"/>
    <mergeCell ref="O1660:O1661"/>
    <mergeCell ref="M1662:N1662"/>
    <mergeCell ref="O1662:O1663"/>
    <mergeCell ref="M1663:N1663"/>
    <mergeCell ref="L1660:N1661"/>
    <mergeCell ref="K1715:K1718"/>
    <mergeCell ref="O1715:O1716"/>
    <mergeCell ref="M1717:N1717"/>
    <mergeCell ref="O1717:O1718"/>
    <mergeCell ref="M1718:N1718"/>
    <mergeCell ref="L1715:N1716"/>
    <mergeCell ref="K1710:K1713"/>
    <mergeCell ref="O1710:O1711"/>
    <mergeCell ref="M1712:N1712"/>
    <mergeCell ref="O1712:O1713"/>
    <mergeCell ref="M1713:N1713"/>
    <mergeCell ref="L1710:N1711"/>
    <mergeCell ref="K1705:K1708"/>
    <mergeCell ref="O1705:O1706"/>
    <mergeCell ref="M1707:N1707"/>
    <mergeCell ref="O1707:O1708"/>
    <mergeCell ref="M1708:N1708"/>
    <mergeCell ref="L1705:N1706"/>
    <mergeCell ref="K1700:K1703"/>
    <mergeCell ref="O1700:O1701"/>
    <mergeCell ref="M1702:N1702"/>
    <mergeCell ref="O1702:O1703"/>
    <mergeCell ref="M1703:N1703"/>
    <mergeCell ref="L1700:N1701"/>
    <mergeCell ref="K1695:K1698"/>
    <mergeCell ref="O1695:O1696"/>
    <mergeCell ref="M1697:N1697"/>
    <mergeCell ref="O1697:O1698"/>
    <mergeCell ref="M1698:N1698"/>
    <mergeCell ref="L1695:N1696"/>
    <mergeCell ref="K1690:K1693"/>
    <mergeCell ref="O1690:O1691"/>
    <mergeCell ref="M1692:N1692"/>
    <mergeCell ref="O1692:O1693"/>
    <mergeCell ref="M1693:N1693"/>
    <mergeCell ref="L1690:N1691"/>
    <mergeCell ref="K1745:K1748"/>
    <mergeCell ref="O1745:O1746"/>
    <mergeCell ref="M1747:N1747"/>
    <mergeCell ref="O1747:O1748"/>
    <mergeCell ref="M1748:N1748"/>
    <mergeCell ref="L1745:N1746"/>
    <mergeCell ref="K1740:K1743"/>
    <mergeCell ref="O1740:O1741"/>
    <mergeCell ref="M1742:N1742"/>
    <mergeCell ref="O1742:O1743"/>
    <mergeCell ref="M1743:N1743"/>
    <mergeCell ref="L1740:N1741"/>
    <mergeCell ref="K1735:K1738"/>
    <mergeCell ref="O1735:O1736"/>
    <mergeCell ref="M1737:N1737"/>
    <mergeCell ref="O1737:O1738"/>
    <mergeCell ref="M1738:N1738"/>
    <mergeCell ref="L1735:N1736"/>
    <mergeCell ref="K1730:K1733"/>
    <mergeCell ref="O1730:O1731"/>
    <mergeCell ref="M1732:N1732"/>
    <mergeCell ref="O1732:O1733"/>
    <mergeCell ref="M1733:N1733"/>
    <mergeCell ref="L1730:N1731"/>
    <mergeCell ref="K1725:K1728"/>
    <mergeCell ref="O1725:O1726"/>
    <mergeCell ref="M1727:N1727"/>
    <mergeCell ref="O1727:O1728"/>
    <mergeCell ref="M1728:N1728"/>
    <mergeCell ref="L1725:N1726"/>
    <mergeCell ref="K1720:K1723"/>
    <mergeCell ref="O1720:O1721"/>
    <mergeCell ref="M1722:N1722"/>
    <mergeCell ref="O1722:O1723"/>
    <mergeCell ref="M1723:N1723"/>
    <mergeCell ref="L1720:N1721"/>
    <mergeCell ref="K1775:K1778"/>
    <mergeCell ref="O1775:O1776"/>
    <mergeCell ref="M1777:N1777"/>
    <mergeCell ref="O1777:O1778"/>
    <mergeCell ref="M1778:N1778"/>
    <mergeCell ref="L1775:N1776"/>
    <mergeCell ref="K1770:K1773"/>
    <mergeCell ref="O1770:O1771"/>
    <mergeCell ref="M1772:N1772"/>
    <mergeCell ref="O1772:O1773"/>
    <mergeCell ref="M1773:N1773"/>
    <mergeCell ref="L1770:N1771"/>
    <mergeCell ref="K1765:K1768"/>
    <mergeCell ref="O1765:O1766"/>
    <mergeCell ref="M1767:N1767"/>
    <mergeCell ref="O1767:O1768"/>
    <mergeCell ref="M1768:N1768"/>
    <mergeCell ref="L1765:N1766"/>
    <mergeCell ref="K1760:K1763"/>
    <mergeCell ref="O1760:O1761"/>
    <mergeCell ref="M1762:N1762"/>
    <mergeCell ref="O1762:O1763"/>
    <mergeCell ref="M1763:N1763"/>
    <mergeCell ref="L1760:N1761"/>
    <mergeCell ref="K1755:K1758"/>
    <mergeCell ref="O1755:O1756"/>
    <mergeCell ref="M1757:N1757"/>
    <mergeCell ref="O1757:O1758"/>
    <mergeCell ref="M1758:N1758"/>
    <mergeCell ref="L1755:N1756"/>
    <mergeCell ref="K1750:K1753"/>
    <mergeCell ref="O1750:O1751"/>
    <mergeCell ref="M1752:N1752"/>
    <mergeCell ref="O1752:O1753"/>
    <mergeCell ref="M1753:N1753"/>
    <mergeCell ref="L1750:N1751"/>
    <mergeCell ref="K1805:K1808"/>
    <mergeCell ref="O1805:O1806"/>
    <mergeCell ref="M1807:N1807"/>
    <mergeCell ref="O1807:O1808"/>
    <mergeCell ref="M1808:N1808"/>
    <mergeCell ref="L1805:N1806"/>
    <mergeCell ref="K1800:K1803"/>
    <mergeCell ref="O1800:O1801"/>
    <mergeCell ref="M1802:N1802"/>
    <mergeCell ref="O1802:O1803"/>
    <mergeCell ref="M1803:N1803"/>
    <mergeCell ref="L1800:N1801"/>
    <mergeCell ref="K1795:K1798"/>
    <mergeCell ref="O1795:O1796"/>
    <mergeCell ref="M1797:N1797"/>
    <mergeCell ref="O1797:O1798"/>
    <mergeCell ref="M1798:N1798"/>
    <mergeCell ref="L1795:N1796"/>
    <mergeCell ref="K1790:K1793"/>
    <mergeCell ref="O1790:O1791"/>
    <mergeCell ref="M1792:N1792"/>
    <mergeCell ref="O1792:O1793"/>
    <mergeCell ref="M1793:N1793"/>
    <mergeCell ref="L1790:N1791"/>
    <mergeCell ref="K1785:K1788"/>
    <mergeCell ref="O1785:O1786"/>
    <mergeCell ref="M1787:N1787"/>
    <mergeCell ref="O1787:O1788"/>
    <mergeCell ref="M1788:N1788"/>
    <mergeCell ref="L1785:N1786"/>
    <mergeCell ref="K1780:K1783"/>
    <mergeCell ref="O1780:O1781"/>
    <mergeCell ref="M1782:N1782"/>
    <mergeCell ref="O1782:O1783"/>
    <mergeCell ref="M1783:N1783"/>
    <mergeCell ref="L1780:N1781"/>
    <mergeCell ref="K1835:K1838"/>
    <mergeCell ref="O1835:O1836"/>
    <mergeCell ref="M1837:N1837"/>
    <mergeCell ref="O1837:O1838"/>
    <mergeCell ref="M1838:N1838"/>
    <mergeCell ref="L1835:N1836"/>
    <mergeCell ref="K1830:K1833"/>
    <mergeCell ref="O1830:O1831"/>
    <mergeCell ref="M1832:N1832"/>
    <mergeCell ref="O1832:O1833"/>
    <mergeCell ref="M1833:N1833"/>
    <mergeCell ref="L1830:N1831"/>
    <mergeCell ref="K1825:K1828"/>
    <mergeCell ref="O1825:O1826"/>
    <mergeCell ref="M1827:N1827"/>
    <mergeCell ref="O1827:O1828"/>
    <mergeCell ref="M1828:N1828"/>
    <mergeCell ref="L1825:N1826"/>
    <mergeCell ref="K1820:K1823"/>
    <mergeCell ref="O1820:O1821"/>
    <mergeCell ref="M1822:N1822"/>
    <mergeCell ref="O1822:O1823"/>
    <mergeCell ref="M1823:N1823"/>
    <mergeCell ref="L1820:N1821"/>
    <mergeCell ref="K1815:K1818"/>
    <mergeCell ref="O1815:O1816"/>
    <mergeCell ref="M1817:N1817"/>
    <mergeCell ref="O1817:O1818"/>
    <mergeCell ref="M1818:N1818"/>
    <mergeCell ref="L1815:N1816"/>
    <mergeCell ref="K1810:K1813"/>
    <mergeCell ref="O1810:O1811"/>
    <mergeCell ref="M1812:N1812"/>
    <mergeCell ref="O1812:O1813"/>
    <mergeCell ref="M1813:N1813"/>
    <mergeCell ref="L1810:N1811"/>
    <mergeCell ref="K1865:K1868"/>
    <mergeCell ref="O1865:O1866"/>
    <mergeCell ref="M1867:N1867"/>
    <mergeCell ref="O1867:O1868"/>
    <mergeCell ref="M1868:N1868"/>
    <mergeCell ref="L1865:N1866"/>
    <mergeCell ref="K1860:K1863"/>
    <mergeCell ref="O1860:O1861"/>
    <mergeCell ref="M1862:N1862"/>
    <mergeCell ref="O1862:O1863"/>
    <mergeCell ref="M1863:N1863"/>
    <mergeCell ref="L1860:N1861"/>
    <mergeCell ref="K1855:K1858"/>
    <mergeCell ref="O1855:O1856"/>
    <mergeCell ref="M1857:N1857"/>
    <mergeCell ref="O1857:O1858"/>
    <mergeCell ref="M1858:N1858"/>
    <mergeCell ref="L1855:N1856"/>
    <mergeCell ref="K1850:K1853"/>
    <mergeCell ref="O1850:O1851"/>
    <mergeCell ref="M1852:N1852"/>
    <mergeCell ref="O1852:O1853"/>
    <mergeCell ref="M1853:N1853"/>
    <mergeCell ref="L1850:N1851"/>
    <mergeCell ref="K1845:K1848"/>
    <mergeCell ref="O1845:O1846"/>
    <mergeCell ref="M1847:N1847"/>
    <mergeCell ref="O1847:O1848"/>
    <mergeCell ref="M1848:N1848"/>
    <mergeCell ref="L1845:N1846"/>
    <mergeCell ref="K1840:K1843"/>
    <mergeCell ref="O1840:O1841"/>
    <mergeCell ref="M1842:N1842"/>
    <mergeCell ref="O1842:O1843"/>
    <mergeCell ref="M1843:N1843"/>
    <mergeCell ref="L1840:N1841"/>
    <mergeCell ref="K1895:K1898"/>
    <mergeCell ref="O1895:O1896"/>
    <mergeCell ref="M1897:N1897"/>
    <mergeCell ref="O1897:O1898"/>
    <mergeCell ref="M1898:N1898"/>
    <mergeCell ref="L1895:N1896"/>
    <mergeCell ref="K1890:K1893"/>
    <mergeCell ref="O1890:O1891"/>
    <mergeCell ref="M1892:N1892"/>
    <mergeCell ref="O1892:O1893"/>
    <mergeCell ref="M1893:N1893"/>
    <mergeCell ref="L1890:N1891"/>
    <mergeCell ref="K1885:K1888"/>
    <mergeCell ref="O1885:O1886"/>
    <mergeCell ref="M1887:N1887"/>
    <mergeCell ref="O1887:O1888"/>
    <mergeCell ref="M1888:N1888"/>
    <mergeCell ref="L1885:N1886"/>
    <mergeCell ref="K1880:K1883"/>
    <mergeCell ref="O1880:O1881"/>
    <mergeCell ref="M1882:N1882"/>
    <mergeCell ref="O1882:O1883"/>
    <mergeCell ref="M1883:N1883"/>
    <mergeCell ref="L1880:N1881"/>
    <mergeCell ref="K1875:K1878"/>
    <mergeCell ref="O1875:O1876"/>
    <mergeCell ref="M1877:N1877"/>
    <mergeCell ref="O1877:O1878"/>
    <mergeCell ref="M1878:N1878"/>
    <mergeCell ref="L1875:N1876"/>
    <mergeCell ref="K1870:K1873"/>
    <mergeCell ref="O1870:O1871"/>
    <mergeCell ref="M1872:N1872"/>
    <mergeCell ref="O1872:O1873"/>
    <mergeCell ref="M1873:N1873"/>
    <mergeCell ref="L1870:N1871"/>
    <mergeCell ref="K1925:K1928"/>
    <mergeCell ref="O1925:O1926"/>
    <mergeCell ref="M1927:N1927"/>
    <mergeCell ref="O1927:O1928"/>
    <mergeCell ref="M1928:N1928"/>
    <mergeCell ref="L1925:N1926"/>
    <mergeCell ref="K1920:K1923"/>
    <mergeCell ref="O1920:O1921"/>
    <mergeCell ref="M1922:N1922"/>
    <mergeCell ref="O1922:O1923"/>
    <mergeCell ref="M1923:N1923"/>
    <mergeCell ref="L1920:N1921"/>
    <mergeCell ref="K1915:K1918"/>
    <mergeCell ref="O1915:O1916"/>
    <mergeCell ref="M1917:N1917"/>
    <mergeCell ref="O1917:O1918"/>
    <mergeCell ref="M1918:N1918"/>
    <mergeCell ref="L1915:N1916"/>
    <mergeCell ref="K1910:K1913"/>
    <mergeCell ref="O1910:O1911"/>
    <mergeCell ref="M1912:N1912"/>
    <mergeCell ref="O1912:O1913"/>
    <mergeCell ref="M1913:N1913"/>
    <mergeCell ref="L1910:N1911"/>
    <mergeCell ref="K1905:K1908"/>
    <mergeCell ref="O1905:O1906"/>
    <mergeCell ref="M1907:N1907"/>
    <mergeCell ref="O1907:O1908"/>
    <mergeCell ref="M1908:N1908"/>
    <mergeCell ref="L1905:N1906"/>
    <mergeCell ref="K1900:K1903"/>
    <mergeCell ref="O1900:O1901"/>
    <mergeCell ref="M1902:N1902"/>
    <mergeCell ref="O1902:O1903"/>
    <mergeCell ref="M1903:N1903"/>
    <mergeCell ref="L1900:N1901"/>
    <mergeCell ref="K1955:K1958"/>
    <mergeCell ref="O1955:O1956"/>
    <mergeCell ref="M1957:N1957"/>
    <mergeCell ref="O1957:O1958"/>
    <mergeCell ref="M1958:N1958"/>
    <mergeCell ref="L1955:N1956"/>
    <mergeCell ref="K1950:K1953"/>
    <mergeCell ref="O1950:O1951"/>
    <mergeCell ref="M1952:N1952"/>
    <mergeCell ref="O1952:O1953"/>
    <mergeCell ref="M1953:N1953"/>
    <mergeCell ref="L1950:N1951"/>
    <mergeCell ref="K1945:K1948"/>
    <mergeCell ref="O1945:O1946"/>
    <mergeCell ref="M1947:N1947"/>
    <mergeCell ref="O1947:O1948"/>
    <mergeCell ref="M1948:N1948"/>
    <mergeCell ref="L1945:N1946"/>
    <mergeCell ref="K1940:K1943"/>
    <mergeCell ref="O1940:O1941"/>
    <mergeCell ref="M1942:N1942"/>
    <mergeCell ref="O1942:O1943"/>
    <mergeCell ref="M1943:N1943"/>
    <mergeCell ref="L1940:N1941"/>
    <mergeCell ref="K1935:K1938"/>
    <mergeCell ref="O1935:O1936"/>
    <mergeCell ref="M1937:N1937"/>
    <mergeCell ref="O1937:O1938"/>
    <mergeCell ref="M1938:N1938"/>
    <mergeCell ref="L1935:N1936"/>
    <mergeCell ref="K1930:K1933"/>
    <mergeCell ref="O1930:O1931"/>
    <mergeCell ref="M1932:N1932"/>
    <mergeCell ref="O1932:O1933"/>
    <mergeCell ref="M1933:N1933"/>
    <mergeCell ref="L1930:N1931"/>
    <mergeCell ref="K1985:K1988"/>
    <mergeCell ref="O1985:O1986"/>
    <mergeCell ref="M1987:N1987"/>
    <mergeCell ref="O1987:O1988"/>
    <mergeCell ref="M1988:N1988"/>
    <mergeCell ref="L1985:N1986"/>
    <mergeCell ref="K1980:K1983"/>
    <mergeCell ref="O1980:O1981"/>
    <mergeCell ref="M1982:N1982"/>
    <mergeCell ref="O1982:O1983"/>
    <mergeCell ref="M1983:N1983"/>
    <mergeCell ref="L1980:N1981"/>
    <mergeCell ref="K1975:K1978"/>
    <mergeCell ref="O1975:O1976"/>
    <mergeCell ref="M1977:N1977"/>
    <mergeCell ref="O1977:O1978"/>
    <mergeCell ref="M1978:N1978"/>
    <mergeCell ref="L1975:N1976"/>
    <mergeCell ref="K1970:K1973"/>
    <mergeCell ref="O1970:O1971"/>
    <mergeCell ref="M1972:N1972"/>
    <mergeCell ref="O1972:O1973"/>
    <mergeCell ref="M1973:N1973"/>
    <mergeCell ref="L1970:N1971"/>
    <mergeCell ref="K1965:K1968"/>
    <mergeCell ref="O1965:O1966"/>
    <mergeCell ref="M1967:N1967"/>
    <mergeCell ref="O1967:O1968"/>
    <mergeCell ref="M1968:N1968"/>
    <mergeCell ref="L1965:N1966"/>
    <mergeCell ref="K1960:K1963"/>
    <mergeCell ref="O1960:O1961"/>
    <mergeCell ref="M1962:N1962"/>
    <mergeCell ref="O1962:O1963"/>
    <mergeCell ref="M1963:N1963"/>
    <mergeCell ref="L1960:N1961"/>
    <mergeCell ref="K2015:K2018"/>
    <mergeCell ref="O2015:O2016"/>
    <mergeCell ref="M2017:N2017"/>
    <mergeCell ref="O2017:O2018"/>
    <mergeCell ref="M2018:N2018"/>
    <mergeCell ref="L2015:N2016"/>
    <mergeCell ref="K2010:K2013"/>
    <mergeCell ref="O2010:O2011"/>
    <mergeCell ref="M2012:N2012"/>
    <mergeCell ref="O2012:O2013"/>
    <mergeCell ref="M2013:N2013"/>
    <mergeCell ref="L2010:N2011"/>
    <mergeCell ref="K2005:K2008"/>
    <mergeCell ref="O2005:O2006"/>
    <mergeCell ref="M2007:N2007"/>
    <mergeCell ref="O2007:O2008"/>
    <mergeCell ref="M2008:N2008"/>
    <mergeCell ref="L2005:N2006"/>
    <mergeCell ref="K2000:K2003"/>
    <mergeCell ref="O2000:O2001"/>
    <mergeCell ref="M2002:N2002"/>
    <mergeCell ref="O2002:O2003"/>
    <mergeCell ref="M2003:N2003"/>
    <mergeCell ref="L2000:N2001"/>
    <mergeCell ref="K1995:K1998"/>
    <mergeCell ref="O1995:O1996"/>
    <mergeCell ref="M1997:N1997"/>
    <mergeCell ref="O1997:O1998"/>
    <mergeCell ref="M1998:N1998"/>
    <mergeCell ref="L1995:N1996"/>
    <mergeCell ref="K1990:K1993"/>
    <mergeCell ref="O1990:O1991"/>
    <mergeCell ref="M1992:N1992"/>
    <mergeCell ref="O1992:O1993"/>
    <mergeCell ref="M1993:N1993"/>
    <mergeCell ref="L1990:N1991"/>
    <mergeCell ref="K2045:K2048"/>
    <mergeCell ref="O2045:O2046"/>
    <mergeCell ref="M2047:N2047"/>
    <mergeCell ref="O2047:O2048"/>
    <mergeCell ref="M2048:N2048"/>
    <mergeCell ref="L2045:N2046"/>
    <mergeCell ref="K2040:K2043"/>
    <mergeCell ref="O2040:O2041"/>
    <mergeCell ref="M2042:N2042"/>
    <mergeCell ref="O2042:O2043"/>
    <mergeCell ref="M2043:N2043"/>
    <mergeCell ref="L2040:N2041"/>
    <mergeCell ref="K2035:K2038"/>
    <mergeCell ref="O2035:O2036"/>
    <mergeCell ref="M2037:N2037"/>
    <mergeCell ref="O2037:O2038"/>
    <mergeCell ref="M2038:N2038"/>
    <mergeCell ref="L2035:N2036"/>
    <mergeCell ref="K2030:K2033"/>
    <mergeCell ref="O2030:O2031"/>
    <mergeCell ref="M2032:N2032"/>
    <mergeCell ref="O2032:O2033"/>
    <mergeCell ref="M2033:N2033"/>
    <mergeCell ref="L2030:N2031"/>
    <mergeCell ref="K2025:K2028"/>
    <mergeCell ref="O2025:O2026"/>
    <mergeCell ref="M2027:N2027"/>
    <mergeCell ref="O2027:O2028"/>
    <mergeCell ref="M2028:N2028"/>
    <mergeCell ref="L2025:N2026"/>
    <mergeCell ref="K2020:K2023"/>
    <mergeCell ref="O2020:O2021"/>
    <mergeCell ref="M2022:N2022"/>
    <mergeCell ref="O2022:O2023"/>
    <mergeCell ref="M2023:N2023"/>
    <mergeCell ref="L2020:N2021"/>
    <mergeCell ref="K2075:K2078"/>
    <mergeCell ref="O2075:O2076"/>
    <mergeCell ref="M2077:N2077"/>
    <mergeCell ref="O2077:O2078"/>
    <mergeCell ref="M2078:N2078"/>
    <mergeCell ref="L2075:N2076"/>
    <mergeCell ref="K2070:K2073"/>
    <mergeCell ref="O2070:O2071"/>
    <mergeCell ref="M2072:N2072"/>
    <mergeCell ref="O2072:O2073"/>
    <mergeCell ref="M2073:N2073"/>
    <mergeCell ref="L2070:N2071"/>
    <mergeCell ref="K2065:K2068"/>
    <mergeCell ref="O2065:O2066"/>
    <mergeCell ref="M2067:N2067"/>
    <mergeCell ref="O2067:O2068"/>
    <mergeCell ref="M2068:N2068"/>
    <mergeCell ref="L2065:N2066"/>
    <mergeCell ref="K2060:K2063"/>
    <mergeCell ref="O2060:O2061"/>
    <mergeCell ref="M2062:N2062"/>
    <mergeCell ref="O2062:O2063"/>
    <mergeCell ref="M2063:N2063"/>
    <mergeCell ref="L2060:N2061"/>
    <mergeCell ref="K2055:K2058"/>
    <mergeCell ref="O2055:O2056"/>
    <mergeCell ref="M2057:N2057"/>
    <mergeCell ref="O2057:O2058"/>
    <mergeCell ref="M2058:N2058"/>
    <mergeCell ref="L2055:N2056"/>
    <mergeCell ref="K2050:K2053"/>
    <mergeCell ref="O2050:O2051"/>
    <mergeCell ref="M2052:N2052"/>
    <mergeCell ref="O2052:O2053"/>
    <mergeCell ref="M2053:N2053"/>
    <mergeCell ref="L2050:N2051"/>
    <mergeCell ref="K2105:K2108"/>
    <mergeCell ref="O2105:O2106"/>
    <mergeCell ref="M2107:N2107"/>
    <mergeCell ref="O2107:O2108"/>
    <mergeCell ref="M2108:N2108"/>
    <mergeCell ref="L2105:N2106"/>
    <mergeCell ref="K2100:K2103"/>
    <mergeCell ref="O2100:O2101"/>
    <mergeCell ref="M2102:N2102"/>
    <mergeCell ref="O2102:O2103"/>
    <mergeCell ref="M2103:N2103"/>
    <mergeCell ref="L2100:N2101"/>
    <mergeCell ref="K2095:K2098"/>
    <mergeCell ref="O2095:O2096"/>
    <mergeCell ref="M2097:N2097"/>
    <mergeCell ref="O2097:O2098"/>
    <mergeCell ref="M2098:N2098"/>
    <mergeCell ref="L2095:N2096"/>
    <mergeCell ref="K2090:K2093"/>
    <mergeCell ref="O2090:O2091"/>
    <mergeCell ref="M2092:N2092"/>
    <mergeCell ref="O2092:O2093"/>
    <mergeCell ref="M2093:N2093"/>
    <mergeCell ref="L2090:N2091"/>
    <mergeCell ref="K2085:K2088"/>
    <mergeCell ref="O2085:O2086"/>
    <mergeCell ref="M2087:N2087"/>
    <mergeCell ref="O2087:O2088"/>
    <mergeCell ref="M2088:N2088"/>
    <mergeCell ref="L2085:N2086"/>
    <mergeCell ref="K2080:K2083"/>
    <mergeCell ref="O2080:O2081"/>
    <mergeCell ref="M2082:N2082"/>
    <mergeCell ref="O2082:O2083"/>
    <mergeCell ref="M2083:N2083"/>
    <mergeCell ref="L2080:N2081"/>
    <mergeCell ref="K2135:K2138"/>
    <mergeCell ref="O2135:O2136"/>
    <mergeCell ref="M2137:N2137"/>
    <mergeCell ref="O2137:O2138"/>
    <mergeCell ref="M2138:N2138"/>
    <mergeCell ref="L2135:N2136"/>
    <mergeCell ref="K2130:K2133"/>
    <mergeCell ref="O2130:O2131"/>
    <mergeCell ref="M2132:N2132"/>
    <mergeCell ref="O2132:O2133"/>
    <mergeCell ref="M2133:N2133"/>
    <mergeCell ref="L2130:N2131"/>
    <mergeCell ref="K2125:K2128"/>
    <mergeCell ref="O2125:O2126"/>
    <mergeCell ref="M2127:N2127"/>
    <mergeCell ref="O2127:O2128"/>
    <mergeCell ref="M2128:N2128"/>
    <mergeCell ref="L2125:N2126"/>
    <mergeCell ref="K2120:K2123"/>
    <mergeCell ref="O2120:O2121"/>
    <mergeCell ref="M2122:N2122"/>
    <mergeCell ref="O2122:O2123"/>
    <mergeCell ref="M2123:N2123"/>
    <mergeCell ref="L2120:N2121"/>
    <mergeCell ref="K2115:K2118"/>
    <mergeCell ref="O2115:O2116"/>
    <mergeCell ref="M2117:N2117"/>
    <mergeCell ref="O2117:O2118"/>
    <mergeCell ref="M2118:N2118"/>
    <mergeCell ref="L2115:N2116"/>
    <mergeCell ref="K2110:K2113"/>
    <mergeCell ref="O2110:O2111"/>
    <mergeCell ref="M2112:N2112"/>
    <mergeCell ref="O2112:O2113"/>
    <mergeCell ref="M2113:N2113"/>
    <mergeCell ref="L2110:N2111"/>
    <mergeCell ref="K2165:K2168"/>
    <mergeCell ref="O2165:O2166"/>
    <mergeCell ref="M2167:N2167"/>
    <mergeCell ref="O2167:O2168"/>
    <mergeCell ref="M2168:N2168"/>
    <mergeCell ref="L2165:N2166"/>
    <mergeCell ref="K2160:K2163"/>
    <mergeCell ref="O2160:O2161"/>
    <mergeCell ref="M2162:N2162"/>
    <mergeCell ref="O2162:O2163"/>
    <mergeCell ref="M2163:N2163"/>
    <mergeCell ref="L2160:N2161"/>
    <mergeCell ref="K2155:K2158"/>
    <mergeCell ref="O2155:O2156"/>
    <mergeCell ref="M2157:N2157"/>
    <mergeCell ref="O2157:O2158"/>
    <mergeCell ref="M2158:N2158"/>
    <mergeCell ref="L2155:N2156"/>
    <mergeCell ref="K2150:K2153"/>
    <mergeCell ref="O2150:O2151"/>
    <mergeCell ref="M2152:N2152"/>
    <mergeCell ref="O2152:O2153"/>
    <mergeCell ref="M2153:N2153"/>
    <mergeCell ref="L2150:N2151"/>
    <mergeCell ref="K2145:K2148"/>
    <mergeCell ref="O2145:O2146"/>
    <mergeCell ref="M2147:N2147"/>
    <mergeCell ref="O2147:O2148"/>
    <mergeCell ref="M2148:N2148"/>
    <mergeCell ref="L2145:N2146"/>
    <mergeCell ref="K2140:K2143"/>
    <mergeCell ref="O2140:O2141"/>
    <mergeCell ref="M2142:N2142"/>
    <mergeCell ref="O2142:O2143"/>
    <mergeCell ref="M2143:N2143"/>
    <mergeCell ref="L2140:N2141"/>
    <mergeCell ref="K2195:K2198"/>
    <mergeCell ref="O2195:O2196"/>
    <mergeCell ref="M2197:N2197"/>
    <mergeCell ref="O2197:O2198"/>
    <mergeCell ref="M2198:N2198"/>
    <mergeCell ref="L2195:N2196"/>
    <mergeCell ref="K2190:K2193"/>
    <mergeCell ref="O2190:O2191"/>
    <mergeCell ref="M2192:N2192"/>
    <mergeCell ref="O2192:O2193"/>
    <mergeCell ref="M2193:N2193"/>
    <mergeCell ref="L2190:N2191"/>
    <mergeCell ref="K2185:K2188"/>
    <mergeCell ref="O2185:O2186"/>
    <mergeCell ref="M2187:N2187"/>
    <mergeCell ref="O2187:O2188"/>
    <mergeCell ref="M2188:N2188"/>
    <mergeCell ref="L2185:N2186"/>
    <mergeCell ref="K2180:K2183"/>
    <mergeCell ref="O2180:O2181"/>
    <mergeCell ref="M2182:N2182"/>
    <mergeCell ref="O2182:O2183"/>
    <mergeCell ref="M2183:N2183"/>
    <mergeCell ref="L2180:N2181"/>
    <mergeCell ref="K2175:K2178"/>
    <mergeCell ref="O2175:O2176"/>
    <mergeCell ref="M2177:N2177"/>
    <mergeCell ref="O2177:O2178"/>
    <mergeCell ref="M2178:N2178"/>
    <mergeCell ref="L2175:N2176"/>
    <mergeCell ref="K2170:K2173"/>
    <mergeCell ref="O2170:O2171"/>
    <mergeCell ref="M2172:N2172"/>
    <mergeCell ref="O2172:O2173"/>
    <mergeCell ref="M2173:N2173"/>
    <mergeCell ref="L2170:N2171"/>
    <mergeCell ref="K2225:K2228"/>
    <mergeCell ref="O2225:O2226"/>
    <mergeCell ref="M2227:N2227"/>
    <mergeCell ref="O2227:O2228"/>
    <mergeCell ref="M2228:N2228"/>
    <mergeCell ref="L2225:N2226"/>
    <mergeCell ref="K2220:K2223"/>
    <mergeCell ref="O2220:O2221"/>
    <mergeCell ref="M2222:N2222"/>
    <mergeCell ref="O2222:O2223"/>
    <mergeCell ref="M2223:N2223"/>
    <mergeCell ref="L2220:N2221"/>
    <mergeCell ref="K2215:K2218"/>
    <mergeCell ref="O2215:O2216"/>
    <mergeCell ref="M2217:N2217"/>
    <mergeCell ref="O2217:O2218"/>
    <mergeCell ref="M2218:N2218"/>
    <mergeCell ref="L2215:N2216"/>
    <mergeCell ref="K2210:K2213"/>
    <mergeCell ref="O2210:O2211"/>
    <mergeCell ref="M2212:N2212"/>
    <mergeCell ref="O2212:O2213"/>
    <mergeCell ref="M2213:N2213"/>
    <mergeCell ref="L2210:N2211"/>
    <mergeCell ref="K2205:K2208"/>
    <mergeCell ref="O2205:O2206"/>
    <mergeCell ref="M2207:N2207"/>
    <mergeCell ref="O2207:O2208"/>
    <mergeCell ref="M2208:N2208"/>
    <mergeCell ref="L2205:N2206"/>
    <mergeCell ref="K2200:K2203"/>
    <mergeCell ref="O2200:O2201"/>
    <mergeCell ref="M2202:N2202"/>
    <mergeCell ref="O2202:O2203"/>
    <mergeCell ref="M2203:N2203"/>
    <mergeCell ref="L2200:N2201"/>
    <mergeCell ref="K2255:K2258"/>
    <mergeCell ref="O2255:O2256"/>
    <mergeCell ref="M2257:N2257"/>
    <mergeCell ref="O2257:O2258"/>
    <mergeCell ref="M2258:N2258"/>
    <mergeCell ref="L2255:N2256"/>
    <mergeCell ref="K2250:K2253"/>
    <mergeCell ref="O2250:O2251"/>
    <mergeCell ref="M2252:N2252"/>
    <mergeCell ref="O2252:O2253"/>
    <mergeCell ref="M2253:N2253"/>
    <mergeCell ref="L2250:N2251"/>
    <mergeCell ref="K2245:K2248"/>
    <mergeCell ref="O2245:O2246"/>
    <mergeCell ref="M2247:N2247"/>
    <mergeCell ref="O2247:O2248"/>
    <mergeCell ref="M2248:N2248"/>
    <mergeCell ref="L2245:N2246"/>
    <mergeCell ref="K2240:K2243"/>
    <mergeCell ref="O2240:O2241"/>
    <mergeCell ref="M2242:N2242"/>
    <mergeCell ref="O2242:O2243"/>
    <mergeCell ref="M2243:N2243"/>
    <mergeCell ref="L2240:N2241"/>
    <mergeCell ref="K2235:K2238"/>
    <mergeCell ref="O2235:O2236"/>
    <mergeCell ref="M2237:N2237"/>
    <mergeCell ref="O2237:O2238"/>
    <mergeCell ref="M2238:N2238"/>
    <mergeCell ref="L2235:N2236"/>
    <mergeCell ref="K2230:K2233"/>
    <mergeCell ref="O2230:O2231"/>
    <mergeCell ref="M2232:N2232"/>
    <mergeCell ref="O2232:O2233"/>
    <mergeCell ref="M2233:N2233"/>
    <mergeCell ref="L2230:N2231"/>
    <mergeCell ref="K2285:K2288"/>
    <mergeCell ref="O2285:O2286"/>
    <mergeCell ref="M2287:N2287"/>
    <mergeCell ref="O2287:O2288"/>
    <mergeCell ref="M2288:N2288"/>
    <mergeCell ref="L2285:N2286"/>
    <mergeCell ref="K2280:K2283"/>
    <mergeCell ref="O2280:O2281"/>
    <mergeCell ref="M2282:N2282"/>
    <mergeCell ref="O2282:O2283"/>
    <mergeCell ref="M2283:N2283"/>
    <mergeCell ref="L2280:N2281"/>
    <mergeCell ref="K2275:K2278"/>
    <mergeCell ref="O2275:O2276"/>
    <mergeCell ref="M2277:N2277"/>
    <mergeCell ref="O2277:O2278"/>
    <mergeCell ref="M2278:N2278"/>
    <mergeCell ref="L2275:N2276"/>
    <mergeCell ref="K2270:K2273"/>
    <mergeCell ref="O2270:O2271"/>
    <mergeCell ref="M2272:N2272"/>
    <mergeCell ref="O2272:O2273"/>
    <mergeCell ref="M2273:N2273"/>
    <mergeCell ref="L2270:N2271"/>
    <mergeCell ref="K2265:K2268"/>
    <mergeCell ref="O2265:O2266"/>
    <mergeCell ref="M2267:N2267"/>
    <mergeCell ref="O2267:O2268"/>
    <mergeCell ref="M2268:N2268"/>
    <mergeCell ref="L2265:N2266"/>
    <mergeCell ref="K2260:K2263"/>
    <mergeCell ref="O2260:O2261"/>
    <mergeCell ref="M2262:N2262"/>
    <mergeCell ref="O2262:O2263"/>
    <mergeCell ref="M2263:N2263"/>
    <mergeCell ref="L2260:N2261"/>
    <mergeCell ref="K2315:K2318"/>
    <mergeCell ref="O2315:O2316"/>
    <mergeCell ref="M2317:N2317"/>
    <mergeCell ref="O2317:O2318"/>
    <mergeCell ref="M2318:N2318"/>
    <mergeCell ref="L2315:N2316"/>
    <mergeCell ref="K2310:K2313"/>
    <mergeCell ref="O2310:O2311"/>
    <mergeCell ref="M2312:N2312"/>
    <mergeCell ref="O2312:O2313"/>
    <mergeCell ref="M2313:N2313"/>
    <mergeCell ref="L2310:N2311"/>
    <mergeCell ref="K2305:K2308"/>
    <mergeCell ref="O2305:O2306"/>
    <mergeCell ref="M2307:N2307"/>
    <mergeCell ref="O2307:O2308"/>
    <mergeCell ref="M2308:N2308"/>
    <mergeCell ref="L2305:N2306"/>
    <mergeCell ref="K2300:K2303"/>
    <mergeCell ref="O2300:O2301"/>
    <mergeCell ref="M2302:N2302"/>
    <mergeCell ref="O2302:O2303"/>
    <mergeCell ref="M2303:N2303"/>
    <mergeCell ref="L2300:N2301"/>
    <mergeCell ref="K2295:K2298"/>
    <mergeCell ref="O2295:O2296"/>
    <mergeCell ref="M2297:N2297"/>
    <mergeCell ref="O2297:O2298"/>
    <mergeCell ref="M2298:N2298"/>
    <mergeCell ref="L2295:N2296"/>
    <mergeCell ref="K2290:K2293"/>
    <mergeCell ref="O2290:O2291"/>
    <mergeCell ref="M2292:N2292"/>
    <mergeCell ref="O2292:O2293"/>
    <mergeCell ref="M2293:N2293"/>
    <mergeCell ref="L2290:N2291"/>
    <mergeCell ref="K2345:K2348"/>
    <mergeCell ref="O2345:O2346"/>
    <mergeCell ref="M2347:N2347"/>
    <mergeCell ref="O2347:O2348"/>
    <mergeCell ref="M2348:N2348"/>
    <mergeCell ref="L2345:N2346"/>
    <mergeCell ref="K2340:K2343"/>
    <mergeCell ref="O2340:O2341"/>
    <mergeCell ref="M2342:N2342"/>
    <mergeCell ref="O2342:O2343"/>
    <mergeCell ref="M2343:N2343"/>
    <mergeCell ref="L2340:N2341"/>
    <mergeCell ref="K2335:K2338"/>
    <mergeCell ref="O2335:O2336"/>
    <mergeCell ref="M2337:N2337"/>
    <mergeCell ref="O2337:O2338"/>
    <mergeCell ref="M2338:N2338"/>
    <mergeCell ref="L2335:N2336"/>
    <mergeCell ref="K2330:K2333"/>
    <mergeCell ref="O2330:O2331"/>
    <mergeCell ref="M2332:N2332"/>
    <mergeCell ref="O2332:O2333"/>
    <mergeCell ref="M2333:N2333"/>
    <mergeCell ref="L2330:N2331"/>
    <mergeCell ref="K2325:K2328"/>
    <mergeCell ref="O2325:O2326"/>
    <mergeCell ref="M2327:N2327"/>
    <mergeCell ref="O2327:O2328"/>
    <mergeCell ref="M2328:N2328"/>
    <mergeCell ref="L2325:N2326"/>
    <mergeCell ref="K2320:K2323"/>
    <mergeCell ref="O2320:O2321"/>
    <mergeCell ref="M2322:N2322"/>
    <mergeCell ref="O2322:O2323"/>
    <mergeCell ref="M2323:N2323"/>
    <mergeCell ref="L2320:N2321"/>
    <mergeCell ref="K2375:K2378"/>
    <mergeCell ref="O2375:O2376"/>
    <mergeCell ref="M2377:N2377"/>
    <mergeCell ref="O2377:O2378"/>
    <mergeCell ref="M2378:N2378"/>
    <mergeCell ref="L2375:N2376"/>
    <mergeCell ref="K2370:K2373"/>
    <mergeCell ref="O2370:O2371"/>
    <mergeCell ref="M2372:N2372"/>
    <mergeCell ref="O2372:O2373"/>
    <mergeCell ref="M2373:N2373"/>
    <mergeCell ref="L2370:N2371"/>
    <mergeCell ref="K2365:K2368"/>
    <mergeCell ref="O2365:O2366"/>
    <mergeCell ref="M2367:N2367"/>
    <mergeCell ref="O2367:O2368"/>
    <mergeCell ref="M2368:N2368"/>
    <mergeCell ref="L2365:N2366"/>
    <mergeCell ref="K2360:K2363"/>
    <mergeCell ref="O2360:O2361"/>
    <mergeCell ref="M2362:N2362"/>
    <mergeCell ref="O2362:O2363"/>
    <mergeCell ref="M2363:N2363"/>
    <mergeCell ref="L2360:N2361"/>
    <mergeCell ref="K2355:K2358"/>
    <mergeCell ref="O2355:O2356"/>
    <mergeCell ref="M2357:N2357"/>
    <mergeCell ref="O2357:O2358"/>
    <mergeCell ref="M2358:N2358"/>
    <mergeCell ref="L2355:N2356"/>
    <mergeCell ref="K2350:K2353"/>
    <mergeCell ref="O2350:O2351"/>
    <mergeCell ref="M2352:N2352"/>
    <mergeCell ref="O2352:O2353"/>
    <mergeCell ref="M2353:N2353"/>
    <mergeCell ref="L2350:N2351"/>
    <mergeCell ref="K2405:K2408"/>
    <mergeCell ref="O2405:O2406"/>
    <mergeCell ref="M2407:N2407"/>
    <mergeCell ref="O2407:O2408"/>
    <mergeCell ref="M2408:N2408"/>
    <mergeCell ref="L2405:N2406"/>
    <mergeCell ref="K2400:K2403"/>
    <mergeCell ref="O2400:O2401"/>
    <mergeCell ref="M2402:N2402"/>
    <mergeCell ref="O2402:O2403"/>
    <mergeCell ref="M2403:N2403"/>
    <mergeCell ref="L2400:N2401"/>
    <mergeCell ref="K2395:K2398"/>
    <mergeCell ref="O2395:O2396"/>
    <mergeCell ref="M2397:N2397"/>
    <mergeCell ref="O2397:O2398"/>
    <mergeCell ref="M2398:N2398"/>
    <mergeCell ref="L2395:N2396"/>
    <mergeCell ref="K2390:K2393"/>
    <mergeCell ref="O2390:O2391"/>
    <mergeCell ref="M2392:N2392"/>
    <mergeCell ref="O2392:O2393"/>
    <mergeCell ref="M2393:N2393"/>
    <mergeCell ref="L2390:N2391"/>
    <mergeCell ref="K2385:K2388"/>
    <mergeCell ref="O2385:O2386"/>
    <mergeCell ref="M2387:N2387"/>
    <mergeCell ref="O2387:O2388"/>
    <mergeCell ref="M2388:N2388"/>
    <mergeCell ref="L2385:N2386"/>
    <mergeCell ref="K2380:K2383"/>
    <mergeCell ref="O2380:O2381"/>
    <mergeCell ref="M2382:N2382"/>
    <mergeCell ref="O2382:O2383"/>
    <mergeCell ref="M2383:N2383"/>
    <mergeCell ref="L2380:N2381"/>
    <mergeCell ref="K2435:K2438"/>
    <mergeCell ref="O2435:O2436"/>
    <mergeCell ref="M2437:N2437"/>
    <mergeCell ref="O2437:O2438"/>
    <mergeCell ref="M2438:N2438"/>
    <mergeCell ref="L2435:N2436"/>
    <mergeCell ref="K2430:K2433"/>
    <mergeCell ref="O2430:O2431"/>
    <mergeCell ref="M2432:N2432"/>
    <mergeCell ref="O2432:O2433"/>
    <mergeCell ref="M2433:N2433"/>
    <mergeCell ref="L2430:N2431"/>
    <mergeCell ref="K2425:K2428"/>
    <mergeCell ref="O2425:O2426"/>
    <mergeCell ref="M2427:N2427"/>
    <mergeCell ref="O2427:O2428"/>
    <mergeCell ref="M2428:N2428"/>
    <mergeCell ref="L2425:N2426"/>
    <mergeCell ref="K2420:K2423"/>
    <mergeCell ref="O2420:O2421"/>
    <mergeCell ref="M2422:N2422"/>
    <mergeCell ref="O2422:O2423"/>
    <mergeCell ref="M2423:N2423"/>
    <mergeCell ref="L2420:N2421"/>
    <mergeCell ref="K2415:K2418"/>
    <mergeCell ref="O2415:O2416"/>
    <mergeCell ref="M2417:N2417"/>
    <mergeCell ref="O2417:O2418"/>
    <mergeCell ref="M2418:N2418"/>
    <mergeCell ref="L2415:N2416"/>
    <mergeCell ref="K2410:K2413"/>
    <mergeCell ref="O2410:O2411"/>
    <mergeCell ref="M2412:N2412"/>
    <mergeCell ref="O2412:O2413"/>
    <mergeCell ref="M2413:N2413"/>
    <mergeCell ref="L2410:N2411"/>
    <mergeCell ref="M2473:N2473"/>
    <mergeCell ref="L2470:N2471"/>
    <mergeCell ref="K2465:K2468"/>
    <mergeCell ref="O2465:O2466"/>
    <mergeCell ref="M2467:N2467"/>
    <mergeCell ref="O2467:O2468"/>
    <mergeCell ref="M2468:N2468"/>
    <mergeCell ref="L2465:N2466"/>
    <mergeCell ref="K2460:K2463"/>
    <mergeCell ref="O2460:O2461"/>
    <mergeCell ref="M2462:N2462"/>
    <mergeCell ref="O2462:O2463"/>
    <mergeCell ref="M2463:N2463"/>
    <mergeCell ref="L2460:N2461"/>
    <mergeCell ref="K2455:K2458"/>
    <mergeCell ref="O2455:O2456"/>
    <mergeCell ref="M2457:N2457"/>
    <mergeCell ref="O2457:O2458"/>
    <mergeCell ref="M2458:N2458"/>
    <mergeCell ref="L2455:N2456"/>
    <mergeCell ref="K2450:K2453"/>
    <mergeCell ref="O2450:O2451"/>
    <mergeCell ref="M2452:N2452"/>
    <mergeCell ref="O2452:O2453"/>
    <mergeCell ref="M2453:N2453"/>
    <mergeCell ref="L2450:N2451"/>
    <mergeCell ref="K2445:K2448"/>
    <mergeCell ref="O2445:O2446"/>
    <mergeCell ref="M2447:N2447"/>
    <mergeCell ref="O2447:O2448"/>
    <mergeCell ref="M2448:N2448"/>
    <mergeCell ref="L2445:N2446"/>
    <mergeCell ref="K2440:K2443"/>
    <mergeCell ref="O2440:O2441"/>
    <mergeCell ref="M2442:N2442"/>
    <mergeCell ref="O2442:O2443"/>
    <mergeCell ref="M2443:N2443"/>
    <mergeCell ref="L2440:N2441"/>
    <mergeCell ref="S1040:S1043"/>
    <mergeCell ref="W1040:W1041"/>
    <mergeCell ref="U1042:V1042"/>
    <mergeCell ref="W1042:W1043"/>
    <mergeCell ref="U1043:V1043"/>
    <mergeCell ref="T1040:V1041"/>
    <mergeCell ref="K2515:K2518"/>
    <mergeCell ref="O2515:O2516"/>
    <mergeCell ref="M2517:N2517"/>
    <mergeCell ref="O2517:O2518"/>
    <mergeCell ref="M2518:N2518"/>
    <mergeCell ref="L2515:N2516"/>
    <mergeCell ref="K2510:K2513"/>
    <mergeCell ref="O2510:O2511"/>
    <mergeCell ref="M2512:N2512"/>
    <mergeCell ref="O2512:O2513"/>
    <mergeCell ref="M2513:N2513"/>
    <mergeCell ref="L2510:N2511"/>
    <mergeCell ref="K2505:K2508"/>
    <mergeCell ref="O2505:O2506"/>
    <mergeCell ref="M2507:N2507"/>
    <mergeCell ref="O2507:O2508"/>
    <mergeCell ref="M2508:N2508"/>
    <mergeCell ref="L2505:N2506"/>
    <mergeCell ref="K2500:K2503"/>
    <mergeCell ref="O2500:O2501"/>
    <mergeCell ref="M2502:N2502"/>
    <mergeCell ref="O2502:O2503"/>
    <mergeCell ref="M2503:N2503"/>
    <mergeCell ref="L2500:N2501"/>
    <mergeCell ref="K2495:K2498"/>
    <mergeCell ref="O2495:O2496"/>
    <mergeCell ref="M2497:N2497"/>
    <mergeCell ref="O2497:O2498"/>
    <mergeCell ref="M2498:N2498"/>
    <mergeCell ref="L2495:N2496"/>
    <mergeCell ref="K2490:K2493"/>
    <mergeCell ref="O2490:O2491"/>
    <mergeCell ref="M2492:N2492"/>
    <mergeCell ref="O2492:O2493"/>
    <mergeCell ref="M2493:N2493"/>
    <mergeCell ref="L2490:N2491"/>
    <mergeCell ref="K2485:K2488"/>
    <mergeCell ref="O2485:O2486"/>
    <mergeCell ref="M2487:N2487"/>
    <mergeCell ref="O2487:O2488"/>
    <mergeCell ref="M2488:N2488"/>
    <mergeCell ref="L2485:N2486"/>
    <mergeCell ref="K2480:K2483"/>
    <mergeCell ref="O2480:O2481"/>
    <mergeCell ref="M2482:N2482"/>
    <mergeCell ref="O2482:O2483"/>
    <mergeCell ref="M2483:N2483"/>
    <mergeCell ref="L2480:N2481"/>
    <mergeCell ref="K2475:K2478"/>
    <mergeCell ref="O2475:O2476"/>
    <mergeCell ref="M2477:N2477"/>
    <mergeCell ref="O2477:O2478"/>
    <mergeCell ref="M2478:N2478"/>
    <mergeCell ref="L2475:N2476"/>
    <mergeCell ref="K2470:K2473"/>
    <mergeCell ref="O2470:O2471"/>
    <mergeCell ref="M2472:N2472"/>
    <mergeCell ref="O2472:O2473"/>
    <mergeCell ref="S1070:S1073"/>
    <mergeCell ref="W1070:W1071"/>
    <mergeCell ref="U1072:V1072"/>
    <mergeCell ref="W1072:W1073"/>
    <mergeCell ref="U1073:V1073"/>
    <mergeCell ref="T1070:V1071"/>
    <mergeCell ref="S1065:S1068"/>
    <mergeCell ref="W1065:W1066"/>
    <mergeCell ref="U1067:V1067"/>
    <mergeCell ref="W1067:W1068"/>
    <mergeCell ref="U1068:V1068"/>
    <mergeCell ref="T1065:V1066"/>
    <mergeCell ref="S1060:S1063"/>
    <mergeCell ref="W1060:W1061"/>
    <mergeCell ref="U1062:V1062"/>
    <mergeCell ref="W1062:W1063"/>
    <mergeCell ref="U1063:V1063"/>
    <mergeCell ref="T1060:V1061"/>
    <mergeCell ref="S1055:S1058"/>
    <mergeCell ref="W1055:W1056"/>
    <mergeCell ref="U1057:V1057"/>
    <mergeCell ref="W1057:W1058"/>
    <mergeCell ref="U1058:V1058"/>
    <mergeCell ref="T1055:V1056"/>
    <mergeCell ref="S1050:S1053"/>
    <mergeCell ref="W1050:W1051"/>
    <mergeCell ref="U1052:V1052"/>
    <mergeCell ref="W1052:W1053"/>
    <mergeCell ref="U1053:V1053"/>
    <mergeCell ref="T1050:V1051"/>
    <mergeCell ref="S1045:S1048"/>
    <mergeCell ref="W1045:W1046"/>
    <mergeCell ref="U1047:V1047"/>
    <mergeCell ref="W1047:W1048"/>
    <mergeCell ref="U1048:V1048"/>
    <mergeCell ref="T1045:V1046"/>
    <mergeCell ref="S1100:S1103"/>
    <mergeCell ref="W1100:W1101"/>
    <mergeCell ref="U1102:V1102"/>
    <mergeCell ref="W1102:W1103"/>
    <mergeCell ref="U1103:V1103"/>
    <mergeCell ref="T1100:V1101"/>
    <mergeCell ref="S1095:S1098"/>
    <mergeCell ref="W1095:W1096"/>
    <mergeCell ref="U1097:V1097"/>
    <mergeCell ref="W1097:W1098"/>
    <mergeCell ref="U1098:V1098"/>
    <mergeCell ref="T1095:V1096"/>
    <mergeCell ref="S1090:S1093"/>
    <mergeCell ref="W1090:W1091"/>
    <mergeCell ref="U1092:V1092"/>
    <mergeCell ref="W1092:W1093"/>
    <mergeCell ref="U1093:V1093"/>
    <mergeCell ref="T1090:V1091"/>
    <mergeCell ref="S1085:S1088"/>
    <mergeCell ref="W1085:W1086"/>
    <mergeCell ref="U1087:V1087"/>
    <mergeCell ref="W1087:W1088"/>
    <mergeCell ref="U1088:V1088"/>
    <mergeCell ref="T1085:V1086"/>
    <mergeCell ref="S1080:S1083"/>
    <mergeCell ref="W1080:W1081"/>
    <mergeCell ref="U1082:V1082"/>
    <mergeCell ref="W1082:W1083"/>
    <mergeCell ref="U1083:V1083"/>
    <mergeCell ref="T1080:V1081"/>
    <mergeCell ref="S1075:S1078"/>
    <mergeCell ref="W1075:W1076"/>
    <mergeCell ref="U1077:V1077"/>
    <mergeCell ref="W1077:W1078"/>
    <mergeCell ref="U1078:V1078"/>
    <mergeCell ref="T1075:V1076"/>
    <mergeCell ref="S1130:S1133"/>
    <mergeCell ref="W1130:W1131"/>
    <mergeCell ref="U1132:V1132"/>
    <mergeCell ref="W1132:W1133"/>
    <mergeCell ref="U1133:V1133"/>
    <mergeCell ref="T1130:V1131"/>
    <mergeCell ref="S1125:S1128"/>
    <mergeCell ref="W1125:W1126"/>
    <mergeCell ref="U1127:V1127"/>
    <mergeCell ref="W1127:W1128"/>
    <mergeCell ref="U1128:V1128"/>
    <mergeCell ref="T1125:V1126"/>
    <mergeCell ref="S1120:S1123"/>
    <mergeCell ref="W1120:W1121"/>
    <mergeCell ref="U1122:V1122"/>
    <mergeCell ref="W1122:W1123"/>
    <mergeCell ref="U1123:V1123"/>
    <mergeCell ref="T1120:V1121"/>
    <mergeCell ref="S1115:S1118"/>
    <mergeCell ref="W1115:W1116"/>
    <mergeCell ref="U1117:V1117"/>
    <mergeCell ref="W1117:W1118"/>
    <mergeCell ref="U1118:V1118"/>
    <mergeCell ref="T1115:V1116"/>
    <mergeCell ref="S1110:S1113"/>
    <mergeCell ref="W1110:W1111"/>
    <mergeCell ref="U1112:V1112"/>
    <mergeCell ref="W1112:W1113"/>
    <mergeCell ref="U1113:V1113"/>
    <mergeCell ref="T1110:V1111"/>
    <mergeCell ref="S1105:S1108"/>
    <mergeCell ref="W1105:W1106"/>
    <mergeCell ref="U1107:V1107"/>
    <mergeCell ref="W1107:W1108"/>
    <mergeCell ref="U1108:V1108"/>
    <mergeCell ref="T1105:V1106"/>
    <mergeCell ref="S1160:S1163"/>
    <mergeCell ref="W1160:W1161"/>
    <mergeCell ref="U1162:V1162"/>
    <mergeCell ref="W1162:W1163"/>
    <mergeCell ref="U1163:V1163"/>
    <mergeCell ref="T1160:V1161"/>
    <mergeCell ref="S1155:S1158"/>
    <mergeCell ref="W1155:W1156"/>
    <mergeCell ref="U1157:V1157"/>
    <mergeCell ref="W1157:W1158"/>
    <mergeCell ref="U1158:V1158"/>
    <mergeCell ref="T1155:V1156"/>
    <mergeCell ref="S1150:S1153"/>
    <mergeCell ref="W1150:W1151"/>
    <mergeCell ref="U1152:V1152"/>
    <mergeCell ref="W1152:W1153"/>
    <mergeCell ref="U1153:V1153"/>
    <mergeCell ref="T1150:V1151"/>
    <mergeCell ref="S1145:S1148"/>
    <mergeCell ref="W1145:W1146"/>
    <mergeCell ref="U1147:V1147"/>
    <mergeCell ref="W1147:W1148"/>
    <mergeCell ref="U1148:V1148"/>
    <mergeCell ref="T1145:V1146"/>
    <mergeCell ref="S1140:S1143"/>
    <mergeCell ref="W1140:W1141"/>
    <mergeCell ref="U1142:V1142"/>
    <mergeCell ref="W1142:W1143"/>
    <mergeCell ref="U1143:V1143"/>
    <mergeCell ref="T1140:V1141"/>
    <mergeCell ref="S1135:S1138"/>
    <mergeCell ref="W1135:W1136"/>
    <mergeCell ref="U1137:V1137"/>
    <mergeCell ref="W1137:W1138"/>
    <mergeCell ref="U1138:V1138"/>
    <mergeCell ref="T1135:V1136"/>
    <mergeCell ref="S1190:S1193"/>
    <mergeCell ref="W1190:W1191"/>
    <mergeCell ref="U1192:V1192"/>
    <mergeCell ref="W1192:W1193"/>
    <mergeCell ref="U1193:V1193"/>
    <mergeCell ref="T1190:V1191"/>
    <mergeCell ref="S1185:S1188"/>
    <mergeCell ref="W1185:W1186"/>
    <mergeCell ref="U1187:V1187"/>
    <mergeCell ref="W1187:W1188"/>
    <mergeCell ref="U1188:V1188"/>
    <mergeCell ref="T1185:V1186"/>
    <mergeCell ref="S1180:S1183"/>
    <mergeCell ref="W1180:W1181"/>
    <mergeCell ref="U1182:V1182"/>
    <mergeCell ref="W1182:W1183"/>
    <mergeCell ref="U1183:V1183"/>
    <mergeCell ref="T1180:V1181"/>
    <mergeCell ref="S1175:S1178"/>
    <mergeCell ref="W1175:W1176"/>
    <mergeCell ref="U1177:V1177"/>
    <mergeCell ref="W1177:W1178"/>
    <mergeCell ref="U1178:V1178"/>
    <mergeCell ref="T1175:V1176"/>
    <mergeCell ref="S1170:S1173"/>
    <mergeCell ref="W1170:W1171"/>
    <mergeCell ref="U1172:V1172"/>
    <mergeCell ref="W1172:W1173"/>
    <mergeCell ref="U1173:V1173"/>
    <mergeCell ref="T1170:V1171"/>
    <mergeCell ref="S1165:S1168"/>
    <mergeCell ref="W1165:W1166"/>
    <mergeCell ref="U1167:V1167"/>
    <mergeCell ref="W1167:W1168"/>
    <mergeCell ref="U1168:V1168"/>
    <mergeCell ref="T1165:V1166"/>
    <mergeCell ref="S1220:S1223"/>
    <mergeCell ref="W1220:W1221"/>
    <mergeCell ref="U1222:V1222"/>
    <mergeCell ref="W1222:W1223"/>
    <mergeCell ref="U1223:V1223"/>
    <mergeCell ref="T1220:V1221"/>
    <mergeCell ref="S1215:S1218"/>
    <mergeCell ref="W1215:W1216"/>
    <mergeCell ref="U1217:V1217"/>
    <mergeCell ref="W1217:W1218"/>
    <mergeCell ref="U1218:V1218"/>
    <mergeCell ref="T1215:V1216"/>
    <mergeCell ref="S1210:S1213"/>
    <mergeCell ref="W1210:W1211"/>
    <mergeCell ref="U1212:V1212"/>
    <mergeCell ref="W1212:W1213"/>
    <mergeCell ref="U1213:V1213"/>
    <mergeCell ref="T1210:V1211"/>
    <mergeCell ref="S1205:S1208"/>
    <mergeCell ref="W1205:W1206"/>
    <mergeCell ref="U1207:V1207"/>
    <mergeCell ref="W1207:W1208"/>
    <mergeCell ref="U1208:V1208"/>
    <mergeCell ref="T1205:V1206"/>
    <mergeCell ref="S1200:S1203"/>
    <mergeCell ref="W1200:W1201"/>
    <mergeCell ref="U1202:V1202"/>
    <mergeCell ref="W1202:W1203"/>
    <mergeCell ref="U1203:V1203"/>
    <mergeCell ref="T1200:V1201"/>
    <mergeCell ref="S1195:S1198"/>
    <mergeCell ref="W1195:W1196"/>
    <mergeCell ref="U1197:V1197"/>
    <mergeCell ref="W1197:W1198"/>
    <mergeCell ref="U1198:V1198"/>
    <mergeCell ref="T1195:V1196"/>
    <mergeCell ref="S1250:S1253"/>
    <mergeCell ref="W1250:W1251"/>
    <mergeCell ref="U1252:V1252"/>
    <mergeCell ref="W1252:W1253"/>
    <mergeCell ref="U1253:V1253"/>
    <mergeCell ref="T1250:V1251"/>
    <mergeCell ref="S1245:S1248"/>
    <mergeCell ref="W1245:W1246"/>
    <mergeCell ref="U1247:V1247"/>
    <mergeCell ref="W1247:W1248"/>
    <mergeCell ref="U1248:V1248"/>
    <mergeCell ref="T1245:V1246"/>
    <mergeCell ref="S1240:S1243"/>
    <mergeCell ref="W1240:W1241"/>
    <mergeCell ref="U1242:V1242"/>
    <mergeCell ref="W1242:W1243"/>
    <mergeCell ref="U1243:V1243"/>
    <mergeCell ref="T1240:V1241"/>
    <mergeCell ref="S1235:S1238"/>
    <mergeCell ref="W1235:W1236"/>
    <mergeCell ref="U1237:V1237"/>
    <mergeCell ref="W1237:W1238"/>
    <mergeCell ref="U1238:V1238"/>
    <mergeCell ref="T1235:V1236"/>
    <mergeCell ref="S1230:S1233"/>
    <mergeCell ref="W1230:W1231"/>
    <mergeCell ref="U1232:V1232"/>
    <mergeCell ref="W1232:W1233"/>
    <mergeCell ref="U1233:V1233"/>
    <mergeCell ref="T1230:V1231"/>
    <mergeCell ref="S1225:S1228"/>
    <mergeCell ref="W1225:W1226"/>
    <mergeCell ref="U1227:V1227"/>
    <mergeCell ref="W1227:W1228"/>
    <mergeCell ref="U1228:V1228"/>
    <mergeCell ref="T1225:V1226"/>
    <mergeCell ref="S1280:S1283"/>
    <mergeCell ref="W1280:W1281"/>
    <mergeCell ref="U1282:V1282"/>
    <mergeCell ref="W1282:W1283"/>
    <mergeCell ref="U1283:V1283"/>
    <mergeCell ref="T1280:V1281"/>
    <mergeCell ref="S1275:S1278"/>
    <mergeCell ref="W1275:W1276"/>
    <mergeCell ref="U1277:V1277"/>
    <mergeCell ref="W1277:W1278"/>
    <mergeCell ref="U1278:V1278"/>
    <mergeCell ref="T1275:V1276"/>
    <mergeCell ref="S1270:S1273"/>
    <mergeCell ref="W1270:W1271"/>
    <mergeCell ref="U1272:V1272"/>
    <mergeCell ref="W1272:W1273"/>
    <mergeCell ref="U1273:V1273"/>
    <mergeCell ref="T1270:V1271"/>
    <mergeCell ref="S1265:S1268"/>
    <mergeCell ref="W1265:W1266"/>
    <mergeCell ref="U1267:V1267"/>
    <mergeCell ref="W1267:W1268"/>
    <mergeCell ref="U1268:V1268"/>
    <mergeCell ref="T1265:V1266"/>
    <mergeCell ref="S1260:S1263"/>
    <mergeCell ref="W1260:W1261"/>
    <mergeCell ref="U1262:V1262"/>
    <mergeCell ref="W1262:W1263"/>
    <mergeCell ref="U1263:V1263"/>
    <mergeCell ref="T1260:V1261"/>
    <mergeCell ref="S1255:S1258"/>
    <mergeCell ref="W1255:W1256"/>
    <mergeCell ref="U1257:V1257"/>
    <mergeCell ref="W1257:W1258"/>
    <mergeCell ref="U1258:V1258"/>
    <mergeCell ref="T1255:V1256"/>
    <mergeCell ref="S1310:S1313"/>
    <mergeCell ref="W1310:W1311"/>
    <mergeCell ref="U1312:V1312"/>
    <mergeCell ref="W1312:W1313"/>
    <mergeCell ref="U1313:V1313"/>
    <mergeCell ref="T1310:V1311"/>
    <mergeCell ref="S1305:S1308"/>
    <mergeCell ref="W1305:W1306"/>
    <mergeCell ref="U1307:V1307"/>
    <mergeCell ref="W1307:W1308"/>
    <mergeCell ref="U1308:V1308"/>
    <mergeCell ref="T1305:V1306"/>
    <mergeCell ref="S1300:S1303"/>
    <mergeCell ref="W1300:W1301"/>
    <mergeCell ref="U1302:V1302"/>
    <mergeCell ref="W1302:W1303"/>
    <mergeCell ref="U1303:V1303"/>
    <mergeCell ref="T1300:V1301"/>
    <mergeCell ref="S1295:S1298"/>
    <mergeCell ref="W1295:W1296"/>
    <mergeCell ref="U1297:V1297"/>
    <mergeCell ref="W1297:W1298"/>
    <mergeCell ref="U1298:V1298"/>
    <mergeCell ref="T1295:V1296"/>
    <mergeCell ref="S1290:S1293"/>
    <mergeCell ref="W1290:W1291"/>
    <mergeCell ref="U1292:V1292"/>
    <mergeCell ref="W1292:W1293"/>
    <mergeCell ref="U1293:V1293"/>
    <mergeCell ref="T1290:V1291"/>
    <mergeCell ref="S1285:S1288"/>
    <mergeCell ref="W1285:W1286"/>
    <mergeCell ref="U1287:V1287"/>
    <mergeCell ref="W1287:W1288"/>
    <mergeCell ref="U1288:V1288"/>
    <mergeCell ref="T1285:V1286"/>
    <mergeCell ref="S1340:S1343"/>
    <mergeCell ref="W1340:W1341"/>
    <mergeCell ref="U1342:V1342"/>
    <mergeCell ref="W1342:W1343"/>
    <mergeCell ref="U1343:V1343"/>
    <mergeCell ref="T1340:V1341"/>
    <mergeCell ref="S1335:S1338"/>
    <mergeCell ref="W1335:W1336"/>
    <mergeCell ref="U1337:V1337"/>
    <mergeCell ref="W1337:W1338"/>
    <mergeCell ref="U1338:V1338"/>
    <mergeCell ref="T1335:V1336"/>
    <mergeCell ref="S1330:S1333"/>
    <mergeCell ref="W1330:W1331"/>
    <mergeCell ref="U1332:V1332"/>
    <mergeCell ref="W1332:W1333"/>
    <mergeCell ref="U1333:V1333"/>
    <mergeCell ref="T1330:V1331"/>
    <mergeCell ref="S1325:S1328"/>
    <mergeCell ref="W1325:W1326"/>
    <mergeCell ref="U1327:V1327"/>
    <mergeCell ref="W1327:W1328"/>
    <mergeCell ref="U1328:V1328"/>
    <mergeCell ref="T1325:V1326"/>
    <mergeCell ref="S1320:S1323"/>
    <mergeCell ref="W1320:W1321"/>
    <mergeCell ref="U1322:V1322"/>
    <mergeCell ref="W1322:W1323"/>
    <mergeCell ref="U1323:V1323"/>
    <mergeCell ref="T1320:V1321"/>
    <mergeCell ref="S1315:S1318"/>
    <mergeCell ref="W1315:W1316"/>
    <mergeCell ref="U1317:V1317"/>
    <mergeCell ref="W1317:W1318"/>
    <mergeCell ref="U1318:V1318"/>
    <mergeCell ref="T1315:V1316"/>
    <mergeCell ref="S1370:S1373"/>
    <mergeCell ref="W1370:W1371"/>
    <mergeCell ref="U1372:V1372"/>
    <mergeCell ref="W1372:W1373"/>
    <mergeCell ref="U1373:V1373"/>
    <mergeCell ref="T1370:V1371"/>
    <mergeCell ref="S1365:S1368"/>
    <mergeCell ref="W1365:W1366"/>
    <mergeCell ref="U1367:V1367"/>
    <mergeCell ref="W1367:W1368"/>
    <mergeCell ref="U1368:V1368"/>
    <mergeCell ref="T1365:V1366"/>
    <mergeCell ref="S1360:S1363"/>
    <mergeCell ref="W1360:W1361"/>
    <mergeCell ref="U1362:V1362"/>
    <mergeCell ref="W1362:W1363"/>
    <mergeCell ref="U1363:V1363"/>
    <mergeCell ref="T1360:V1361"/>
    <mergeCell ref="S1355:S1358"/>
    <mergeCell ref="W1355:W1356"/>
    <mergeCell ref="U1357:V1357"/>
    <mergeCell ref="W1357:W1358"/>
    <mergeCell ref="U1358:V1358"/>
    <mergeCell ref="T1355:V1356"/>
    <mergeCell ref="S1350:S1353"/>
    <mergeCell ref="W1350:W1351"/>
    <mergeCell ref="U1352:V1352"/>
    <mergeCell ref="W1352:W1353"/>
    <mergeCell ref="U1353:V1353"/>
    <mergeCell ref="T1350:V1351"/>
    <mergeCell ref="S1345:S1348"/>
    <mergeCell ref="W1345:W1346"/>
    <mergeCell ref="U1347:V1347"/>
    <mergeCell ref="W1347:W1348"/>
    <mergeCell ref="U1348:V1348"/>
    <mergeCell ref="T1345:V1346"/>
    <mergeCell ref="S1400:S1403"/>
    <mergeCell ref="W1400:W1401"/>
    <mergeCell ref="U1402:V1402"/>
    <mergeCell ref="W1402:W1403"/>
    <mergeCell ref="U1403:V1403"/>
    <mergeCell ref="T1400:V1401"/>
    <mergeCell ref="S1395:S1398"/>
    <mergeCell ref="W1395:W1396"/>
    <mergeCell ref="U1397:V1397"/>
    <mergeCell ref="W1397:W1398"/>
    <mergeCell ref="U1398:V1398"/>
    <mergeCell ref="T1395:V1396"/>
    <mergeCell ref="S1390:S1393"/>
    <mergeCell ref="W1390:W1391"/>
    <mergeCell ref="U1392:V1392"/>
    <mergeCell ref="W1392:W1393"/>
    <mergeCell ref="U1393:V1393"/>
    <mergeCell ref="T1390:V1391"/>
    <mergeCell ref="S1385:S1388"/>
    <mergeCell ref="W1385:W1386"/>
    <mergeCell ref="U1387:V1387"/>
    <mergeCell ref="W1387:W1388"/>
    <mergeCell ref="U1388:V1388"/>
    <mergeCell ref="T1385:V1386"/>
    <mergeCell ref="S1380:S1383"/>
    <mergeCell ref="W1380:W1381"/>
    <mergeCell ref="U1382:V1382"/>
    <mergeCell ref="W1382:W1383"/>
    <mergeCell ref="U1383:V1383"/>
    <mergeCell ref="T1380:V1381"/>
    <mergeCell ref="S1375:S1378"/>
    <mergeCell ref="W1375:W1376"/>
    <mergeCell ref="U1377:V1377"/>
    <mergeCell ref="W1377:W1378"/>
    <mergeCell ref="U1378:V1378"/>
    <mergeCell ref="T1375:V1376"/>
    <mergeCell ref="S1430:S1433"/>
    <mergeCell ref="W1430:W1431"/>
    <mergeCell ref="U1432:V1432"/>
    <mergeCell ref="W1432:W1433"/>
    <mergeCell ref="U1433:V1433"/>
    <mergeCell ref="T1430:V1431"/>
    <mergeCell ref="S1425:S1428"/>
    <mergeCell ref="W1425:W1426"/>
    <mergeCell ref="U1427:V1427"/>
    <mergeCell ref="W1427:W1428"/>
    <mergeCell ref="U1428:V1428"/>
    <mergeCell ref="T1425:V1426"/>
    <mergeCell ref="S1420:S1423"/>
    <mergeCell ref="W1420:W1421"/>
    <mergeCell ref="U1422:V1422"/>
    <mergeCell ref="W1422:W1423"/>
    <mergeCell ref="U1423:V1423"/>
    <mergeCell ref="T1420:V1421"/>
    <mergeCell ref="S1415:S1418"/>
    <mergeCell ref="W1415:W1416"/>
    <mergeCell ref="U1417:V1417"/>
    <mergeCell ref="W1417:W1418"/>
    <mergeCell ref="U1418:V1418"/>
    <mergeCell ref="T1415:V1416"/>
    <mergeCell ref="S1410:S1413"/>
    <mergeCell ref="W1410:W1411"/>
    <mergeCell ref="U1412:V1412"/>
    <mergeCell ref="W1412:W1413"/>
    <mergeCell ref="U1413:V1413"/>
    <mergeCell ref="T1410:V1411"/>
    <mergeCell ref="S1405:S1408"/>
    <mergeCell ref="W1405:W1406"/>
    <mergeCell ref="U1407:V1407"/>
    <mergeCell ref="W1407:W1408"/>
    <mergeCell ref="U1408:V1408"/>
    <mergeCell ref="T1405:V1406"/>
    <mergeCell ref="S1460:S1463"/>
    <mergeCell ref="W1460:W1461"/>
    <mergeCell ref="U1462:V1462"/>
    <mergeCell ref="W1462:W1463"/>
    <mergeCell ref="U1463:V1463"/>
    <mergeCell ref="T1460:V1461"/>
    <mergeCell ref="S1455:S1458"/>
    <mergeCell ref="W1455:W1456"/>
    <mergeCell ref="U1457:V1457"/>
    <mergeCell ref="W1457:W1458"/>
    <mergeCell ref="U1458:V1458"/>
    <mergeCell ref="T1455:V1456"/>
    <mergeCell ref="S1450:S1453"/>
    <mergeCell ref="W1450:W1451"/>
    <mergeCell ref="U1452:V1452"/>
    <mergeCell ref="W1452:W1453"/>
    <mergeCell ref="U1453:V1453"/>
    <mergeCell ref="T1450:V1451"/>
    <mergeCell ref="S1445:S1448"/>
    <mergeCell ref="W1445:W1446"/>
    <mergeCell ref="U1447:V1447"/>
    <mergeCell ref="W1447:W1448"/>
    <mergeCell ref="U1448:V1448"/>
    <mergeCell ref="T1445:V1446"/>
    <mergeCell ref="S1440:S1443"/>
    <mergeCell ref="W1440:W1441"/>
    <mergeCell ref="U1442:V1442"/>
    <mergeCell ref="W1442:W1443"/>
    <mergeCell ref="U1443:V1443"/>
    <mergeCell ref="T1440:V1441"/>
    <mergeCell ref="S1435:S1438"/>
    <mergeCell ref="W1435:W1436"/>
    <mergeCell ref="U1437:V1437"/>
    <mergeCell ref="W1437:W1438"/>
    <mergeCell ref="U1438:V1438"/>
    <mergeCell ref="T1435:V1436"/>
    <mergeCell ref="S1490:S1493"/>
    <mergeCell ref="W1490:W1491"/>
    <mergeCell ref="U1492:V1492"/>
    <mergeCell ref="W1492:W1493"/>
    <mergeCell ref="U1493:V1493"/>
    <mergeCell ref="T1490:V1491"/>
    <mergeCell ref="S1485:S1488"/>
    <mergeCell ref="W1485:W1486"/>
    <mergeCell ref="U1487:V1487"/>
    <mergeCell ref="W1487:W1488"/>
    <mergeCell ref="U1488:V1488"/>
    <mergeCell ref="T1485:V1486"/>
    <mergeCell ref="S1480:S1483"/>
    <mergeCell ref="W1480:W1481"/>
    <mergeCell ref="U1482:V1482"/>
    <mergeCell ref="W1482:W1483"/>
    <mergeCell ref="U1483:V1483"/>
    <mergeCell ref="T1480:V1481"/>
    <mergeCell ref="S1475:S1478"/>
    <mergeCell ref="W1475:W1476"/>
    <mergeCell ref="U1477:V1477"/>
    <mergeCell ref="W1477:W1478"/>
    <mergeCell ref="U1478:V1478"/>
    <mergeCell ref="T1475:V1476"/>
    <mergeCell ref="S1470:S1473"/>
    <mergeCell ref="W1470:W1471"/>
    <mergeCell ref="U1472:V1472"/>
    <mergeCell ref="W1472:W1473"/>
    <mergeCell ref="U1473:V1473"/>
    <mergeCell ref="T1470:V1471"/>
    <mergeCell ref="S1465:S1468"/>
    <mergeCell ref="W1465:W1466"/>
    <mergeCell ref="U1467:V1467"/>
    <mergeCell ref="W1467:W1468"/>
    <mergeCell ref="U1468:V1468"/>
    <mergeCell ref="T1465:V1466"/>
    <mergeCell ref="S1520:S1523"/>
    <mergeCell ref="W1520:W1521"/>
    <mergeCell ref="U1522:V1522"/>
    <mergeCell ref="W1522:W1523"/>
    <mergeCell ref="U1523:V1523"/>
    <mergeCell ref="T1520:V1521"/>
    <mergeCell ref="S1515:S1518"/>
    <mergeCell ref="W1515:W1516"/>
    <mergeCell ref="U1517:V1517"/>
    <mergeCell ref="W1517:W1518"/>
    <mergeCell ref="U1518:V1518"/>
    <mergeCell ref="T1515:V1516"/>
    <mergeCell ref="S1510:S1513"/>
    <mergeCell ref="W1510:W1511"/>
    <mergeCell ref="U1512:V1512"/>
    <mergeCell ref="W1512:W1513"/>
    <mergeCell ref="U1513:V1513"/>
    <mergeCell ref="T1510:V1511"/>
    <mergeCell ref="S1505:S1508"/>
    <mergeCell ref="W1505:W1506"/>
    <mergeCell ref="U1507:V1507"/>
    <mergeCell ref="W1507:W1508"/>
    <mergeCell ref="U1508:V1508"/>
    <mergeCell ref="T1505:V1506"/>
    <mergeCell ref="S1500:S1503"/>
    <mergeCell ref="W1500:W1501"/>
    <mergeCell ref="U1502:V1502"/>
    <mergeCell ref="W1502:W1503"/>
    <mergeCell ref="U1503:V1503"/>
    <mergeCell ref="T1500:V1501"/>
    <mergeCell ref="S1495:S1498"/>
    <mergeCell ref="W1495:W1496"/>
    <mergeCell ref="U1497:V1497"/>
    <mergeCell ref="W1497:W1498"/>
    <mergeCell ref="U1498:V1498"/>
    <mergeCell ref="T1495:V1496"/>
    <mergeCell ref="S1550:S1553"/>
    <mergeCell ref="W1550:W1551"/>
    <mergeCell ref="U1552:V1552"/>
    <mergeCell ref="W1552:W1553"/>
    <mergeCell ref="U1553:V1553"/>
    <mergeCell ref="T1550:V1551"/>
    <mergeCell ref="S1545:S1548"/>
    <mergeCell ref="W1545:W1546"/>
    <mergeCell ref="U1547:V1547"/>
    <mergeCell ref="W1547:W1548"/>
    <mergeCell ref="U1548:V1548"/>
    <mergeCell ref="T1545:V1546"/>
    <mergeCell ref="S1540:S1543"/>
    <mergeCell ref="W1540:W1541"/>
    <mergeCell ref="U1542:V1542"/>
    <mergeCell ref="W1542:W1543"/>
    <mergeCell ref="U1543:V1543"/>
    <mergeCell ref="T1540:V1541"/>
    <mergeCell ref="S1535:S1538"/>
    <mergeCell ref="W1535:W1536"/>
    <mergeCell ref="U1537:V1537"/>
    <mergeCell ref="W1537:W1538"/>
    <mergeCell ref="U1538:V1538"/>
    <mergeCell ref="T1535:V1536"/>
    <mergeCell ref="S1530:S1533"/>
    <mergeCell ref="W1530:W1531"/>
    <mergeCell ref="U1532:V1532"/>
    <mergeCell ref="W1532:W1533"/>
    <mergeCell ref="U1533:V1533"/>
    <mergeCell ref="T1530:V1531"/>
    <mergeCell ref="S1525:S1528"/>
    <mergeCell ref="W1525:W1526"/>
    <mergeCell ref="U1527:V1527"/>
    <mergeCell ref="W1527:W1528"/>
    <mergeCell ref="U1528:V1528"/>
    <mergeCell ref="T1525:V1526"/>
    <mergeCell ref="S1580:S1583"/>
    <mergeCell ref="W1580:W1581"/>
    <mergeCell ref="U1582:V1582"/>
    <mergeCell ref="W1582:W1583"/>
    <mergeCell ref="U1583:V1583"/>
    <mergeCell ref="T1580:V1581"/>
    <mergeCell ref="S1575:S1578"/>
    <mergeCell ref="W1575:W1576"/>
    <mergeCell ref="U1577:V1577"/>
    <mergeCell ref="W1577:W1578"/>
    <mergeCell ref="U1578:V1578"/>
    <mergeCell ref="T1575:V1576"/>
    <mergeCell ref="S1570:S1573"/>
    <mergeCell ref="W1570:W1571"/>
    <mergeCell ref="U1572:V1572"/>
    <mergeCell ref="W1572:W1573"/>
    <mergeCell ref="U1573:V1573"/>
    <mergeCell ref="T1570:V1571"/>
    <mergeCell ref="S1565:S1568"/>
    <mergeCell ref="W1565:W1566"/>
    <mergeCell ref="U1567:V1567"/>
    <mergeCell ref="W1567:W1568"/>
    <mergeCell ref="U1568:V1568"/>
    <mergeCell ref="T1565:V1566"/>
    <mergeCell ref="S1560:S1563"/>
    <mergeCell ref="W1560:W1561"/>
    <mergeCell ref="U1562:V1562"/>
    <mergeCell ref="W1562:W1563"/>
    <mergeCell ref="U1563:V1563"/>
    <mergeCell ref="T1560:V1561"/>
    <mergeCell ref="S1555:S1558"/>
    <mergeCell ref="W1555:W1556"/>
    <mergeCell ref="U1557:V1557"/>
    <mergeCell ref="W1557:W1558"/>
    <mergeCell ref="U1558:V1558"/>
    <mergeCell ref="T1555:V1556"/>
    <mergeCell ref="S1610:S1613"/>
    <mergeCell ref="W1610:W1611"/>
    <mergeCell ref="U1612:V1612"/>
    <mergeCell ref="W1612:W1613"/>
    <mergeCell ref="U1613:V1613"/>
    <mergeCell ref="T1610:V1611"/>
    <mergeCell ref="S1605:S1608"/>
    <mergeCell ref="W1605:W1606"/>
    <mergeCell ref="U1607:V1607"/>
    <mergeCell ref="W1607:W1608"/>
    <mergeCell ref="U1608:V1608"/>
    <mergeCell ref="T1605:V1606"/>
    <mergeCell ref="S1600:S1603"/>
    <mergeCell ref="W1600:W1601"/>
    <mergeCell ref="U1602:V1602"/>
    <mergeCell ref="W1602:W1603"/>
    <mergeCell ref="U1603:V1603"/>
    <mergeCell ref="T1600:V1601"/>
    <mergeCell ref="S1595:S1598"/>
    <mergeCell ref="W1595:W1596"/>
    <mergeCell ref="U1597:V1597"/>
    <mergeCell ref="W1597:W1598"/>
    <mergeCell ref="U1598:V1598"/>
    <mergeCell ref="T1595:V1596"/>
    <mergeCell ref="S1590:S1593"/>
    <mergeCell ref="W1590:W1591"/>
    <mergeCell ref="U1592:V1592"/>
    <mergeCell ref="W1592:W1593"/>
    <mergeCell ref="U1593:V1593"/>
    <mergeCell ref="T1590:V1591"/>
    <mergeCell ref="S1585:S1588"/>
    <mergeCell ref="W1585:W1586"/>
    <mergeCell ref="U1587:V1587"/>
    <mergeCell ref="W1587:W1588"/>
    <mergeCell ref="U1588:V1588"/>
    <mergeCell ref="T1585:V1586"/>
    <mergeCell ref="S1640:S1643"/>
    <mergeCell ref="W1640:W1641"/>
    <mergeCell ref="U1642:V1642"/>
    <mergeCell ref="W1642:W1643"/>
    <mergeCell ref="U1643:V1643"/>
    <mergeCell ref="T1640:V1641"/>
    <mergeCell ref="S1635:S1638"/>
    <mergeCell ref="W1635:W1636"/>
    <mergeCell ref="U1637:V1637"/>
    <mergeCell ref="W1637:W1638"/>
    <mergeCell ref="U1638:V1638"/>
    <mergeCell ref="T1635:V1636"/>
    <mergeCell ref="S1630:S1633"/>
    <mergeCell ref="W1630:W1631"/>
    <mergeCell ref="U1632:V1632"/>
    <mergeCell ref="W1632:W1633"/>
    <mergeCell ref="U1633:V1633"/>
    <mergeCell ref="T1630:V1631"/>
    <mergeCell ref="S1625:S1628"/>
    <mergeCell ref="W1625:W1626"/>
    <mergeCell ref="U1627:V1627"/>
    <mergeCell ref="W1627:W1628"/>
    <mergeCell ref="U1628:V1628"/>
    <mergeCell ref="T1625:V1626"/>
    <mergeCell ref="S1620:S1623"/>
    <mergeCell ref="W1620:W1621"/>
    <mergeCell ref="U1622:V1622"/>
    <mergeCell ref="W1622:W1623"/>
    <mergeCell ref="U1623:V1623"/>
    <mergeCell ref="T1620:V1621"/>
    <mergeCell ref="S1615:S1618"/>
    <mergeCell ref="W1615:W1616"/>
    <mergeCell ref="U1617:V1617"/>
    <mergeCell ref="W1617:W1618"/>
    <mergeCell ref="U1618:V1618"/>
    <mergeCell ref="T1615:V1616"/>
    <mergeCell ref="S1670:S1673"/>
    <mergeCell ref="W1670:W1671"/>
    <mergeCell ref="U1672:V1672"/>
    <mergeCell ref="W1672:W1673"/>
    <mergeCell ref="U1673:V1673"/>
    <mergeCell ref="T1670:V1671"/>
    <mergeCell ref="S1665:S1668"/>
    <mergeCell ref="W1665:W1666"/>
    <mergeCell ref="U1667:V1667"/>
    <mergeCell ref="W1667:W1668"/>
    <mergeCell ref="U1668:V1668"/>
    <mergeCell ref="T1665:V1666"/>
    <mergeCell ref="S1660:S1663"/>
    <mergeCell ref="W1660:W1661"/>
    <mergeCell ref="U1662:V1662"/>
    <mergeCell ref="W1662:W1663"/>
    <mergeCell ref="U1663:V1663"/>
    <mergeCell ref="T1660:V1661"/>
    <mergeCell ref="S1655:S1658"/>
    <mergeCell ref="W1655:W1656"/>
    <mergeCell ref="U1657:V1657"/>
    <mergeCell ref="W1657:W1658"/>
    <mergeCell ref="U1658:V1658"/>
    <mergeCell ref="T1655:V1656"/>
    <mergeCell ref="S1650:S1653"/>
    <mergeCell ref="W1650:W1651"/>
    <mergeCell ref="U1652:V1652"/>
    <mergeCell ref="W1652:W1653"/>
    <mergeCell ref="U1653:V1653"/>
    <mergeCell ref="T1650:V1651"/>
    <mergeCell ref="S1645:S1648"/>
    <mergeCell ref="W1645:W1646"/>
    <mergeCell ref="U1647:V1647"/>
    <mergeCell ref="W1647:W1648"/>
    <mergeCell ref="U1648:V1648"/>
    <mergeCell ref="T1645:V1646"/>
    <mergeCell ref="S1700:S1703"/>
    <mergeCell ref="W1700:W1701"/>
    <mergeCell ref="U1702:V1702"/>
    <mergeCell ref="W1702:W1703"/>
    <mergeCell ref="U1703:V1703"/>
    <mergeCell ref="T1700:V1701"/>
    <mergeCell ref="S1695:S1698"/>
    <mergeCell ref="W1695:W1696"/>
    <mergeCell ref="U1697:V1697"/>
    <mergeCell ref="W1697:W1698"/>
    <mergeCell ref="U1698:V1698"/>
    <mergeCell ref="T1695:V1696"/>
    <mergeCell ref="S1690:S1693"/>
    <mergeCell ref="W1690:W1691"/>
    <mergeCell ref="U1692:V1692"/>
    <mergeCell ref="W1692:W1693"/>
    <mergeCell ref="U1693:V1693"/>
    <mergeCell ref="T1690:V1691"/>
    <mergeCell ref="S1685:S1688"/>
    <mergeCell ref="W1685:W1686"/>
    <mergeCell ref="U1687:V1687"/>
    <mergeCell ref="W1687:W1688"/>
    <mergeCell ref="U1688:V1688"/>
    <mergeCell ref="T1685:V1686"/>
    <mergeCell ref="S1680:S1683"/>
    <mergeCell ref="W1680:W1681"/>
    <mergeCell ref="U1682:V1682"/>
    <mergeCell ref="W1682:W1683"/>
    <mergeCell ref="U1683:V1683"/>
    <mergeCell ref="T1680:V1681"/>
    <mergeCell ref="S1675:S1678"/>
    <mergeCell ref="W1675:W1676"/>
    <mergeCell ref="U1677:V1677"/>
    <mergeCell ref="W1677:W1678"/>
    <mergeCell ref="U1678:V1678"/>
    <mergeCell ref="T1675:V1676"/>
    <mergeCell ref="S1730:S1733"/>
    <mergeCell ref="W1730:W1731"/>
    <mergeCell ref="U1732:V1732"/>
    <mergeCell ref="W1732:W1733"/>
    <mergeCell ref="U1733:V1733"/>
    <mergeCell ref="T1730:V1731"/>
    <mergeCell ref="S1725:S1728"/>
    <mergeCell ref="W1725:W1726"/>
    <mergeCell ref="U1727:V1727"/>
    <mergeCell ref="W1727:W1728"/>
    <mergeCell ref="U1728:V1728"/>
    <mergeCell ref="T1725:V1726"/>
    <mergeCell ref="S1720:S1723"/>
    <mergeCell ref="W1720:W1721"/>
    <mergeCell ref="U1722:V1722"/>
    <mergeCell ref="W1722:W1723"/>
    <mergeCell ref="U1723:V1723"/>
    <mergeCell ref="T1720:V1721"/>
    <mergeCell ref="S1715:S1718"/>
    <mergeCell ref="W1715:W1716"/>
    <mergeCell ref="U1717:V1717"/>
    <mergeCell ref="W1717:W1718"/>
    <mergeCell ref="U1718:V1718"/>
    <mergeCell ref="T1715:V1716"/>
    <mergeCell ref="S1710:S1713"/>
    <mergeCell ref="W1710:W1711"/>
    <mergeCell ref="U1712:V1712"/>
    <mergeCell ref="W1712:W1713"/>
    <mergeCell ref="U1713:V1713"/>
    <mergeCell ref="T1710:V1711"/>
    <mergeCell ref="S1705:S1708"/>
    <mergeCell ref="W1705:W1706"/>
    <mergeCell ref="U1707:V1707"/>
    <mergeCell ref="W1707:W1708"/>
    <mergeCell ref="U1708:V1708"/>
    <mergeCell ref="T1705:V1706"/>
    <mergeCell ref="S1760:S1763"/>
    <mergeCell ref="W1760:W1761"/>
    <mergeCell ref="U1762:V1762"/>
    <mergeCell ref="W1762:W1763"/>
    <mergeCell ref="U1763:V1763"/>
    <mergeCell ref="T1760:V1761"/>
    <mergeCell ref="S1755:S1758"/>
    <mergeCell ref="W1755:W1756"/>
    <mergeCell ref="U1757:V1757"/>
    <mergeCell ref="W1757:W1758"/>
    <mergeCell ref="U1758:V1758"/>
    <mergeCell ref="T1755:V1756"/>
    <mergeCell ref="S1750:S1753"/>
    <mergeCell ref="W1750:W1751"/>
    <mergeCell ref="U1752:V1752"/>
    <mergeCell ref="W1752:W1753"/>
    <mergeCell ref="U1753:V1753"/>
    <mergeCell ref="T1750:V1751"/>
    <mergeCell ref="S1745:S1748"/>
    <mergeCell ref="W1745:W1746"/>
    <mergeCell ref="U1747:V1747"/>
    <mergeCell ref="W1747:W1748"/>
    <mergeCell ref="U1748:V1748"/>
    <mergeCell ref="T1745:V1746"/>
    <mergeCell ref="S1740:S1743"/>
    <mergeCell ref="W1740:W1741"/>
    <mergeCell ref="U1742:V1742"/>
    <mergeCell ref="W1742:W1743"/>
    <mergeCell ref="U1743:V1743"/>
    <mergeCell ref="T1740:V1741"/>
    <mergeCell ref="S1735:S1738"/>
    <mergeCell ref="W1735:W1736"/>
    <mergeCell ref="U1737:V1737"/>
    <mergeCell ref="W1737:W1738"/>
    <mergeCell ref="U1738:V1738"/>
    <mergeCell ref="T1735:V1736"/>
    <mergeCell ref="S1790:S1793"/>
    <mergeCell ref="W1790:W1791"/>
    <mergeCell ref="U1792:V1792"/>
    <mergeCell ref="W1792:W1793"/>
    <mergeCell ref="U1793:V1793"/>
    <mergeCell ref="T1790:V1791"/>
    <mergeCell ref="S1785:S1788"/>
    <mergeCell ref="W1785:W1786"/>
    <mergeCell ref="U1787:V1787"/>
    <mergeCell ref="W1787:W1788"/>
    <mergeCell ref="U1788:V1788"/>
    <mergeCell ref="T1785:V1786"/>
    <mergeCell ref="S1780:S1783"/>
    <mergeCell ref="W1780:W1781"/>
    <mergeCell ref="U1782:V1782"/>
    <mergeCell ref="W1782:W1783"/>
    <mergeCell ref="U1783:V1783"/>
    <mergeCell ref="T1780:V1781"/>
    <mergeCell ref="S1775:S1778"/>
    <mergeCell ref="W1775:W1776"/>
    <mergeCell ref="U1777:V1777"/>
    <mergeCell ref="W1777:W1778"/>
    <mergeCell ref="U1778:V1778"/>
    <mergeCell ref="T1775:V1776"/>
    <mergeCell ref="S1770:S1773"/>
    <mergeCell ref="W1770:W1771"/>
    <mergeCell ref="U1772:V1772"/>
    <mergeCell ref="W1772:W1773"/>
    <mergeCell ref="U1773:V1773"/>
    <mergeCell ref="T1770:V1771"/>
    <mergeCell ref="S1765:S1768"/>
    <mergeCell ref="W1765:W1766"/>
    <mergeCell ref="U1767:V1767"/>
    <mergeCell ref="W1767:W1768"/>
    <mergeCell ref="U1768:V1768"/>
    <mergeCell ref="T1765:V1766"/>
    <mergeCell ref="S1820:S1823"/>
    <mergeCell ref="W1820:W1821"/>
    <mergeCell ref="U1822:V1822"/>
    <mergeCell ref="W1822:W1823"/>
    <mergeCell ref="U1823:V1823"/>
    <mergeCell ref="T1820:V1821"/>
    <mergeCell ref="S1815:S1818"/>
    <mergeCell ref="W1815:W1816"/>
    <mergeCell ref="U1817:V1817"/>
    <mergeCell ref="W1817:W1818"/>
    <mergeCell ref="U1818:V1818"/>
    <mergeCell ref="T1815:V1816"/>
    <mergeCell ref="S1810:S1813"/>
    <mergeCell ref="W1810:W1811"/>
    <mergeCell ref="U1812:V1812"/>
    <mergeCell ref="W1812:W1813"/>
    <mergeCell ref="U1813:V1813"/>
    <mergeCell ref="T1810:V1811"/>
    <mergeCell ref="S1805:S1808"/>
    <mergeCell ref="W1805:W1806"/>
    <mergeCell ref="U1807:V1807"/>
    <mergeCell ref="W1807:W1808"/>
    <mergeCell ref="U1808:V1808"/>
    <mergeCell ref="T1805:V1806"/>
    <mergeCell ref="S1800:S1803"/>
    <mergeCell ref="W1800:W1801"/>
    <mergeCell ref="U1802:V1802"/>
    <mergeCell ref="W1802:W1803"/>
    <mergeCell ref="U1803:V1803"/>
    <mergeCell ref="T1800:V1801"/>
    <mergeCell ref="S1795:S1798"/>
    <mergeCell ref="W1795:W1796"/>
    <mergeCell ref="U1797:V1797"/>
    <mergeCell ref="W1797:W1798"/>
    <mergeCell ref="U1798:V1798"/>
    <mergeCell ref="T1795:V1796"/>
    <mergeCell ref="S1850:S1853"/>
    <mergeCell ref="W1850:W1851"/>
    <mergeCell ref="U1852:V1852"/>
    <mergeCell ref="W1852:W1853"/>
    <mergeCell ref="U1853:V1853"/>
    <mergeCell ref="T1850:V1851"/>
    <mergeCell ref="S1845:S1848"/>
    <mergeCell ref="W1845:W1846"/>
    <mergeCell ref="U1847:V1847"/>
    <mergeCell ref="W1847:W1848"/>
    <mergeCell ref="U1848:V1848"/>
    <mergeCell ref="T1845:V1846"/>
    <mergeCell ref="S1840:S1843"/>
    <mergeCell ref="W1840:W1841"/>
    <mergeCell ref="U1842:V1842"/>
    <mergeCell ref="W1842:W1843"/>
    <mergeCell ref="U1843:V1843"/>
    <mergeCell ref="T1840:V1841"/>
    <mergeCell ref="S1835:S1838"/>
    <mergeCell ref="W1835:W1836"/>
    <mergeCell ref="U1837:V1837"/>
    <mergeCell ref="W1837:W1838"/>
    <mergeCell ref="U1838:V1838"/>
    <mergeCell ref="T1835:V1836"/>
    <mergeCell ref="S1830:S1833"/>
    <mergeCell ref="W1830:W1831"/>
    <mergeCell ref="U1832:V1832"/>
    <mergeCell ref="W1832:W1833"/>
    <mergeCell ref="U1833:V1833"/>
    <mergeCell ref="T1830:V1831"/>
    <mergeCell ref="S1825:S1828"/>
    <mergeCell ref="W1825:W1826"/>
    <mergeCell ref="U1827:V1827"/>
    <mergeCell ref="W1827:W1828"/>
    <mergeCell ref="U1828:V1828"/>
    <mergeCell ref="T1825:V1826"/>
    <mergeCell ref="S1880:S1883"/>
    <mergeCell ref="W1880:W1881"/>
    <mergeCell ref="U1882:V1882"/>
    <mergeCell ref="W1882:W1883"/>
    <mergeCell ref="U1883:V1883"/>
    <mergeCell ref="T1880:V1881"/>
    <mergeCell ref="S1875:S1878"/>
    <mergeCell ref="W1875:W1876"/>
    <mergeCell ref="U1877:V1877"/>
    <mergeCell ref="W1877:W1878"/>
    <mergeCell ref="U1878:V1878"/>
    <mergeCell ref="T1875:V1876"/>
    <mergeCell ref="S1870:S1873"/>
    <mergeCell ref="W1870:W1871"/>
    <mergeCell ref="U1872:V1872"/>
    <mergeCell ref="W1872:W1873"/>
    <mergeCell ref="U1873:V1873"/>
    <mergeCell ref="T1870:V1871"/>
    <mergeCell ref="S1865:S1868"/>
    <mergeCell ref="W1865:W1866"/>
    <mergeCell ref="U1867:V1867"/>
    <mergeCell ref="W1867:W1868"/>
    <mergeCell ref="U1868:V1868"/>
    <mergeCell ref="T1865:V1866"/>
    <mergeCell ref="S1860:S1863"/>
    <mergeCell ref="W1860:W1861"/>
    <mergeCell ref="U1862:V1862"/>
    <mergeCell ref="W1862:W1863"/>
    <mergeCell ref="U1863:V1863"/>
    <mergeCell ref="T1860:V1861"/>
    <mergeCell ref="S1855:S1858"/>
    <mergeCell ref="W1855:W1856"/>
    <mergeCell ref="U1857:V1857"/>
    <mergeCell ref="W1857:W1858"/>
    <mergeCell ref="U1858:V1858"/>
    <mergeCell ref="T1855:V1856"/>
    <mergeCell ref="S1910:S1913"/>
    <mergeCell ref="W1910:W1911"/>
    <mergeCell ref="U1912:V1912"/>
    <mergeCell ref="W1912:W1913"/>
    <mergeCell ref="U1913:V1913"/>
    <mergeCell ref="T1910:V1911"/>
    <mergeCell ref="S1905:S1908"/>
    <mergeCell ref="W1905:W1906"/>
    <mergeCell ref="U1907:V1907"/>
    <mergeCell ref="W1907:W1908"/>
    <mergeCell ref="U1908:V1908"/>
    <mergeCell ref="T1905:V1906"/>
    <mergeCell ref="S1900:S1903"/>
    <mergeCell ref="W1900:W1901"/>
    <mergeCell ref="U1902:V1902"/>
    <mergeCell ref="W1902:W1903"/>
    <mergeCell ref="U1903:V1903"/>
    <mergeCell ref="T1900:V1901"/>
    <mergeCell ref="S1895:S1898"/>
    <mergeCell ref="W1895:W1896"/>
    <mergeCell ref="U1897:V1897"/>
    <mergeCell ref="W1897:W1898"/>
    <mergeCell ref="U1898:V1898"/>
    <mergeCell ref="T1895:V1896"/>
    <mergeCell ref="S1890:S1893"/>
    <mergeCell ref="W1890:W1891"/>
    <mergeCell ref="U1892:V1892"/>
    <mergeCell ref="W1892:W1893"/>
    <mergeCell ref="U1893:V1893"/>
    <mergeCell ref="T1890:V1891"/>
    <mergeCell ref="S1885:S1888"/>
    <mergeCell ref="W1885:W1886"/>
    <mergeCell ref="U1887:V1887"/>
    <mergeCell ref="W1887:W1888"/>
    <mergeCell ref="U1888:V1888"/>
    <mergeCell ref="T1885:V1886"/>
    <mergeCell ref="S1940:S1943"/>
    <mergeCell ref="W1940:W1941"/>
    <mergeCell ref="U1942:V1942"/>
    <mergeCell ref="W1942:W1943"/>
    <mergeCell ref="U1943:V1943"/>
    <mergeCell ref="T1940:V1941"/>
    <mergeCell ref="S1935:S1938"/>
    <mergeCell ref="W1935:W1936"/>
    <mergeCell ref="U1937:V1937"/>
    <mergeCell ref="W1937:W1938"/>
    <mergeCell ref="U1938:V1938"/>
    <mergeCell ref="T1935:V1936"/>
    <mergeCell ref="S1930:S1933"/>
    <mergeCell ref="W1930:W1931"/>
    <mergeCell ref="U1932:V1932"/>
    <mergeCell ref="W1932:W1933"/>
    <mergeCell ref="U1933:V1933"/>
    <mergeCell ref="T1930:V1931"/>
    <mergeCell ref="S1925:S1928"/>
    <mergeCell ref="W1925:W1926"/>
    <mergeCell ref="U1927:V1927"/>
    <mergeCell ref="W1927:W1928"/>
    <mergeCell ref="U1928:V1928"/>
    <mergeCell ref="T1925:V1926"/>
    <mergeCell ref="S1920:S1923"/>
    <mergeCell ref="W1920:W1921"/>
    <mergeCell ref="U1922:V1922"/>
    <mergeCell ref="W1922:W1923"/>
    <mergeCell ref="U1923:V1923"/>
    <mergeCell ref="T1920:V1921"/>
    <mergeCell ref="S1915:S1918"/>
    <mergeCell ref="W1915:W1916"/>
    <mergeCell ref="U1917:V1917"/>
    <mergeCell ref="W1917:W1918"/>
    <mergeCell ref="U1918:V1918"/>
    <mergeCell ref="T1915:V1916"/>
    <mergeCell ref="S1970:S1973"/>
    <mergeCell ref="W1970:W1971"/>
    <mergeCell ref="U1972:V1972"/>
    <mergeCell ref="W1972:W1973"/>
    <mergeCell ref="U1973:V1973"/>
    <mergeCell ref="T1970:V1971"/>
    <mergeCell ref="S1965:S1968"/>
    <mergeCell ref="W1965:W1966"/>
    <mergeCell ref="U1967:V1967"/>
    <mergeCell ref="W1967:W1968"/>
    <mergeCell ref="U1968:V1968"/>
    <mergeCell ref="T1965:V1966"/>
    <mergeCell ref="S1960:S1963"/>
    <mergeCell ref="W1960:W1961"/>
    <mergeCell ref="U1962:V1962"/>
    <mergeCell ref="W1962:W1963"/>
    <mergeCell ref="U1963:V1963"/>
    <mergeCell ref="T1960:V1961"/>
    <mergeCell ref="S1955:S1958"/>
    <mergeCell ref="W1955:W1956"/>
    <mergeCell ref="U1957:V1957"/>
    <mergeCell ref="W1957:W1958"/>
    <mergeCell ref="U1958:V1958"/>
    <mergeCell ref="T1955:V1956"/>
    <mergeCell ref="S1950:S1953"/>
    <mergeCell ref="W1950:W1951"/>
    <mergeCell ref="U1952:V1952"/>
    <mergeCell ref="W1952:W1953"/>
    <mergeCell ref="U1953:V1953"/>
    <mergeCell ref="T1950:V1951"/>
    <mergeCell ref="S1945:S1948"/>
    <mergeCell ref="W1945:W1946"/>
    <mergeCell ref="U1947:V1947"/>
    <mergeCell ref="W1947:W1948"/>
    <mergeCell ref="U1948:V1948"/>
    <mergeCell ref="T1945:V1946"/>
    <mergeCell ref="S2000:S2003"/>
    <mergeCell ref="W2000:W2001"/>
    <mergeCell ref="U2002:V2002"/>
    <mergeCell ref="W2002:W2003"/>
    <mergeCell ref="U2003:V2003"/>
    <mergeCell ref="T2000:V2001"/>
    <mergeCell ref="S1995:S1998"/>
    <mergeCell ref="W1995:W1996"/>
    <mergeCell ref="U1997:V1997"/>
    <mergeCell ref="W1997:W1998"/>
    <mergeCell ref="U1998:V1998"/>
    <mergeCell ref="T1995:V1996"/>
    <mergeCell ref="S1990:S1993"/>
    <mergeCell ref="W1990:W1991"/>
    <mergeCell ref="U1992:V1992"/>
    <mergeCell ref="W1992:W1993"/>
    <mergeCell ref="U1993:V1993"/>
    <mergeCell ref="T1990:V1991"/>
    <mergeCell ref="S1985:S1988"/>
    <mergeCell ref="W1985:W1986"/>
    <mergeCell ref="U1987:V1987"/>
    <mergeCell ref="W1987:W1988"/>
    <mergeCell ref="U1988:V1988"/>
    <mergeCell ref="T1985:V1986"/>
    <mergeCell ref="S1980:S1983"/>
    <mergeCell ref="W1980:W1981"/>
    <mergeCell ref="U1982:V1982"/>
    <mergeCell ref="W1982:W1983"/>
    <mergeCell ref="U1983:V1983"/>
    <mergeCell ref="T1980:V1981"/>
    <mergeCell ref="S1975:S1978"/>
    <mergeCell ref="W1975:W1976"/>
    <mergeCell ref="U1977:V1977"/>
    <mergeCell ref="W1977:W1978"/>
    <mergeCell ref="U1978:V1978"/>
    <mergeCell ref="T1975:V1976"/>
    <mergeCell ref="S2030:S2033"/>
    <mergeCell ref="W2030:W2031"/>
    <mergeCell ref="U2032:V2032"/>
    <mergeCell ref="W2032:W2033"/>
    <mergeCell ref="U2033:V2033"/>
    <mergeCell ref="T2030:V2031"/>
    <mergeCell ref="S2025:S2028"/>
    <mergeCell ref="W2025:W2026"/>
    <mergeCell ref="U2027:V2027"/>
    <mergeCell ref="W2027:W2028"/>
    <mergeCell ref="U2028:V2028"/>
    <mergeCell ref="T2025:V2026"/>
    <mergeCell ref="S2020:S2023"/>
    <mergeCell ref="W2020:W2021"/>
    <mergeCell ref="U2022:V2022"/>
    <mergeCell ref="W2022:W2023"/>
    <mergeCell ref="U2023:V2023"/>
    <mergeCell ref="T2020:V2021"/>
    <mergeCell ref="S2015:S2018"/>
    <mergeCell ref="W2015:W2016"/>
    <mergeCell ref="U2017:V2017"/>
    <mergeCell ref="W2017:W2018"/>
    <mergeCell ref="U2018:V2018"/>
    <mergeCell ref="T2015:V2016"/>
    <mergeCell ref="S2010:S2013"/>
    <mergeCell ref="W2010:W2011"/>
    <mergeCell ref="U2012:V2012"/>
    <mergeCell ref="W2012:W2013"/>
    <mergeCell ref="U2013:V2013"/>
    <mergeCell ref="T2010:V2011"/>
    <mergeCell ref="S2005:S2008"/>
    <mergeCell ref="W2005:W2006"/>
    <mergeCell ref="U2007:V2007"/>
    <mergeCell ref="W2007:W2008"/>
    <mergeCell ref="U2008:V2008"/>
    <mergeCell ref="T2005:V2006"/>
    <mergeCell ref="S2060:S2063"/>
    <mergeCell ref="W2060:W2061"/>
    <mergeCell ref="U2062:V2062"/>
    <mergeCell ref="W2062:W2063"/>
    <mergeCell ref="U2063:V2063"/>
    <mergeCell ref="T2060:V2061"/>
    <mergeCell ref="S2055:S2058"/>
    <mergeCell ref="W2055:W2056"/>
    <mergeCell ref="U2057:V2057"/>
    <mergeCell ref="W2057:W2058"/>
    <mergeCell ref="U2058:V2058"/>
    <mergeCell ref="T2055:V2056"/>
    <mergeCell ref="S2050:S2053"/>
    <mergeCell ref="W2050:W2051"/>
    <mergeCell ref="U2052:V2052"/>
    <mergeCell ref="W2052:W2053"/>
    <mergeCell ref="U2053:V2053"/>
    <mergeCell ref="T2050:V2051"/>
    <mergeCell ref="S2045:S2048"/>
    <mergeCell ref="W2045:W2046"/>
    <mergeCell ref="U2047:V2047"/>
    <mergeCell ref="W2047:W2048"/>
    <mergeCell ref="U2048:V2048"/>
    <mergeCell ref="T2045:V2046"/>
    <mergeCell ref="S2040:S2043"/>
    <mergeCell ref="W2040:W2041"/>
    <mergeCell ref="U2042:V2042"/>
    <mergeCell ref="W2042:W2043"/>
    <mergeCell ref="U2043:V2043"/>
    <mergeCell ref="T2040:V2041"/>
    <mergeCell ref="S2035:S2038"/>
    <mergeCell ref="W2035:W2036"/>
    <mergeCell ref="U2037:V2037"/>
    <mergeCell ref="W2037:W2038"/>
    <mergeCell ref="U2038:V2038"/>
    <mergeCell ref="T2035:V2036"/>
    <mergeCell ref="S2090:S2093"/>
    <mergeCell ref="W2090:W2091"/>
    <mergeCell ref="U2092:V2092"/>
    <mergeCell ref="W2092:W2093"/>
    <mergeCell ref="U2093:V2093"/>
    <mergeCell ref="T2090:V2091"/>
    <mergeCell ref="S2085:S2088"/>
    <mergeCell ref="W2085:W2086"/>
    <mergeCell ref="U2087:V2087"/>
    <mergeCell ref="W2087:W2088"/>
    <mergeCell ref="U2088:V2088"/>
    <mergeCell ref="T2085:V2086"/>
    <mergeCell ref="S2080:S2083"/>
    <mergeCell ref="W2080:W2081"/>
    <mergeCell ref="U2082:V2082"/>
    <mergeCell ref="W2082:W2083"/>
    <mergeCell ref="U2083:V2083"/>
    <mergeCell ref="T2080:V2081"/>
    <mergeCell ref="S2075:S2078"/>
    <mergeCell ref="W2075:W2076"/>
    <mergeCell ref="U2077:V2077"/>
    <mergeCell ref="W2077:W2078"/>
    <mergeCell ref="U2078:V2078"/>
    <mergeCell ref="T2075:V2076"/>
    <mergeCell ref="S2070:S2073"/>
    <mergeCell ref="W2070:W2071"/>
    <mergeCell ref="U2072:V2072"/>
    <mergeCell ref="W2072:W2073"/>
    <mergeCell ref="U2073:V2073"/>
    <mergeCell ref="T2070:V2071"/>
    <mergeCell ref="S2065:S2068"/>
    <mergeCell ref="W2065:W2066"/>
    <mergeCell ref="U2067:V2067"/>
    <mergeCell ref="W2067:W2068"/>
    <mergeCell ref="U2068:V2068"/>
    <mergeCell ref="T2065:V2066"/>
    <mergeCell ref="S2120:S2123"/>
    <mergeCell ref="W2120:W2121"/>
    <mergeCell ref="U2122:V2122"/>
    <mergeCell ref="W2122:W2123"/>
    <mergeCell ref="U2123:V2123"/>
    <mergeCell ref="T2120:V2121"/>
    <mergeCell ref="S2115:S2118"/>
    <mergeCell ref="W2115:W2116"/>
    <mergeCell ref="U2117:V2117"/>
    <mergeCell ref="W2117:W2118"/>
    <mergeCell ref="U2118:V2118"/>
    <mergeCell ref="T2115:V2116"/>
    <mergeCell ref="S2110:S2113"/>
    <mergeCell ref="W2110:W2111"/>
    <mergeCell ref="U2112:V2112"/>
    <mergeCell ref="W2112:W2113"/>
    <mergeCell ref="U2113:V2113"/>
    <mergeCell ref="T2110:V2111"/>
    <mergeCell ref="S2105:S2108"/>
    <mergeCell ref="W2105:W2106"/>
    <mergeCell ref="U2107:V2107"/>
    <mergeCell ref="W2107:W2108"/>
    <mergeCell ref="U2108:V2108"/>
    <mergeCell ref="T2105:V2106"/>
    <mergeCell ref="S2100:S2103"/>
    <mergeCell ref="W2100:W2101"/>
    <mergeCell ref="U2102:V2102"/>
    <mergeCell ref="W2102:W2103"/>
    <mergeCell ref="U2103:V2103"/>
    <mergeCell ref="T2100:V2101"/>
    <mergeCell ref="S2095:S2098"/>
    <mergeCell ref="W2095:W2096"/>
    <mergeCell ref="U2097:V2097"/>
    <mergeCell ref="W2097:W2098"/>
    <mergeCell ref="U2098:V2098"/>
    <mergeCell ref="T2095:V2096"/>
    <mergeCell ref="S2150:S2153"/>
    <mergeCell ref="W2150:W2151"/>
    <mergeCell ref="U2152:V2152"/>
    <mergeCell ref="W2152:W2153"/>
    <mergeCell ref="U2153:V2153"/>
    <mergeCell ref="T2150:V2151"/>
    <mergeCell ref="S2145:S2148"/>
    <mergeCell ref="W2145:W2146"/>
    <mergeCell ref="U2147:V2147"/>
    <mergeCell ref="W2147:W2148"/>
    <mergeCell ref="U2148:V2148"/>
    <mergeCell ref="T2145:V2146"/>
    <mergeCell ref="S2140:S2143"/>
    <mergeCell ref="W2140:W2141"/>
    <mergeCell ref="U2142:V2142"/>
    <mergeCell ref="W2142:W2143"/>
    <mergeCell ref="U2143:V2143"/>
    <mergeCell ref="T2140:V2141"/>
    <mergeCell ref="S2135:S2138"/>
    <mergeCell ref="W2135:W2136"/>
    <mergeCell ref="U2137:V2137"/>
    <mergeCell ref="W2137:W2138"/>
    <mergeCell ref="U2138:V2138"/>
    <mergeCell ref="T2135:V2136"/>
    <mergeCell ref="S2130:S2133"/>
    <mergeCell ref="W2130:W2131"/>
    <mergeCell ref="U2132:V2132"/>
    <mergeCell ref="W2132:W2133"/>
    <mergeCell ref="U2133:V2133"/>
    <mergeCell ref="T2130:V2131"/>
    <mergeCell ref="S2125:S2128"/>
    <mergeCell ref="W2125:W2126"/>
    <mergeCell ref="U2127:V2127"/>
    <mergeCell ref="W2127:W2128"/>
    <mergeCell ref="U2128:V2128"/>
    <mergeCell ref="T2125:V2126"/>
    <mergeCell ref="S2180:S2183"/>
    <mergeCell ref="W2180:W2181"/>
    <mergeCell ref="U2182:V2182"/>
    <mergeCell ref="W2182:W2183"/>
    <mergeCell ref="U2183:V2183"/>
    <mergeCell ref="T2180:V2181"/>
    <mergeCell ref="S2175:S2178"/>
    <mergeCell ref="W2175:W2176"/>
    <mergeCell ref="U2177:V2177"/>
    <mergeCell ref="W2177:W2178"/>
    <mergeCell ref="U2178:V2178"/>
    <mergeCell ref="T2175:V2176"/>
    <mergeCell ref="S2170:S2173"/>
    <mergeCell ref="W2170:W2171"/>
    <mergeCell ref="U2172:V2172"/>
    <mergeCell ref="W2172:W2173"/>
    <mergeCell ref="U2173:V2173"/>
    <mergeCell ref="T2170:V2171"/>
    <mergeCell ref="S2165:S2168"/>
    <mergeCell ref="W2165:W2166"/>
    <mergeCell ref="U2167:V2167"/>
    <mergeCell ref="W2167:W2168"/>
    <mergeCell ref="U2168:V2168"/>
    <mergeCell ref="T2165:V2166"/>
    <mergeCell ref="S2160:S2163"/>
    <mergeCell ref="W2160:W2161"/>
    <mergeCell ref="U2162:V2162"/>
    <mergeCell ref="W2162:W2163"/>
    <mergeCell ref="U2163:V2163"/>
    <mergeCell ref="T2160:V2161"/>
    <mergeCell ref="S2155:S2158"/>
    <mergeCell ref="W2155:W2156"/>
    <mergeCell ref="U2157:V2157"/>
    <mergeCell ref="W2157:W2158"/>
    <mergeCell ref="U2158:V2158"/>
    <mergeCell ref="T2155:V2156"/>
    <mergeCell ref="S2210:S2213"/>
    <mergeCell ref="W2210:W2211"/>
    <mergeCell ref="U2212:V2212"/>
    <mergeCell ref="W2212:W2213"/>
    <mergeCell ref="U2213:V2213"/>
    <mergeCell ref="T2210:V2211"/>
    <mergeCell ref="S2205:S2208"/>
    <mergeCell ref="W2205:W2206"/>
    <mergeCell ref="U2207:V2207"/>
    <mergeCell ref="W2207:W2208"/>
    <mergeCell ref="U2208:V2208"/>
    <mergeCell ref="T2205:V2206"/>
    <mergeCell ref="S2200:S2203"/>
    <mergeCell ref="W2200:W2201"/>
    <mergeCell ref="U2202:V2202"/>
    <mergeCell ref="W2202:W2203"/>
    <mergeCell ref="U2203:V2203"/>
    <mergeCell ref="T2200:V2201"/>
    <mergeCell ref="S2195:S2198"/>
    <mergeCell ref="W2195:W2196"/>
    <mergeCell ref="U2197:V2197"/>
    <mergeCell ref="W2197:W2198"/>
    <mergeCell ref="U2198:V2198"/>
    <mergeCell ref="T2195:V2196"/>
    <mergeCell ref="S2190:S2193"/>
    <mergeCell ref="W2190:W2191"/>
    <mergeCell ref="U2192:V2192"/>
    <mergeCell ref="W2192:W2193"/>
    <mergeCell ref="U2193:V2193"/>
    <mergeCell ref="T2190:V2191"/>
    <mergeCell ref="S2185:S2188"/>
    <mergeCell ref="W2185:W2186"/>
    <mergeCell ref="U2187:V2187"/>
    <mergeCell ref="W2187:W2188"/>
    <mergeCell ref="U2188:V2188"/>
    <mergeCell ref="T2185:V2186"/>
    <mergeCell ref="S2240:S2243"/>
    <mergeCell ref="W2240:W2241"/>
    <mergeCell ref="U2242:V2242"/>
    <mergeCell ref="W2242:W2243"/>
    <mergeCell ref="U2243:V2243"/>
    <mergeCell ref="T2240:V2241"/>
    <mergeCell ref="S2235:S2238"/>
    <mergeCell ref="W2235:W2236"/>
    <mergeCell ref="U2237:V2237"/>
    <mergeCell ref="W2237:W2238"/>
    <mergeCell ref="U2238:V2238"/>
    <mergeCell ref="T2235:V2236"/>
    <mergeCell ref="S2230:S2233"/>
    <mergeCell ref="W2230:W2231"/>
    <mergeCell ref="U2232:V2232"/>
    <mergeCell ref="W2232:W2233"/>
    <mergeCell ref="U2233:V2233"/>
    <mergeCell ref="T2230:V2231"/>
    <mergeCell ref="S2225:S2228"/>
    <mergeCell ref="W2225:W2226"/>
    <mergeCell ref="U2227:V2227"/>
    <mergeCell ref="W2227:W2228"/>
    <mergeCell ref="U2228:V2228"/>
    <mergeCell ref="T2225:V2226"/>
    <mergeCell ref="S2220:S2223"/>
    <mergeCell ref="W2220:W2221"/>
    <mergeCell ref="U2222:V2222"/>
    <mergeCell ref="W2222:W2223"/>
    <mergeCell ref="U2223:V2223"/>
    <mergeCell ref="T2220:V2221"/>
    <mergeCell ref="S2215:S2218"/>
    <mergeCell ref="W2215:W2216"/>
    <mergeCell ref="U2217:V2217"/>
    <mergeCell ref="W2217:W2218"/>
    <mergeCell ref="U2218:V2218"/>
    <mergeCell ref="T2215:V2216"/>
    <mergeCell ref="S2270:S2273"/>
    <mergeCell ref="W2270:W2271"/>
    <mergeCell ref="U2272:V2272"/>
    <mergeCell ref="W2272:W2273"/>
    <mergeCell ref="U2273:V2273"/>
    <mergeCell ref="T2270:V2271"/>
    <mergeCell ref="S2265:S2268"/>
    <mergeCell ref="W2265:W2266"/>
    <mergeCell ref="U2267:V2267"/>
    <mergeCell ref="W2267:W2268"/>
    <mergeCell ref="U2268:V2268"/>
    <mergeCell ref="T2265:V2266"/>
    <mergeCell ref="S2260:S2263"/>
    <mergeCell ref="W2260:W2261"/>
    <mergeCell ref="U2262:V2262"/>
    <mergeCell ref="W2262:W2263"/>
    <mergeCell ref="U2263:V2263"/>
    <mergeCell ref="T2260:V2261"/>
    <mergeCell ref="S2255:S2258"/>
    <mergeCell ref="W2255:W2256"/>
    <mergeCell ref="U2257:V2257"/>
    <mergeCell ref="W2257:W2258"/>
    <mergeCell ref="U2258:V2258"/>
    <mergeCell ref="T2255:V2256"/>
    <mergeCell ref="S2250:S2253"/>
    <mergeCell ref="W2250:W2251"/>
    <mergeCell ref="U2252:V2252"/>
    <mergeCell ref="W2252:W2253"/>
    <mergeCell ref="U2253:V2253"/>
    <mergeCell ref="T2250:V2251"/>
    <mergeCell ref="S2245:S2248"/>
    <mergeCell ref="W2245:W2246"/>
    <mergeCell ref="U2247:V2247"/>
    <mergeCell ref="W2247:W2248"/>
    <mergeCell ref="U2248:V2248"/>
    <mergeCell ref="T2245:V2246"/>
    <mergeCell ref="S2300:S2303"/>
    <mergeCell ref="W2300:W2301"/>
    <mergeCell ref="U2302:V2302"/>
    <mergeCell ref="W2302:W2303"/>
    <mergeCell ref="U2303:V2303"/>
    <mergeCell ref="T2300:V2301"/>
    <mergeCell ref="S2295:S2298"/>
    <mergeCell ref="W2295:W2296"/>
    <mergeCell ref="U2297:V2297"/>
    <mergeCell ref="W2297:W2298"/>
    <mergeCell ref="U2298:V2298"/>
    <mergeCell ref="T2295:V2296"/>
    <mergeCell ref="S2290:S2293"/>
    <mergeCell ref="W2290:W2291"/>
    <mergeCell ref="U2292:V2292"/>
    <mergeCell ref="W2292:W2293"/>
    <mergeCell ref="U2293:V2293"/>
    <mergeCell ref="T2290:V2291"/>
    <mergeCell ref="S2285:S2288"/>
    <mergeCell ref="W2285:W2286"/>
    <mergeCell ref="U2287:V2287"/>
    <mergeCell ref="W2287:W2288"/>
    <mergeCell ref="U2288:V2288"/>
    <mergeCell ref="T2285:V2286"/>
    <mergeCell ref="S2280:S2283"/>
    <mergeCell ref="W2280:W2281"/>
    <mergeCell ref="U2282:V2282"/>
    <mergeCell ref="W2282:W2283"/>
    <mergeCell ref="U2283:V2283"/>
    <mergeCell ref="T2280:V2281"/>
    <mergeCell ref="S2275:S2278"/>
    <mergeCell ref="W2275:W2276"/>
    <mergeCell ref="U2277:V2277"/>
    <mergeCell ref="W2277:W2278"/>
    <mergeCell ref="U2278:V2278"/>
    <mergeCell ref="T2275:V2276"/>
    <mergeCell ref="S2330:S2333"/>
    <mergeCell ref="W2330:W2331"/>
    <mergeCell ref="U2332:V2332"/>
    <mergeCell ref="W2332:W2333"/>
    <mergeCell ref="U2333:V2333"/>
    <mergeCell ref="T2330:V2331"/>
    <mergeCell ref="S2325:S2328"/>
    <mergeCell ref="W2325:W2326"/>
    <mergeCell ref="U2327:V2327"/>
    <mergeCell ref="W2327:W2328"/>
    <mergeCell ref="U2328:V2328"/>
    <mergeCell ref="T2325:V2326"/>
    <mergeCell ref="S2320:S2323"/>
    <mergeCell ref="W2320:W2321"/>
    <mergeCell ref="U2322:V2322"/>
    <mergeCell ref="W2322:W2323"/>
    <mergeCell ref="U2323:V2323"/>
    <mergeCell ref="T2320:V2321"/>
    <mergeCell ref="S2315:S2318"/>
    <mergeCell ref="W2315:W2316"/>
    <mergeCell ref="U2317:V2317"/>
    <mergeCell ref="W2317:W2318"/>
    <mergeCell ref="U2318:V2318"/>
    <mergeCell ref="T2315:V2316"/>
    <mergeCell ref="S2310:S2313"/>
    <mergeCell ref="W2310:W2311"/>
    <mergeCell ref="U2312:V2312"/>
    <mergeCell ref="W2312:W2313"/>
    <mergeCell ref="U2313:V2313"/>
    <mergeCell ref="T2310:V2311"/>
    <mergeCell ref="S2305:S2308"/>
    <mergeCell ref="W2305:W2306"/>
    <mergeCell ref="U2307:V2307"/>
    <mergeCell ref="W2307:W2308"/>
    <mergeCell ref="U2308:V2308"/>
    <mergeCell ref="T2305:V2306"/>
    <mergeCell ref="S2360:S2363"/>
    <mergeCell ref="W2360:W2361"/>
    <mergeCell ref="U2362:V2362"/>
    <mergeCell ref="W2362:W2363"/>
    <mergeCell ref="U2363:V2363"/>
    <mergeCell ref="T2360:V2361"/>
    <mergeCell ref="S2355:S2358"/>
    <mergeCell ref="W2355:W2356"/>
    <mergeCell ref="U2357:V2357"/>
    <mergeCell ref="W2357:W2358"/>
    <mergeCell ref="U2358:V2358"/>
    <mergeCell ref="T2355:V2356"/>
    <mergeCell ref="S2350:S2353"/>
    <mergeCell ref="W2350:W2351"/>
    <mergeCell ref="U2352:V2352"/>
    <mergeCell ref="W2352:W2353"/>
    <mergeCell ref="U2353:V2353"/>
    <mergeCell ref="T2350:V2351"/>
    <mergeCell ref="S2345:S2348"/>
    <mergeCell ref="W2345:W2346"/>
    <mergeCell ref="U2347:V2347"/>
    <mergeCell ref="W2347:W2348"/>
    <mergeCell ref="U2348:V2348"/>
    <mergeCell ref="T2345:V2346"/>
    <mergeCell ref="S2340:S2343"/>
    <mergeCell ref="W2340:W2341"/>
    <mergeCell ref="U2342:V2342"/>
    <mergeCell ref="W2342:W2343"/>
    <mergeCell ref="U2343:V2343"/>
    <mergeCell ref="T2340:V2341"/>
    <mergeCell ref="S2335:S2338"/>
    <mergeCell ref="W2335:W2336"/>
    <mergeCell ref="U2337:V2337"/>
    <mergeCell ref="W2337:W2338"/>
    <mergeCell ref="U2338:V2338"/>
    <mergeCell ref="T2335:V2336"/>
    <mergeCell ref="S2390:S2393"/>
    <mergeCell ref="W2390:W2391"/>
    <mergeCell ref="U2392:V2392"/>
    <mergeCell ref="W2392:W2393"/>
    <mergeCell ref="U2393:V2393"/>
    <mergeCell ref="T2390:V2391"/>
    <mergeCell ref="S2385:S2388"/>
    <mergeCell ref="W2385:W2386"/>
    <mergeCell ref="U2387:V2387"/>
    <mergeCell ref="W2387:W2388"/>
    <mergeCell ref="U2388:V2388"/>
    <mergeCell ref="T2385:V2386"/>
    <mergeCell ref="S2380:S2383"/>
    <mergeCell ref="W2380:W2381"/>
    <mergeCell ref="U2382:V2382"/>
    <mergeCell ref="W2382:W2383"/>
    <mergeCell ref="U2383:V2383"/>
    <mergeCell ref="T2380:V2381"/>
    <mergeCell ref="S2375:S2378"/>
    <mergeCell ref="W2375:W2376"/>
    <mergeCell ref="U2377:V2377"/>
    <mergeCell ref="W2377:W2378"/>
    <mergeCell ref="U2378:V2378"/>
    <mergeCell ref="T2375:V2376"/>
    <mergeCell ref="S2370:S2373"/>
    <mergeCell ref="W2370:W2371"/>
    <mergeCell ref="U2372:V2372"/>
    <mergeCell ref="W2372:W2373"/>
    <mergeCell ref="U2373:V2373"/>
    <mergeCell ref="T2370:V2371"/>
    <mergeCell ref="S2365:S2368"/>
    <mergeCell ref="W2365:W2366"/>
    <mergeCell ref="U2367:V2367"/>
    <mergeCell ref="W2367:W2368"/>
    <mergeCell ref="U2368:V2368"/>
    <mergeCell ref="T2365:V2366"/>
    <mergeCell ref="S2420:S2423"/>
    <mergeCell ref="W2420:W2421"/>
    <mergeCell ref="U2422:V2422"/>
    <mergeCell ref="W2422:W2423"/>
    <mergeCell ref="U2423:V2423"/>
    <mergeCell ref="T2420:V2421"/>
    <mergeCell ref="S2415:S2418"/>
    <mergeCell ref="W2415:W2416"/>
    <mergeCell ref="U2417:V2417"/>
    <mergeCell ref="W2417:W2418"/>
    <mergeCell ref="U2418:V2418"/>
    <mergeCell ref="T2415:V2416"/>
    <mergeCell ref="S2410:S2413"/>
    <mergeCell ref="W2410:W2411"/>
    <mergeCell ref="U2412:V2412"/>
    <mergeCell ref="W2412:W2413"/>
    <mergeCell ref="U2413:V2413"/>
    <mergeCell ref="T2410:V2411"/>
    <mergeCell ref="S2405:S2408"/>
    <mergeCell ref="W2405:W2406"/>
    <mergeCell ref="U2407:V2407"/>
    <mergeCell ref="W2407:W2408"/>
    <mergeCell ref="U2408:V2408"/>
    <mergeCell ref="T2405:V2406"/>
    <mergeCell ref="S2400:S2403"/>
    <mergeCell ref="W2400:W2401"/>
    <mergeCell ref="U2402:V2402"/>
    <mergeCell ref="W2402:W2403"/>
    <mergeCell ref="U2403:V2403"/>
    <mergeCell ref="T2400:V2401"/>
    <mergeCell ref="S2395:S2398"/>
    <mergeCell ref="W2395:W2396"/>
    <mergeCell ref="U2397:V2397"/>
    <mergeCell ref="W2397:W2398"/>
    <mergeCell ref="U2398:V2398"/>
    <mergeCell ref="T2395:V2396"/>
    <mergeCell ref="S2450:S2453"/>
    <mergeCell ref="W2450:W2451"/>
    <mergeCell ref="U2452:V2452"/>
    <mergeCell ref="W2452:W2453"/>
    <mergeCell ref="U2453:V2453"/>
    <mergeCell ref="T2450:V2451"/>
    <mergeCell ref="S2445:S2448"/>
    <mergeCell ref="W2445:W2446"/>
    <mergeCell ref="U2447:V2447"/>
    <mergeCell ref="W2447:W2448"/>
    <mergeCell ref="U2448:V2448"/>
    <mergeCell ref="T2445:V2446"/>
    <mergeCell ref="S2440:S2443"/>
    <mergeCell ref="W2440:W2441"/>
    <mergeCell ref="U2442:V2442"/>
    <mergeCell ref="W2442:W2443"/>
    <mergeCell ref="U2443:V2443"/>
    <mergeCell ref="T2440:V2441"/>
    <mergeCell ref="S2435:S2438"/>
    <mergeCell ref="W2435:W2436"/>
    <mergeCell ref="U2437:V2437"/>
    <mergeCell ref="W2437:W2438"/>
    <mergeCell ref="U2438:V2438"/>
    <mergeCell ref="T2435:V2436"/>
    <mergeCell ref="S2430:S2433"/>
    <mergeCell ref="W2430:W2431"/>
    <mergeCell ref="U2432:V2432"/>
    <mergeCell ref="W2432:W2433"/>
    <mergeCell ref="U2433:V2433"/>
    <mergeCell ref="T2430:V2431"/>
    <mergeCell ref="S2425:S2428"/>
    <mergeCell ref="W2425:W2426"/>
    <mergeCell ref="U2427:V2427"/>
    <mergeCell ref="W2427:W2428"/>
    <mergeCell ref="U2428:V2428"/>
    <mergeCell ref="T2425:V2426"/>
    <mergeCell ref="U2482:V2482"/>
    <mergeCell ref="W2482:W2483"/>
    <mergeCell ref="U2483:V2483"/>
    <mergeCell ref="T2480:V2481"/>
    <mergeCell ref="S2475:S2478"/>
    <mergeCell ref="W2475:W2476"/>
    <mergeCell ref="U2477:V2477"/>
    <mergeCell ref="W2477:W2478"/>
    <mergeCell ref="U2478:V2478"/>
    <mergeCell ref="T2475:V2476"/>
    <mergeCell ref="S2470:S2473"/>
    <mergeCell ref="W2470:W2471"/>
    <mergeCell ref="U2472:V2472"/>
    <mergeCell ref="W2472:W2473"/>
    <mergeCell ref="U2473:V2473"/>
    <mergeCell ref="T2470:V2471"/>
    <mergeCell ref="S2465:S2468"/>
    <mergeCell ref="W2465:W2466"/>
    <mergeCell ref="U2467:V2467"/>
    <mergeCell ref="W2467:W2468"/>
    <mergeCell ref="U2468:V2468"/>
    <mergeCell ref="T2465:V2466"/>
    <mergeCell ref="S2460:S2463"/>
    <mergeCell ref="W2460:W2461"/>
    <mergeCell ref="U2462:V2462"/>
    <mergeCell ref="W2462:W2463"/>
    <mergeCell ref="U2463:V2463"/>
    <mergeCell ref="T2460:V2461"/>
    <mergeCell ref="S2455:S2458"/>
    <mergeCell ref="W2455:W2456"/>
    <mergeCell ref="U2457:V2457"/>
    <mergeCell ref="W2457:W2458"/>
    <mergeCell ref="U2458:V2458"/>
    <mergeCell ref="T2455:V2456"/>
    <mergeCell ref="AE62:AE63"/>
    <mergeCell ref="AE65:AE66"/>
    <mergeCell ref="AE67:AE68"/>
    <mergeCell ref="AE70:AE71"/>
    <mergeCell ref="AE72:AE73"/>
    <mergeCell ref="AE50:AE51"/>
    <mergeCell ref="AE52:AE53"/>
    <mergeCell ref="AE55:AE56"/>
    <mergeCell ref="AE57:AE58"/>
    <mergeCell ref="AE60:AE61"/>
    <mergeCell ref="AE37:AE38"/>
    <mergeCell ref="AE40:AE41"/>
    <mergeCell ref="AE42:AE43"/>
    <mergeCell ref="AE45:AE46"/>
    <mergeCell ref="AE47:AE48"/>
    <mergeCell ref="AE25:AE26"/>
    <mergeCell ref="AE27:AE28"/>
    <mergeCell ref="AE30:AE31"/>
    <mergeCell ref="AE32:AE33"/>
    <mergeCell ref="AE35:AE36"/>
    <mergeCell ref="S2515:S2518"/>
    <mergeCell ref="W2515:W2516"/>
    <mergeCell ref="U2517:V2517"/>
    <mergeCell ref="W2517:W2518"/>
    <mergeCell ref="U2518:V2518"/>
    <mergeCell ref="T2515:V2516"/>
    <mergeCell ref="S2510:S2513"/>
    <mergeCell ref="W2510:W2511"/>
    <mergeCell ref="U2512:V2512"/>
    <mergeCell ref="W2512:W2513"/>
    <mergeCell ref="U2513:V2513"/>
    <mergeCell ref="T2510:V2511"/>
    <mergeCell ref="S2505:S2508"/>
    <mergeCell ref="W2505:W2506"/>
    <mergeCell ref="U2507:V2507"/>
    <mergeCell ref="W2507:W2508"/>
    <mergeCell ref="U2508:V2508"/>
    <mergeCell ref="T2505:V2506"/>
    <mergeCell ref="S2500:S2503"/>
    <mergeCell ref="W2500:W2501"/>
    <mergeCell ref="U2502:V2502"/>
    <mergeCell ref="W2502:W2503"/>
    <mergeCell ref="U2503:V2503"/>
    <mergeCell ref="T2500:V2501"/>
    <mergeCell ref="S2495:S2498"/>
    <mergeCell ref="W2495:W2496"/>
    <mergeCell ref="U2497:V2497"/>
    <mergeCell ref="W2497:W2498"/>
    <mergeCell ref="U2498:V2498"/>
    <mergeCell ref="T2495:V2496"/>
    <mergeCell ref="S2490:S2493"/>
    <mergeCell ref="W2490:W2491"/>
    <mergeCell ref="U2492:V2492"/>
    <mergeCell ref="W2492:W2493"/>
    <mergeCell ref="U2493:V2493"/>
    <mergeCell ref="T2490:V2491"/>
    <mergeCell ref="S2485:S2488"/>
    <mergeCell ref="W2485:W2486"/>
    <mergeCell ref="U2487:V2487"/>
    <mergeCell ref="W2487:W2488"/>
    <mergeCell ref="U2488:V2488"/>
    <mergeCell ref="T2485:V2486"/>
    <mergeCell ref="S2480:S2483"/>
    <mergeCell ref="W2480:W2481"/>
    <mergeCell ref="AE150:AE151"/>
    <mergeCell ref="AE152:AE153"/>
    <mergeCell ref="AE155:AE156"/>
    <mergeCell ref="AE157:AE158"/>
    <mergeCell ref="AE160:AE161"/>
    <mergeCell ref="AE137:AE138"/>
    <mergeCell ref="AE140:AE141"/>
    <mergeCell ref="AE142:AE143"/>
    <mergeCell ref="AE145:AE146"/>
    <mergeCell ref="AE147:AE148"/>
    <mergeCell ref="AE125:AE126"/>
    <mergeCell ref="AE127:AE128"/>
    <mergeCell ref="AE130:AE131"/>
    <mergeCell ref="AE132:AE133"/>
    <mergeCell ref="AE135:AE136"/>
    <mergeCell ref="AE112:AE113"/>
    <mergeCell ref="AE115:AE116"/>
    <mergeCell ref="AE117:AE118"/>
    <mergeCell ref="AE120:AE121"/>
    <mergeCell ref="AE122:AE123"/>
    <mergeCell ref="AE100:AE101"/>
    <mergeCell ref="AE102:AE103"/>
    <mergeCell ref="AE105:AE106"/>
    <mergeCell ref="AE107:AE108"/>
    <mergeCell ref="AE110:AE111"/>
    <mergeCell ref="AE87:AE88"/>
    <mergeCell ref="AE90:AE91"/>
    <mergeCell ref="AE92:AE93"/>
    <mergeCell ref="AE95:AE96"/>
    <mergeCell ref="AE97:AE98"/>
    <mergeCell ref="AE75:AE76"/>
    <mergeCell ref="AE77:AE78"/>
    <mergeCell ref="AE80:AE81"/>
    <mergeCell ref="AE82:AE83"/>
    <mergeCell ref="AE85:AE86"/>
    <mergeCell ref="AE237:AE238"/>
    <mergeCell ref="AE240:AE241"/>
    <mergeCell ref="AE242:AE243"/>
    <mergeCell ref="AE245:AE246"/>
    <mergeCell ref="AE247:AE248"/>
    <mergeCell ref="AE225:AE226"/>
    <mergeCell ref="AE227:AE228"/>
    <mergeCell ref="AE230:AE231"/>
    <mergeCell ref="AE232:AE233"/>
    <mergeCell ref="AE235:AE236"/>
    <mergeCell ref="AE212:AE213"/>
    <mergeCell ref="AE215:AE216"/>
    <mergeCell ref="AE217:AE218"/>
    <mergeCell ref="AE220:AE221"/>
    <mergeCell ref="AE222:AE223"/>
    <mergeCell ref="AE200:AE201"/>
    <mergeCell ref="AE202:AE203"/>
    <mergeCell ref="AE205:AE206"/>
    <mergeCell ref="AE207:AE208"/>
    <mergeCell ref="AE210:AE211"/>
    <mergeCell ref="AE187:AE188"/>
    <mergeCell ref="AE190:AE191"/>
    <mergeCell ref="AE192:AE193"/>
    <mergeCell ref="AE195:AE196"/>
    <mergeCell ref="AE197:AE198"/>
    <mergeCell ref="AE175:AE176"/>
    <mergeCell ref="AE177:AE178"/>
    <mergeCell ref="AE180:AE181"/>
    <mergeCell ref="AE182:AE183"/>
    <mergeCell ref="AE185:AE186"/>
    <mergeCell ref="AE162:AE163"/>
    <mergeCell ref="AE165:AE166"/>
    <mergeCell ref="AE167:AE168"/>
    <mergeCell ref="AE170:AE171"/>
    <mergeCell ref="AE172:AE173"/>
    <mergeCell ref="AE325:AE326"/>
    <mergeCell ref="AE327:AE328"/>
    <mergeCell ref="AE330:AE331"/>
    <mergeCell ref="AE332:AE333"/>
    <mergeCell ref="AE335:AE336"/>
    <mergeCell ref="AE312:AE313"/>
    <mergeCell ref="AE315:AE316"/>
    <mergeCell ref="AE317:AE318"/>
    <mergeCell ref="AE320:AE321"/>
    <mergeCell ref="AE322:AE323"/>
    <mergeCell ref="AE300:AE301"/>
    <mergeCell ref="AE302:AE303"/>
    <mergeCell ref="AE305:AE306"/>
    <mergeCell ref="AE307:AE308"/>
    <mergeCell ref="AE310:AE311"/>
    <mergeCell ref="AE287:AE288"/>
    <mergeCell ref="AE290:AE291"/>
    <mergeCell ref="AE292:AE293"/>
    <mergeCell ref="AE295:AE296"/>
    <mergeCell ref="AE297:AE298"/>
    <mergeCell ref="AE275:AE276"/>
    <mergeCell ref="AE277:AE278"/>
    <mergeCell ref="AE280:AE281"/>
    <mergeCell ref="AE282:AE283"/>
    <mergeCell ref="AE285:AE286"/>
    <mergeCell ref="AE262:AE263"/>
    <mergeCell ref="AE265:AE266"/>
    <mergeCell ref="AE267:AE268"/>
    <mergeCell ref="AE270:AE271"/>
    <mergeCell ref="AE272:AE273"/>
    <mergeCell ref="AE250:AE251"/>
    <mergeCell ref="AE252:AE253"/>
    <mergeCell ref="AE255:AE256"/>
    <mergeCell ref="AE257:AE258"/>
    <mergeCell ref="AE260:AE261"/>
    <mergeCell ref="AE412:AE413"/>
    <mergeCell ref="AE415:AE416"/>
    <mergeCell ref="AE417:AE418"/>
    <mergeCell ref="AE420:AE421"/>
    <mergeCell ref="AE422:AE423"/>
    <mergeCell ref="AE400:AE401"/>
    <mergeCell ref="AE402:AE403"/>
    <mergeCell ref="AE405:AE406"/>
    <mergeCell ref="AE407:AE408"/>
    <mergeCell ref="AE410:AE411"/>
    <mergeCell ref="AE387:AE388"/>
    <mergeCell ref="AE390:AE391"/>
    <mergeCell ref="AE392:AE393"/>
    <mergeCell ref="AE395:AE396"/>
    <mergeCell ref="AE397:AE398"/>
    <mergeCell ref="AE375:AE376"/>
    <mergeCell ref="AE377:AE378"/>
    <mergeCell ref="AE380:AE381"/>
    <mergeCell ref="AE382:AE383"/>
    <mergeCell ref="AE385:AE386"/>
    <mergeCell ref="AE362:AE363"/>
    <mergeCell ref="AE365:AE366"/>
    <mergeCell ref="AE367:AE368"/>
    <mergeCell ref="AE370:AE371"/>
    <mergeCell ref="AE372:AE373"/>
    <mergeCell ref="AE350:AE351"/>
    <mergeCell ref="AE352:AE353"/>
    <mergeCell ref="AE355:AE356"/>
    <mergeCell ref="AE357:AE358"/>
    <mergeCell ref="AE360:AE361"/>
    <mergeCell ref="AE337:AE338"/>
    <mergeCell ref="AE340:AE341"/>
    <mergeCell ref="AE342:AE343"/>
    <mergeCell ref="AE345:AE346"/>
    <mergeCell ref="AE347:AE348"/>
    <mergeCell ref="AE500:AE501"/>
    <mergeCell ref="AE502:AE503"/>
    <mergeCell ref="AE505:AE506"/>
    <mergeCell ref="AE507:AE508"/>
    <mergeCell ref="AE510:AE511"/>
    <mergeCell ref="AE487:AE488"/>
    <mergeCell ref="AE490:AE491"/>
    <mergeCell ref="AE492:AE493"/>
    <mergeCell ref="AE495:AE496"/>
    <mergeCell ref="AE497:AE498"/>
    <mergeCell ref="AE475:AE476"/>
    <mergeCell ref="AE477:AE478"/>
    <mergeCell ref="AE480:AE481"/>
    <mergeCell ref="AE482:AE483"/>
    <mergeCell ref="AE485:AE486"/>
    <mergeCell ref="AE462:AE463"/>
    <mergeCell ref="AE465:AE466"/>
    <mergeCell ref="AE467:AE468"/>
    <mergeCell ref="AE470:AE471"/>
    <mergeCell ref="AE472:AE473"/>
    <mergeCell ref="AE450:AE451"/>
    <mergeCell ref="AE452:AE453"/>
    <mergeCell ref="AE455:AE456"/>
    <mergeCell ref="AE457:AE458"/>
    <mergeCell ref="AE460:AE461"/>
    <mergeCell ref="AE437:AE438"/>
    <mergeCell ref="AE440:AE441"/>
    <mergeCell ref="AE442:AE443"/>
    <mergeCell ref="AE445:AE446"/>
    <mergeCell ref="AE447:AE448"/>
    <mergeCell ref="AE425:AE426"/>
    <mergeCell ref="AE427:AE428"/>
    <mergeCell ref="AE430:AE431"/>
    <mergeCell ref="AE432:AE433"/>
    <mergeCell ref="AE435:AE436"/>
    <mergeCell ref="AE587:AE588"/>
    <mergeCell ref="AE590:AE591"/>
    <mergeCell ref="AE592:AE593"/>
    <mergeCell ref="AE595:AE596"/>
    <mergeCell ref="AE597:AE598"/>
    <mergeCell ref="AE575:AE576"/>
    <mergeCell ref="AE577:AE578"/>
    <mergeCell ref="AE580:AE581"/>
    <mergeCell ref="AE582:AE583"/>
    <mergeCell ref="AE585:AE586"/>
    <mergeCell ref="AE562:AE563"/>
    <mergeCell ref="AE565:AE566"/>
    <mergeCell ref="AE567:AE568"/>
    <mergeCell ref="AE570:AE571"/>
    <mergeCell ref="AE572:AE573"/>
    <mergeCell ref="AE550:AE551"/>
    <mergeCell ref="AE552:AE553"/>
    <mergeCell ref="AE555:AE556"/>
    <mergeCell ref="AE557:AE558"/>
    <mergeCell ref="AE560:AE561"/>
    <mergeCell ref="AE537:AE538"/>
    <mergeCell ref="AE540:AE541"/>
    <mergeCell ref="AE542:AE543"/>
    <mergeCell ref="AE545:AE546"/>
    <mergeCell ref="AE547:AE548"/>
    <mergeCell ref="AE525:AE526"/>
    <mergeCell ref="AE527:AE528"/>
    <mergeCell ref="AE530:AE531"/>
    <mergeCell ref="AE532:AE533"/>
    <mergeCell ref="AE535:AE536"/>
    <mergeCell ref="AE512:AE513"/>
    <mergeCell ref="AE515:AE516"/>
    <mergeCell ref="AE517:AE518"/>
    <mergeCell ref="AE520:AE521"/>
    <mergeCell ref="AE522:AE523"/>
    <mergeCell ref="AE675:AE676"/>
    <mergeCell ref="AE677:AE678"/>
    <mergeCell ref="AE680:AE681"/>
    <mergeCell ref="AE682:AE683"/>
    <mergeCell ref="AE685:AE686"/>
    <mergeCell ref="AE662:AE663"/>
    <mergeCell ref="AE665:AE666"/>
    <mergeCell ref="AE667:AE668"/>
    <mergeCell ref="AE670:AE671"/>
    <mergeCell ref="AE672:AE673"/>
    <mergeCell ref="AE650:AE651"/>
    <mergeCell ref="AE652:AE653"/>
    <mergeCell ref="AE655:AE656"/>
    <mergeCell ref="AE657:AE658"/>
    <mergeCell ref="AE660:AE661"/>
    <mergeCell ref="AE637:AE638"/>
    <mergeCell ref="AE640:AE641"/>
    <mergeCell ref="AE642:AE643"/>
    <mergeCell ref="AE645:AE646"/>
    <mergeCell ref="AE647:AE648"/>
    <mergeCell ref="AE625:AE626"/>
    <mergeCell ref="AE627:AE628"/>
    <mergeCell ref="AE630:AE631"/>
    <mergeCell ref="AE632:AE633"/>
    <mergeCell ref="AE635:AE636"/>
    <mergeCell ref="AE612:AE613"/>
    <mergeCell ref="AE615:AE616"/>
    <mergeCell ref="AE617:AE618"/>
    <mergeCell ref="AE620:AE621"/>
    <mergeCell ref="AE622:AE623"/>
    <mergeCell ref="AE600:AE601"/>
    <mergeCell ref="AE602:AE603"/>
    <mergeCell ref="AE605:AE606"/>
    <mergeCell ref="AE607:AE608"/>
    <mergeCell ref="AE610:AE611"/>
    <mergeCell ref="AE762:AE763"/>
    <mergeCell ref="AE765:AE766"/>
    <mergeCell ref="AE767:AE768"/>
    <mergeCell ref="AE770:AE771"/>
    <mergeCell ref="AE772:AE773"/>
    <mergeCell ref="AE750:AE751"/>
    <mergeCell ref="AE752:AE753"/>
    <mergeCell ref="AE755:AE756"/>
    <mergeCell ref="AE757:AE758"/>
    <mergeCell ref="AE760:AE761"/>
    <mergeCell ref="AE737:AE738"/>
    <mergeCell ref="AE740:AE741"/>
    <mergeCell ref="AE742:AE743"/>
    <mergeCell ref="AE745:AE746"/>
    <mergeCell ref="AE747:AE748"/>
    <mergeCell ref="AE725:AE726"/>
    <mergeCell ref="AE727:AE728"/>
    <mergeCell ref="AE730:AE731"/>
    <mergeCell ref="AE732:AE733"/>
    <mergeCell ref="AE735:AE736"/>
    <mergeCell ref="AE712:AE713"/>
    <mergeCell ref="AE715:AE716"/>
    <mergeCell ref="AE717:AE718"/>
    <mergeCell ref="AE720:AE721"/>
    <mergeCell ref="AE722:AE723"/>
    <mergeCell ref="AE700:AE701"/>
    <mergeCell ref="AE702:AE703"/>
    <mergeCell ref="AE705:AE706"/>
    <mergeCell ref="AE707:AE708"/>
    <mergeCell ref="AE710:AE711"/>
    <mergeCell ref="AE687:AE688"/>
    <mergeCell ref="AE690:AE691"/>
    <mergeCell ref="AE692:AE693"/>
    <mergeCell ref="AE695:AE696"/>
    <mergeCell ref="AE697:AE698"/>
    <mergeCell ref="AE850:AE851"/>
    <mergeCell ref="AE852:AE853"/>
    <mergeCell ref="AE855:AE856"/>
    <mergeCell ref="AE857:AE858"/>
    <mergeCell ref="AE860:AE861"/>
    <mergeCell ref="AE837:AE838"/>
    <mergeCell ref="AE840:AE841"/>
    <mergeCell ref="AE842:AE843"/>
    <mergeCell ref="AE845:AE846"/>
    <mergeCell ref="AE847:AE848"/>
    <mergeCell ref="AE825:AE826"/>
    <mergeCell ref="AE827:AE828"/>
    <mergeCell ref="AE830:AE831"/>
    <mergeCell ref="AE832:AE833"/>
    <mergeCell ref="AE835:AE836"/>
    <mergeCell ref="AE812:AE813"/>
    <mergeCell ref="AE815:AE816"/>
    <mergeCell ref="AE817:AE818"/>
    <mergeCell ref="AE820:AE821"/>
    <mergeCell ref="AE822:AE823"/>
    <mergeCell ref="AE800:AE801"/>
    <mergeCell ref="AE802:AE803"/>
    <mergeCell ref="AE805:AE806"/>
    <mergeCell ref="AE807:AE808"/>
    <mergeCell ref="AE810:AE811"/>
    <mergeCell ref="AE787:AE788"/>
    <mergeCell ref="AE790:AE791"/>
    <mergeCell ref="AE792:AE793"/>
    <mergeCell ref="AE795:AE796"/>
    <mergeCell ref="AE797:AE798"/>
    <mergeCell ref="AE775:AE776"/>
    <mergeCell ref="AE777:AE778"/>
    <mergeCell ref="AE780:AE781"/>
    <mergeCell ref="AE782:AE783"/>
    <mergeCell ref="AE785:AE786"/>
    <mergeCell ref="AE937:AE938"/>
    <mergeCell ref="AE940:AE941"/>
    <mergeCell ref="AE942:AE943"/>
    <mergeCell ref="AE945:AE946"/>
    <mergeCell ref="AE947:AE948"/>
    <mergeCell ref="AE925:AE926"/>
    <mergeCell ref="AE927:AE928"/>
    <mergeCell ref="AE930:AE931"/>
    <mergeCell ref="AE932:AE933"/>
    <mergeCell ref="AE935:AE936"/>
    <mergeCell ref="AE912:AE913"/>
    <mergeCell ref="AE915:AE916"/>
    <mergeCell ref="AE917:AE918"/>
    <mergeCell ref="AE920:AE921"/>
    <mergeCell ref="AE922:AE923"/>
    <mergeCell ref="AE900:AE901"/>
    <mergeCell ref="AE902:AE903"/>
    <mergeCell ref="AE905:AE906"/>
    <mergeCell ref="AE907:AE908"/>
    <mergeCell ref="AE910:AE911"/>
    <mergeCell ref="AE887:AE888"/>
    <mergeCell ref="AE890:AE891"/>
    <mergeCell ref="AE892:AE893"/>
    <mergeCell ref="AE895:AE896"/>
    <mergeCell ref="AE897:AE898"/>
    <mergeCell ref="AE875:AE876"/>
    <mergeCell ref="AE877:AE878"/>
    <mergeCell ref="AE880:AE881"/>
    <mergeCell ref="AE882:AE883"/>
    <mergeCell ref="AE885:AE886"/>
    <mergeCell ref="AE862:AE863"/>
    <mergeCell ref="AE865:AE866"/>
    <mergeCell ref="AE867:AE868"/>
    <mergeCell ref="AE870:AE871"/>
    <mergeCell ref="AE872:AE873"/>
    <mergeCell ref="AE1025:AE1026"/>
    <mergeCell ref="AE1027:AE1028"/>
    <mergeCell ref="AE1030:AE1031"/>
    <mergeCell ref="AE1032:AE1033"/>
    <mergeCell ref="AE1035:AE1036"/>
    <mergeCell ref="AE1012:AE1013"/>
    <mergeCell ref="AE1015:AE1016"/>
    <mergeCell ref="AE1017:AE1018"/>
    <mergeCell ref="AE1020:AE1021"/>
    <mergeCell ref="AE1022:AE1023"/>
    <mergeCell ref="AE1000:AE1001"/>
    <mergeCell ref="AE1002:AE1003"/>
    <mergeCell ref="AE1005:AE1006"/>
    <mergeCell ref="AE1007:AE1008"/>
    <mergeCell ref="AE1010:AE1011"/>
    <mergeCell ref="AE987:AE988"/>
    <mergeCell ref="AE990:AE991"/>
    <mergeCell ref="AE992:AE993"/>
    <mergeCell ref="AE995:AE996"/>
    <mergeCell ref="AE997:AE998"/>
    <mergeCell ref="AE975:AE976"/>
    <mergeCell ref="AE977:AE978"/>
    <mergeCell ref="AE980:AE981"/>
    <mergeCell ref="AE982:AE983"/>
    <mergeCell ref="AE985:AE986"/>
    <mergeCell ref="AE962:AE963"/>
    <mergeCell ref="AE965:AE966"/>
    <mergeCell ref="AE967:AE968"/>
    <mergeCell ref="AE970:AE971"/>
    <mergeCell ref="AE972:AE973"/>
    <mergeCell ref="AE950:AE951"/>
    <mergeCell ref="AE952:AE953"/>
    <mergeCell ref="AE955:AE956"/>
    <mergeCell ref="AE957:AE958"/>
    <mergeCell ref="AE960:AE961"/>
    <mergeCell ref="AE1075:AE1076"/>
    <mergeCell ref="AC1077:AD1077"/>
    <mergeCell ref="AE1077:AE1078"/>
    <mergeCell ref="AC1078:AD1078"/>
    <mergeCell ref="AE1070:AE1071"/>
    <mergeCell ref="AC1072:AD1072"/>
    <mergeCell ref="AE1072:AE1073"/>
    <mergeCell ref="AC1073:AD1073"/>
    <mergeCell ref="AE1065:AE1066"/>
    <mergeCell ref="AC1067:AD1067"/>
    <mergeCell ref="AE1067:AE1068"/>
    <mergeCell ref="AC1068:AD1068"/>
    <mergeCell ref="AE1060:AE1061"/>
    <mergeCell ref="AC1062:AD1062"/>
    <mergeCell ref="AE1062:AE1063"/>
    <mergeCell ref="AC1063:AD1063"/>
    <mergeCell ref="AE1055:AE1056"/>
    <mergeCell ref="AC1057:AD1057"/>
    <mergeCell ref="AE1057:AE1058"/>
    <mergeCell ref="AC1058:AD1058"/>
    <mergeCell ref="AE1050:AE1051"/>
    <mergeCell ref="AC1052:AD1052"/>
    <mergeCell ref="AE1052:AE1053"/>
    <mergeCell ref="AC1053:AD1053"/>
    <mergeCell ref="AE1045:AE1046"/>
    <mergeCell ref="AC1047:AD1047"/>
    <mergeCell ref="AE1047:AE1048"/>
    <mergeCell ref="AC1048:AD1048"/>
    <mergeCell ref="AE1037:AE1038"/>
    <mergeCell ref="AE1040:AE1041"/>
    <mergeCell ref="AC1042:AD1042"/>
    <mergeCell ref="AE1042:AE1043"/>
    <mergeCell ref="AC1043:AD1043"/>
    <mergeCell ref="AE1120:AE1121"/>
    <mergeCell ref="AC1122:AD1122"/>
    <mergeCell ref="AE1122:AE1123"/>
    <mergeCell ref="AC1123:AD1123"/>
    <mergeCell ref="AE1115:AE1116"/>
    <mergeCell ref="AC1117:AD1117"/>
    <mergeCell ref="AE1117:AE1118"/>
    <mergeCell ref="AC1118:AD1118"/>
    <mergeCell ref="AE1110:AE1111"/>
    <mergeCell ref="AC1112:AD1112"/>
    <mergeCell ref="AE1112:AE1113"/>
    <mergeCell ref="AC1113:AD1113"/>
    <mergeCell ref="AE1105:AE1106"/>
    <mergeCell ref="AC1107:AD1107"/>
    <mergeCell ref="AE1107:AE1108"/>
    <mergeCell ref="AC1108:AD1108"/>
    <mergeCell ref="AE1100:AE1101"/>
    <mergeCell ref="AC1102:AD1102"/>
    <mergeCell ref="AE1102:AE1103"/>
    <mergeCell ref="AC1103:AD1103"/>
    <mergeCell ref="AE1095:AE1096"/>
    <mergeCell ref="AC1097:AD1097"/>
    <mergeCell ref="AE1097:AE1098"/>
    <mergeCell ref="AC1098:AD1098"/>
    <mergeCell ref="AE1090:AE1091"/>
    <mergeCell ref="AC1092:AD1092"/>
    <mergeCell ref="AE1092:AE1093"/>
    <mergeCell ref="AC1093:AD1093"/>
    <mergeCell ref="AE1085:AE1086"/>
    <mergeCell ref="AC1087:AD1087"/>
    <mergeCell ref="AE1087:AE1088"/>
    <mergeCell ref="AC1088:AD1088"/>
    <mergeCell ref="AE1080:AE1081"/>
    <mergeCell ref="AC1082:AD1082"/>
    <mergeCell ref="AE1082:AE1083"/>
    <mergeCell ref="AC1083:AD1083"/>
    <mergeCell ref="AE1165:AE1166"/>
    <mergeCell ref="AC1167:AD1167"/>
    <mergeCell ref="AE1167:AE1168"/>
    <mergeCell ref="AC1168:AD1168"/>
    <mergeCell ref="AE1160:AE1161"/>
    <mergeCell ref="AC1162:AD1162"/>
    <mergeCell ref="AE1162:AE1163"/>
    <mergeCell ref="AC1163:AD1163"/>
    <mergeCell ref="AE1155:AE1156"/>
    <mergeCell ref="AC1157:AD1157"/>
    <mergeCell ref="AE1157:AE1158"/>
    <mergeCell ref="AC1158:AD1158"/>
    <mergeCell ref="AE1150:AE1151"/>
    <mergeCell ref="AC1152:AD1152"/>
    <mergeCell ref="AE1152:AE1153"/>
    <mergeCell ref="AC1153:AD1153"/>
    <mergeCell ref="AE1145:AE1146"/>
    <mergeCell ref="AC1147:AD1147"/>
    <mergeCell ref="AE1147:AE1148"/>
    <mergeCell ref="AC1148:AD1148"/>
    <mergeCell ref="AE1140:AE1141"/>
    <mergeCell ref="AC1142:AD1142"/>
    <mergeCell ref="AE1142:AE1143"/>
    <mergeCell ref="AC1143:AD1143"/>
    <mergeCell ref="AE1135:AE1136"/>
    <mergeCell ref="AC1137:AD1137"/>
    <mergeCell ref="AE1137:AE1138"/>
    <mergeCell ref="AC1138:AD1138"/>
    <mergeCell ref="AE1130:AE1131"/>
    <mergeCell ref="AC1132:AD1132"/>
    <mergeCell ref="AE1132:AE1133"/>
    <mergeCell ref="AC1133:AD1133"/>
    <mergeCell ref="AE1125:AE1126"/>
    <mergeCell ref="AC1127:AD1127"/>
    <mergeCell ref="AE1127:AE1128"/>
    <mergeCell ref="AC1128:AD1128"/>
    <mergeCell ref="AE1210:AE1211"/>
    <mergeCell ref="AC1212:AD1212"/>
    <mergeCell ref="AE1212:AE1213"/>
    <mergeCell ref="AC1213:AD1213"/>
    <mergeCell ref="AE1205:AE1206"/>
    <mergeCell ref="AC1207:AD1207"/>
    <mergeCell ref="AE1207:AE1208"/>
    <mergeCell ref="AC1208:AD1208"/>
    <mergeCell ref="AE1200:AE1201"/>
    <mergeCell ref="AC1202:AD1202"/>
    <mergeCell ref="AE1202:AE1203"/>
    <mergeCell ref="AC1203:AD1203"/>
    <mergeCell ref="AE1195:AE1196"/>
    <mergeCell ref="AC1197:AD1197"/>
    <mergeCell ref="AE1197:AE1198"/>
    <mergeCell ref="AC1198:AD1198"/>
    <mergeCell ref="AE1190:AE1191"/>
    <mergeCell ref="AC1192:AD1192"/>
    <mergeCell ref="AE1192:AE1193"/>
    <mergeCell ref="AC1193:AD1193"/>
    <mergeCell ref="AE1185:AE1186"/>
    <mergeCell ref="AC1187:AD1187"/>
    <mergeCell ref="AE1187:AE1188"/>
    <mergeCell ref="AC1188:AD1188"/>
    <mergeCell ref="AE1180:AE1181"/>
    <mergeCell ref="AC1182:AD1182"/>
    <mergeCell ref="AE1182:AE1183"/>
    <mergeCell ref="AC1183:AD1183"/>
    <mergeCell ref="AE1175:AE1176"/>
    <mergeCell ref="AC1177:AD1177"/>
    <mergeCell ref="AE1177:AE1178"/>
    <mergeCell ref="AC1178:AD1178"/>
    <mergeCell ref="AE1170:AE1171"/>
    <mergeCell ref="AC1172:AD1172"/>
    <mergeCell ref="AE1172:AE1173"/>
    <mergeCell ref="AC1173:AD1173"/>
    <mergeCell ref="AE1255:AE1256"/>
    <mergeCell ref="AC1257:AD1257"/>
    <mergeCell ref="AE1257:AE1258"/>
    <mergeCell ref="AC1258:AD1258"/>
    <mergeCell ref="AE1250:AE1251"/>
    <mergeCell ref="AC1252:AD1252"/>
    <mergeCell ref="AE1252:AE1253"/>
    <mergeCell ref="AC1253:AD1253"/>
    <mergeCell ref="AE1245:AE1246"/>
    <mergeCell ref="AC1247:AD1247"/>
    <mergeCell ref="AE1247:AE1248"/>
    <mergeCell ref="AC1248:AD1248"/>
    <mergeCell ref="AE1240:AE1241"/>
    <mergeCell ref="AC1242:AD1242"/>
    <mergeCell ref="AE1242:AE1243"/>
    <mergeCell ref="AC1243:AD1243"/>
    <mergeCell ref="AE1235:AE1236"/>
    <mergeCell ref="AC1237:AD1237"/>
    <mergeCell ref="AE1237:AE1238"/>
    <mergeCell ref="AC1238:AD1238"/>
    <mergeCell ref="AE1230:AE1231"/>
    <mergeCell ref="AC1232:AD1232"/>
    <mergeCell ref="AE1232:AE1233"/>
    <mergeCell ref="AC1233:AD1233"/>
    <mergeCell ref="AE1225:AE1226"/>
    <mergeCell ref="AC1227:AD1227"/>
    <mergeCell ref="AE1227:AE1228"/>
    <mergeCell ref="AC1228:AD1228"/>
    <mergeCell ref="AE1220:AE1221"/>
    <mergeCell ref="AC1222:AD1222"/>
    <mergeCell ref="AE1222:AE1223"/>
    <mergeCell ref="AC1223:AD1223"/>
    <mergeCell ref="AE1215:AE1216"/>
    <mergeCell ref="AC1217:AD1217"/>
    <mergeCell ref="AE1217:AE1218"/>
    <mergeCell ref="AC1218:AD1218"/>
    <mergeCell ref="AE1300:AE1301"/>
    <mergeCell ref="AC1302:AD1302"/>
    <mergeCell ref="AE1302:AE1303"/>
    <mergeCell ref="AC1303:AD1303"/>
    <mergeCell ref="AE1295:AE1296"/>
    <mergeCell ref="AC1297:AD1297"/>
    <mergeCell ref="AE1297:AE1298"/>
    <mergeCell ref="AC1298:AD1298"/>
    <mergeCell ref="AE1290:AE1291"/>
    <mergeCell ref="AC1292:AD1292"/>
    <mergeCell ref="AE1292:AE1293"/>
    <mergeCell ref="AC1293:AD1293"/>
    <mergeCell ref="AE1285:AE1286"/>
    <mergeCell ref="AC1287:AD1287"/>
    <mergeCell ref="AE1287:AE1288"/>
    <mergeCell ref="AC1288:AD1288"/>
    <mergeCell ref="AE1280:AE1281"/>
    <mergeCell ref="AC1282:AD1282"/>
    <mergeCell ref="AE1282:AE1283"/>
    <mergeCell ref="AC1283:AD1283"/>
    <mergeCell ref="AE1275:AE1276"/>
    <mergeCell ref="AC1277:AD1277"/>
    <mergeCell ref="AE1277:AE1278"/>
    <mergeCell ref="AC1278:AD1278"/>
    <mergeCell ref="AE1270:AE1271"/>
    <mergeCell ref="AC1272:AD1272"/>
    <mergeCell ref="AE1272:AE1273"/>
    <mergeCell ref="AC1273:AD1273"/>
    <mergeCell ref="AE1265:AE1266"/>
    <mergeCell ref="AC1267:AD1267"/>
    <mergeCell ref="AE1267:AE1268"/>
    <mergeCell ref="AC1268:AD1268"/>
    <mergeCell ref="AE1260:AE1261"/>
    <mergeCell ref="AC1262:AD1262"/>
    <mergeCell ref="AE1262:AE1263"/>
    <mergeCell ref="AC1263:AD1263"/>
    <mergeCell ref="AE1345:AE1346"/>
    <mergeCell ref="AC1347:AD1347"/>
    <mergeCell ref="AE1347:AE1348"/>
    <mergeCell ref="AC1348:AD1348"/>
    <mergeCell ref="AE1340:AE1341"/>
    <mergeCell ref="AC1342:AD1342"/>
    <mergeCell ref="AE1342:AE1343"/>
    <mergeCell ref="AC1343:AD1343"/>
    <mergeCell ref="AE1335:AE1336"/>
    <mergeCell ref="AC1337:AD1337"/>
    <mergeCell ref="AE1337:AE1338"/>
    <mergeCell ref="AC1338:AD1338"/>
    <mergeCell ref="AE1330:AE1331"/>
    <mergeCell ref="AC1332:AD1332"/>
    <mergeCell ref="AE1332:AE1333"/>
    <mergeCell ref="AC1333:AD1333"/>
    <mergeCell ref="AE1325:AE1326"/>
    <mergeCell ref="AC1327:AD1327"/>
    <mergeCell ref="AE1327:AE1328"/>
    <mergeCell ref="AC1328:AD1328"/>
    <mergeCell ref="AE1320:AE1321"/>
    <mergeCell ref="AC1322:AD1322"/>
    <mergeCell ref="AE1322:AE1323"/>
    <mergeCell ref="AC1323:AD1323"/>
    <mergeCell ref="AE1315:AE1316"/>
    <mergeCell ref="AC1317:AD1317"/>
    <mergeCell ref="AE1317:AE1318"/>
    <mergeCell ref="AC1318:AD1318"/>
    <mergeCell ref="AE1310:AE1311"/>
    <mergeCell ref="AC1312:AD1312"/>
    <mergeCell ref="AE1312:AE1313"/>
    <mergeCell ref="AC1313:AD1313"/>
    <mergeCell ref="AE1305:AE1306"/>
    <mergeCell ref="AC1307:AD1307"/>
    <mergeCell ref="AE1307:AE1308"/>
    <mergeCell ref="AC1308:AD1308"/>
    <mergeCell ref="AE1390:AE1391"/>
    <mergeCell ref="AC1392:AD1392"/>
    <mergeCell ref="AE1392:AE1393"/>
    <mergeCell ref="AC1393:AD1393"/>
    <mergeCell ref="AE1385:AE1386"/>
    <mergeCell ref="AC1387:AD1387"/>
    <mergeCell ref="AE1387:AE1388"/>
    <mergeCell ref="AC1388:AD1388"/>
    <mergeCell ref="AE1380:AE1381"/>
    <mergeCell ref="AC1382:AD1382"/>
    <mergeCell ref="AE1382:AE1383"/>
    <mergeCell ref="AC1383:AD1383"/>
    <mergeCell ref="AE1375:AE1376"/>
    <mergeCell ref="AC1377:AD1377"/>
    <mergeCell ref="AE1377:AE1378"/>
    <mergeCell ref="AC1378:AD1378"/>
    <mergeCell ref="AE1370:AE1371"/>
    <mergeCell ref="AC1372:AD1372"/>
    <mergeCell ref="AE1372:AE1373"/>
    <mergeCell ref="AC1373:AD1373"/>
    <mergeCell ref="AE1365:AE1366"/>
    <mergeCell ref="AC1367:AD1367"/>
    <mergeCell ref="AE1367:AE1368"/>
    <mergeCell ref="AC1368:AD1368"/>
    <mergeCell ref="AE1360:AE1361"/>
    <mergeCell ref="AC1362:AD1362"/>
    <mergeCell ref="AE1362:AE1363"/>
    <mergeCell ref="AC1363:AD1363"/>
    <mergeCell ref="AE1355:AE1356"/>
    <mergeCell ref="AC1357:AD1357"/>
    <mergeCell ref="AE1357:AE1358"/>
    <mergeCell ref="AC1358:AD1358"/>
    <mergeCell ref="AE1350:AE1351"/>
    <mergeCell ref="AC1352:AD1352"/>
    <mergeCell ref="AE1352:AE1353"/>
    <mergeCell ref="AC1353:AD1353"/>
    <mergeCell ref="AE1435:AE1436"/>
    <mergeCell ref="AC1437:AD1437"/>
    <mergeCell ref="AE1437:AE1438"/>
    <mergeCell ref="AC1438:AD1438"/>
    <mergeCell ref="AE1430:AE1431"/>
    <mergeCell ref="AC1432:AD1432"/>
    <mergeCell ref="AE1432:AE1433"/>
    <mergeCell ref="AC1433:AD1433"/>
    <mergeCell ref="AE1425:AE1426"/>
    <mergeCell ref="AC1427:AD1427"/>
    <mergeCell ref="AE1427:AE1428"/>
    <mergeCell ref="AC1428:AD1428"/>
    <mergeCell ref="AE1420:AE1421"/>
    <mergeCell ref="AC1422:AD1422"/>
    <mergeCell ref="AE1422:AE1423"/>
    <mergeCell ref="AC1423:AD1423"/>
    <mergeCell ref="AE1415:AE1416"/>
    <mergeCell ref="AC1417:AD1417"/>
    <mergeCell ref="AE1417:AE1418"/>
    <mergeCell ref="AC1418:AD1418"/>
    <mergeCell ref="AE1410:AE1411"/>
    <mergeCell ref="AC1412:AD1412"/>
    <mergeCell ref="AE1412:AE1413"/>
    <mergeCell ref="AC1413:AD1413"/>
    <mergeCell ref="AE1405:AE1406"/>
    <mergeCell ref="AC1407:AD1407"/>
    <mergeCell ref="AE1407:AE1408"/>
    <mergeCell ref="AC1408:AD1408"/>
    <mergeCell ref="AE1400:AE1401"/>
    <mergeCell ref="AC1402:AD1402"/>
    <mergeCell ref="AE1402:AE1403"/>
    <mergeCell ref="AC1403:AD1403"/>
    <mergeCell ref="AE1395:AE1396"/>
    <mergeCell ref="AC1397:AD1397"/>
    <mergeCell ref="AE1397:AE1398"/>
    <mergeCell ref="AC1398:AD1398"/>
    <mergeCell ref="AE1480:AE1481"/>
    <mergeCell ref="AC1482:AD1482"/>
    <mergeCell ref="AE1482:AE1483"/>
    <mergeCell ref="AC1483:AD1483"/>
    <mergeCell ref="AE1475:AE1476"/>
    <mergeCell ref="AC1477:AD1477"/>
    <mergeCell ref="AE1477:AE1478"/>
    <mergeCell ref="AC1478:AD1478"/>
    <mergeCell ref="AE1470:AE1471"/>
    <mergeCell ref="AC1472:AD1472"/>
    <mergeCell ref="AE1472:AE1473"/>
    <mergeCell ref="AC1473:AD1473"/>
    <mergeCell ref="AE1465:AE1466"/>
    <mergeCell ref="AC1467:AD1467"/>
    <mergeCell ref="AE1467:AE1468"/>
    <mergeCell ref="AC1468:AD1468"/>
    <mergeCell ref="AE1460:AE1461"/>
    <mergeCell ref="AC1462:AD1462"/>
    <mergeCell ref="AE1462:AE1463"/>
    <mergeCell ref="AC1463:AD1463"/>
    <mergeCell ref="AE1455:AE1456"/>
    <mergeCell ref="AC1457:AD1457"/>
    <mergeCell ref="AE1457:AE1458"/>
    <mergeCell ref="AC1458:AD1458"/>
    <mergeCell ref="AE1450:AE1451"/>
    <mergeCell ref="AC1452:AD1452"/>
    <mergeCell ref="AE1452:AE1453"/>
    <mergeCell ref="AC1453:AD1453"/>
    <mergeCell ref="AE1445:AE1446"/>
    <mergeCell ref="AC1447:AD1447"/>
    <mergeCell ref="AE1447:AE1448"/>
    <mergeCell ref="AC1448:AD1448"/>
    <mergeCell ref="AE1440:AE1441"/>
    <mergeCell ref="AC1442:AD1442"/>
    <mergeCell ref="AE1442:AE1443"/>
    <mergeCell ref="AC1443:AD1443"/>
    <mergeCell ref="AE1525:AE1526"/>
    <mergeCell ref="AC1527:AD1527"/>
    <mergeCell ref="AE1527:AE1528"/>
    <mergeCell ref="AC1528:AD1528"/>
    <mergeCell ref="AE1520:AE1521"/>
    <mergeCell ref="AC1522:AD1522"/>
    <mergeCell ref="AE1522:AE1523"/>
    <mergeCell ref="AC1523:AD1523"/>
    <mergeCell ref="AE1515:AE1516"/>
    <mergeCell ref="AC1517:AD1517"/>
    <mergeCell ref="AE1517:AE1518"/>
    <mergeCell ref="AC1518:AD1518"/>
    <mergeCell ref="AE1510:AE1511"/>
    <mergeCell ref="AC1512:AD1512"/>
    <mergeCell ref="AE1512:AE1513"/>
    <mergeCell ref="AC1513:AD1513"/>
    <mergeCell ref="AE1505:AE1506"/>
    <mergeCell ref="AC1507:AD1507"/>
    <mergeCell ref="AE1507:AE1508"/>
    <mergeCell ref="AC1508:AD1508"/>
    <mergeCell ref="AE1500:AE1501"/>
    <mergeCell ref="AC1502:AD1502"/>
    <mergeCell ref="AE1502:AE1503"/>
    <mergeCell ref="AC1503:AD1503"/>
    <mergeCell ref="AE1495:AE1496"/>
    <mergeCell ref="AC1497:AD1497"/>
    <mergeCell ref="AE1497:AE1498"/>
    <mergeCell ref="AC1498:AD1498"/>
    <mergeCell ref="AE1490:AE1491"/>
    <mergeCell ref="AC1492:AD1492"/>
    <mergeCell ref="AE1492:AE1493"/>
    <mergeCell ref="AC1493:AD1493"/>
    <mergeCell ref="AE1485:AE1486"/>
    <mergeCell ref="AC1487:AD1487"/>
    <mergeCell ref="AE1487:AE1488"/>
    <mergeCell ref="AC1488:AD1488"/>
    <mergeCell ref="AE1570:AE1571"/>
    <mergeCell ref="AC1572:AD1572"/>
    <mergeCell ref="AE1572:AE1573"/>
    <mergeCell ref="AC1573:AD1573"/>
    <mergeCell ref="AE1565:AE1566"/>
    <mergeCell ref="AC1567:AD1567"/>
    <mergeCell ref="AE1567:AE1568"/>
    <mergeCell ref="AC1568:AD1568"/>
    <mergeCell ref="AE1560:AE1561"/>
    <mergeCell ref="AC1562:AD1562"/>
    <mergeCell ref="AE1562:AE1563"/>
    <mergeCell ref="AC1563:AD1563"/>
    <mergeCell ref="AE1555:AE1556"/>
    <mergeCell ref="AC1557:AD1557"/>
    <mergeCell ref="AE1557:AE1558"/>
    <mergeCell ref="AC1558:AD1558"/>
    <mergeCell ref="AE1550:AE1551"/>
    <mergeCell ref="AC1552:AD1552"/>
    <mergeCell ref="AE1552:AE1553"/>
    <mergeCell ref="AC1553:AD1553"/>
    <mergeCell ref="AE1545:AE1546"/>
    <mergeCell ref="AC1547:AD1547"/>
    <mergeCell ref="AE1547:AE1548"/>
    <mergeCell ref="AC1548:AD1548"/>
    <mergeCell ref="AE1540:AE1541"/>
    <mergeCell ref="AC1542:AD1542"/>
    <mergeCell ref="AE1542:AE1543"/>
    <mergeCell ref="AC1543:AD1543"/>
    <mergeCell ref="AE1535:AE1536"/>
    <mergeCell ref="AC1537:AD1537"/>
    <mergeCell ref="AE1537:AE1538"/>
    <mergeCell ref="AC1538:AD1538"/>
    <mergeCell ref="AE1530:AE1531"/>
    <mergeCell ref="AC1532:AD1532"/>
    <mergeCell ref="AE1532:AE1533"/>
    <mergeCell ref="AC1533:AD1533"/>
    <mergeCell ref="AE1615:AE1616"/>
    <mergeCell ref="AC1617:AD1617"/>
    <mergeCell ref="AE1617:AE1618"/>
    <mergeCell ref="AC1618:AD1618"/>
    <mergeCell ref="AE1610:AE1611"/>
    <mergeCell ref="AC1612:AD1612"/>
    <mergeCell ref="AE1612:AE1613"/>
    <mergeCell ref="AC1613:AD1613"/>
    <mergeCell ref="AE1605:AE1606"/>
    <mergeCell ref="AC1607:AD1607"/>
    <mergeCell ref="AE1607:AE1608"/>
    <mergeCell ref="AC1608:AD1608"/>
    <mergeCell ref="AE1600:AE1601"/>
    <mergeCell ref="AC1602:AD1602"/>
    <mergeCell ref="AE1602:AE1603"/>
    <mergeCell ref="AC1603:AD1603"/>
    <mergeCell ref="AE1595:AE1596"/>
    <mergeCell ref="AC1597:AD1597"/>
    <mergeCell ref="AE1597:AE1598"/>
    <mergeCell ref="AC1598:AD1598"/>
    <mergeCell ref="AE1590:AE1591"/>
    <mergeCell ref="AC1592:AD1592"/>
    <mergeCell ref="AE1592:AE1593"/>
    <mergeCell ref="AC1593:AD1593"/>
    <mergeCell ref="AE1585:AE1586"/>
    <mergeCell ref="AC1587:AD1587"/>
    <mergeCell ref="AE1587:AE1588"/>
    <mergeCell ref="AC1588:AD1588"/>
    <mergeCell ref="AE1580:AE1581"/>
    <mergeCell ref="AC1582:AD1582"/>
    <mergeCell ref="AE1582:AE1583"/>
    <mergeCell ref="AC1583:AD1583"/>
    <mergeCell ref="AE1575:AE1576"/>
    <mergeCell ref="AC1577:AD1577"/>
    <mergeCell ref="AE1577:AE1578"/>
    <mergeCell ref="AC1578:AD1578"/>
    <mergeCell ref="AE1660:AE1661"/>
    <mergeCell ref="AC1662:AD1662"/>
    <mergeCell ref="AE1662:AE1663"/>
    <mergeCell ref="AC1663:AD1663"/>
    <mergeCell ref="AE1655:AE1656"/>
    <mergeCell ref="AC1657:AD1657"/>
    <mergeCell ref="AE1657:AE1658"/>
    <mergeCell ref="AC1658:AD1658"/>
    <mergeCell ref="AE1650:AE1651"/>
    <mergeCell ref="AC1652:AD1652"/>
    <mergeCell ref="AE1652:AE1653"/>
    <mergeCell ref="AC1653:AD1653"/>
    <mergeCell ref="AE1645:AE1646"/>
    <mergeCell ref="AC1647:AD1647"/>
    <mergeCell ref="AE1647:AE1648"/>
    <mergeCell ref="AC1648:AD1648"/>
    <mergeCell ref="AE1640:AE1641"/>
    <mergeCell ref="AC1642:AD1642"/>
    <mergeCell ref="AE1642:AE1643"/>
    <mergeCell ref="AC1643:AD1643"/>
    <mergeCell ref="AE1635:AE1636"/>
    <mergeCell ref="AC1637:AD1637"/>
    <mergeCell ref="AE1637:AE1638"/>
    <mergeCell ref="AC1638:AD1638"/>
    <mergeCell ref="AE1630:AE1631"/>
    <mergeCell ref="AC1632:AD1632"/>
    <mergeCell ref="AE1632:AE1633"/>
    <mergeCell ref="AC1633:AD1633"/>
    <mergeCell ref="AE1625:AE1626"/>
    <mergeCell ref="AC1627:AD1627"/>
    <mergeCell ref="AE1627:AE1628"/>
    <mergeCell ref="AC1628:AD1628"/>
    <mergeCell ref="AE1620:AE1621"/>
    <mergeCell ref="AC1622:AD1622"/>
    <mergeCell ref="AE1622:AE1623"/>
    <mergeCell ref="AC1623:AD1623"/>
    <mergeCell ref="AE1705:AE1706"/>
    <mergeCell ref="AC1707:AD1707"/>
    <mergeCell ref="AE1707:AE1708"/>
    <mergeCell ref="AC1708:AD1708"/>
    <mergeCell ref="AE1700:AE1701"/>
    <mergeCell ref="AC1702:AD1702"/>
    <mergeCell ref="AE1702:AE1703"/>
    <mergeCell ref="AC1703:AD1703"/>
    <mergeCell ref="AE1695:AE1696"/>
    <mergeCell ref="AC1697:AD1697"/>
    <mergeCell ref="AE1697:AE1698"/>
    <mergeCell ref="AC1698:AD1698"/>
    <mergeCell ref="AE1690:AE1691"/>
    <mergeCell ref="AC1692:AD1692"/>
    <mergeCell ref="AE1692:AE1693"/>
    <mergeCell ref="AC1693:AD1693"/>
    <mergeCell ref="AE1685:AE1686"/>
    <mergeCell ref="AC1687:AD1687"/>
    <mergeCell ref="AE1687:AE1688"/>
    <mergeCell ref="AC1688:AD1688"/>
    <mergeCell ref="AE1680:AE1681"/>
    <mergeCell ref="AC1682:AD1682"/>
    <mergeCell ref="AE1682:AE1683"/>
    <mergeCell ref="AC1683:AD1683"/>
    <mergeCell ref="AE1675:AE1676"/>
    <mergeCell ref="AC1677:AD1677"/>
    <mergeCell ref="AE1677:AE1678"/>
    <mergeCell ref="AC1678:AD1678"/>
    <mergeCell ref="AE1670:AE1671"/>
    <mergeCell ref="AC1672:AD1672"/>
    <mergeCell ref="AE1672:AE1673"/>
    <mergeCell ref="AC1673:AD1673"/>
    <mergeCell ref="AE1665:AE1666"/>
    <mergeCell ref="AC1667:AD1667"/>
    <mergeCell ref="AE1667:AE1668"/>
    <mergeCell ref="AC1668:AD1668"/>
    <mergeCell ref="AE1750:AE1751"/>
    <mergeCell ref="AC1752:AD1752"/>
    <mergeCell ref="AE1752:AE1753"/>
    <mergeCell ref="AC1753:AD1753"/>
    <mergeCell ref="AE1745:AE1746"/>
    <mergeCell ref="AC1747:AD1747"/>
    <mergeCell ref="AE1747:AE1748"/>
    <mergeCell ref="AC1748:AD1748"/>
    <mergeCell ref="AE1740:AE1741"/>
    <mergeCell ref="AC1742:AD1742"/>
    <mergeCell ref="AE1742:AE1743"/>
    <mergeCell ref="AC1743:AD1743"/>
    <mergeCell ref="AE1735:AE1736"/>
    <mergeCell ref="AC1737:AD1737"/>
    <mergeCell ref="AE1737:AE1738"/>
    <mergeCell ref="AC1738:AD1738"/>
    <mergeCell ref="AE1730:AE1731"/>
    <mergeCell ref="AC1732:AD1732"/>
    <mergeCell ref="AE1732:AE1733"/>
    <mergeCell ref="AC1733:AD1733"/>
    <mergeCell ref="AE1725:AE1726"/>
    <mergeCell ref="AC1727:AD1727"/>
    <mergeCell ref="AE1727:AE1728"/>
    <mergeCell ref="AC1728:AD1728"/>
    <mergeCell ref="AE1720:AE1721"/>
    <mergeCell ref="AC1722:AD1722"/>
    <mergeCell ref="AE1722:AE1723"/>
    <mergeCell ref="AC1723:AD1723"/>
    <mergeCell ref="AE1715:AE1716"/>
    <mergeCell ref="AC1717:AD1717"/>
    <mergeCell ref="AE1717:AE1718"/>
    <mergeCell ref="AC1718:AD1718"/>
    <mergeCell ref="AE1710:AE1711"/>
    <mergeCell ref="AC1712:AD1712"/>
    <mergeCell ref="AE1712:AE1713"/>
    <mergeCell ref="AC1713:AD1713"/>
    <mergeCell ref="AE1795:AE1796"/>
    <mergeCell ref="AC1797:AD1797"/>
    <mergeCell ref="AE1797:AE1798"/>
    <mergeCell ref="AC1798:AD1798"/>
    <mergeCell ref="AE1790:AE1791"/>
    <mergeCell ref="AC1792:AD1792"/>
    <mergeCell ref="AE1792:AE1793"/>
    <mergeCell ref="AC1793:AD1793"/>
    <mergeCell ref="AE1785:AE1786"/>
    <mergeCell ref="AC1787:AD1787"/>
    <mergeCell ref="AE1787:AE1788"/>
    <mergeCell ref="AC1788:AD1788"/>
    <mergeCell ref="AE1780:AE1781"/>
    <mergeCell ref="AC1782:AD1782"/>
    <mergeCell ref="AE1782:AE1783"/>
    <mergeCell ref="AC1783:AD1783"/>
    <mergeCell ref="AE1775:AE1776"/>
    <mergeCell ref="AC1777:AD1777"/>
    <mergeCell ref="AE1777:AE1778"/>
    <mergeCell ref="AC1778:AD1778"/>
    <mergeCell ref="AE1770:AE1771"/>
    <mergeCell ref="AC1772:AD1772"/>
    <mergeCell ref="AE1772:AE1773"/>
    <mergeCell ref="AC1773:AD1773"/>
    <mergeCell ref="AE1765:AE1766"/>
    <mergeCell ref="AC1767:AD1767"/>
    <mergeCell ref="AE1767:AE1768"/>
    <mergeCell ref="AC1768:AD1768"/>
    <mergeCell ref="AE1760:AE1761"/>
    <mergeCell ref="AC1762:AD1762"/>
    <mergeCell ref="AE1762:AE1763"/>
    <mergeCell ref="AC1763:AD1763"/>
    <mergeCell ref="AE1755:AE1756"/>
    <mergeCell ref="AC1757:AD1757"/>
    <mergeCell ref="AE1757:AE1758"/>
    <mergeCell ref="AC1758:AD1758"/>
    <mergeCell ref="AE1840:AE1841"/>
    <mergeCell ref="AC1842:AD1842"/>
    <mergeCell ref="AE1842:AE1843"/>
    <mergeCell ref="AC1843:AD1843"/>
    <mergeCell ref="AE1835:AE1836"/>
    <mergeCell ref="AC1837:AD1837"/>
    <mergeCell ref="AE1837:AE1838"/>
    <mergeCell ref="AC1838:AD1838"/>
    <mergeCell ref="AE1830:AE1831"/>
    <mergeCell ref="AC1832:AD1832"/>
    <mergeCell ref="AE1832:AE1833"/>
    <mergeCell ref="AC1833:AD1833"/>
    <mergeCell ref="AE1825:AE1826"/>
    <mergeCell ref="AC1827:AD1827"/>
    <mergeCell ref="AE1827:AE1828"/>
    <mergeCell ref="AC1828:AD1828"/>
    <mergeCell ref="AE1820:AE1821"/>
    <mergeCell ref="AC1822:AD1822"/>
    <mergeCell ref="AE1822:AE1823"/>
    <mergeCell ref="AC1823:AD1823"/>
    <mergeCell ref="AE1815:AE1816"/>
    <mergeCell ref="AC1817:AD1817"/>
    <mergeCell ref="AE1817:AE1818"/>
    <mergeCell ref="AC1818:AD1818"/>
    <mergeCell ref="AE1810:AE1811"/>
    <mergeCell ref="AC1812:AD1812"/>
    <mergeCell ref="AE1812:AE1813"/>
    <mergeCell ref="AC1813:AD1813"/>
    <mergeCell ref="AE1805:AE1806"/>
    <mergeCell ref="AC1807:AD1807"/>
    <mergeCell ref="AE1807:AE1808"/>
    <mergeCell ref="AC1808:AD1808"/>
    <mergeCell ref="AE1800:AE1801"/>
    <mergeCell ref="AC1802:AD1802"/>
    <mergeCell ref="AE1802:AE1803"/>
    <mergeCell ref="AC1803:AD1803"/>
    <mergeCell ref="AE1885:AE1886"/>
    <mergeCell ref="AC1887:AD1887"/>
    <mergeCell ref="AE1887:AE1888"/>
    <mergeCell ref="AC1888:AD1888"/>
    <mergeCell ref="AE1880:AE1881"/>
    <mergeCell ref="AC1882:AD1882"/>
    <mergeCell ref="AE1882:AE1883"/>
    <mergeCell ref="AC1883:AD1883"/>
    <mergeCell ref="AE1875:AE1876"/>
    <mergeCell ref="AC1877:AD1877"/>
    <mergeCell ref="AE1877:AE1878"/>
    <mergeCell ref="AC1878:AD1878"/>
    <mergeCell ref="AE1870:AE1871"/>
    <mergeCell ref="AC1872:AD1872"/>
    <mergeCell ref="AE1872:AE1873"/>
    <mergeCell ref="AC1873:AD1873"/>
    <mergeCell ref="AE1865:AE1866"/>
    <mergeCell ref="AC1867:AD1867"/>
    <mergeCell ref="AE1867:AE1868"/>
    <mergeCell ref="AC1868:AD1868"/>
    <mergeCell ref="AE1860:AE1861"/>
    <mergeCell ref="AC1862:AD1862"/>
    <mergeCell ref="AE1862:AE1863"/>
    <mergeCell ref="AC1863:AD1863"/>
    <mergeCell ref="AE1855:AE1856"/>
    <mergeCell ref="AC1857:AD1857"/>
    <mergeCell ref="AE1857:AE1858"/>
    <mergeCell ref="AC1858:AD1858"/>
    <mergeCell ref="AE1850:AE1851"/>
    <mergeCell ref="AC1852:AD1852"/>
    <mergeCell ref="AE1852:AE1853"/>
    <mergeCell ref="AC1853:AD1853"/>
    <mergeCell ref="AE1845:AE1846"/>
    <mergeCell ref="AC1847:AD1847"/>
    <mergeCell ref="AE1847:AE1848"/>
    <mergeCell ref="AC1848:AD1848"/>
    <mergeCell ref="AE1930:AE1931"/>
    <mergeCell ref="AC1932:AD1932"/>
    <mergeCell ref="AE1932:AE1933"/>
    <mergeCell ref="AC1933:AD1933"/>
    <mergeCell ref="AE1925:AE1926"/>
    <mergeCell ref="AC1927:AD1927"/>
    <mergeCell ref="AE1927:AE1928"/>
    <mergeCell ref="AC1928:AD1928"/>
    <mergeCell ref="AE1920:AE1921"/>
    <mergeCell ref="AC1922:AD1922"/>
    <mergeCell ref="AE1922:AE1923"/>
    <mergeCell ref="AC1923:AD1923"/>
    <mergeCell ref="AE1915:AE1916"/>
    <mergeCell ref="AC1917:AD1917"/>
    <mergeCell ref="AE1917:AE1918"/>
    <mergeCell ref="AC1918:AD1918"/>
    <mergeCell ref="AE1910:AE1911"/>
    <mergeCell ref="AC1912:AD1912"/>
    <mergeCell ref="AE1912:AE1913"/>
    <mergeCell ref="AC1913:AD1913"/>
    <mergeCell ref="AE1905:AE1906"/>
    <mergeCell ref="AC1907:AD1907"/>
    <mergeCell ref="AE1907:AE1908"/>
    <mergeCell ref="AC1908:AD1908"/>
    <mergeCell ref="AE1900:AE1901"/>
    <mergeCell ref="AC1902:AD1902"/>
    <mergeCell ref="AE1902:AE1903"/>
    <mergeCell ref="AC1903:AD1903"/>
    <mergeCell ref="AE1895:AE1896"/>
    <mergeCell ref="AC1897:AD1897"/>
    <mergeCell ref="AE1897:AE1898"/>
    <mergeCell ref="AC1898:AD1898"/>
    <mergeCell ref="AE1890:AE1891"/>
    <mergeCell ref="AC1892:AD1892"/>
    <mergeCell ref="AE1892:AE1893"/>
    <mergeCell ref="AC1893:AD1893"/>
    <mergeCell ref="AE1975:AE1976"/>
    <mergeCell ref="AC1977:AD1977"/>
    <mergeCell ref="AE1977:AE1978"/>
    <mergeCell ref="AC1978:AD1978"/>
    <mergeCell ref="AE1970:AE1971"/>
    <mergeCell ref="AC1972:AD1972"/>
    <mergeCell ref="AE1972:AE1973"/>
    <mergeCell ref="AC1973:AD1973"/>
    <mergeCell ref="AE1965:AE1966"/>
    <mergeCell ref="AC1967:AD1967"/>
    <mergeCell ref="AE1967:AE1968"/>
    <mergeCell ref="AC1968:AD1968"/>
    <mergeCell ref="AE1960:AE1961"/>
    <mergeCell ref="AC1962:AD1962"/>
    <mergeCell ref="AE1962:AE1963"/>
    <mergeCell ref="AC1963:AD1963"/>
    <mergeCell ref="AE1955:AE1956"/>
    <mergeCell ref="AC1957:AD1957"/>
    <mergeCell ref="AE1957:AE1958"/>
    <mergeCell ref="AC1958:AD1958"/>
    <mergeCell ref="AE1950:AE1951"/>
    <mergeCell ref="AC1952:AD1952"/>
    <mergeCell ref="AE1952:AE1953"/>
    <mergeCell ref="AC1953:AD1953"/>
    <mergeCell ref="AE1945:AE1946"/>
    <mergeCell ref="AC1947:AD1947"/>
    <mergeCell ref="AE1947:AE1948"/>
    <mergeCell ref="AC1948:AD1948"/>
    <mergeCell ref="AE1940:AE1941"/>
    <mergeCell ref="AC1942:AD1942"/>
    <mergeCell ref="AE1942:AE1943"/>
    <mergeCell ref="AC1943:AD1943"/>
    <mergeCell ref="AE1935:AE1936"/>
    <mergeCell ref="AC1937:AD1937"/>
    <mergeCell ref="AE1937:AE1938"/>
    <mergeCell ref="AC1938:AD1938"/>
    <mergeCell ref="AE2020:AE2021"/>
    <mergeCell ref="AC2022:AD2022"/>
    <mergeCell ref="AE2022:AE2023"/>
    <mergeCell ref="AC2023:AD2023"/>
    <mergeCell ref="AE2015:AE2016"/>
    <mergeCell ref="AC2017:AD2017"/>
    <mergeCell ref="AE2017:AE2018"/>
    <mergeCell ref="AC2018:AD2018"/>
    <mergeCell ref="AE2010:AE2011"/>
    <mergeCell ref="AC2012:AD2012"/>
    <mergeCell ref="AE2012:AE2013"/>
    <mergeCell ref="AC2013:AD2013"/>
    <mergeCell ref="AE2005:AE2006"/>
    <mergeCell ref="AC2007:AD2007"/>
    <mergeCell ref="AE2007:AE2008"/>
    <mergeCell ref="AC2008:AD2008"/>
    <mergeCell ref="AE2000:AE2001"/>
    <mergeCell ref="AC2002:AD2002"/>
    <mergeCell ref="AE2002:AE2003"/>
    <mergeCell ref="AC2003:AD2003"/>
    <mergeCell ref="AE1995:AE1996"/>
    <mergeCell ref="AC1997:AD1997"/>
    <mergeCell ref="AE1997:AE1998"/>
    <mergeCell ref="AC1998:AD1998"/>
    <mergeCell ref="AE1990:AE1991"/>
    <mergeCell ref="AC1992:AD1992"/>
    <mergeCell ref="AE1992:AE1993"/>
    <mergeCell ref="AC1993:AD1993"/>
    <mergeCell ref="AE1985:AE1986"/>
    <mergeCell ref="AC1987:AD1987"/>
    <mergeCell ref="AE1987:AE1988"/>
    <mergeCell ref="AC1988:AD1988"/>
    <mergeCell ref="AE1980:AE1981"/>
    <mergeCell ref="AC1982:AD1982"/>
    <mergeCell ref="AE1982:AE1983"/>
    <mergeCell ref="AC1983:AD1983"/>
    <mergeCell ref="AE2065:AE2066"/>
    <mergeCell ref="AC2067:AD2067"/>
    <mergeCell ref="AE2067:AE2068"/>
    <mergeCell ref="AC2068:AD2068"/>
    <mergeCell ref="AE2060:AE2061"/>
    <mergeCell ref="AC2062:AD2062"/>
    <mergeCell ref="AE2062:AE2063"/>
    <mergeCell ref="AC2063:AD2063"/>
    <mergeCell ref="AE2055:AE2056"/>
    <mergeCell ref="AC2057:AD2057"/>
    <mergeCell ref="AE2057:AE2058"/>
    <mergeCell ref="AC2058:AD2058"/>
    <mergeCell ref="AE2050:AE2051"/>
    <mergeCell ref="AC2052:AD2052"/>
    <mergeCell ref="AE2052:AE2053"/>
    <mergeCell ref="AC2053:AD2053"/>
    <mergeCell ref="AE2045:AE2046"/>
    <mergeCell ref="AC2047:AD2047"/>
    <mergeCell ref="AE2047:AE2048"/>
    <mergeCell ref="AC2048:AD2048"/>
    <mergeCell ref="AE2040:AE2041"/>
    <mergeCell ref="AC2042:AD2042"/>
    <mergeCell ref="AE2042:AE2043"/>
    <mergeCell ref="AC2043:AD2043"/>
    <mergeCell ref="AE2035:AE2036"/>
    <mergeCell ref="AC2037:AD2037"/>
    <mergeCell ref="AE2037:AE2038"/>
    <mergeCell ref="AC2038:AD2038"/>
    <mergeCell ref="AE2030:AE2031"/>
    <mergeCell ref="AC2032:AD2032"/>
    <mergeCell ref="AE2032:AE2033"/>
    <mergeCell ref="AC2033:AD2033"/>
    <mergeCell ref="AE2025:AE2026"/>
    <mergeCell ref="AC2027:AD2027"/>
    <mergeCell ref="AE2027:AE2028"/>
    <mergeCell ref="AC2028:AD2028"/>
    <mergeCell ref="AE2110:AE2111"/>
    <mergeCell ref="AC2112:AD2112"/>
    <mergeCell ref="AE2112:AE2113"/>
    <mergeCell ref="AC2113:AD2113"/>
    <mergeCell ref="AE2105:AE2106"/>
    <mergeCell ref="AC2107:AD2107"/>
    <mergeCell ref="AE2107:AE2108"/>
    <mergeCell ref="AC2108:AD2108"/>
    <mergeCell ref="AE2100:AE2101"/>
    <mergeCell ref="AC2102:AD2102"/>
    <mergeCell ref="AE2102:AE2103"/>
    <mergeCell ref="AC2103:AD2103"/>
    <mergeCell ref="AE2095:AE2096"/>
    <mergeCell ref="AC2097:AD2097"/>
    <mergeCell ref="AE2097:AE2098"/>
    <mergeCell ref="AC2098:AD2098"/>
    <mergeCell ref="AE2090:AE2091"/>
    <mergeCell ref="AC2092:AD2092"/>
    <mergeCell ref="AE2092:AE2093"/>
    <mergeCell ref="AC2093:AD2093"/>
    <mergeCell ref="AE2085:AE2086"/>
    <mergeCell ref="AC2087:AD2087"/>
    <mergeCell ref="AE2087:AE2088"/>
    <mergeCell ref="AC2088:AD2088"/>
    <mergeCell ref="AE2080:AE2081"/>
    <mergeCell ref="AC2082:AD2082"/>
    <mergeCell ref="AE2082:AE2083"/>
    <mergeCell ref="AC2083:AD2083"/>
    <mergeCell ref="AE2075:AE2076"/>
    <mergeCell ref="AC2077:AD2077"/>
    <mergeCell ref="AE2077:AE2078"/>
    <mergeCell ref="AC2078:AD2078"/>
    <mergeCell ref="AE2070:AE2071"/>
    <mergeCell ref="AC2072:AD2072"/>
    <mergeCell ref="AE2072:AE2073"/>
    <mergeCell ref="AC2073:AD2073"/>
    <mergeCell ref="AE2155:AE2156"/>
    <mergeCell ref="AC2157:AD2157"/>
    <mergeCell ref="AE2157:AE2158"/>
    <mergeCell ref="AC2158:AD2158"/>
    <mergeCell ref="AE2150:AE2151"/>
    <mergeCell ref="AC2152:AD2152"/>
    <mergeCell ref="AE2152:AE2153"/>
    <mergeCell ref="AC2153:AD2153"/>
    <mergeCell ref="AE2145:AE2146"/>
    <mergeCell ref="AC2147:AD2147"/>
    <mergeCell ref="AE2147:AE2148"/>
    <mergeCell ref="AC2148:AD2148"/>
    <mergeCell ref="AE2140:AE2141"/>
    <mergeCell ref="AC2142:AD2142"/>
    <mergeCell ref="AE2142:AE2143"/>
    <mergeCell ref="AC2143:AD2143"/>
    <mergeCell ref="AE2135:AE2136"/>
    <mergeCell ref="AC2137:AD2137"/>
    <mergeCell ref="AE2137:AE2138"/>
    <mergeCell ref="AC2138:AD2138"/>
    <mergeCell ref="AE2130:AE2131"/>
    <mergeCell ref="AC2132:AD2132"/>
    <mergeCell ref="AE2132:AE2133"/>
    <mergeCell ref="AC2133:AD2133"/>
    <mergeCell ref="AE2125:AE2126"/>
    <mergeCell ref="AC2127:AD2127"/>
    <mergeCell ref="AE2127:AE2128"/>
    <mergeCell ref="AC2128:AD2128"/>
    <mergeCell ref="AE2120:AE2121"/>
    <mergeCell ref="AC2122:AD2122"/>
    <mergeCell ref="AE2122:AE2123"/>
    <mergeCell ref="AC2123:AD2123"/>
    <mergeCell ref="AE2115:AE2116"/>
    <mergeCell ref="AC2117:AD2117"/>
    <mergeCell ref="AE2117:AE2118"/>
    <mergeCell ref="AC2118:AD2118"/>
    <mergeCell ref="AE2200:AE2201"/>
    <mergeCell ref="AC2202:AD2202"/>
    <mergeCell ref="AE2202:AE2203"/>
    <mergeCell ref="AC2203:AD2203"/>
    <mergeCell ref="AE2195:AE2196"/>
    <mergeCell ref="AC2197:AD2197"/>
    <mergeCell ref="AE2197:AE2198"/>
    <mergeCell ref="AC2198:AD2198"/>
    <mergeCell ref="AE2190:AE2191"/>
    <mergeCell ref="AC2192:AD2192"/>
    <mergeCell ref="AE2192:AE2193"/>
    <mergeCell ref="AC2193:AD2193"/>
    <mergeCell ref="AE2185:AE2186"/>
    <mergeCell ref="AC2187:AD2187"/>
    <mergeCell ref="AE2187:AE2188"/>
    <mergeCell ref="AC2188:AD2188"/>
    <mergeCell ref="AE2180:AE2181"/>
    <mergeCell ref="AC2182:AD2182"/>
    <mergeCell ref="AE2182:AE2183"/>
    <mergeCell ref="AC2183:AD2183"/>
    <mergeCell ref="AE2175:AE2176"/>
    <mergeCell ref="AC2177:AD2177"/>
    <mergeCell ref="AE2177:AE2178"/>
    <mergeCell ref="AC2178:AD2178"/>
    <mergeCell ref="AE2170:AE2171"/>
    <mergeCell ref="AC2172:AD2172"/>
    <mergeCell ref="AE2172:AE2173"/>
    <mergeCell ref="AC2173:AD2173"/>
    <mergeCell ref="AE2165:AE2166"/>
    <mergeCell ref="AC2167:AD2167"/>
    <mergeCell ref="AE2167:AE2168"/>
    <mergeCell ref="AC2168:AD2168"/>
    <mergeCell ref="AE2160:AE2161"/>
    <mergeCell ref="AC2162:AD2162"/>
    <mergeCell ref="AE2162:AE2163"/>
    <mergeCell ref="AC2163:AD2163"/>
    <mergeCell ref="AE2245:AE2246"/>
    <mergeCell ref="AC2247:AD2247"/>
    <mergeCell ref="AE2247:AE2248"/>
    <mergeCell ref="AC2248:AD2248"/>
    <mergeCell ref="AE2240:AE2241"/>
    <mergeCell ref="AC2242:AD2242"/>
    <mergeCell ref="AE2242:AE2243"/>
    <mergeCell ref="AC2243:AD2243"/>
    <mergeCell ref="AE2235:AE2236"/>
    <mergeCell ref="AC2237:AD2237"/>
    <mergeCell ref="AE2237:AE2238"/>
    <mergeCell ref="AC2238:AD2238"/>
    <mergeCell ref="AE2230:AE2231"/>
    <mergeCell ref="AC2232:AD2232"/>
    <mergeCell ref="AE2232:AE2233"/>
    <mergeCell ref="AC2233:AD2233"/>
    <mergeCell ref="AE2225:AE2226"/>
    <mergeCell ref="AC2227:AD2227"/>
    <mergeCell ref="AE2227:AE2228"/>
    <mergeCell ref="AC2228:AD2228"/>
    <mergeCell ref="AE2220:AE2221"/>
    <mergeCell ref="AC2222:AD2222"/>
    <mergeCell ref="AE2222:AE2223"/>
    <mergeCell ref="AC2223:AD2223"/>
    <mergeCell ref="AE2215:AE2216"/>
    <mergeCell ref="AC2217:AD2217"/>
    <mergeCell ref="AE2217:AE2218"/>
    <mergeCell ref="AC2218:AD2218"/>
    <mergeCell ref="AE2210:AE2211"/>
    <mergeCell ref="AC2212:AD2212"/>
    <mergeCell ref="AE2212:AE2213"/>
    <mergeCell ref="AC2213:AD2213"/>
    <mergeCell ref="AE2205:AE2206"/>
    <mergeCell ref="AC2207:AD2207"/>
    <mergeCell ref="AE2207:AE2208"/>
    <mergeCell ref="AC2208:AD2208"/>
    <mergeCell ref="AE2290:AE2291"/>
    <mergeCell ref="AC2292:AD2292"/>
    <mergeCell ref="AE2292:AE2293"/>
    <mergeCell ref="AC2293:AD2293"/>
    <mergeCell ref="AE2285:AE2286"/>
    <mergeCell ref="AC2287:AD2287"/>
    <mergeCell ref="AE2287:AE2288"/>
    <mergeCell ref="AC2288:AD2288"/>
    <mergeCell ref="AE2280:AE2281"/>
    <mergeCell ref="AC2282:AD2282"/>
    <mergeCell ref="AE2282:AE2283"/>
    <mergeCell ref="AC2283:AD2283"/>
    <mergeCell ref="AE2275:AE2276"/>
    <mergeCell ref="AC2277:AD2277"/>
    <mergeCell ref="AE2277:AE2278"/>
    <mergeCell ref="AC2278:AD2278"/>
    <mergeCell ref="AE2270:AE2271"/>
    <mergeCell ref="AC2272:AD2272"/>
    <mergeCell ref="AE2272:AE2273"/>
    <mergeCell ref="AC2273:AD2273"/>
    <mergeCell ref="AE2265:AE2266"/>
    <mergeCell ref="AC2267:AD2267"/>
    <mergeCell ref="AE2267:AE2268"/>
    <mergeCell ref="AC2268:AD2268"/>
    <mergeCell ref="AE2260:AE2261"/>
    <mergeCell ref="AC2262:AD2262"/>
    <mergeCell ref="AE2262:AE2263"/>
    <mergeCell ref="AC2263:AD2263"/>
    <mergeCell ref="AE2255:AE2256"/>
    <mergeCell ref="AC2257:AD2257"/>
    <mergeCell ref="AE2257:AE2258"/>
    <mergeCell ref="AC2258:AD2258"/>
    <mergeCell ref="AE2250:AE2251"/>
    <mergeCell ref="AC2252:AD2252"/>
    <mergeCell ref="AE2252:AE2253"/>
    <mergeCell ref="AC2253:AD2253"/>
    <mergeCell ref="AE2335:AE2336"/>
    <mergeCell ref="AC2337:AD2337"/>
    <mergeCell ref="AE2337:AE2338"/>
    <mergeCell ref="AC2338:AD2338"/>
    <mergeCell ref="AE2330:AE2331"/>
    <mergeCell ref="AC2332:AD2332"/>
    <mergeCell ref="AE2332:AE2333"/>
    <mergeCell ref="AC2333:AD2333"/>
    <mergeCell ref="AE2325:AE2326"/>
    <mergeCell ref="AC2327:AD2327"/>
    <mergeCell ref="AE2327:AE2328"/>
    <mergeCell ref="AC2328:AD2328"/>
    <mergeCell ref="AE2320:AE2321"/>
    <mergeCell ref="AC2322:AD2322"/>
    <mergeCell ref="AE2322:AE2323"/>
    <mergeCell ref="AC2323:AD2323"/>
    <mergeCell ref="AE2315:AE2316"/>
    <mergeCell ref="AC2317:AD2317"/>
    <mergeCell ref="AE2317:AE2318"/>
    <mergeCell ref="AC2318:AD2318"/>
    <mergeCell ref="AE2310:AE2311"/>
    <mergeCell ref="AC2312:AD2312"/>
    <mergeCell ref="AE2312:AE2313"/>
    <mergeCell ref="AC2313:AD2313"/>
    <mergeCell ref="AE2305:AE2306"/>
    <mergeCell ref="AC2307:AD2307"/>
    <mergeCell ref="AE2307:AE2308"/>
    <mergeCell ref="AC2308:AD2308"/>
    <mergeCell ref="AE2300:AE2301"/>
    <mergeCell ref="AC2302:AD2302"/>
    <mergeCell ref="AE2302:AE2303"/>
    <mergeCell ref="AC2303:AD2303"/>
    <mergeCell ref="AE2295:AE2296"/>
    <mergeCell ref="AC2297:AD2297"/>
    <mergeCell ref="AE2297:AE2298"/>
    <mergeCell ref="AC2298:AD2298"/>
    <mergeCell ref="AE2380:AE2381"/>
    <mergeCell ref="AC2382:AD2382"/>
    <mergeCell ref="AE2382:AE2383"/>
    <mergeCell ref="AC2383:AD2383"/>
    <mergeCell ref="AE2375:AE2376"/>
    <mergeCell ref="AC2377:AD2377"/>
    <mergeCell ref="AE2377:AE2378"/>
    <mergeCell ref="AC2378:AD2378"/>
    <mergeCell ref="AE2370:AE2371"/>
    <mergeCell ref="AC2372:AD2372"/>
    <mergeCell ref="AE2372:AE2373"/>
    <mergeCell ref="AC2373:AD2373"/>
    <mergeCell ref="AE2365:AE2366"/>
    <mergeCell ref="AC2367:AD2367"/>
    <mergeCell ref="AE2367:AE2368"/>
    <mergeCell ref="AC2368:AD2368"/>
    <mergeCell ref="AE2360:AE2361"/>
    <mergeCell ref="AC2362:AD2362"/>
    <mergeCell ref="AE2362:AE2363"/>
    <mergeCell ref="AC2363:AD2363"/>
    <mergeCell ref="AE2355:AE2356"/>
    <mergeCell ref="AC2357:AD2357"/>
    <mergeCell ref="AE2357:AE2358"/>
    <mergeCell ref="AC2358:AD2358"/>
    <mergeCell ref="AE2350:AE2351"/>
    <mergeCell ref="AC2352:AD2352"/>
    <mergeCell ref="AE2352:AE2353"/>
    <mergeCell ref="AC2353:AD2353"/>
    <mergeCell ref="AE2345:AE2346"/>
    <mergeCell ref="AC2347:AD2347"/>
    <mergeCell ref="AE2347:AE2348"/>
    <mergeCell ref="AC2348:AD2348"/>
    <mergeCell ref="AE2340:AE2341"/>
    <mergeCell ref="AC2342:AD2342"/>
    <mergeCell ref="AE2342:AE2343"/>
    <mergeCell ref="AC2343:AD2343"/>
    <mergeCell ref="AE2425:AE2426"/>
    <mergeCell ref="AC2427:AD2427"/>
    <mergeCell ref="AE2427:AE2428"/>
    <mergeCell ref="AC2428:AD2428"/>
    <mergeCell ref="AE2420:AE2421"/>
    <mergeCell ref="AC2422:AD2422"/>
    <mergeCell ref="AE2422:AE2423"/>
    <mergeCell ref="AC2423:AD2423"/>
    <mergeCell ref="AE2415:AE2416"/>
    <mergeCell ref="AC2417:AD2417"/>
    <mergeCell ref="AE2417:AE2418"/>
    <mergeCell ref="AC2418:AD2418"/>
    <mergeCell ref="AE2410:AE2411"/>
    <mergeCell ref="AC2412:AD2412"/>
    <mergeCell ref="AE2412:AE2413"/>
    <mergeCell ref="AC2413:AD2413"/>
    <mergeCell ref="AE2405:AE2406"/>
    <mergeCell ref="AC2407:AD2407"/>
    <mergeCell ref="AE2407:AE2408"/>
    <mergeCell ref="AC2408:AD2408"/>
    <mergeCell ref="AE2400:AE2401"/>
    <mergeCell ref="AC2402:AD2402"/>
    <mergeCell ref="AE2402:AE2403"/>
    <mergeCell ref="AC2403:AD2403"/>
    <mergeCell ref="AE2395:AE2396"/>
    <mergeCell ref="AC2397:AD2397"/>
    <mergeCell ref="AE2397:AE2398"/>
    <mergeCell ref="AC2398:AD2398"/>
    <mergeCell ref="AE2390:AE2391"/>
    <mergeCell ref="AC2392:AD2392"/>
    <mergeCell ref="AE2392:AE2393"/>
    <mergeCell ref="AC2393:AD2393"/>
    <mergeCell ref="AE2385:AE2386"/>
    <mergeCell ref="AC2387:AD2387"/>
    <mergeCell ref="AE2387:AE2388"/>
    <mergeCell ref="AC2388:AD2388"/>
    <mergeCell ref="AE2470:AE2471"/>
    <mergeCell ref="AC2472:AD2472"/>
    <mergeCell ref="AE2472:AE2473"/>
    <mergeCell ref="AC2473:AD2473"/>
    <mergeCell ref="AE2465:AE2466"/>
    <mergeCell ref="AC2467:AD2467"/>
    <mergeCell ref="AE2467:AE2468"/>
    <mergeCell ref="AC2468:AD2468"/>
    <mergeCell ref="AE2460:AE2461"/>
    <mergeCell ref="AC2462:AD2462"/>
    <mergeCell ref="AE2462:AE2463"/>
    <mergeCell ref="AC2463:AD2463"/>
    <mergeCell ref="AE2455:AE2456"/>
    <mergeCell ref="AC2457:AD2457"/>
    <mergeCell ref="AE2457:AE2458"/>
    <mergeCell ref="AC2458:AD2458"/>
    <mergeCell ref="AE2450:AE2451"/>
    <mergeCell ref="AC2452:AD2452"/>
    <mergeCell ref="AE2452:AE2453"/>
    <mergeCell ref="AC2453:AD2453"/>
    <mergeCell ref="AE2445:AE2446"/>
    <mergeCell ref="AC2447:AD2447"/>
    <mergeCell ref="AE2447:AE2448"/>
    <mergeCell ref="AC2448:AD2448"/>
    <mergeCell ref="AE2440:AE2441"/>
    <mergeCell ref="AC2442:AD2442"/>
    <mergeCell ref="AE2442:AE2443"/>
    <mergeCell ref="AC2443:AD2443"/>
    <mergeCell ref="AE2435:AE2436"/>
    <mergeCell ref="AC2437:AD2437"/>
    <mergeCell ref="AE2437:AE2438"/>
    <mergeCell ref="AC2438:AD2438"/>
    <mergeCell ref="AE2430:AE2431"/>
    <mergeCell ref="AC2432:AD2432"/>
    <mergeCell ref="AE2432:AE2433"/>
    <mergeCell ref="AC2433:AD2433"/>
    <mergeCell ref="AE2515:AE2516"/>
    <mergeCell ref="AC2517:AD2517"/>
    <mergeCell ref="AE2517:AE2518"/>
    <mergeCell ref="AC2518:AD2518"/>
    <mergeCell ref="AE2510:AE2511"/>
    <mergeCell ref="AC2512:AD2512"/>
    <mergeCell ref="AE2512:AE2513"/>
    <mergeCell ref="AC2513:AD2513"/>
    <mergeCell ref="AE2505:AE2506"/>
    <mergeCell ref="AC2507:AD2507"/>
    <mergeCell ref="AE2507:AE2508"/>
    <mergeCell ref="AC2508:AD2508"/>
    <mergeCell ref="AE2500:AE2501"/>
    <mergeCell ref="AC2502:AD2502"/>
    <mergeCell ref="AE2502:AE2503"/>
    <mergeCell ref="AC2503:AD2503"/>
    <mergeCell ref="AE2495:AE2496"/>
    <mergeCell ref="AC2497:AD2497"/>
    <mergeCell ref="AE2497:AE2498"/>
    <mergeCell ref="AC2498:AD2498"/>
    <mergeCell ref="AE2490:AE2491"/>
    <mergeCell ref="AC2492:AD2492"/>
    <mergeCell ref="AE2492:AE2493"/>
    <mergeCell ref="AC2493:AD2493"/>
    <mergeCell ref="AE2485:AE2486"/>
    <mergeCell ref="AC2487:AD2487"/>
    <mergeCell ref="AE2487:AE2488"/>
    <mergeCell ref="AC2488:AD2488"/>
    <mergeCell ref="AE2480:AE2481"/>
    <mergeCell ref="AC2482:AD2482"/>
    <mergeCell ref="AE2482:AE2483"/>
    <mergeCell ref="AC2483:AD2483"/>
    <mergeCell ref="AE2475:AE2476"/>
    <mergeCell ref="AC2477:AD2477"/>
    <mergeCell ref="AE2477:AE2478"/>
    <mergeCell ref="AC2478:AD2478"/>
    <mergeCell ref="C1080:C1083"/>
    <mergeCell ref="D1080:F1081"/>
    <mergeCell ref="G1080:G1081"/>
    <mergeCell ref="C1085:C1088"/>
    <mergeCell ref="D1085:F1086"/>
    <mergeCell ref="G1085:G1086"/>
    <mergeCell ref="C1070:C1073"/>
    <mergeCell ref="D1070:F1071"/>
    <mergeCell ref="G1070:G1071"/>
    <mergeCell ref="C1075:C1078"/>
    <mergeCell ref="D1075:F1076"/>
    <mergeCell ref="G1075:G1076"/>
    <mergeCell ref="C1060:C1063"/>
    <mergeCell ref="D1060:F1061"/>
    <mergeCell ref="G1060:G1061"/>
    <mergeCell ref="C1065:C1068"/>
    <mergeCell ref="D1065:F1066"/>
    <mergeCell ref="G1065:G1066"/>
    <mergeCell ref="C1050:C1053"/>
    <mergeCell ref="D1050:F1051"/>
    <mergeCell ref="G1050:G1051"/>
    <mergeCell ref="C1055:C1058"/>
    <mergeCell ref="D1055:F1056"/>
    <mergeCell ref="G1055:G1056"/>
    <mergeCell ref="C1040:C1043"/>
    <mergeCell ref="D1040:F1041"/>
    <mergeCell ref="G1040:G1041"/>
    <mergeCell ref="C1045:C1048"/>
    <mergeCell ref="D1045:F1046"/>
    <mergeCell ref="G1045:G1046"/>
    <mergeCell ref="C1030:C1033"/>
    <mergeCell ref="D1030:F1031"/>
    <mergeCell ref="G1030:G1031"/>
    <mergeCell ref="C1035:C1038"/>
    <mergeCell ref="D1035:F1036"/>
    <mergeCell ref="G1035:G1036"/>
    <mergeCell ref="E1087:F1087"/>
    <mergeCell ref="G1087:G1088"/>
    <mergeCell ref="E1088:F1088"/>
    <mergeCell ref="E1082:F1082"/>
    <mergeCell ref="G1082:G1083"/>
    <mergeCell ref="E1083:F1083"/>
    <mergeCell ref="E1077:F1077"/>
    <mergeCell ref="G1077:G1078"/>
    <mergeCell ref="E1078:F1078"/>
    <mergeCell ref="E1072:F1072"/>
    <mergeCell ref="G1072:G1073"/>
    <mergeCell ref="E1073:F1073"/>
    <mergeCell ref="E1067:F1067"/>
    <mergeCell ref="G1067:G1068"/>
    <mergeCell ref="E1068:F1068"/>
    <mergeCell ref="E1062:F1062"/>
    <mergeCell ref="G1062:G1063"/>
    <mergeCell ref="E1063:F1063"/>
    <mergeCell ref="E1057:F1057"/>
    <mergeCell ref="G1057:G1058"/>
    <mergeCell ref="E1058:F1058"/>
    <mergeCell ref="E1052:F1052"/>
    <mergeCell ref="G1052:G1053"/>
    <mergeCell ref="E1053:F1053"/>
    <mergeCell ref="E1047:F1047"/>
    <mergeCell ref="G1047:G1048"/>
    <mergeCell ref="E1048:F1048"/>
    <mergeCell ref="E1042:F1042"/>
    <mergeCell ref="C1140:C1143"/>
    <mergeCell ref="D1140:F1141"/>
    <mergeCell ref="G1140:G1141"/>
    <mergeCell ref="C1145:C1148"/>
    <mergeCell ref="D1145:F1146"/>
    <mergeCell ref="G1145:G1146"/>
    <mergeCell ref="C1130:C1133"/>
    <mergeCell ref="D1130:F1131"/>
    <mergeCell ref="G1130:G1131"/>
    <mergeCell ref="C1135:C1138"/>
    <mergeCell ref="D1135:F1136"/>
    <mergeCell ref="G1135:G1136"/>
    <mergeCell ref="C1120:C1123"/>
    <mergeCell ref="D1120:F1121"/>
    <mergeCell ref="G1120:G1121"/>
    <mergeCell ref="C1125:C1128"/>
    <mergeCell ref="D1125:F1126"/>
    <mergeCell ref="G1125:G1126"/>
    <mergeCell ref="C1110:C1113"/>
    <mergeCell ref="D1110:F1111"/>
    <mergeCell ref="G1110:G1111"/>
    <mergeCell ref="C1115:C1118"/>
    <mergeCell ref="D1115:F1116"/>
    <mergeCell ref="G1115:G1116"/>
    <mergeCell ref="C1100:C1103"/>
    <mergeCell ref="D1100:F1101"/>
    <mergeCell ref="G1100:G1101"/>
    <mergeCell ref="C1105:C1108"/>
    <mergeCell ref="D1105:F1106"/>
    <mergeCell ref="G1105:G1106"/>
    <mergeCell ref="C1090:C1093"/>
    <mergeCell ref="D1090:F1091"/>
    <mergeCell ref="G1090:G1091"/>
    <mergeCell ref="C1095:C1098"/>
    <mergeCell ref="D1095:F1096"/>
    <mergeCell ref="G1095:G1096"/>
    <mergeCell ref="E1102:F1102"/>
    <mergeCell ref="G1102:G1103"/>
    <mergeCell ref="E1103:F1103"/>
    <mergeCell ref="E1097:F1097"/>
    <mergeCell ref="G1097:G1098"/>
    <mergeCell ref="E1098:F1098"/>
    <mergeCell ref="E1092:F1092"/>
    <mergeCell ref="G1092:G1093"/>
    <mergeCell ref="E1093:F1093"/>
    <mergeCell ref="C1200:C1203"/>
    <mergeCell ref="D1200:F1201"/>
    <mergeCell ref="G1200:G1201"/>
    <mergeCell ref="C1205:C1208"/>
    <mergeCell ref="D1205:F1206"/>
    <mergeCell ref="G1205:G1206"/>
    <mergeCell ref="C1190:C1193"/>
    <mergeCell ref="D1190:F1191"/>
    <mergeCell ref="G1190:G1191"/>
    <mergeCell ref="C1195:C1198"/>
    <mergeCell ref="D1195:F1196"/>
    <mergeCell ref="G1195:G1196"/>
    <mergeCell ref="C1180:C1183"/>
    <mergeCell ref="D1180:F1181"/>
    <mergeCell ref="G1180:G1181"/>
    <mergeCell ref="C1185:C1188"/>
    <mergeCell ref="D1185:F1186"/>
    <mergeCell ref="G1185:G1186"/>
    <mergeCell ref="C1170:C1173"/>
    <mergeCell ref="D1170:F1171"/>
    <mergeCell ref="G1170:G1171"/>
    <mergeCell ref="C1175:C1178"/>
    <mergeCell ref="D1175:F1176"/>
    <mergeCell ref="G1175:G1176"/>
    <mergeCell ref="C1160:C1163"/>
    <mergeCell ref="D1160:F1161"/>
    <mergeCell ref="G1160:G1161"/>
    <mergeCell ref="C1165:C1168"/>
    <mergeCell ref="D1165:F1166"/>
    <mergeCell ref="G1165:G1166"/>
    <mergeCell ref="C1150:C1153"/>
    <mergeCell ref="D1150:F1151"/>
    <mergeCell ref="G1150:G1151"/>
    <mergeCell ref="C1155:C1158"/>
    <mergeCell ref="D1155:F1156"/>
    <mergeCell ref="G1155:G1156"/>
    <mergeCell ref="E1207:F1207"/>
    <mergeCell ref="G1207:G1208"/>
    <mergeCell ref="E1208:F1208"/>
    <mergeCell ref="E1202:F1202"/>
    <mergeCell ref="G1202:G1203"/>
    <mergeCell ref="E1203:F1203"/>
    <mergeCell ref="E1197:F1197"/>
    <mergeCell ref="G1197:G1198"/>
    <mergeCell ref="E1198:F1198"/>
    <mergeCell ref="E1192:F1192"/>
    <mergeCell ref="G1192:G1193"/>
    <mergeCell ref="E1193:F1193"/>
    <mergeCell ref="E1187:F1187"/>
    <mergeCell ref="G1187:G1188"/>
    <mergeCell ref="E1188:F1188"/>
    <mergeCell ref="E1182:F1182"/>
    <mergeCell ref="G1182:G1183"/>
    <mergeCell ref="E1183:F1183"/>
    <mergeCell ref="E1177:F1177"/>
    <mergeCell ref="G1177:G1178"/>
    <mergeCell ref="E1178:F1178"/>
    <mergeCell ref="E1172:F1172"/>
    <mergeCell ref="G1172:G1173"/>
    <mergeCell ref="E1173:F1173"/>
    <mergeCell ref="E1167:F1167"/>
    <mergeCell ref="G1167:G1168"/>
    <mergeCell ref="E1168:F1168"/>
    <mergeCell ref="E1162:F1162"/>
    <mergeCell ref="C1260:C1263"/>
    <mergeCell ref="D1260:F1261"/>
    <mergeCell ref="G1260:G1261"/>
    <mergeCell ref="C1265:C1268"/>
    <mergeCell ref="D1265:F1266"/>
    <mergeCell ref="G1265:G1266"/>
    <mergeCell ref="C1250:C1253"/>
    <mergeCell ref="D1250:F1251"/>
    <mergeCell ref="G1250:G1251"/>
    <mergeCell ref="C1255:C1258"/>
    <mergeCell ref="D1255:F1256"/>
    <mergeCell ref="G1255:G1256"/>
    <mergeCell ref="C1240:C1243"/>
    <mergeCell ref="D1240:F1241"/>
    <mergeCell ref="G1240:G1241"/>
    <mergeCell ref="C1245:C1248"/>
    <mergeCell ref="D1245:F1246"/>
    <mergeCell ref="G1245:G1246"/>
    <mergeCell ref="C1230:C1233"/>
    <mergeCell ref="D1230:F1231"/>
    <mergeCell ref="G1230:G1231"/>
    <mergeCell ref="C1235:C1238"/>
    <mergeCell ref="D1235:F1236"/>
    <mergeCell ref="G1235:G1236"/>
    <mergeCell ref="C1220:C1223"/>
    <mergeCell ref="D1220:F1221"/>
    <mergeCell ref="G1220:G1221"/>
    <mergeCell ref="C1225:C1228"/>
    <mergeCell ref="D1225:F1226"/>
    <mergeCell ref="G1225:G1226"/>
    <mergeCell ref="C1210:C1213"/>
    <mergeCell ref="D1210:F1211"/>
    <mergeCell ref="G1210:G1211"/>
    <mergeCell ref="C1215:C1218"/>
    <mergeCell ref="D1215:F1216"/>
    <mergeCell ref="G1215:G1216"/>
    <mergeCell ref="E1222:F1222"/>
    <mergeCell ref="G1222:G1223"/>
    <mergeCell ref="E1223:F1223"/>
    <mergeCell ref="E1217:F1217"/>
    <mergeCell ref="G1217:G1218"/>
    <mergeCell ref="E1218:F1218"/>
    <mergeCell ref="E1212:F1212"/>
    <mergeCell ref="G1212:G1213"/>
    <mergeCell ref="E1213:F1213"/>
    <mergeCell ref="C1320:C1323"/>
    <mergeCell ref="D1320:F1321"/>
    <mergeCell ref="G1320:G1321"/>
    <mergeCell ref="C1325:C1328"/>
    <mergeCell ref="D1325:F1326"/>
    <mergeCell ref="G1325:G1326"/>
    <mergeCell ref="C1310:C1313"/>
    <mergeCell ref="D1310:F1311"/>
    <mergeCell ref="G1310:G1311"/>
    <mergeCell ref="C1315:C1318"/>
    <mergeCell ref="D1315:F1316"/>
    <mergeCell ref="G1315:G1316"/>
    <mergeCell ref="C1300:C1303"/>
    <mergeCell ref="D1300:F1301"/>
    <mergeCell ref="G1300:G1301"/>
    <mergeCell ref="C1305:C1308"/>
    <mergeCell ref="D1305:F1306"/>
    <mergeCell ref="G1305:G1306"/>
    <mergeCell ref="C1290:C1293"/>
    <mergeCell ref="D1290:F1291"/>
    <mergeCell ref="G1290:G1291"/>
    <mergeCell ref="C1295:C1298"/>
    <mergeCell ref="D1295:F1296"/>
    <mergeCell ref="G1295:G1296"/>
    <mergeCell ref="C1280:C1283"/>
    <mergeCell ref="D1280:F1281"/>
    <mergeCell ref="G1280:G1281"/>
    <mergeCell ref="C1285:C1288"/>
    <mergeCell ref="D1285:F1286"/>
    <mergeCell ref="G1285:G1286"/>
    <mergeCell ref="C1270:C1273"/>
    <mergeCell ref="D1270:F1271"/>
    <mergeCell ref="G1270:G1271"/>
    <mergeCell ref="C1275:C1278"/>
    <mergeCell ref="D1275:F1276"/>
    <mergeCell ref="G1275:G1276"/>
    <mergeCell ref="E1327:F1327"/>
    <mergeCell ref="G1327:G1328"/>
    <mergeCell ref="E1328:F1328"/>
    <mergeCell ref="E1322:F1322"/>
    <mergeCell ref="G1322:G1323"/>
    <mergeCell ref="E1323:F1323"/>
    <mergeCell ref="E1317:F1317"/>
    <mergeCell ref="G1317:G1318"/>
    <mergeCell ref="E1318:F1318"/>
    <mergeCell ref="E1312:F1312"/>
    <mergeCell ref="G1312:G1313"/>
    <mergeCell ref="E1313:F1313"/>
    <mergeCell ref="E1307:F1307"/>
    <mergeCell ref="G1307:G1308"/>
    <mergeCell ref="E1308:F1308"/>
    <mergeCell ref="E1302:F1302"/>
    <mergeCell ref="G1302:G1303"/>
    <mergeCell ref="E1303:F1303"/>
    <mergeCell ref="E1297:F1297"/>
    <mergeCell ref="G1297:G1298"/>
    <mergeCell ref="E1298:F1298"/>
    <mergeCell ref="E1292:F1292"/>
    <mergeCell ref="G1292:G1293"/>
    <mergeCell ref="E1293:F1293"/>
    <mergeCell ref="E1287:F1287"/>
    <mergeCell ref="G1287:G1288"/>
    <mergeCell ref="E1288:F1288"/>
    <mergeCell ref="E1282:F1282"/>
    <mergeCell ref="C1380:C1383"/>
    <mergeCell ref="D1380:F1381"/>
    <mergeCell ref="G1380:G1381"/>
    <mergeCell ref="C1385:C1388"/>
    <mergeCell ref="D1385:F1386"/>
    <mergeCell ref="G1385:G1386"/>
    <mergeCell ref="C1370:C1373"/>
    <mergeCell ref="D1370:F1371"/>
    <mergeCell ref="G1370:G1371"/>
    <mergeCell ref="C1375:C1378"/>
    <mergeCell ref="D1375:F1376"/>
    <mergeCell ref="G1375:G1376"/>
    <mergeCell ref="C1360:C1363"/>
    <mergeCell ref="D1360:F1361"/>
    <mergeCell ref="G1360:G1361"/>
    <mergeCell ref="C1365:C1368"/>
    <mergeCell ref="D1365:F1366"/>
    <mergeCell ref="G1365:G1366"/>
    <mergeCell ref="C1350:C1353"/>
    <mergeCell ref="D1350:F1351"/>
    <mergeCell ref="G1350:G1351"/>
    <mergeCell ref="C1355:C1358"/>
    <mergeCell ref="D1355:F1356"/>
    <mergeCell ref="G1355:G1356"/>
    <mergeCell ref="C1340:C1343"/>
    <mergeCell ref="D1340:F1341"/>
    <mergeCell ref="G1340:G1341"/>
    <mergeCell ref="C1345:C1348"/>
    <mergeCell ref="D1345:F1346"/>
    <mergeCell ref="G1345:G1346"/>
    <mergeCell ref="C1330:C1333"/>
    <mergeCell ref="D1330:F1331"/>
    <mergeCell ref="G1330:G1331"/>
    <mergeCell ref="C1335:C1338"/>
    <mergeCell ref="D1335:F1336"/>
    <mergeCell ref="G1335:G1336"/>
    <mergeCell ref="E1342:F1342"/>
    <mergeCell ref="G1342:G1343"/>
    <mergeCell ref="E1343:F1343"/>
    <mergeCell ref="E1337:F1337"/>
    <mergeCell ref="G1337:G1338"/>
    <mergeCell ref="E1338:F1338"/>
    <mergeCell ref="E1332:F1332"/>
    <mergeCell ref="G1332:G1333"/>
    <mergeCell ref="E1333:F1333"/>
    <mergeCell ref="C1440:C1443"/>
    <mergeCell ref="D1440:F1441"/>
    <mergeCell ref="G1440:G1441"/>
    <mergeCell ref="C1445:C1448"/>
    <mergeCell ref="D1445:F1446"/>
    <mergeCell ref="G1445:G1446"/>
    <mergeCell ref="C1430:C1433"/>
    <mergeCell ref="D1430:F1431"/>
    <mergeCell ref="G1430:G1431"/>
    <mergeCell ref="C1435:C1438"/>
    <mergeCell ref="D1435:F1436"/>
    <mergeCell ref="G1435:G1436"/>
    <mergeCell ref="C1420:C1423"/>
    <mergeCell ref="D1420:F1421"/>
    <mergeCell ref="G1420:G1421"/>
    <mergeCell ref="C1425:C1428"/>
    <mergeCell ref="D1425:F1426"/>
    <mergeCell ref="G1425:G1426"/>
    <mergeCell ref="C1410:C1413"/>
    <mergeCell ref="D1410:F1411"/>
    <mergeCell ref="G1410:G1411"/>
    <mergeCell ref="C1415:C1418"/>
    <mergeCell ref="D1415:F1416"/>
    <mergeCell ref="G1415:G1416"/>
    <mergeCell ref="C1400:C1403"/>
    <mergeCell ref="D1400:F1401"/>
    <mergeCell ref="G1400:G1401"/>
    <mergeCell ref="C1405:C1408"/>
    <mergeCell ref="D1405:F1406"/>
    <mergeCell ref="G1405:G1406"/>
    <mergeCell ref="C1390:C1393"/>
    <mergeCell ref="D1390:F1391"/>
    <mergeCell ref="G1390:G1391"/>
    <mergeCell ref="C1395:C1398"/>
    <mergeCell ref="D1395:F1396"/>
    <mergeCell ref="G1395:G1396"/>
    <mergeCell ref="E1447:F1447"/>
    <mergeCell ref="G1447:G1448"/>
    <mergeCell ref="E1448:F1448"/>
    <mergeCell ref="E1442:F1442"/>
    <mergeCell ref="G1442:G1443"/>
    <mergeCell ref="E1443:F1443"/>
    <mergeCell ref="E1437:F1437"/>
    <mergeCell ref="G1437:G1438"/>
    <mergeCell ref="E1438:F1438"/>
    <mergeCell ref="E1432:F1432"/>
    <mergeCell ref="G1432:G1433"/>
    <mergeCell ref="E1433:F1433"/>
    <mergeCell ref="E1427:F1427"/>
    <mergeCell ref="G1427:G1428"/>
    <mergeCell ref="E1428:F1428"/>
    <mergeCell ref="E1422:F1422"/>
    <mergeCell ref="G1422:G1423"/>
    <mergeCell ref="E1423:F1423"/>
    <mergeCell ref="E1417:F1417"/>
    <mergeCell ref="G1417:G1418"/>
    <mergeCell ref="E1418:F1418"/>
    <mergeCell ref="E1412:F1412"/>
    <mergeCell ref="G1412:G1413"/>
    <mergeCell ref="E1413:F1413"/>
    <mergeCell ref="E1407:F1407"/>
    <mergeCell ref="G1407:G1408"/>
    <mergeCell ref="E1408:F1408"/>
    <mergeCell ref="E1402:F1402"/>
    <mergeCell ref="C1500:C1503"/>
    <mergeCell ref="D1500:F1501"/>
    <mergeCell ref="G1500:G1501"/>
    <mergeCell ref="C1505:C1508"/>
    <mergeCell ref="D1505:F1506"/>
    <mergeCell ref="G1505:G1506"/>
    <mergeCell ref="C1490:C1493"/>
    <mergeCell ref="D1490:F1491"/>
    <mergeCell ref="G1490:G1491"/>
    <mergeCell ref="C1495:C1498"/>
    <mergeCell ref="D1495:F1496"/>
    <mergeCell ref="G1495:G1496"/>
    <mergeCell ref="C1480:C1483"/>
    <mergeCell ref="D1480:F1481"/>
    <mergeCell ref="G1480:G1481"/>
    <mergeCell ref="C1485:C1488"/>
    <mergeCell ref="D1485:F1486"/>
    <mergeCell ref="G1485:G1486"/>
    <mergeCell ref="C1470:C1473"/>
    <mergeCell ref="D1470:F1471"/>
    <mergeCell ref="G1470:G1471"/>
    <mergeCell ref="C1475:C1478"/>
    <mergeCell ref="D1475:F1476"/>
    <mergeCell ref="G1475:G1476"/>
    <mergeCell ref="C1460:C1463"/>
    <mergeCell ref="D1460:F1461"/>
    <mergeCell ref="G1460:G1461"/>
    <mergeCell ref="C1465:C1468"/>
    <mergeCell ref="D1465:F1466"/>
    <mergeCell ref="G1465:G1466"/>
    <mergeCell ref="C1450:C1453"/>
    <mergeCell ref="D1450:F1451"/>
    <mergeCell ref="G1450:G1451"/>
    <mergeCell ref="C1455:C1458"/>
    <mergeCell ref="D1455:F1456"/>
    <mergeCell ref="G1455:G1456"/>
    <mergeCell ref="E1462:F1462"/>
    <mergeCell ref="G1462:G1463"/>
    <mergeCell ref="E1463:F1463"/>
    <mergeCell ref="E1457:F1457"/>
    <mergeCell ref="G1457:G1458"/>
    <mergeCell ref="E1458:F1458"/>
    <mergeCell ref="E1452:F1452"/>
    <mergeCell ref="G1452:G1453"/>
    <mergeCell ref="E1453:F1453"/>
    <mergeCell ref="C1560:C1563"/>
    <mergeCell ref="D1560:F1561"/>
    <mergeCell ref="G1560:G1561"/>
    <mergeCell ref="C1565:C1568"/>
    <mergeCell ref="D1565:F1566"/>
    <mergeCell ref="G1565:G1566"/>
    <mergeCell ref="C1550:C1553"/>
    <mergeCell ref="D1550:F1551"/>
    <mergeCell ref="G1550:G1551"/>
    <mergeCell ref="C1555:C1558"/>
    <mergeCell ref="D1555:F1556"/>
    <mergeCell ref="G1555:G1556"/>
    <mergeCell ref="C1540:C1543"/>
    <mergeCell ref="D1540:F1541"/>
    <mergeCell ref="G1540:G1541"/>
    <mergeCell ref="C1545:C1548"/>
    <mergeCell ref="D1545:F1546"/>
    <mergeCell ref="G1545:G1546"/>
    <mergeCell ref="C1530:C1533"/>
    <mergeCell ref="D1530:F1531"/>
    <mergeCell ref="G1530:G1531"/>
    <mergeCell ref="C1535:C1538"/>
    <mergeCell ref="D1535:F1536"/>
    <mergeCell ref="G1535:G1536"/>
    <mergeCell ref="C1520:C1523"/>
    <mergeCell ref="D1520:F1521"/>
    <mergeCell ref="G1520:G1521"/>
    <mergeCell ref="C1525:C1528"/>
    <mergeCell ref="D1525:F1526"/>
    <mergeCell ref="G1525:G1526"/>
    <mergeCell ref="C1510:C1513"/>
    <mergeCell ref="D1510:F1511"/>
    <mergeCell ref="G1510:G1511"/>
    <mergeCell ref="C1515:C1518"/>
    <mergeCell ref="D1515:F1516"/>
    <mergeCell ref="G1515:G1516"/>
    <mergeCell ref="E1567:F1567"/>
    <mergeCell ref="G1567:G1568"/>
    <mergeCell ref="E1568:F1568"/>
    <mergeCell ref="E1562:F1562"/>
    <mergeCell ref="G1562:G1563"/>
    <mergeCell ref="E1563:F1563"/>
    <mergeCell ref="E1557:F1557"/>
    <mergeCell ref="G1557:G1558"/>
    <mergeCell ref="E1558:F1558"/>
    <mergeCell ref="E1552:F1552"/>
    <mergeCell ref="G1552:G1553"/>
    <mergeCell ref="E1553:F1553"/>
    <mergeCell ref="E1547:F1547"/>
    <mergeCell ref="G1547:G1548"/>
    <mergeCell ref="E1548:F1548"/>
    <mergeCell ref="E1542:F1542"/>
    <mergeCell ref="G1542:G1543"/>
    <mergeCell ref="E1543:F1543"/>
    <mergeCell ref="E1537:F1537"/>
    <mergeCell ref="G1537:G1538"/>
    <mergeCell ref="E1538:F1538"/>
    <mergeCell ref="E1532:F1532"/>
    <mergeCell ref="G1532:G1533"/>
    <mergeCell ref="E1533:F1533"/>
    <mergeCell ref="E1527:F1527"/>
    <mergeCell ref="G1527:G1528"/>
    <mergeCell ref="E1528:F1528"/>
    <mergeCell ref="E1522:F1522"/>
    <mergeCell ref="C1620:C1623"/>
    <mergeCell ref="D1620:F1621"/>
    <mergeCell ref="G1620:G1621"/>
    <mergeCell ref="C1625:C1628"/>
    <mergeCell ref="D1625:F1626"/>
    <mergeCell ref="G1625:G1626"/>
    <mergeCell ref="C1610:C1613"/>
    <mergeCell ref="D1610:F1611"/>
    <mergeCell ref="G1610:G1611"/>
    <mergeCell ref="C1615:C1618"/>
    <mergeCell ref="D1615:F1616"/>
    <mergeCell ref="G1615:G1616"/>
    <mergeCell ref="C1600:C1603"/>
    <mergeCell ref="D1600:F1601"/>
    <mergeCell ref="G1600:G1601"/>
    <mergeCell ref="C1605:C1608"/>
    <mergeCell ref="D1605:F1606"/>
    <mergeCell ref="G1605:G1606"/>
    <mergeCell ref="C1590:C1593"/>
    <mergeCell ref="D1590:F1591"/>
    <mergeCell ref="G1590:G1591"/>
    <mergeCell ref="C1595:C1598"/>
    <mergeCell ref="D1595:F1596"/>
    <mergeCell ref="G1595:G1596"/>
    <mergeCell ref="C1580:C1583"/>
    <mergeCell ref="D1580:F1581"/>
    <mergeCell ref="G1580:G1581"/>
    <mergeCell ref="C1585:C1588"/>
    <mergeCell ref="D1585:F1586"/>
    <mergeCell ref="G1585:G1586"/>
    <mergeCell ref="C1570:C1573"/>
    <mergeCell ref="D1570:F1571"/>
    <mergeCell ref="G1570:G1571"/>
    <mergeCell ref="C1575:C1578"/>
    <mergeCell ref="D1575:F1576"/>
    <mergeCell ref="G1575:G1576"/>
    <mergeCell ref="E1582:F1582"/>
    <mergeCell ref="G1582:G1583"/>
    <mergeCell ref="E1583:F1583"/>
    <mergeCell ref="E1577:F1577"/>
    <mergeCell ref="G1577:G1578"/>
    <mergeCell ref="E1578:F1578"/>
    <mergeCell ref="E1572:F1572"/>
    <mergeCell ref="G1572:G1573"/>
    <mergeCell ref="E1573:F1573"/>
    <mergeCell ref="C1680:C1683"/>
    <mergeCell ref="D1680:F1681"/>
    <mergeCell ref="G1680:G1681"/>
    <mergeCell ref="C1685:C1688"/>
    <mergeCell ref="D1685:F1686"/>
    <mergeCell ref="G1685:G1686"/>
    <mergeCell ref="C1670:C1673"/>
    <mergeCell ref="D1670:F1671"/>
    <mergeCell ref="G1670:G1671"/>
    <mergeCell ref="C1675:C1678"/>
    <mergeCell ref="D1675:F1676"/>
    <mergeCell ref="G1675:G1676"/>
    <mergeCell ref="C1660:C1663"/>
    <mergeCell ref="D1660:F1661"/>
    <mergeCell ref="G1660:G1661"/>
    <mergeCell ref="C1665:C1668"/>
    <mergeCell ref="D1665:F1666"/>
    <mergeCell ref="G1665:G1666"/>
    <mergeCell ref="C1650:C1653"/>
    <mergeCell ref="D1650:F1651"/>
    <mergeCell ref="G1650:G1651"/>
    <mergeCell ref="C1655:C1658"/>
    <mergeCell ref="D1655:F1656"/>
    <mergeCell ref="G1655:G1656"/>
    <mergeCell ref="C1640:C1643"/>
    <mergeCell ref="D1640:F1641"/>
    <mergeCell ref="G1640:G1641"/>
    <mergeCell ref="C1645:C1648"/>
    <mergeCell ref="D1645:F1646"/>
    <mergeCell ref="G1645:G1646"/>
    <mergeCell ref="C1630:C1633"/>
    <mergeCell ref="D1630:F1631"/>
    <mergeCell ref="G1630:G1631"/>
    <mergeCell ref="C1635:C1638"/>
    <mergeCell ref="D1635:F1636"/>
    <mergeCell ref="G1635:G1636"/>
    <mergeCell ref="E1687:F1687"/>
    <mergeCell ref="G1687:G1688"/>
    <mergeCell ref="E1688:F1688"/>
    <mergeCell ref="E1682:F1682"/>
    <mergeCell ref="G1682:G1683"/>
    <mergeCell ref="E1683:F1683"/>
    <mergeCell ref="E1677:F1677"/>
    <mergeCell ref="G1677:G1678"/>
    <mergeCell ref="E1678:F1678"/>
    <mergeCell ref="E1672:F1672"/>
    <mergeCell ref="G1672:G1673"/>
    <mergeCell ref="E1673:F1673"/>
    <mergeCell ref="E1667:F1667"/>
    <mergeCell ref="G1667:G1668"/>
    <mergeCell ref="E1668:F1668"/>
    <mergeCell ref="E1662:F1662"/>
    <mergeCell ref="G1662:G1663"/>
    <mergeCell ref="E1663:F1663"/>
    <mergeCell ref="E1657:F1657"/>
    <mergeCell ref="G1657:G1658"/>
    <mergeCell ref="E1658:F1658"/>
    <mergeCell ref="E1652:F1652"/>
    <mergeCell ref="G1652:G1653"/>
    <mergeCell ref="E1653:F1653"/>
    <mergeCell ref="E1647:F1647"/>
    <mergeCell ref="G1647:G1648"/>
    <mergeCell ref="E1648:F1648"/>
    <mergeCell ref="E1642:F1642"/>
    <mergeCell ref="C1740:C1743"/>
    <mergeCell ref="D1740:F1741"/>
    <mergeCell ref="G1740:G1741"/>
    <mergeCell ref="C1745:C1748"/>
    <mergeCell ref="D1745:F1746"/>
    <mergeCell ref="G1745:G1746"/>
    <mergeCell ref="C1730:C1733"/>
    <mergeCell ref="D1730:F1731"/>
    <mergeCell ref="G1730:G1731"/>
    <mergeCell ref="C1735:C1738"/>
    <mergeCell ref="D1735:F1736"/>
    <mergeCell ref="G1735:G1736"/>
    <mergeCell ref="C1720:C1723"/>
    <mergeCell ref="D1720:F1721"/>
    <mergeCell ref="G1720:G1721"/>
    <mergeCell ref="C1725:C1728"/>
    <mergeCell ref="D1725:F1726"/>
    <mergeCell ref="G1725:G1726"/>
    <mergeCell ref="C1710:C1713"/>
    <mergeCell ref="D1710:F1711"/>
    <mergeCell ref="G1710:G1711"/>
    <mergeCell ref="C1715:C1718"/>
    <mergeCell ref="D1715:F1716"/>
    <mergeCell ref="G1715:G1716"/>
    <mergeCell ref="C1700:C1703"/>
    <mergeCell ref="D1700:F1701"/>
    <mergeCell ref="G1700:G1701"/>
    <mergeCell ref="C1705:C1708"/>
    <mergeCell ref="D1705:F1706"/>
    <mergeCell ref="G1705:G1706"/>
    <mergeCell ref="C1690:C1693"/>
    <mergeCell ref="D1690:F1691"/>
    <mergeCell ref="G1690:G1691"/>
    <mergeCell ref="C1695:C1698"/>
    <mergeCell ref="D1695:F1696"/>
    <mergeCell ref="G1695:G1696"/>
    <mergeCell ref="E1702:F1702"/>
    <mergeCell ref="G1702:G1703"/>
    <mergeCell ref="E1703:F1703"/>
    <mergeCell ref="E1697:F1697"/>
    <mergeCell ref="G1697:G1698"/>
    <mergeCell ref="E1698:F1698"/>
    <mergeCell ref="E1692:F1692"/>
    <mergeCell ref="G1692:G1693"/>
    <mergeCell ref="E1693:F1693"/>
    <mergeCell ref="C1800:C1803"/>
    <mergeCell ref="D1800:F1801"/>
    <mergeCell ref="G1800:G1801"/>
    <mergeCell ref="C1805:C1808"/>
    <mergeCell ref="D1805:F1806"/>
    <mergeCell ref="G1805:G1806"/>
    <mergeCell ref="C1790:C1793"/>
    <mergeCell ref="D1790:F1791"/>
    <mergeCell ref="G1790:G1791"/>
    <mergeCell ref="C1795:C1798"/>
    <mergeCell ref="D1795:F1796"/>
    <mergeCell ref="G1795:G1796"/>
    <mergeCell ref="C1780:C1783"/>
    <mergeCell ref="D1780:F1781"/>
    <mergeCell ref="G1780:G1781"/>
    <mergeCell ref="C1785:C1788"/>
    <mergeCell ref="D1785:F1786"/>
    <mergeCell ref="G1785:G1786"/>
    <mergeCell ref="C1770:C1773"/>
    <mergeCell ref="D1770:F1771"/>
    <mergeCell ref="G1770:G1771"/>
    <mergeCell ref="C1775:C1778"/>
    <mergeCell ref="D1775:F1776"/>
    <mergeCell ref="G1775:G1776"/>
    <mergeCell ref="C1760:C1763"/>
    <mergeCell ref="D1760:F1761"/>
    <mergeCell ref="G1760:G1761"/>
    <mergeCell ref="C1765:C1768"/>
    <mergeCell ref="D1765:F1766"/>
    <mergeCell ref="G1765:G1766"/>
    <mergeCell ref="C1750:C1753"/>
    <mergeCell ref="D1750:F1751"/>
    <mergeCell ref="G1750:G1751"/>
    <mergeCell ref="C1755:C1758"/>
    <mergeCell ref="D1755:F1756"/>
    <mergeCell ref="G1755:G1756"/>
    <mergeCell ref="E1807:F1807"/>
    <mergeCell ref="G1807:G1808"/>
    <mergeCell ref="E1808:F1808"/>
    <mergeCell ref="E1802:F1802"/>
    <mergeCell ref="G1802:G1803"/>
    <mergeCell ref="E1803:F1803"/>
    <mergeCell ref="E1797:F1797"/>
    <mergeCell ref="G1797:G1798"/>
    <mergeCell ref="E1798:F1798"/>
    <mergeCell ref="E1792:F1792"/>
    <mergeCell ref="G1792:G1793"/>
    <mergeCell ref="E1793:F1793"/>
    <mergeCell ref="E1787:F1787"/>
    <mergeCell ref="G1787:G1788"/>
    <mergeCell ref="E1788:F1788"/>
    <mergeCell ref="E1782:F1782"/>
    <mergeCell ref="G1782:G1783"/>
    <mergeCell ref="E1783:F1783"/>
    <mergeCell ref="E1777:F1777"/>
    <mergeCell ref="G1777:G1778"/>
    <mergeCell ref="E1778:F1778"/>
    <mergeCell ref="E1772:F1772"/>
    <mergeCell ref="G1772:G1773"/>
    <mergeCell ref="E1773:F1773"/>
    <mergeCell ref="E1767:F1767"/>
    <mergeCell ref="G1767:G1768"/>
    <mergeCell ref="E1768:F1768"/>
    <mergeCell ref="E1762:F1762"/>
    <mergeCell ref="C1860:C1863"/>
    <mergeCell ref="D1860:F1861"/>
    <mergeCell ref="G1860:G1861"/>
    <mergeCell ref="C1865:C1868"/>
    <mergeCell ref="D1865:F1866"/>
    <mergeCell ref="G1865:G1866"/>
    <mergeCell ref="C1850:C1853"/>
    <mergeCell ref="D1850:F1851"/>
    <mergeCell ref="G1850:G1851"/>
    <mergeCell ref="C1855:C1858"/>
    <mergeCell ref="D1855:F1856"/>
    <mergeCell ref="G1855:G1856"/>
    <mergeCell ref="C1840:C1843"/>
    <mergeCell ref="D1840:F1841"/>
    <mergeCell ref="G1840:G1841"/>
    <mergeCell ref="C1845:C1848"/>
    <mergeCell ref="D1845:F1846"/>
    <mergeCell ref="G1845:G1846"/>
    <mergeCell ref="C1830:C1833"/>
    <mergeCell ref="D1830:F1831"/>
    <mergeCell ref="G1830:G1831"/>
    <mergeCell ref="C1835:C1838"/>
    <mergeCell ref="D1835:F1836"/>
    <mergeCell ref="G1835:G1836"/>
    <mergeCell ref="C1820:C1823"/>
    <mergeCell ref="D1820:F1821"/>
    <mergeCell ref="G1820:G1821"/>
    <mergeCell ref="C1825:C1828"/>
    <mergeCell ref="D1825:F1826"/>
    <mergeCell ref="G1825:G1826"/>
    <mergeCell ref="C1810:C1813"/>
    <mergeCell ref="D1810:F1811"/>
    <mergeCell ref="G1810:G1811"/>
    <mergeCell ref="C1815:C1818"/>
    <mergeCell ref="D1815:F1816"/>
    <mergeCell ref="G1815:G1816"/>
    <mergeCell ref="E1822:F1822"/>
    <mergeCell ref="G1822:G1823"/>
    <mergeCell ref="E1823:F1823"/>
    <mergeCell ref="E1817:F1817"/>
    <mergeCell ref="G1817:G1818"/>
    <mergeCell ref="E1818:F1818"/>
    <mergeCell ref="E1812:F1812"/>
    <mergeCell ref="G1812:G1813"/>
    <mergeCell ref="E1813:F1813"/>
    <mergeCell ref="C1920:C1923"/>
    <mergeCell ref="D1920:F1921"/>
    <mergeCell ref="G1920:G1921"/>
    <mergeCell ref="C1925:C1928"/>
    <mergeCell ref="D1925:F1926"/>
    <mergeCell ref="G1925:G1926"/>
    <mergeCell ref="C1910:C1913"/>
    <mergeCell ref="D1910:F1911"/>
    <mergeCell ref="G1910:G1911"/>
    <mergeCell ref="C1915:C1918"/>
    <mergeCell ref="D1915:F1916"/>
    <mergeCell ref="G1915:G1916"/>
    <mergeCell ref="C1900:C1903"/>
    <mergeCell ref="D1900:F1901"/>
    <mergeCell ref="G1900:G1901"/>
    <mergeCell ref="C1905:C1908"/>
    <mergeCell ref="D1905:F1906"/>
    <mergeCell ref="G1905:G1906"/>
    <mergeCell ref="C1890:C1893"/>
    <mergeCell ref="D1890:F1891"/>
    <mergeCell ref="G1890:G1891"/>
    <mergeCell ref="C1895:C1898"/>
    <mergeCell ref="D1895:F1896"/>
    <mergeCell ref="G1895:G1896"/>
    <mergeCell ref="C1880:C1883"/>
    <mergeCell ref="D1880:F1881"/>
    <mergeCell ref="G1880:G1881"/>
    <mergeCell ref="C1885:C1888"/>
    <mergeCell ref="D1885:F1886"/>
    <mergeCell ref="G1885:G1886"/>
    <mergeCell ref="C1870:C1873"/>
    <mergeCell ref="D1870:F1871"/>
    <mergeCell ref="G1870:G1871"/>
    <mergeCell ref="C1875:C1878"/>
    <mergeCell ref="D1875:F1876"/>
    <mergeCell ref="G1875:G1876"/>
    <mergeCell ref="E1927:F1927"/>
    <mergeCell ref="G1927:G1928"/>
    <mergeCell ref="E1928:F1928"/>
    <mergeCell ref="E1922:F1922"/>
    <mergeCell ref="G1922:G1923"/>
    <mergeCell ref="E1923:F1923"/>
    <mergeCell ref="E1917:F1917"/>
    <mergeCell ref="G1917:G1918"/>
    <mergeCell ref="E1918:F1918"/>
    <mergeCell ref="E1912:F1912"/>
    <mergeCell ref="G1912:G1913"/>
    <mergeCell ref="E1913:F1913"/>
    <mergeCell ref="E1907:F1907"/>
    <mergeCell ref="G1907:G1908"/>
    <mergeCell ref="E1908:F1908"/>
    <mergeCell ref="E1902:F1902"/>
    <mergeCell ref="G1902:G1903"/>
    <mergeCell ref="E1903:F1903"/>
    <mergeCell ref="E1897:F1897"/>
    <mergeCell ref="G1897:G1898"/>
    <mergeCell ref="E1898:F1898"/>
    <mergeCell ref="E1892:F1892"/>
    <mergeCell ref="G1892:G1893"/>
    <mergeCell ref="E1893:F1893"/>
    <mergeCell ref="E1887:F1887"/>
    <mergeCell ref="G1887:G1888"/>
    <mergeCell ref="E1888:F1888"/>
    <mergeCell ref="E1882:F1882"/>
    <mergeCell ref="C1980:C1983"/>
    <mergeCell ref="D1980:F1981"/>
    <mergeCell ref="G1980:G1981"/>
    <mergeCell ref="C1985:C1988"/>
    <mergeCell ref="D1985:F1986"/>
    <mergeCell ref="G1985:G1986"/>
    <mergeCell ref="C1970:C1973"/>
    <mergeCell ref="D1970:F1971"/>
    <mergeCell ref="G1970:G1971"/>
    <mergeCell ref="C1975:C1978"/>
    <mergeCell ref="D1975:F1976"/>
    <mergeCell ref="G1975:G1976"/>
    <mergeCell ref="C1960:C1963"/>
    <mergeCell ref="D1960:F1961"/>
    <mergeCell ref="G1960:G1961"/>
    <mergeCell ref="C1965:C1968"/>
    <mergeCell ref="D1965:F1966"/>
    <mergeCell ref="G1965:G1966"/>
    <mergeCell ref="C1950:C1953"/>
    <mergeCell ref="D1950:F1951"/>
    <mergeCell ref="G1950:G1951"/>
    <mergeCell ref="C1955:C1958"/>
    <mergeCell ref="D1955:F1956"/>
    <mergeCell ref="G1955:G1956"/>
    <mergeCell ref="C1940:C1943"/>
    <mergeCell ref="D1940:F1941"/>
    <mergeCell ref="G1940:G1941"/>
    <mergeCell ref="C1945:C1948"/>
    <mergeCell ref="D1945:F1946"/>
    <mergeCell ref="G1945:G1946"/>
    <mergeCell ref="C1930:C1933"/>
    <mergeCell ref="D1930:F1931"/>
    <mergeCell ref="G1930:G1931"/>
    <mergeCell ref="C1935:C1938"/>
    <mergeCell ref="D1935:F1936"/>
    <mergeCell ref="G1935:G1936"/>
    <mergeCell ref="E1942:F1942"/>
    <mergeCell ref="G1942:G1943"/>
    <mergeCell ref="E1943:F1943"/>
    <mergeCell ref="E1937:F1937"/>
    <mergeCell ref="G1937:G1938"/>
    <mergeCell ref="E1938:F1938"/>
    <mergeCell ref="E1932:F1932"/>
    <mergeCell ref="G1932:G1933"/>
    <mergeCell ref="E1933:F1933"/>
    <mergeCell ref="C2040:C2043"/>
    <mergeCell ref="D2040:F2041"/>
    <mergeCell ref="G2040:G2041"/>
    <mergeCell ref="C2045:C2048"/>
    <mergeCell ref="D2045:F2046"/>
    <mergeCell ref="G2045:G2046"/>
    <mergeCell ref="C2030:C2033"/>
    <mergeCell ref="D2030:F2031"/>
    <mergeCell ref="G2030:G2031"/>
    <mergeCell ref="C2035:C2038"/>
    <mergeCell ref="D2035:F2036"/>
    <mergeCell ref="G2035:G2036"/>
    <mergeCell ref="C2020:C2023"/>
    <mergeCell ref="D2020:F2021"/>
    <mergeCell ref="G2020:G2021"/>
    <mergeCell ref="C2025:C2028"/>
    <mergeCell ref="D2025:F2026"/>
    <mergeCell ref="G2025:G2026"/>
    <mergeCell ref="C2010:C2013"/>
    <mergeCell ref="D2010:F2011"/>
    <mergeCell ref="G2010:G2011"/>
    <mergeCell ref="C2015:C2018"/>
    <mergeCell ref="D2015:F2016"/>
    <mergeCell ref="G2015:G2016"/>
    <mergeCell ref="C2000:C2003"/>
    <mergeCell ref="D2000:F2001"/>
    <mergeCell ref="G2000:G2001"/>
    <mergeCell ref="C2005:C2008"/>
    <mergeCell ref="D2005:F2006"/>
    <mergeCell ref="G2005:G2006"/>
    <mergeCell ref="C1990:C1993"/>
    <mergeCell ref="D1990:F1991"/>
    <mergeCell ref="G1990:G1991"/>
    <mergeCell ref="C1995:C1998"/>
    <mergeCell ref="D1995:F1996"/>
    <mergeCell ref="G1995:G1996"/>
    <mergeCell ref="E2047:F2047"/>
    <mergeCell ref="G2047:G2048"/>
    <mergeCell ref="E2048:F2048"/>
    <mergeCell ref="E2042:F2042"/>
    <mergeCell ref="G2042:G2043"/>
    <mergeCell ref="E2043:F2043"/>
    <mergeCell ref="E2037:F2037"/>
    <mergeCell ref="G2037:G2038"/>
    <mergeCell ref="E2038:F2038"/>
    <mergeCell ref="E2032:F2032"/>
    <mergeCell ref="G2032:G2033"/>
    <mergeCell ref="E2033:F2033"/>
    <mergeCell ref="E2027:F2027"/>
    <mergeCell ref="G2027:G2028"/>
    <mergeCell ref="E2028:F2028"/>
    <mergeCell ref="E2022:F2022"/>
    <mergeCell ref="G2022:G2023"/>
    <mergeCell ref="E2023:F2023"/>
    <mergeCell ref="E2017:F2017"/>
    <mergeCell ref="G2017:G2018"/>
    <mergeCell ref="E2018:F2018"/>
    <mergeCell ref="E2012:F2012"/>
    <mergeCell ref="G2012:G2013"/>
    <mergeCell ref="E2013:F2013"/>
    <mergeCell ref="E2007:F2007"/>
    <mergeCell ref="G2007:G2008"/>
    <mergeCell ref="E2008:F2008"/>
    <mergeCell ref="E2002:F2002"/>
    <mergeCell ref="C2100:C2103"/>
    <mergeCell ref="D2100:F2101"/>
    <mergeCell ref="G2100:G2101"/>
    <mergeCell ref="C2105:C2108"/>
    <mergeCell ref="D2105:F2106"/>
    <mergeCell ref="G2105:G2106"/>
    <mergeCell ref="C2090:C2093"/>
    <mergeCell ref="D2090:F2091"/>
    <mergeCell ref="G2090:G2091"/>
    <mergeCell ref="C2095:C2098"/>
    <mergeCell ref="D2095:F2096"/>
    <mergeCell ref="G2095:G2096"/>
    <mergeCell ref="C2080:C2083"/>
    <mergeCell ref="D2080:F2081"/>
    <mergeCell ref="G2080:G2081"/>
    <mergeCell ref="C2085:C2088"/>
    <mergeCell ref="D2085:F2086"/>
    <mergeCell ref="G2085:G2086"/>
    <mergeCell ref="C2070:C2073"/>
    <mergeCell ref="D2070:F2071"/>
    <mergeCell ref="G2070:G2071"/>
    <mergeCell ref="C2075:C2078"/>
    <mergeCell ref="D2075:F2076"/>
    <mergeCell ref="G2075:G2076"/>
    <mergeCell ref="C2060:C2063"/>
    <mergeCell ref="D2060:F2061"/>
    <mergeCell ref="G2060:G2061"/>
    <mergeCell ref="C2065:C2068"/>
    <mergeCell ref="D2065:F2066"/>
    <mergeCell ref="G2065:G2066"/>
    <mergeCell ref="C2050:C2053"/>
    <mergeCell ref="D2050:F2051"/>
    <mergeCell ref="G2050:G2051"/>
    <mergeCell ref="C2055:C2058"/>
    <mergeCell ref="D2055:F2056"/>
    <mergeCell ref="G2055:G2056"/>
    <mergeCell ref="E2062:F2062"/>
    <mergeCell ref="G2062:G2063"/>
    <mergeCell ref="E2063:F2063"/>
    <mergeCell ref="E2057:F2057"/>
    <mergeCell ref="G2057:G2058"/>
    <mergeCell ref="E2058:F2058"/>
    <mergeCell ref="E2052:F2052"/>
    <mergeCell ref="G2052:G2053"/>
    <mergeCell ref="E2053:F2053"/>
    <mergeCell ref="C2160:C2163"/>
    <mergeCell ref="D2160:F2161"/>
    <mergeCell ref="G2160:G2161"/>
    <mergeCell ref="C2165:C2168"/>
    <mergeCell ref="D2165:F2166"/>
    <mergeCell ref="G2165:G2166"/>
    <mergeCell ref="C2150:C2153"/>
    <mergeCell ref="D2150:F2151"/>
    <mergeCell ref="G2150:G2151"/>
    <mergeCell ref="C2155:C2158"/>
    <mergeCell ref="D2155:F2156"/>
    <mergeCell ref="G2155:G2156"/>
    <mergeCell ref="C2140:C2143"/>
    <mergeCell ref="D2140:F2141"/>
    <mergeCell ref="G2140:G2141"/>
    <mergeCell ref="C2145:C2148"/>
    <mergeCell ref="D2145:F2146"/>
    <mergeCell ref="G2145:G2146"/>
    <mergeCell ref="C2130:C2133"/>
    <mergeCell ref="D2130:F2131"/>
    <mergeCell ref="G2130:G2131"/>
    <mergeCell ref="C2135:C2138"/>
    <mergeCell ref="D2135:F2136"/>
    <mergeCell ref="G2135:G2136"/>
    <mergeCell ref="C2120:C2123"/>
    <mergeCell ref="D2120:F2121"/>
    <mergeCell ref="G2120:G2121"/>
    <mergeCell ref="C2125:C2128"/>
    <mergeCell ref="D2125:F2126"/>
    <mergeCell ref="G2125:G2126"/>
    <mergeCell ref="C2110:C2113"/>
    <mergeCell ref="D2110:F2111"/>
    <mergeCell ref="G2110:G2111"/>
    <mergeCell ref="C2115:C2118"/>
    <mergeCell ref="D2115:F2116"/>
    <mergeCell ref="G2115:G2116"/>
    <mergeCell ref="E2167:F2167"/>
    <mergeCell ref="G2167:G2168"/>
    <mergeCell ref="E2168:F2168"/>
    <mergeCell ref="E2162:F2162"/>
    <mergeCell ref="G2162:G2163"/>
    <mergeCell ref="E2163:F2163"/>
    <mergeCell ref="E2157:F2157"/>
    <mergeCell ref="G2157:G2158"/>
    <mergeCell ref="E2158:F2158"/>
    <mergeCell ref="E2152:F2152"/>
    <mergeCell ref="G2152:G2153"/>
    <mergeCell ref="E2153:F2153"/>
    <mergeCell ref="E2147:F2147"/>
    <mergeCell ref="G2147:G2148"/>
    <mergeCell ref="E2148:F2148"/>
    <mergeCell ref="E2142:F2142"/>
    <mergeCell ref="G2142:G2143"/>
    <mergeCell ref="E2143:F2143"/>
    <mergeCell ref="E2137:F2137"/>
    <mergeCell ref="G2137:G2138"/>
    <mergeCell ref="E2138:F2138"/>
    <mergeCell ref="E2132:F2132"/>
    <mergeCell ref="G2132:G2133"/>
    <mergeCell ref="E2133:F2133"/>
    <mergeCell ref="E2127:F2127"/>
    <mergeCell ref="G2127:G2128"/>
    <mergeCell ref="E2128:F2128"/>
    <mergeCell ref="E2122:F2122"/>
    <mergeCell ref="C2220:C2223"/>
    <mergeCell ref="D2220:F2221"/>
    <mergeCell ref="G2220:G2221"/>
    <mergeCell ref="C2225:C2228"/>
    <mergeCell ref="D2225:F2226"/>
    <mergeCell ref="G2225:G2226"/>
    <mergeCell ref="C2210:C2213"/>
    <mergeCell ref="D2210:F2211"/>
    <mergeCell ref="G2210:G2211"/>
    <mergeCell ref="C2215:C2218"/>
    <mergeCell ref="D2215:F2216"/>
    <mergeCell ref="G2215:G2216"/>
    <mergeCell ref="C2200:C2203"/>
    <mergeCell ref="D2200:F2201"/>
    <mergeCell ref="G2200:G2201"/>
    <mergeCell ref="C2205:C2208"/>
    <mergeCell ref="D2205:F2206"/>
    <mergeCell ref="G2205:G2206"/>
    <mergeCell ref="C2190:C2193"/>
    <mergeCell ref="D2190:F2191"/>
    <mergeCell ref="G2190:G2191"/>
    <mergeCell ref="C2195:C2198"/>
    <mergeCell ref="D2195:F2196"/>
    <mergeCell ref="G2195:G2196"/>
    <mergeCell ref="C2180:C2183"/>
    <mergeCell ref="D2180:F2181"/>
    <mergeCell ref="G2180:G2181"/>
    <mergeCell ref="C2185:C2188"/>
    <mergeCell ref="D2185:F2186"/>
    <mergeCell ref="G2185:G2186"/>
    <mergeCell ref="C2170:C2173"/>
    <mergeCell ref="D2170:F2171"/>
    <mergeCell ref="G2170:G2171"/>
    <mergeCell ref="C2175:C2178"/>
    <mergeCell ref="D2175:F2176"/>
    <mergeCell ref="G2175:G2176"/>
    <mergeCell ref="E2182:F2182"/>
    <mergeCell ref="G2182:G2183"/>
    <mergeCell ref="E2183:F2183"/>
    <mergeCell ref="E2177:F2177"/>
    <mergeCell ref="G2177:G2178"/>
    <mergeCell ref="E2178:F2178"/>
    <mergeCell ref="E2172:F2172"/>
    <mergeCell ref="G2172:G2173"/>
    <mergeCell ref="E2173:F2173"/>
    <mergeCell ref="C2280:C2283"/>
    <mergeCell ref="D2280:F2281"/>
    <mergeCell ref="G2280:G2281"/>
    <mergeCell ref="C2285:C2288"/>
    <mergeCell ref="D2285:F2286"/>
    <mergeCell ref="G2285:G2286"/>
    <mergeCell ref="C2270:C2273"/>
    <mergeCell ref="D2270:F2271"/>
    <mergeCell ref="G2270:G2271"/>
    <mergeCell ref="C2275:C2278"/>
    <mergeCell ref="D2275:F2276"/>
    <mergeCell ref="G2275:G2276"/>
    <mergeCell ref="C2260:C2263"/>
    <mergeCell ref="D2260:F2261"/>
    <mergeCell ref="G2260:G2261"/>
    <mergeCell ref="C2265:C2268"/>
    <mergeCell ref="D2265:F2266"/>
    <mergeCell ref="G2265:G2266"/>
    <mergeCell ref="C2250:C2253"/>
    <mergeCell ref="D2250:F2251"/>
    <mergeCell ref="G2250:G2251"/>
    <mergeCell ref="C2255:C2258"/>
    <mergeCell ref="D2255:F2256"/>
    <mergeCell ref="G2255:G2256"/>
    <mergeCell ref="C2240:C2243"/>
    <mergeCell ref="D2240:F2241"/>
    <mergeCell ref="G2240:G2241"/>
    <mergeCell ref="C2245:C2248"/>
    <mergeCell ref="D2245:F2246"/>
    <mergeCell ref="G2245:G2246"/>
    <mergeCell ref="C2230:C2233"/>
    <mergeCell ref="D2230:F2231"/>
    <mergeCell ref="G2230:G2231"/>
    <mergeCell ref="C2235:C2238"/>
    <mergeCell ref="D2235:F2236"/>
    <mergeCell ref="G2235:G2236"/>
    <mergeCell ref="E2287:F2287"/>
    <mergeCell ref="G2287:G2288"/>
    <mergeCell ref="E2288:F2288"/>
    <mergeCell ref="E2282:F2282"/>
    <mergeCell ref="G2282:G2283"/>
    <mergeCell ref="E2283:F2283"/>
    <mergeCell ref="E2277:F2277"/>
    <mergeCell ref="G2277:G2278"/>
    <mergeCell ref="E2278:F2278"/>
    <mergeCell ref="E2272:F2272"/>
    <mergeCell ref="G2272:G2273"/>
    <mergeCell ref="E2273:F2273"/>
    <mergeCell ref="E2267:F2267"/>
    <mergeCell ref="G2267:G2268"/>
    <mergeCell ref="E2268:F2268"/>
    <mergeCell ref="E2262:F2262"/>
    <mergeCell ref="G2262:G2263"/>
    <mergeCell ref="E2263:F2263"/>
    <mergeCell ref="E2257:F2257"/>
    <mergeCell ref="G2257:G2258"/>
    <mergeCell ref="E2258:F2258"/>
    <mergeCell ref="E2252:F2252"/>
    <mergeCell ref="G2252:G2253"/>
    <mergeCell ref="E2253:F2253"/>
    <mergeCell ref="E2247:F2247"/>
    <mergeCell ref="G2247:G2248"/>
    <mergeCell ref="E2248:F2248"/>
    <mergeCell ref="E2242:F2242"/>
    <mergeCell ref="C2340:C2343"/>
    <mergeCell ref="D2340:F2341"/>
    <mergeCell ref="G2340:G2341"/>
    <mergeCell ref="C2345:C2348"/>
    <mergeCell ref="D2345:F2346"/>
    <mergeCell ref="G2345:G2346"/>
    <mergeCell ref="C2330:C2333"/>
    <mergeCell ref="D2330:F2331"/>
    <mergeCell ref="G2330:G2331"/>
    <mergeCell ref="C2335:C2338"/>
    <mergeCell ref="D2335:F2336"/>
    <mergeCell ref="G2335:G2336"/>
    <mergeCell ref="C2320:C2323"/>
    <mergeCell ref="D2320:F2321"/>
    <mergeCell ref="G2320:G2321"/>
    <mergeCell ref="C2325:C2328"/>
    <mergeCell ref="D2325:F2326"/>
    <mergeCell ref="G2325:G2326"/>
    <mergeCell ref="C2310:C2313"/>
    <mergeCell ref="D2310:F2311"/>
    <mergeCell ref="G2310:G2311"/>
    <mergeCell ref="C2315:C2318"/>
    <mergeCell ref="D2315:F2316"/>
    <mergeCell ref="G2315:G2316"/>
    <mergeCell ref="C2300:C2303"/>
    <mergeCell ref="D2300:F2301"/>
    <mergeCell ref="G2300:G2301"/>
    <mergeCell ref="C2305:C2308"/>
    <mergeCell ref="D2305:F2306"/>
    <mergeCell ref="G2305:G2306"/>
    <mergeCell ref="C2290:C2293"/>
    <mergeCell ref="D2290:F2291"/>
    <mergeCell ref="G2290:G2291"/>
    <mergeCell ref="C2295:C2298"/>
    <mergeCell ref="D2295:F2296"/>
    <mergeCell ref="G2295:G2296"/>
    <mergeCell ref="E2292:F2292"/>
    <mergeCell ref="G2292:G2293"/>
    <mergeCell ref="E2293:F2293"/>
    <mergeCell ref="C2400:C2403"/>
    <mergeCell ref="D2400:F2401"/>
    <mergeCell ref="G2400:G2401"/>
    <mergeCell ref="C2405:C2408"/>
    <mergeCell ref="D2405:F2406"/>
    <mergeCell ref="G2405:G2406"/>
    <mergeCell ref="C2390:C2393"/>
    <mergeCell ref="D2390:F2391"/>
    <mergeCell ref="G2390:G2391"/>
    <mergeCell ref="C2395:C2398"/>
    <mergeCell ref="D2395:F2396"/>
    <mergeCell ref="G2395:G2396"/>
    <mergeCell ref="C2380:C2383"/>
    <mergeCell ref="D2380:F2381"/>
    <mergeCell ref="G2380:G2381"/>
    <mergeCell ref="C2385:C2388"/>
    <mergeCell ref="D2385:F2386"/>
    <mergeCell ref="G2385:G2386"/>
    <mergeCell ref="C2370:C2373"/>
    <mergeCell ref="D2370:F2371"/>
    <mergeCell ref="G2370:G2371"/>
    <mergeCell ref="C2375:C2378"/>
    <mergeCell ref="D2375:F2376"/>
    <mergeCell ref="G2375:G2376"/>
    <mergeCell ref="C2360:C2363"/>
    <mergeCell ref="D2360:F2361"/>
    <mergeCell ref="G2360:G2361"/>
    <mergeCell ref="C2365:C2368"/>
    <mergeCell ref="D2365:F2366"/>
    <mergeCell ref="G2365:G2366"/>
    <mergeCell ref="C2350:C2353"/>
    <mergeCell ref="D2350:F2351"/>
    <mergeCell ref="G2350:G2351"/>
    <mergeCell ref="C2355:C2358"/>
    <mergeCell ref="D2355:F2356"/>
    <mergeCell ref="G2355:G2356"/>
    <mergeCell ref="E2397:F2397"/>
    <mergeCell ref="G2397:G2398"/>
    <mergeCell ref="E2398:F2398"/>
    <mergeCell ref="E2392:F2392"/>
    <mergeCell ref="G2392:G2393"/>
    <mergeCell ref="E2393:F2393"/>
    <mergeCell ref="E2387:F2387"/>
    <mergeCell ref="G2387:G2388"/>
    <mergeCell ref="E2388:F2388"/>
    <mergeCell ref="E2382:F2382"/>
    <mergeCell ref="G2382:G2383"/>
    <mergeCell ref="E2383:F2383"/>
    <mergeCell ref="E2377:F2377"/>
    <mergeCell ref="G2377:G2378"/>
    <mergeCell ref="E2378:F2378"/>
    <mergeCell ref="E2372:F2372"/>
    <mergeCell ref="G2372:G2373"/>
    <mergeCell ref="E2373:F2373"/>
    <mergeCell ref="E2367:F2367"/>
    <mergeCell ref="G2367:G2368"/>
    <mergeCell ref="E2368:F2368"/>
    <mergeCell ref="E2362:F2362"/>
    <mergeCell ref="G2362:G2363"/>
    <mergeCell ref="E2363:F2363"/>
    <mergeCell ref="E2357:F2357"/>
    <mergeCell ref="G2357:G2358"/>
    <mergeCell ref="E2358:F2358"/>
    <mergeCell ref="E2352:F2352"/>
    <mergeCell ref="C2515:C2518"/>
    <mergeCell ref="D2515:F2516"/>
    <mergeCell ref="G2515:G2516"/>
    <mergeCell ref="C2500:C2503"/>
    <mergeCell ref="D2500:F2501"/>
    <mergeCell ref="G2500:G2501"/>
    <mergeCell ref="C2505:C2508"/>
    <mergeCell ref="D2505:F2506"/>
    <mergeCell ref="G2505:G2506"/>
    <mergeCell ref="C2490:C2493"/>
    <mergeCell ref="D2490:F2491"/>
    <mergeCell ref="G2490:G2491"/>
    <mergeCell ref="C2495:C2498"/>
    <mergeCell ref="D2495:F2496"/>
    <mergeCell ref="G2495:G2496"/>
    <mergeCell ref="C2480:C2483"/>
    <mergeCell ref="D2480:F2481"/>
    <mergeCell ref="G2480:G2481"/>
    <mergeCell ref="C2485:C2488"/>
    <mergeCell ref="D2485:F2486"/>
    <mergeCell ref="G2485:G2486"/>
    <mergeCell ref="C2470:C2473"/>
    <mergeCell ref="D2470:F2471"/>
    <mergeCell ref="G2470:G2471"/>
    <mergeCell ref="C2475:C2478"/>
    <mergeCell ref="D2475:F2476"/>
    <mergeCell ref="G2475:G2476"/>
    <mergeCell ref="C2460:C2463"/>
    <mergeCell ref="D2460:F2461"/>
    <mergeCell ref="G2460:G2461"/>
    <mergeCell ref="C2465:C2468"/>
    <mergeCell ref="D2465:F2466"/>
    <mergeCell ref="G2465:G2466"/>
    <mergeCell ref="AA1070:AA1073"/>
    <mergeCell ref="AB1070:AD1071"/>
    <mergeCell ref="AA1075:AA1078"/>
    <mergeCell ref="AB1075:AD1076"/>
    <mergeCell ref="AA1080:AA1083"/>
    <mergeCell ref="AB1080:AD1081"/>
    <mergeCell ref="AA1055:AA1058"/>
    <mergeCell ref="AB1055:AD1056"/>
    <mergeCell ref="AA1060:AA1063"/>
    <mergeCell ref="AB1060:AD1061"/>
    <mergeCell ref="AA1065:AA1068"/>
    <mergeCell ref="AB1065:AD1066"/>
    <mergeCell ref="AA1040:AA1043"/>
    <mergeCell ref="AB1040:AD1041"/>
    <mergeCell ref="AA1045:AA1048"/>
    <mergeCell ref="AB1045:AD1046"/>
    <mergeCell ref="AA1050:AA1053"/>
    <mergeCell ref="AB1050:AD1051"/>
    <mergeCell ref="L1015:N1016"/>
    <mergeCell ref="L1020:N1021"/>
    <mergeCell ref="L1025:N1026"/>
    <mergeCell ref="L1030:N1031"/>
    <mergeCell ref="L1035:N1036"/>
    <mergeCell ref="L1040:N1041"/>
    <mergeCell ref="L1045:N1046"/>
    <mergeCell ref="L1050:N1051"/>
    <mergeCell ref="L1055:N1056"/>
    <mergeCell ref="L1060:N1061"/>
    <mergeCell ref="L1065:N1066"/>
    <mergeCell ref="L1070:N1071"/>
    <mergeCell ref="L1075:N1076"/>
    <mergeCell ref="C2510:C2513"/>
    <mergeCell ref="D2510:F2511"/>
    <mergeCell ref="G2510:G2511"/>
    <mergeCell ref="C2450:C2453"/>
    <mergeCell ref="D2450:F2451"/>
    <mergeCell ref="G2450:G2451"/>
    <mergeCell ref="C2455:C2458"/>
    <mergeCell ref="D2455:F2456"/>
    <mergeCell ref="G2455:G2456"/>
    <mergeCell ref="C2440:C2443"/>
    <mergeCell ref="D2440:F2441"/>
    <mergeCell ref="G2440:G2441"/>
    <mergeCell ref="C2445:C2448"/>
    <mergeCell ref="D2445:F2446"/>
    <mergeCell ref="G2445:G2446"/>
    <mergeCell ref="C2430:C2433"/>
    <mergeCell ref="D2430:F2431"/>
    <mergeCell ref="G2430:G2431"/>
    <mergeCell ref="C2435:C2438"/>
    <mergeCell ref="D2435:F2436"/>
    <mergeCell ref="G2435:G2436"/>
    <mergeCell ref="C2420:C2423"/>
    <mergeCell ref="D2420:F2421"/>
    <mergeCell ref="G2420:G2421"/>
    <mergeCell ref="C2425:C2428"/>
    <mergeCell ref="D2425:F2426"/>
    <mergeCell ref="G2425:G2426"/>
    <mergeCell ref="C2410:C2413"/>
    <mergeCell ref="D2410:F2411"/>
    <mergeCell ref="G2410:G2411"/>
    <mergeCell ref="C2415:C2418"/>
    <mergeCell ref="D2415:F2416"/>
    <mergeCell ref="G2415:G2416"/>
    <mergeCell ref="AA1160:AA1163"/>
    <mergeCell ref="AB1160:AD1161"/>
    <mergeCell ref="AA1165:AA1168"/>
    <mergeCell ref="AB1165:AD1166"/>
    <mergeCell ref="AA1170:AA1173"/>
    <mergeCell ref="AB1170:AD1171"/>
    <mergeCell ref="AA1145:AA1148"/>
    <mergeCell ref="AB1145:AD1146"/>
    <mergeCell ref="AA1150:AA1153"/>
    <mergeCell ref="AB1150:AD1151"/>
    <mergeCell ref="AA1155:AA1158"/>
    <mergeCell ref="AB1155:AD1156"/>
    <mergeCell ref="AA1130:AA1133"/>
    <mergeCell ref="AB1130:AD1131"/>
    <mergeCell ref="AA1135:AA1138"/>
    <mergeCell ref="AB1135:AD1136"/>
    <mergeCell ref="AA1140:AA1143"/>
    <mergeCell ref="AB1140:AD1141"/>
    <mergeCell ref="AA1115:AA1118"/>
    <mergeCell ref="AB1115:AD1116"/>
    <mergeCell ref="AA1120:AA1123"/>
    <mergeCell ref="AB1120:AD1121"/>
    <mergeCell ref="AA1125:AA1128"/>
    <mergeCell ref="AB1125:AD1126"/>
    <mergeCell ref="AA1100:AA1103"/>
    <mergeCell ref="AB1100:AD1101"/>
    <mergeCell ref="AA1105:AA1108"/>
    <mergeCell ref="AB1105:AD1106"/>
    <mergeCell ref="AA1110:AA1113"/>
    <mergeCell ref="AB1110:AD1111"/>
    <mergeCell ref="AA1085:AA1088"/>
    <mergeCell ref="AB1085:AD1086"/>
    <mergeCell ref="AA1090:AA1093"/>
    <mergeCell ref="AB1090:AD1091"/>
    <mergeCell ref="AA1095:AA1098"/>
    <mergeCell ref="AB1095:AD1096"/>
    <mergeCell ref="AA1250:AA1253"/>
    <mergeCell ref="AB1250:AD1251"/>
    <mergeCell ref="AA1255:AA1258"/>
    <mergeCell ref="AB1255:AD1256"/>
    <mergeCell ref="AA1260:AA1263"/>
    <mergeCell ref="AB1260:AD1261"/>
    <mergeCell ref="AA1235:AA1238"/>
    <mergeCell ref="AB1235:AD1236"/>
    <mergeCell ref="AA1240:AA1243"/>
    <mergeCell ref="AB1240:AD1241"/>
    <mergeCell ref="AA1245:AA1248"/>
    <mergeCell ref="AB1245:AD1246"/>
    <mergeCell ref="AA1220:AA1223"/>
    <mergeCell ref="AB1220:AD1221"/>
    <mergeCell ref="AA1225:AA1228"/>
    <mergeCell ref="AB1225:AD1226"/>
    <mergeCell ref="AA1230:AA1233"/>
    <mergeCell ref="AB1230:AD1231"/>
    <mergeCell ref="AA1205:AA1208"/>
    <mergeCell ref="AB1205:AD1206"/>
    <mergeCell ref="AA1210:AA1213"/>
    <mergeCell ref="AB1210:AD1211"/>
    <mergeCell ref="AA1215:AA1218"/>
    <mergeCell ref="AB1215:AD1216"/>
    <mergeCell ref="AA1190:AA1193"/>
    <mergeCell ref="AB1190:AD1191"/>
    <mergeCell ref="AA1195:AA1198"/>
    <mergeCell ref="AB1195:AD1196"/>
    <mergeCell ref="AA1200:AA1203"/>
    <mergeCell ref="AB1200:AD1201"/>
    <mergeCell ref="AA1175:AA1178"/>
    <mergeCell ref="AB1175:AD1176"/>
    <mergeCell ref="AA1180:AA1183"/>
    <mergeCell ref="AB1180:AD1181"/>
    <mergeCell ref="AA1185:AA1188"/>
    <mergeCell ref="AB1185:AD1186"/>
    <mergeCell ref="AA1340:AA1343"/>
    <mergeCell ref="AB1340:AD1341"/>
    <mergeCell ref="AA1345:AA1348"/>
    <mergeCell ref="AB1345:AD1346"/>
    <mergeCell ref="AA1350:AA1353"/>
    <mergeCell ref="AB1350:AD1351"/>
    <mergeCell ref="AA1325:AA1328"/>
    <mergeCell ref="AB1325:AD1326"/>
    <mergeCell ref="AA1330:AA1333"/>
    <mergeCell ref="AB1330:AD1331"/>
    <mergeCell ref="AA1335:AA1338"/>
    <mergeCell ref="AB1335:AD1336"/>
    <mergeCell ref="AA1310:AA1313"/>
    <mergeCell ref="AB1310:AD1311"/>
    <mergeCell ref="AA1315:AA1318"/>
    <mergeCell ref="AB1315:AD1316"/>
    <mergeCell ref="AA1320:AA1323"/>
    <mergeCell ref="AB1320:AD1321"/>
    <mergeCell ref="AA1295:AA1298"/>
    <mergeCell ref="AB1295:AD1296"/>
    <mergeCell ref="AA1300:AA1303"/>
    <mergeCell ref="AB1300:AD1301"/>
    <mergeCell ref="AA1305:AA1308"/>
    <mergeCell ref="AB1305:AD1306"/>
    <mergeCell ref="AA1280:AA1283"/>
    <mergeCell ref="AB1280:AD1281"/>
    <mergeCell ref="AA1285:AA1288"/>
    <mergeCell ref="AB1285:AD1286"/>
    <mergeCell ref="AA1290:AA1293"/>
    <mergeCell ref="AB1290:AD1291"/>
    <mergeCell ref="AA1265:AA1268"/>
    <mergeCell ref="AB1265:AD1266"/>
    <mergeCell ref="AA1270:AA1273"/>
    <mergeCell ref="AB1270:AD1271"/>
    <mergeCell ref="AA1275:AA1278"/>
    <mergeCell ref="AB1275:AD1276"/>
    <mergeCell ref="AA1430:AA1433"/>
    <mergeCell ref="AB1430:AD1431"/>
    <mergeCell ref="AA1435:AA1438"/>
    <mergeCell ref="AB1435:AD1436"/>
    <mergeCell ref="AA1440:AA1443"/>
    <mergeCell ref="AB1440:AD1441"/>
    <mergeCell ref="AA1415:AA1418"/>
    <mergeCell ref="AB1415:AD1416"/>
    <mergeCell ref="AA1420:AA1423"/>
    <mergeCell ref="AB1420:AD1421"/>
    <mergeCell ref="AA1425:AA1428"/>
    <mergeCell ref="AB1425:AD1426"/>
    <mergeCell ref="AA1400:AA1403"/>
    <mergeCell ref="AB1400:AD1401"/>
    <mergeCell ref="AA1405:AA1408"/>
    <mergeCell ref="AB1405:AD1406"/>
    <mergeCell ref="AA1410:AA1413"/>
    <mergeCell ref="AB1410:AD1411"/>
    <mergeCell ref="AA1385:AA1388"/>
    <mergeCell ref="AB1385:AD1386"/>
    <mergeCell ref="AA1390:AA1393"/>
    <mergeCell ref="AB1390:AD1391"/>
    <mergeCell ref="AA1395:AA1398"/>
    <mergeCell ref="AB1395:AD1396"/>
    <mergeCell ref="AA1370:AA1373"/>
    <mergeCell ref="AB1370:AD1371"/>
    <mergeCell ref="AA1375:AA1378"/>
    <mergeCell ref="AB1375:AD1376"/>
    <mergeCell ref="AA1380:AA1383"/>
    <mergeCell ref="AB1380:AD1381"/>
    <mergeCell ref="AA1355:AA1358"/>
    <mergeCell ref="AB1355:AD1356"/>
    <mergeCell ref="AA1360:AA1363"/>
    <mergeCell ref="AB1360:AD1361"/>
    <mergeCell ref="AA1365:AA1368"/>
    <mergeCell ref="AB1365:AD1366"/>
    <mergeCell ref="AA1520:AA1523"/>
    <mergeCell ref="AB1520:AD1521"/>
    <mergeCell ref="AA1525:AA1528"/>
    <mergeCell ref="AB1525:AD1526"/>
    <mergeCell ref="AA1530:AA1533"/>
    <mergeCell ref="AB1530:AD1531"/>
    <mergeCell ref="AA1505:AA1508"/>
    <mergeCell ref="AB1505:AD1506"/>
    <mergeCell ref="AA1510:AA1513"/>
    <mergeCell ref="AB1510:AD1511"/>
    <mergeCell ref="AA1515:AA1518"/>
    <mergeCell ref="AB1515:AD1516"/>
    <mergeCell ref="AA1490:AA1493"/>
    <mergeCell ref="AB1490:AD1491"/>
    <mergeCell ref="AA1495:AA1498"/>
    <mergeCell ref="AB1495:AD1496"/>
    <mergeCell ref="AA1500:AA1503"/>
    <mergeCell ref="AB1500:AD1501"/>
    <mergeCell ref="AA1475:AA1478"/>
    <mergeCell ref="AB1475:AD1476"/>
    <mergeCell ref="AA1480:AA1483"/>
    <mergeCell ref="AB1480:AD1481"/>
    <mergeCell ref="AA1485:AA1488"/>
    <mergeCell ref="AB1485:AD1486"/>
    <mergeCell ref="AA1460:AA1463"/>
    <mergeCell ref="AB1460:AD1461"/>
    <mergeCell ref="AA1465:AA1468"/>
    <mergeCell ref="AB1465:AD1466"/>
    <mergeCell ref="AA1470:AA1473"/>
    <mergeCell ref="AB1470:AD1471"/>
    <mergeCell ref="AA1445:AA1448"/>
    <mergeCell ref="AB1445:AD1446"/>
    <mergeCell ref="AA1450:AA1453"/>
    <mergeCell ref="AB1450:AD1451"/>
    <mergeCell ref="AA1455:AA1458"/>
    <mergeCell ref="AB1455:AD1456"/>
    <mergeCell ref="AA1610:AA1613"/>
    <mergeCell ref="AB1610:AD1611"/>
    <mergeCell ref="AA1615:AA1618"/>
    <mergeCell ref="AB1615:AD1616"/>
    <mergeCell ref="AA1620:AA1623"/>
    <mergeCell ref="AB1620:AD1621"/>
    <mergeCell ref="AA1595:AA1598"/>
    <mergeCell ref="AB1595:AD1596"/>
    <mergeCell ref="AA1600:AA1603"/>
    <mergeCell ref="AB1600:AD1601"/>
    <mergeCell ref="AA1605:AA1608"/>
    <mergeCell ref="AB1605:AD1606"/>
    <mergeCell ref="AA1580:AA1583"/>
    <mergeCell ref="AB1580:AD1581"/>
    <mergeCell ref="AA1585:AA1588"/>
    <mergeCell ref="AB1585:AD1586"/>
    <mergeCell ref="AA1590:AA1593"/>
    <mergeCell ref="AB1590:AD1591"/>
    <mergeCell ref="AA1565:AA1568"/>
    <mergeCell ref="AB1565:AD1566"/>
    <mergeCell ref="AA1570:AA1573"/>
    <mergeCell ref="AB1570:AD1571"/>
    <mergeCell ref="AA1575:AA1578"/>
    <mergeCell ref="AB1575:AD1576"/>
    <mergeCell ref="AA1550:AA1553"/>
    <mergeCell ref="AB1550:AD1551"/>
    <mergeCell ref="AA1555:AA1558"/>
    <mergeCell ref="AB1555:AD1556"/>
    <mergeCell ref="AA1560:AA1563"/>
    <mergeCell ref="AB1560:AD1561"/>
    <mergeCell ref="AA1535:AA1538"/>
    <mergeCell ref="AB1535:AD1536"/>
    <mergeCell ref="AA1540:AA1543"/>
    <mergeCell ref="AB1540:AD1541"/>
    <mergeCell ref="AA1545:AA1548"/>
    <mergeCell ref="AB1545:AD1546"/>
    <mergeCell ref="AA1700:AA1703"/>
    <mergeCell ref="AB1700:AD1701"/>
    <mergeCell ref="AA1705:AA1708"/>
    <mergeCell ref="AB1705:AD1706"/>
    <mergeCell ref="AA1710:AA1713"/>
    <mergeCell ref="AB1710:AD1711"/>
    <mergeCell ref="AA1685:AA1688"/>
    <mergeCell ref="AB1685:AD1686"/>
    <mergeCell ref="AA1690:AA1693"/>
    <mergeCell ref="AB1690:AD1691"/>
    <mergeCell ref="AA1695:AA1698"/>
    <mergeCell ref="AB1695:AD1696"/>
    <mergeCell ref="AA1670:AA1673"/>
    <mergeCell ref="AB1670:AD1671"/>
    <mergeCell ref="AA1675:AA1678"/>
    <mergeCell ref="AB1675:AD1676"/>
    <mergeCell ref="AA1680:AA1683"/>
    <mergeCell ref="AB1680:AD1681"/>
    <mergeCell ref="AA1655:AA1658"/>
    <mergeCell ref="AB1655:AD1656"/>
    <mergeCell ref="AA1660:AA1663"/>
    <mergeCell ref="AB1660:AD1661"/>
    <mergeCell ref="AA1665:AA1668"/>
    <mergeCell ref="AB1665:AD1666"/>
    <mergeCell ref="AA1640:AA1643"/>
    <mergeCell ref="AB1640:AD1641"/>
    <mergeCell ref="AA1645:AA1648"/>
    <mergeCell ref="AB1645:AD1646"/>
    <mergeCell ref="AA1650:AA1653"/>
    <mergeCell ref="AB1650:AD1651"/>
    <mergeCell ref="AA1625:AA1628"/>
    <mergeCell ref="AB1625:AD1626"/>
    <mergeCell ref="AA1630:AA1633"/>
    <mergeCell ref="AB1630:AD1631"/>
    <mergeCell ref="AA1635:AA1638"/>
    <mergeCell ref="AB1635:AD1636"/>
    <mergeCell ref="AA1790:AA1793"/>
    <mergeCell ref="AB1790:AD1791"/>
    <mergeCell ref="AA1795:AA1798"/>
    <mergeCell ref="AB1795:AD1796"/>
    <mergeCell ref="AA1800:AA1803"/>
    <mergeCell ref="AB1800:AD1801"/>
    <mergeCell ref="AA1775:AA1778"/>
    <mergeCell ref="AB1775:AD1776"/>
    <mergeCell ref="AA1780:AA1783"/>
    <mergeCell ref="AB1780:AD1781"/>
    <mergeCell ref="AA1785:AA1788"/>
    <mergeCell ref="AB1785:AD1786"/>
    <mergeCell ref="AA1760:AA1763"/>
    <mergeCell ref="AB1760:AD1761"/>
    <mergeCell ref="AA1765:AA1768"/>
    <mergeCell ref="AB1765:AD1766"/>
    <mergeCell ref="AA1770:AA1773"/>
    <mergeCell ref="AB1770:AD1771"/>
    <mergeCell ref="AA1745:AA1748"/>
    <mergeCell ref="AB1745:AD1746"/>
    <mergeCell ref="AA1750:AA1753"/>
    <mergeCell ref="AB1750:AD1751"/>
    <mergeCell ref="AA1755:AA1758"/>
    <mergeCell ref="AB1755:AD1756"/>
    <mergeCell ref="AA1730:AA1733"/>
    <mergeCell ref="AB1730:AD1731"/>
    <mergeCell ref="AA1735:AA1738"/>
    <mergeCell ref="AB1735:AD1736"/>
    <mergeCell ref="AA1740:AA1743"/>
    <mergeCell ref="AB1740:AD1741"/>
    <mergeCell ref="AA1715:AA1718"/>
    <mergeCell ref="AB1715:AD1716"/>
    <mergeCell ref="AA1720:AA1723"/>
    <mergeCell ref="AB1720:AD1721"/>
    <mergeCell ref="AA1725:AA1728"/>
    <mergeCell ref="AB1725:AD1726"/>
    <mergeCell ref="AA1880:AA1883"/>
    <mergeCell ref="AB1880:AD1881"/>
    <mergeCell ref="AA1885:AA1888"/>
    <mergeCell ref="AB1885:AD1886"/>
    <mergeCell ref="AA1890:AA1893"/>
    <mergeCell ref="AB1890:AD1891"/>
    <mergeCell ref="AA1865:AA1868"/>
    <mergeCell ref="AB1865:AD1866"/>
    <mergeCell ref="AA1870:AA1873"/>
    <mergeCell ref="AB1870:AD1871"/>
    <mergeCell ref="AA1875:AA1878"/>
    <mergeCell ref="AB1875:AD1876"/>
    <mergeCell ref="AA1850:AA1853"/>
    <mergeCell ref="AB1850:AD1851"/>
    <mergeCell ref="AA1855:AA1858"/>
    <mergeCell ref="AB1855:AD1856"/>
    <mergeCell ref="AA1860:AA1863"/>
    <mergeCell ref="AB1860:AD1861"/>
    <mergeCell ref="AA1835:AA1838"/>
    <mergeCell ref="AB1835:AD1836"/>
    <mergeCell ref="AA1840:AA1843"/>
    <mergeCell ref="AB1840:AD1841"/>
    <mergeCell ref="AA1845:AA1848"/>
    <mergeCell ref="AB1845:AD1846"/>
    <mergeCell ref="AA1820:AA1823"/>
    <mergeCell ref="AB1820:AD1821"/>
    <mergeCell ref="AA1825:AA1828"/>
    <mergeCell ref="AB1825:AD1826"/>
    <mergeCell ref="AA1830:AA1833"/>
    <mergeCell ref="AB1830:AD1831"/>
    <mergeCell ref="AA1805:AA1808"/>
    <mergeCell ref="AB1805:AD1806"/>
    <mergeCell ref="AA1810:AA1813"/>
    <mergeCell ref="AB1810:AD1811"/>
    <mergeCell ref="AA1815:AA1818"/>
    <mergeCell ref="AB1815:AD1816"/>
    <mergeCell ref="AA1970:AA1973"/>
    <mergeCell ref="AB1970:AD1971"/>
    <mergeCell ref="AA1975:AA1978"/>
    <mergeCell ref="AB1975:AD1976"/>
    <mergeCell ref="AA1980:AA1983"/>
    <mergeCell ref="AB1980:AD1981"/>
    <mergeCell ref="AA1955:AA1958"/>
    <mergeCell ref="AB1955:AD1956"/>
    <mergeCell ref="AA1960:AA1963"/>
    <mergeCell ref="AB1960:AD1961"/>
    <mergeCell ref="AA1965:AA1968"/>
    <mergeCell ref="AB1965:AD1966"/>
    <mergeCell ref="AA1940:AA1943"/>
    <mergeCell ref="AB1940:AD1941"/>
    <mergeCell ref="AA1945:AA1948"/>
    <mergeCell ref="AB1945:AD1946"/>
    <mergeCell ref="AA1950:AA1953"/>
    <mergeCell ref="AB1950:AD1951"/>
    <mergeCell ref="AA1925:AA1928"/>
    <mergeCell ref="AB1925:AD1926"/>
    <mergeCell ref="AA1930:AA1933"/>
    <mergeCell ref="AB1930:AD1931"/>
    <mergeCell ref="AA1935:AA1938"/>
    <mergeCell ref="AB1935:AD1936"/>
    <mergeCell ref="AA1910:AA1913"/>
    <mergeCell ref="AB1910:AD1911"/>
    <mergeCell ref="AA1915:AA1918"/>
    <mergeCell ref="AB1915:AD1916"/>
    <mergeCell ref="AA1920:AA1923"/>
    <mergeCell ref="AB1920:AD1921"/>
    <mergeCell ref="AA1895:AA1898"/>
    <mergeCell ref="AB1895:AD1896"/>
    <mergeCell ref="AA1900:AA1903"/>
    <mergeCell ref="AB1900:AD1901"/>
    <mergeCell ref="AA1905:AA1908"/>
    <mergeCell ref="AB1905:AD1906"/>
    <mergeCell ref="AA2060:AA2063"/>
    <mergeCell ref="AB2060:AD2061"/>
    <mergeCell ref="AA2065:AA2068"/>
    <mergeCell ref="AB2065:AD2066"/>
    <mergeCell ref="AA2070:AA2073"/>
    <mergeCell ref="AB2070:AD2071"/>
    <mergeCell ref="AA2045:AA2048"/>
    <mergeCell ref="AB2045:AD2046"/>
    <mergeCell ref="AA2050:AA2053"/>
    <mergeCell ref="AB2050:AD2051"/>
    <mergeCell ref="AA2055:AA2058"/>
    <mergeCell ref="AB2055:AD2056"/>
    <mergeCell ref="AA2030:AA2033"/>
    <mergeCell ref="AB2030:AD2031"/>
    <mergeCell ref="AA2035:AA2038"/>
    <mergeCell ref="AB2035:AD2036"/>
    <mergeCell ref="AA2040:AA2043"/>
    <mergeCell ref="AB2040:AD2041"/>
    <mergeCell ref="AA2015:AA2018"/>
    <mergeCell ref="AB2015:AD2016"/>
    <mergeCell ref="AA2020:AA2023"/>
    <mergeCell ref="AB2020:AD2021"/>
    <mergeCell ref="AA2025:AA2028"/>
    <mergeCell ref="AB2025:AD2026"/>
    <mergeCell ref="AA2000:AA2003"/>
    <mergeCell ref="AB2000:AD2001"/>
    <mergeCell ref="AA2005:AA2008"/>
    <mergeCell ref="AB2005:AD2006"/>
    <mergeCell ref="AA2010:AA2013"/>
    <mergeCell ref="AB2010:AD2011"/>
    <mergeCell ref="AA1985:AA1988"/>
    <mergeCell ref="AB1985:AD1986"/>
    <mergeCell ref="AA1990:AA1993"/>
    <mergeCell ref="AB1990:AD1991"/>
    <mergeCell ref="AA1995:AA1998"/>
    <mergeCell ref="AB1995:AD1996"/>
    <mergeCell ref="AA2150:AA2153"/>
    <mergeCell ref="AB2150:AD2151"/>
    <mergeCell ref="AA2155:AA2158"/>
    <mergeCell ref="AB2155:AD2156"/>
    <mergeCell ref="AA2160:AA2163"/>
    <mergeCell ref="AB2160:AD2161"/>
    <mergeCell ref="AA2135:AA2138"/>
    <mergeCell ref="AB2135:AD2136"/>
    <mergeCell ref="AA2140:AA2143"/>
    <mergeCell ref="AB2140:AD2141"/>
    <mergeCell ref="AA2145:AA2148"/>
    <mergeCell ref="AB2145:AD2146"/>
    <mergeCell ref="AA2120:AA2123"/>
    <mergeCell ref="AB2120:AD2121"/>
    <mergeCell ref="AA2125:AA2128"/>
    <mergeCell ref="AB2125:AD2126"/>
    <mergeCell ref="AA2130:AA2133"/>
    <mergeCell ref="AB2130:AD2131"/>
    <mergeCell ref="AA2105:AA2108"/>
    <mergeCell ref="AB2105:AD2106"/>
    <mergeCell ref="AA2110:AA2113"/>
    <mergeCell ref="AB2110:AD2111"/>
    <mergeCell ref="AA2115:AA2118"/>
    <mergeCell ref="AB2115:AD2116"/>
    <mergeCell ref="AA2090:AA2093"/>
    <mergeCell ref="AB2090:AD2091"/>
    <mergeCell ref="AA2095:AA2098"/>
    <mergeCell ref="AB2095:AD2096"/>
    <mergeCell ref="AA2100:AA2103"/>
    <mergeCell ref="AB2100:AD2101"/>
    <mergeCell ref="AA2075:AA2078"/>
    <mergeCell ref="AB2075:AD2076"/>
    <mergeCell ref="AA2080:AA2083"/>
    <mergeCell ref="AB2080:AD2081"/>
    <mergeCell ref="AA2085:AA2088"/>
    <mergeCell ref="AB2085:AD2086"/>
    <mergeCell ref="AA2240:AA2243"/>
    <mergeCell ref="AB2240:AD2241"/>
    <mergeCell ref="AA2245:AA2248"/>
    <mergeCell ref="AB2245:AD2246"/>
    <mergeCell ref="AA2250:AA2253"/>
    <mergeCell ref="AB2250:AD2251"/>
    <mergeCell ref="AA2225:AA2228"/>
    <mergeCell ref="AB2225:AD2226"/>
    <mergeCell ref="AA2230:AA2233"/>
    <mergeCell ref="AB2230:AD2231"/>
    <mergeCell ref="AA2235:AA2238"/>
    <mergeCell ref="AB2235:AD2236"/>
    <mergeCell ref="AA2210:AA2213"/>
    <mergeCell ref="AB2210:AD2211"/>
    <mergeCell ref="AA2215:AA2218"/>
    <mergeCell ref="AB2215:AD2216"/>
    <mergeCell ref="AA2220:AA2223"/>
    <mergeCell ref="AB2220:AD2221"/>
    <mergeCell ref="AA2195:AA2198"/>
    <mergeCell ref="AB2195:AD2196"/>
    <mergeCell ref="AA2200:AA2203"/>
    <mergeCell ref="AB2200:AD2201"/>
    <mergeCell ref="AA2205:AA2208"/>
    <mergeCell ref="AB2205:AD2206"/>
    <mergeCell ref="AA2180:AA2183"/>
    <mergeCell ref="AB2180:AD2181"/>
    <mergeCell ref="AA2185:AA2188"/>
    <mergeCell ref="AB2185:AD2186"/>
    <mergeCell ref="AA2190:AA2193"/>
    <mergeCell ref="AB2190:AD2191"/>
    <mergeCell ref="AA2165:AA2168"/>
    <mergeCell ref="AB2165:AD2166"/>
    <mergeCell ref="AA2170:AA2173"/>
    <mergeCell ref="AB2170:AD2171"/>
    <mergeCell ref="AA2175:AA2178"/>
    <mergeCell ref="AB2175:AD2176"/>
    <mergeCell ref="AA2330:AA2333"/>
    <mergeCell ref="AB2330:AD2331"/>
    <mergeCell ref="AA2335:AA2338"/>
    <mergeCell ref="AB2335:AD2336"/>
    <mergeCell ref="AA2340:AA2343"/>
    <mergeCell ref="AB2340:AD2341"/>
    <mergeCell ref="AA2315:AA2318"/>
    <mergeCell ref="AB2315:AD2316"/>
    <mergeCell ref="AA2320:AA2323"/>
    <mergeCell ref="AB2320:AD2321"/>
    <mergeCell ref="AA2325:AA2328"/>
    <mergeCell ref="AB2325:AD2326"/>
    <mergeCell ref="AA2300:AA2303"/>
    <mergeCell ref="AB2300:AD2301"/>
    <mergeCell ref="AA2305:AA2308"/>
    <mergeCell ref="AB2305:AD2306"/>
    <mergeCell ref="AA2310:AA2313"/>
    <mergeCell ref="AB2310:AD2311"/>
    <mergeCell ref="AA2285:AA2288"/>
    <mergeCell ref="AB2285:AD2286"/>
    <mergeCell ref="AA2290:AA2293"/>
    <mergeCell ref="AB2290:AD2291"/>
    <mergeCell ref="AA2295:AA2298"/>
    <mergeCell ref="AB2295:AD2296"/>
    <mergeCell ref="AA2270:AA2273"/>
    <mergeCell ref="AB2270:AD2271"/>
    <mergeCell ref="AA2275:AA2278"/>
    <mergeCell ref="AB2275:AD2276"/>
    <mergeCell ref="AA2280:AA2283"/>
    <mergeCell ref="AB2280:AD2281"/>
    <mergeCell ref="AA2255:AA2258"/>
    <mergeCell ref="AB2255:AD2256"/>
    <mergeCell ref="AA2260:AA2263"/>
    <mergeCell ref="AB2260:AD2261"/>
    <mergeCell ref="AA2265:AA2268"/>
    <mergeCell ref="AB2265:AD2266"/>
    <mergeCell ref="AA2420:AA2423"/>
    <mergeCell ref="AB2420:AD2421"/>
    <mergeCell ref="AA2425:AA2428"/>
    <mergeCell ref="AB2425:AD2426"/>
    <mergeCell ref="AA2430:AA2433"/>
    <mergeCell ref="AB2430:AD2431"/>
    <mergeCell ref="AA2405:AA2408"/>
    <mergeCell ref="AB2405:AD2406"/>
    <mergeCell ref="AA2410:AA2413"/>
    <mergeCell ref="AB2410:AD2411"/>
    <mergeCell ref="AA2415:AA2418"/>
    <mergeCell ref="AB2415:AD2416"/>
    <mergeCell ref="AA2390:AA2393"/>
    <mergeCell ref="AB2390:AD2391"/>
    <mergeCell ref="AA2395:AA2398"/>
    <mergeCell ref="AB2395:AD2396"/>
    <mergeCell ref="AA2400:AA2403"/>
    <mergeCell ref="AB2400:AD2401"/>
    <mergeCell ref="AA2375:AA2378"/>
    <mergeCell ref="AB2375:AD2376"/>
    <mergeCell ref="AA2380:AA2383"/>
    <mergeCell ref="AB2380:AD2381"/>
    <mergeCell ref="AA2385:AA2388"/>
    <mergeCell ref="AB2385:AD2386"/>
    <mergeCell ref="AA2360:AA2363"/>
    <mergeCell ref="AB2360:AD2361"/>
    <mergeCell ref="AA2365:AA2368"/>
    <mergeCell ref="AB2365:AD2366"/>
    <mergeCell ref="AA2370:AA2373"/>
    <mergeCell ref="AB2370:AD2371"/>
    <mergeCell ref="AA2345:AA2348"/>
    <mergeCell ref="AB2345:AD2346"/>
    <mergeCell ref="AA2350:AA2353"/>
    <mergeCell ref="AB2350:AD2351"/>
    <mergeCell ref="AA2355:AA2358"/>
    <mergeCell ref="AB2355:AD2356"/>
    <mergeCell ref="AA2510:AA2513"/>
    <mergeCell ref="AB2510:AD2511"/>
    <mergeCell ref="AA2515:AA2518"/>
    <mergeCell ref="AB2515:AD2516"/>
    <mergeCell ref="AA2495:AA2498"/>
    <mergeCell ref="AB2495:AD2496"/>
    <mergeCell ref="AA2500:AA2503"/>
    <mergeCell ref="AB2500:AD2501"/>
    <mergeCell ref="AA2505:AA2508"/>
    <mergeCell ref="AB2505:AD2506"/>
    <mergeCell ref="AA2480:AA2483"/>
    <mergeCell ref="AB2480:AD2481"/>
    <mergeCell ref="AA2485:AA2488"/>
    <mergeCell ref="AB2485:AD2486"/>
    <mergeCell ref="AA2490:AA2493"/>
    <mergeCell ref="AB2490:AD2491"/>
    <mergeCell ref="AA2465:AA2468"/>
    <mergeCell ref="AB2465:AD2466"/>
    <mergeCell ref="AA2470:AA2473"/>
    <mergeCell ref="AB2470:AD2471"/>
    <mergeCell ref="AA2475:AA2478"/>
    <mergeCell ref="AB2475:AD2476"/>
    <mergeCell ref="AA2450:AA2453"/>
    <mergeCell ref="AB2450:AD2451"/>
    <mergeCell ref="AA2455:AA2458"/>
    <mergeCell ref="AB2455:AD2456"/>
    <mergeCell ref="AA2460:AA2463"/>
    <mergeCell ref="AB2460:AD2461"/>
    <mergeCell ref="AA2435:AA2438"/>
    <mergeCell ref="AB2435:AD2436"/>
    <mergeCell ref="AA2440:AA2443"/>
    <mergeCell ref="AB2440:AD2441"/>
    <mergeCell ref="AA2445:AA2448"/>
    <mergeCell ref="AB2445:AD2446"/>
  </mergeCells>
  <conditionalFormatting sqref="C15 K15 S15 AA15 C20 C25 C30 C35 C40 C45 C50 C55 C60 C65 C70 C75 C80 C85 C90 C95 C100 C105 C110 C115 C120 C125 C130 C135 C140 C145 C150 C155 C160 C165 C170 C175 C180 C185 C190 C195 C200 C205 C210 C215 C220 C225 C230 C235 C240 C245 C250 C255 C260 C265 C270 C275 C280 C285 C290 C295 C300 C305 C310 C315 C320 C325 C330 C335 C340 C345 C350 C355 C360 C365 C370 C375 C380 C385 C390 C395 C400 C405 C410 C415 C420 C425 C430 C435 C440 C445 C450 C455 C460 C465 C470 C475 C480 C485 C490 C495 C500 C505 C510 C515 C520 C525 C530 C535 C540 C545 C550 C555 C560 C565 C570 C575 C580 C585 C590 C595 C600 C605 C610 C615 C620 C625 C630 C635 C640 C645 C650 C655 C660 C665 C670 C675 C680 C685 C690 C695 C700 C705 C710 C715 C720 C725 C730 C735 C740 C745 C750 C755 C760 C765 C770 C775 C780 C785 C790 C795 C800 C805 C810 C815 C820 C825 C830 C835 C840 C845 C850 C855 C860 C865 C870 C875 C880 C885 C890 C895 C900 C905 C910 C915 C920 C925 C930 C935 C940 C945 C950 C955 C960 C965 C970 C975 C980 C985 C990 C995 C1000 C1005 C1010 C1015 C1020 C1025 C1030 C1035 C1040 C1045 C1050 C1055 C1060 C1065 C1070 C1075 C1080 C1085 C1090 C1095 C1100 C1105 C1110 C1115 C1120 C1125 C1130 C1135 C1140 C1145 C1150 C1155 C1160 C1165 C1170 C1175 C1180 C1185 C1190 C1195 C1200 C1205 C1210 C1215 C1220 C1225 C1230 C1235 C1240 C1245 C1250 C1255 C1260 C1265 C1270 C1275 C1280 C1285 C1290 C1295 C1300 C1305 C1310 C1315 C1320 C1325 C1330 C1335 C1340 C1345 C1350 C1355 C1360 C1365 C1370 C1375 C1380 C1385 C1390 C1395 C1400 C1405 C1410 C1415 C1420 C1425 C1430 C1435 C1440 C1445 C1450 C1455 C1460 C1465 C1470 C1475 C1480 C1485 C1490 C1495 C1500 C1505 C1510 C1515 C1520 C1525 C1530 C1535 C1540 C1545 C1550 C1555 C1560 C1565 C1570 C1575 C1580 C1585 C1590 C1595 C1600 C1605 C1610 C1615 C1620 C1625 C1630 C1635 C1640 C1645 C1650 C1655 C1660 C1665 C1670 C1675 C1680 C1685 C1690 C1695 C1700 C1705 C1710 C1715 C1720 C1725 C1730 C1735 C1740 C1745 C1750 C1755 C1760 C1765 C1770 C1775 C1780 C1785 C1790 C1795 C1800 C1805 C1810 C1815 C1820 C1825 C1830 C1835 C1840 C1845 C1850 C1855 C1860 C1865 C1870 C1875 C1880 C1885 C1890 C1895 C1900 C1905 C1910 C1915 C1920 C1925 C1930 C1935 C1940 C1945 C1950 C1955 C1960 C1965 C1970 C1975 C1980 C1985 C1990 C1995 C2000 C2005 C2010 C2015 C2020 C2025 C2030 C2035 C2040 C2045 C2050 C2055 C2060 C2065 C2070 C2075 C2080 C2085 C2090 C2095 C2100 C2105 C2110 C2115 C2120 C2125 C2130 C2135 C2140 C2145 C2150 C2155 C2160 C2165 C2170 C2175 C2180 C2185 C2190 C2195 C2200 C2205 C2210 C2215 C2220 C2225 C2230 C2235 C2240 C2245 C2250 C2255 C2260 C2265 C2270 C2275 C2280 C2285 C2290 C2295 C2300 C2305 C2310 C2315 C2320 C2325 C2330 C2335 C2340 C2345 C2350 C2355 C2360 C2365 C2370 C2375 C2380 C2385 C2390 C2395 C2400 C2405 C2410 C2415 C2420 C2425 C2430 C2435 C2440 C2445 C2450 C2455 C2460 C2465 C2470 C2475 C2480 C2485 C2490 C2495 C2500 C2505 C2510 C2515 K20 K25 K30 K35 K40 K45 K50 K55 K60 K65 K70 K75 K80 K85 K90 K95 K100 K105 K110 K115 K120 K125 K130 K135 K140 K145 K150 K155 K160 K165 K170 K175 K180 K185 K190 K195 K200 K205 K210 K215 K220 K225 K230 K235 K240 K245 K250 K255 K260 K265 K270 K275 K280 K285 K290 K295 K300 K305 K310 K315 K320 K325 K330 K335 K340 K345 K350 K355 K360 K365 K370 K375 K380 K385 K390 K395 K400 K405 K410 K415 K420 K425 K430 K435 K440 K445 K450 K455 K460 K465 K470 K475 K480 K485 K490 K495 K500 K505 K510 K515 K520 K525 K530 K535 K540 K545 K550 K555 K560 K565 K570 K575 K580 K585 K590 K595 K600 K605 K610 K615 K620 K625 K630 K635 K640 K645 K650 K655 K660 K665 K670 K675 K680 K685 K690 K695 K700 K705 K710 K715 K720 K725 K730 K735 K740 K745 K750 K755 K760 K765 K770 K775 K780 K785 K790 K795 K800 K805 K810 K815 K820 K825 K830 K835 K840 K845 K850 K855 K860 K865 K870 K875 K880 K885 K890 K895 K900 K905 K910 K915 K920 K925 K930 K935 K940 K945 K950 K955 K960 K965 K970 K975 K980 K985 K990 K995 K1000 K1005 K1010 K1015 K1020 K1025 K1030 K1035 K1040 K1045 K1050 K1055 K1060 K1065 K1070 K1075 K1080 K1085 K1090 K1095 K1100 K1105 K1110 K1115 K1120 K1125 K1130 K1135 K1140 K1145 K1150 K1155 K1160 K1165 K1170 K1175 K1180 K1185 K1190 K1195 K1200 K1205 K1210 K1215 K1220 K1225 K1230 K1235 K1240 K1245 K1250 K1255 K1260 K1265 K1270 K1275 K1280 K1285 K1290 K1295 K1300 K1305 K1310 K1315 K1320 K1325 K1330 K1335 K1340 K1345 K1350 K1355 K1360 K1365 K1370 K1375 K1380 K1385 K1390 K1395 K1400 K1405 K1410 K1415 K1420 K1425 K1430 K1435 K1440 K1445 K1450 K1455 K1460 K1465 K1470 K1475 K1480 K1485 K1490 K1495 K1500 K1505 K1510 K1515 K1520 K1525 K1530 K1535 K1540 K1545 K1550 K1555 K1560 K1565 K1570 K1575 K1580 K1585 K1590 K1595 K1600 K1605 K1610 K1615 K1620 K1625 K1630 K1635 K1640 K1645 K1650 K1655 K1660 K1665 K1670 K1675 K1680 K1685 K1690 K1695 K1700 K1705 K1710 K1715 K1720 K1725 K1730 K1735 K1740 K1745 K1750 K1755 K1760 K1765 K1770 K1775 K1780 K1785 K1790 K1795 K1800 K1805 K1810 K1815 K1820 K1825 K1830 K1835 K1840 K1845 K1850 K1855 K1860 K1865 K1870 K1875 K1880 K1885 K1890 K1895 K1900 K1905 K1910 K1915 K1920 K1925 K1930 K1935 K1940 K1945 K1950 K1955 K1960 K1965 K1970 K1975 K1980 K1985 K1990 K1995 K2000 K2005 K2010 K2015 K2020 K2025 K2030 K2035 K2040 K2045 K2050 K2055 K2060 K2065 K2070 K2075 K2080 K2085 K2090 K2095 K2100 K2105 K2110 K2115 K2120 K2125 K2130 K2135 K2140 K2145 K2150 K2155 K2160 K2165 K2170 K2175 K2180 K2185 K2190 K2195 K2200 K2205 K2210 K2215 K2220 K2225 K2230 K2235 K2240 K2245 K2250 K2255 K2260 K2265 K2270 K2275 K2280 K2285 K2290 K2295 K2300 K2305 K2310 K2315 K2320 K2325 K2330 K2335 K2340 K2345 K2350 K2355 K2360 K2365 K2370 K2375 K2380 K2385 K2390 K2395 K2400 K2405 K2410 K2415 K2420 K2425 K2430 K2435 K2440 K2445 K2450 K2455 K2460 K2465 K2470 K2475 K2480 K2485 K2490 K2495 K2500 K2505 K2510 K2515 S20 S25 S30 S35 S40 S45 S50 S55 S60 S65 S70 S75 S80 S85 S90 S95 S100 S105 S110 S115 S120 S125 S130 S135 S140 S145 S150 S155 S160 S165 S170 S175 S180 S185 S190 S195 S200 S205 S210 S215 S220 S225 S230 S235 S240 S245 S250 S255 S260 S265 S270 S275 S280 S285 S290 S295 S300 S305 S310 S315 S320 S325 S330 S335 S340 S345 S350 S355 S360 S365 S370 S375 S380 S385 S390 S395 S400 S405 S410 S415 S420 S425 S430 S435 S440 S445 S450 S455 S460 S465 S470 S475 S480 S485 S490 S495 S500 S505 S510 S515 S520 S525 S530 S535 S540 S545 S550 S555 S560 S565 S570 S575 S580 S585 S590 S595 S600 S605 S610 S615 S620 S625 S630 S635 S640 S645 S650 S655 S660 S665 S670 S675 S680 S685 S690 S695 S700 S705 S710 S715 S720 S725 S730 S735 S740 S745 S750 S755 S760 S765 S770 S775 S780 S785 S790 S795 S800 S805 S810 S815 S820 S825 S830 S835 S840 S845 S850 S855 S860 S865 S870 S875 S880 S885 S890 S895 S900 S905 S910 S915 S920 S925 S930 S935 S940 S945 S950 S955 S960 S965 S970 S975 S980 S985 S990 S995 S1000 S1005 S1010 S1015 S1020 S1025 S1030 S1035 S1040 S1045 S1050 S1055 S1060 S1065 S1070 S1075 S1080 S1085 S1090 S1095 S1100 S1105 S1110 S1115 S1120 S1125 S1130 S1135 S1140 S1145 S1150 S1155 S1160 S1165 S1170 S1175 S1180 S1185 S1190 S1195 S1200 S1205 S1210 S1215 S1220 S1225 S1230 S1235 S1240 S1245 S1250 S1255 S1260 S1265 S1270 S1275 S1280 S1285 S1290 S1295 S1300 S1305 S1310 S1315 S1320 S1325 S1330 S1335 S1340 S1345 S1350 S1355 S1360 S1365 S1370 S1375 S1380 S1385 S1390 S1395 S1400 S1405 S1410 S1415 S1420 S1425 S1430 S1435 S1440 S1445 S1450 S1455 S1460 S1465 S1470 S1475 S1480 S1485 S1490 S1495 S1500 S1505 S1510 S1515 S1520 S1525 S1530 S1535 S1540 S1545 S1550 S1555 S1560 S1565 S1570 S1575 S1580 S1585 S1590 S1595 S1600 S1605 S1610 S1615 S1620 S1625 S1630 S1635 S1640 S1645 S1650 S1655 S1660 S1665 S1670 S1675 S1680 S1685 S1690 S1695 S1700 S1705 S1710 S1715 S1720 S1725 S1730 S1735 S1740 S1745 S1750 S1755 S1760 S1765 S1770 S1775 S1780 S1785 S1790 S1795 S1800 S1805 S1810 S1815 S1820 S1825 S1830 S1835 S1840 S1845 S1850 S1855 S1860 S1865 S1870 S1875 S1880 S1885 S1890 S1895 S1900 S1905 S1910 S1915 S1920 S1925 S1930 S1935 S1940 S1945 S1950 S1955 S1960 S1965 S1970 S1975 S1980 S1985 S1990 S1995 S2000 S2005 S2010 S2015 S2020 S2025 S2030 S2035 S2040 S2045 S2050 S2055 S2060 S2065 S2070 S2075 S2080 S2085 S2090 S2095 S2100 S2105 S2110 S2115 S2120 S2125 S2130 S2135 S2140 S2145 S2150 S2155 S2160 S2165 S2170 S2175 S2180 S2185 S2190 S2195 S2200 S2205 S2210 S2215 S2220 S2225 S2230 S2235 S2240 S2245 S2250 S2255 S2260 S2265 S2270 S2275 S2280 S2285 S2290 S2295 S2300 S2305 S2310 S2315 S2320 S2325 S2330 S2335 S2340 S2345 S2350 S2355 S2360 S2365 S2370 S2375 S2380 S2385 S2390 S2395 S2400 S2405 S2410 S2415 S2420 S2425 S2430 S2435 S2440 S2445 S2450 S2455 S2460 S2465 S2470 S2475 S2480 S2485 S2490 S2495 S2500 S2505 S2510 S2515 AA20 AA25 AA30 AA35 AA40 AA45 AA50 AA55 AA60 AA65 AA70 AA75 AA80 AA85 AA90 AA95 AA100 AA105 AA110 AA115 AA120 AA125 AA130 AA135 AA140 AA145 AA150 AA155 AA160 AA165 AA170 AA175 AA180 AA185 AA190 AA195 AA200 AA205 AA210 AA215 AA220 AA225 AA230 AA235 AA240 AA245 AA250 AA255 AA260 AA265 AA270 AA275 AA280 AA285 AA290 AA295 AA300 AA305 AA310 AA315 AA320 AA325 AA330 AA335 AA340 AA345 AA350 AA355 AA360 AA365 AA370 AA375 AA380 AA385 AA390 AA395 AA400 AA405 AA410 AA415 AA420 AA425 AA430 AA435 AA440 AA445 AA450 AA455 AA460 AA465 AA470 AA475 AA480 AA485 AA490 AA495 AA500 AA505 AA510 AA515 AA520 AA525 AA530 AA535 AA540 AA545 AA550 AA555 AA560 AA565 AA570 AA575 AA580 AA585 AA590 AA595 AA600 AA605 AA610 AA615 AA620 AA625 AA630 AA635 AA640 AA645 AA650 AA655 AA660 AA665 AA670 AA675 AA680 AA685 AA690 AA695 AA700 AA705 AA710 AA715 AA720 AA725 AA730 AA735 AA740 AA745 AA750 AA755 AA760 AA765 AA770 AA775 AA780 AA785 AA790 AA795 AA800 AA805 AA810 AA815 AA820 AA825 AA830 AA835 AA840 AA845 AA850 AA855 AA860 AA865 AA870 AA875 AA880 AA885 AA890 AA895 AA900 AA905 AA910 AA915 AA920 AA925 AA930 AA935 AA940 AA945 AA950 AA955 AA960 AA965 AA970 AA975 AA980 AA985 AA990 AA995 AA1000 AA1005 AA1010 AA1015 AA1020 AA1025 AA1030 AA1035 AA1040 AA1045 AA1050 AA1055 AA1060 AA1065 AA1070 AA1075 AA1080 AA1085 AA1090 AA1095 AA1100 AA1105 AA1110 AA1115 AA1120 AA1125 AA1130 AA1135 AA1140 AA1145 AA1150 AA1155 AA1160 AA1165 AA1170 AA1175 AA1180 AA1185 AA1190 AA1195 AA1200 AA1205 AA1210 AA1215 AA1220 AA1225 AA1230 AA1235 AA1240 AA1245 AA1250 AA1255 AA1260 AA1265 AA1270 AA1275 AA1280 AA1285 AA1290 AA1295 AA1300 AA1305 AA1310 AA1315 AA1320 AA1325 AA1330 AA1335 AA1340 AA1345 AA1350 AA1355 AA1360 AA1365 AA1370 AA1375 AA1380 AA1385 AA1390 AA1395 AA1400 AA1405 AA1410 AA1415 AA1420 AA1425 AA1430 AA1435 AA1440 AA1445 AA1450 AA1455 AA1460 AA1465 AA1470 AA1475 AA1480 AA1485 AA1490 AA1495 AA1500 AA1505 AA1510 AA1515 AA1520 AA1525 AA1530 AA1535 AA1540 AA1545 AA1550 AA1555 AA1560 AA1565 AA1570 AA1575 AA1580 AA1585 AA1590 AA1595 AA1600 AA1605 AA1610 AA1615 AA1620 AA1625 AA1630 AA1635 AA1640 AA1645 AA1650 AA1655 AA1660 AA1665 AA1670 AA1675 AA1680 AA1685 AA1690 AA1695 AA1700 AA1705 AA1710 AA1715 AA1720 AA1725 AA1730 AA1735 AA1740 AA1745 AA1750 AA1755 AA1760 AA1765 AA1770 AA1775 AA1780 AA1785 AA1790 AA1795 AA1800 AA1805 AA1810 AA1815 AA1820 AA1825 AA1830 AA1835 AA1840 AA1845 AA1850 AA1855 AA1860 AA1865 AA1870 AA1875 AA1880 AA1885 AA1890 AA1895 AA1900 AA1905 AA1910 AA1915 AA1920 AA1925 AA1930 AA1935 AA1940 AA1945 AA1950 AA1955 AA1960 AA1965 AA1970 AA1975 AA1980 AA1985 AA1990 AA1995 AA2000 AA2005 AA2010 AA2015 AA2020 AA2025 AA2030 AA2035 AA2040 AA2045 AA2050 AA2055 AA2060 AA2065 AA2070 AA2075 AA2080 AA2085 AA2090 AA2095 AA2100 AA2105 AA2110 AA2115 AA2120 AA2125 AA2130 AA2135 AA2140 AA2145 AA2150 AA2155 AA2160 AA2165 AA2170 AA2175 AA2180 AA2185 AA2190 AA2195 AA2200 AA2205 AA2210 AA2215 AA2220 AA2225 AA2230 AA2235 AA2240 AA2245 AA2250 AA2255 AA2260 AA2265 AA2270 AA2275 AA2280 AA2285 AA2290 AA2295 AA2300 AA2305 AA2310 AA2315 AA2320 AA2325 AA2330 AA2335 AA2340 AA2345 AA2350 AA2355 AA2360 AA2365 AA2370 AA2375 AA2380 AA2385 AA2390 AA2395 AA2400 AA2405 AA2410 AA2415 AA2420 AA2425 AA2430 AA2435 AA2440 AA2445 AA2450 AA2455 AA2460 AA2465 AA2470 AA2475 AA2480 AA2485 AA2490 AA2495 AA2500 AA2505 AA2510 AA2515">
    <cfRule type="containsBlanks" dxfId="17" priority="5">
      <formula>LEN(TRIM(C15))=0</formula>
    </cfRule>
  </conditionalFormatting>
  <conditionalFormatting sqref="L17:O18 T17:W18 AB17:AE18 D17:G18 G15 D15 O15 L15 W15 T15 AE15 AB15 D22:G23 D27:G28 D32:G33 D37:G38 D42:G43 D47:G48 D52:G53 D57:G58 D62:G63 D67:G68 D72:G73 D77:G78 D82:G83 D87:G88 D92:G93 D97:G98 D102:G103 D107:G108 D112:G113 D117:G118 D122:G123 D127:G128 D132:G133 D137:G138 D142:G143 D147:G148 D152:G153 D157:G158 D162:G163 D167:G168 D172:G173 D177:G178 D182:G183 D187:G188 D192:G193 D197:G198 D202:G203 D207:G208 D212:G213 D217:G218 D222:G223 D227:G228 D232:G233 D237:G238 D242:G243 D247:G248 D252:G253 D257:G258 D262:G263 D267:G268 D272:G273 D277:G278 D282:G283 D287:G288 D292:G293 D297:G298 D302:G303 D307:G308 D312:G313 D317:G318 D322:G323 D327:G328 D332:G333 D337:G338 D342:G343 D347:G348 D352:G353 D357:G358 D362:G363 D367:G368 D372:G373 D377:G378 D382:G383 D387:G388 D392:G393 D397:G398 D402:G403 D407:G408 D412:G413 D417:G418 D422:G423 D427:G428 D432:G433 D437:G438 D442:G443 D447:G448 D452:G453 D457:G458 D462:G463 D467:G468 D472:G473 D477:G478 D482:G483 D487:G488 D492:G493 D497:G498 D502:G503 D507:G508 D512:G513 D517:G518 D522:G523 D527:G528 D532:G533 D537:G538 D542:G543 D547:G548 D552:G553 D557:G558 D562:G563 D567:G568 D572:G573 D577:G578 D582:G583 D587:G588 D592:G593 D597:G598 D602:G603 D607:G608 D612:G613 D617:G618 D622:G623 D627:G628 D632:G633 D637:G638 D642:G643 D647:G648 D652:G653 D657:G658 D662:G663 D667:G668 D672:G673 D677:G678 D682:G683 D687:G688 D692:G693 D697:G698 D702:G703 D707:G708 D712:G713 D717:G718 D722:G723 D727:G728 D732:G733 D737:G738 D742:G743 D747:G748 D752:G753 D757:G758 D762:G763 D767:G768 D772:G773 D777:G778 D782:G783 D787:G788 D792:G793 D797:G798 D802:G803 D807:G808 D812:G813 D817:G818 D822:G823 D827:G828 D832:G833 D837:G838 D842:G843 D847:G848 D852:G853 D857:G858 D862:G863 D867:G868 D872:G873 D877:G878 D882:G883 D887:G888 D892:G893 D897:G898 D902:G903 D907:G908 D912:G913 D917:G918 D922:G923 D927:G928 D932:G933 D937:G938 D942:G943 D947:G948 D952:G953 D957:G958 D962:G963 D967:G968 D972:G973 D977:G978 D982:G983 D987:G988 D992:G993 D997:G998 D1002:G1003 D1007:G1008 D1012:G1013 D1017:G1018 D1022:G1023 D1027:G1028 D1032:G1033 D1037:G1038 D1042:G1043 D1047:G1048 D1052:G1053 D1057:G1058 D1062:G1063 D1067:G1068 D1072:G1073 D1077:G1078 D1082:G1083 D1087:G1088 D1092:G1093 D1097:G1098 D1102:G1103 D1107:G1108 D1112:G1113 D1117:G1118 D1122:G1123 D1127:G1128 D1132:G1133 D1137:G1138 D1142:G1143 D1147:G1148 D1152:G1153 D1157:G1158 D1162:G1163 D1167:G1168 D1172:G1173 D1177:G1178 D1182:G1183 D1187:G1188 D1192:G1193 D1197:G1198 D1202:G1203 D1207:G1208 D1212:G1213 D1217:G1218 D1222:G1223 D1227:G1228 D1232:G1233 D1237:G1238 D1242:G1243 D1247:G1248 D1252:G1253 D1257:G1258 D1262:G1263 D1267:G1268 D1272:G1273 D1277:G1278 D1282:G1283 D1287:G1288 D1292:G1293 D1297:G1298 D1302:G1303 D1307:G1308 D1312:G1313 D1317:G1318 D1322:G1323 D1327:G1328 D1332:G1333 D1337:G1338 D1342:G1343 D1347:G1348 D1352:G1353 D1357:G1358 D1362:G1363 D1367:G1368 D1372:G1373 D1377:G1378 D1382:G1383 D1387:G1388 D1392:G1393 D1397:G1398 D1402:G1403 D1407:G1408 D1412:G1413 D1417:G1418 D1422:G1423 D1427:G1428 D1432:G1433 D1437:G1438 D1442:G1443 D1447:G1448 D1452:G1453 D1457:G1458 D1462:G1463 D1467:G1468 D1472:G1473 D1477:G1478 D1482:G1483 D1487:G1488 D1492:G1493 D1497:G1498 D1502:G1503 D1507:G1508 D1512:G1513 D1517:G1518 D1522:G1523 D1527:G1528 D1532:G1533 D1537:G1538 D1542:G1543 D1547:G1548 D1552:G1553 D1557:G1558 D1562:G1563 D1567:G1568 D1572:G1573 D1577:G1578 D1582:G1583 D1587:G1588 D1592:G1593 D1597:G1598 D1602:G1603 D1607:G1608 D1612:G1613 D1617:G1618 D1622:G1623 D1627:G1628 D1632:G1633 D1637:G1638 D1642:G1643 D1647:G1648 D1652:G1653 D1657:G1658 D1662:G1663 D1667:G1668 D1672:G1673 D1677:G1678 D1682:G1683 D1687:G1688 D1692:G1693 D1697:G1698 D1702:G1703 D1707:G1708 D1712:G1713 D1717:G1718 D1722:G1723 D1727:G1728 D1732:G1733 D1737:G1738 D1742:G1743 D1747:G1748 D1752:G1753 D1757:G1758 D1762:G1763 D1767:G1768 D1772:G1773 D1777:G1778 D1782:G1783 D1787:G1788 D1792:G1793 D1797:G1798 D1802:G1803 D1807:G1808 D1812:G1813 D1817:G1818 D1822:G1823 D1827:G1828 D1832:G1833 D1837:G1838 D1842:G1843 D1847:G1848 D1852:G1853 D1857:G1858 D1862:G1863 D1867:G1868 D1872:G1873 D1877:G1878 D1882:G1883 D1887:G1888 D1892:G1893 D1897:G1898 D1902:G1903 D1907:G1908 D1912:G1913 D1917:G1918 D1922:G1923 D1927:G1928 D1932:G1933 D1937:G1938 D1942:G1943 D1947:G1948 D1952:G1953 D1957:G1958 D1962:G1963 D1967:G1968 D1972:G1973 D1977:G1978 D1982:G1983 D1987:G1988 D1992:G1993 D1997:G1998 D2002:G2003 D2007:G2008 D2012:G2013 D2017:G2018 D2022:G2023 D2027:G2028 D2032:G2033 D2037:G2038 D2042:G2043 D2047:G2048 D2052:G2053 D2057:G2058 D2062:G2063 D2067:G2068 D2072:G2073 D2077:G2078 D2082:G2083 D2087:G2088 D2092:G2093 D2097:G2098 D2102:G2103 D2107:G2108 D2112:G2113 D2117:G2118 D2122:G2123 D2127:G2128 D2132:G2133 D2137:G2138 D2142:G2143 D2147:G2148 D2152:G2153 D2157:G2158 D2162:G2163 D2167:G2168 D2172:G2173 D2177:G2178 D2182:G2183 D2187:G2188 D2192:G2193 D2197:G2198 D2202:G2203 D2207:G2208 D2212:G2213 D2217:G2218 D2222:G2223 D2227:G2228 D2232:G2233 D2237:G2238 D2242:G2243 D2247:G2248 D2252:G2253 D2257:G2258 D2262:G2263 D2267:G2268 D2272:G2273 D2277:G2278 D2282:G2283 D2287:G2288 D2292:G2293 D2297:G2298 D2302:G2303 D2307:G2308 D2312:G2313 D2317:G2318 D2322:G2323 D2327:G2328 D2332:G2333 D2337:G2338 D2342:G2343 D2347:G2348 D2352:G2353 D2357:G2358 D2362:G2363 D2367:G2368 D2372:G2373 D2377:G2378 D2382:G2383 D2387:G2388 D2392:G2393 D2397:G2398 D2402:G2403 D2407:G2408 D2412:G2413 D2417:G2418 D2422:G2423 D2427:G2428 D2432:G2433 D2437:G2438 D2442:G2443 D2447:G2448 D2452:G2453 D2457:G2458 D2462:G2463 D2467:G2468 D2472:G2473 D2477:G2478 D2482:G2483 D2487:G2488 D2492:G2493 D2497:G2498 D2502:G2503 D2507:G2508 D2512:G2513 D2517:G2518 G20 G25 G30 G35 G40 G45 G50 G55 G60 G65 G70 G75 G80 G85 G90 G95 G100 G105 G110 G115 G120 G125 G130 G135 G140 G145 G150 G155 G160 G165 G170 G175 G180 G185 G190 G195 G200 G205 G210 G215 G220 G225 G230 G235 G240 G245 G250 G255 G260 G265 G270 G275 G280 G285 G290 G295 G300 G305 G310 G315 G320 G325 G330 G335 G340 G345 G350 G355 G360 G365 G370 G375 G380 G385 G390 G395 G400 G405 G410 G415 G420 G425 G430 G435 G440 G445 G450 G455 G460 G465 G470 G475 G480 G485 G490 G495 G500 G505 G510 G515 G520 G525 G530 G535 G540 G545 G550 G555 G560 G565 G570 G575 G580 G585 G590 G595 G600 G605 G610 G615 G620 G625 G630 G635 G640 G645 G650 G655 G660 G665 G670 G675 G680 G685 G690 G695 G700 G705 G710 G715 G720 G725 G730 G735 G740 G745 G750 G755 G760 G765 G770 G775 G780 G785 G790 G795 G800 G805 G810 G815 G820 G825 G830 G835 G840 G845 G850 G855 G860 G865 G870 G875 G880 G885 G890 G895 G900 G905 G910 G915 G920 G925 G930 G935 G940 G945 G950 G955 G960 G965 G970 G975 G980 G985 G990 G995 G1000 G1005 G1010 G1015 G1020 G1025 G1030 G1035 G1040 G1045 G1050 G1055 G1060 G1065 G1070 G1075 G1080 G1085 G1090 G1095 G1100 G1105 G1110 G1115 G1120 G1125 G1130 G1135 G1140 G1145 G1150 G1155 G1160 G1165 G1170 G1175 G1180 G1185 G1190 G1195 G1200 G1205 G1210 G1215 G1220 G1225 G1230 G1235 G1240 G1245 G1250 G1255 G1260 G1265 G1270 G1275 G1280 G1285 G1290 G1295 G1300 G1305 G1310 G1315 G1320 G1325 G1330 G1335 G1340 G1345 G1350 G1355 G1360 G1365 G1370 G1375 G1380 G1385 G1390 G1395 G1400 G1405 G1410 G1415 G1420 G1425 G1430 G1435 G1440 G1445 G1450 G1455 G1460 G1465 G1470 G1475 G1480 G1485 G1490 G1495 G1500 G1505 G1510 G1515 G1520 G1525 G1530 G1535 G1540 G1545 G1550 G1555 G1560 G1565 G1570 G1575 G1580 G1585 G1590 G1595 G1600 G1605 G1610 G1615 G1620 G1625 G1630 G1635 G1640 G1645 G1650 G1655 G1660 G1665 G1670 G1675 G1680 G1685 G1690 G1695 G1700 G1705 G1710 G1715 G1720 G1725 G1730 G1735 G1740 G1745 G1750 G1755 G1760 G1765 G1770 G1775 G1780 G1785 G1790 G1795 G1800 G1805 G1810 G1815 G1820 G1825 G1830 G1835 G1840 G1845 G1850 G1855 G1860 G1865 G1870 G1875 G1880 G1885 G1890 G1895 G1900 G1905 G1910 G1915 G1920 G1925 G1930 G1935 G1940 G1945 G1950 G1955 G1960 G1965 G1970 G1975 G1980 G1985 G1990 G1995 G2000 G2005 G2010 G2015 G2020 G2025 G2030 G2035 G2040 G2045 G2050 G2055 G2060 G2065 G2070 G2075 G2080 G2085 G2090 G2095 G2100 G2105 G2110 G2115 G2120 G2125 G2130 G2135 G2140 G2145 G2150 G2155 G2160 G2165 G2170 G2175 G2180 G2185 G2190 G2195 G2200 G2205 G2210 G2215 G2220 G2225 G2230 G2235 G2240 G2245 G2250 G2255 G2260 G2265 G2270 G2275 G2280 G2285 G2290 G2295 G2300 G2305 G2310 G2315 G2320 G2325 G2330 G2335 G2340 G2345 G2350 G2355 G2360 G2365 G2370 G2375 G2380 G2385 G2390 G2395 G2400 G2405 G2410 G2415 G2420 G2425 G2430 G2435 G2440 G2445 G2450 G2455 G2460 G2465 G2470 G2475 G2480 G2485 G2490 G2495 G2500 G2505 G2510 G2515 D20 D25 D30 D35 D40 D45 D50 D55 D60 D65 D70 D75 D80 D85 D90 D95 D100 D105 D110 D115 D120 D125 D130 D135 D140 D145 D150 D155 D160 D165 D170 D175 D180 D185 D190 D195 D200 D205 D210 D215 D220 D225 D230 D235 D240 D245 D250 D255 D260 D265 D270 D275 D280 D285 D290 D295 D300 D305 D310 D315 D320 D325 D330 D335 D340 D345 D350 D355 D360 D365 D370 D375 D380 D385 D390 D395 D400 D405 D410 D415 D420 D425 D430 D435 D440 D445 D450 D455 D460 D465 D470 D475 D480 D485 D490 D495 D500 D505 D510 D515 D520 D525 D530 D535 D540 D545 D550 D555 D560 D565 D570 D575 D580 D585 D590 D595 D600 D605 D610 D615 D620 D625 D630 D635 D640 D645 D650 D655 D660 D665 D670 D675 D680 D685 D690 D695 D700 D705 D710 D715 D720 D725 D730 D735 D740 D745 D750 D755 D760 D765 D770 D775 D780 D785 D790 D795 D800 D805 D810 D815 D820 D825 D830 D835 D840 D845 D850 D855 D860 D865 D870 D875 D880 D885 D890 D895 D900 D905 D910 D915 D920 D925 D930 D935 D940 D945 D950 D955 D960 D965 D970 D975 D980 D985 D990 D995 D1000 D1005 D1010 D1015 D1020 D1025 D1030 D1035 D1040 D1045 D1050 D1055 D1060 D1065 D1070 D1075 D1080 D1085 D1090 D1095 D1100 D1105 D1110 D1115 D1120 D1125 D1130 D1135 D1140 D1145 D1150 D1155 D1160 D1165 D1170 D1175 D1180 D1185 D1190 D1195 D1200 D1205 D1210 D1215 D1220 D1225 D1230 D1235 D1240 D1245 D1250 D1255 D1260 D1265 D1270 D1275 D1280 D1285 D1290 D1295 D1300 D1305 D1310 D1315 D1320 D1325 D1330 D1335 D1340 D1345 D1350 D1355 D1360 D1365 D1370 D1375 D1380 D1385 D1390 D1395 D1400 D1405 D1410 D1415 D1420 D1425 D1430 D1435 D1440 D1445 D1450 D1455 D1460 D1465 D1470 D1475 D1480 D1485 D1490 D1495 D1500 D1505 D1510 D1515 D1520 D1525 D1530 D1535 D1540 D1545 D1550 D1555 D1560 D1565 D1570 D1575 D1580 D1585 D1590 D1595 D1600 D1605 D1610 D1615 D1620 D1625 D1630 D1635 D1640 D1645 D1650 D1655 D1660 D1665 D1670 D1675 D1680 D1685 D1690 D1695 D1700 D1705 D1710 D1715 D1720 D1725 D1730 D1735 D1740 D1745 D1750 D1755 D1760 D1765 D1770 D1775 D1780 D1785 D1790 D1795 D1800 D1805 D1810 D1815 D1820 D1825 D1830 D1835 D1840 D1845 D1850 D1855 D1860 D1865 D1870 D1875 D1880 D1885 D1890 D1895 D1900 D1905 D1910 D1915 D1920 D1925 D1930 D1935 D1940 D1945 D1950 D1955 D1960 D1965 D1970 D1975 D1980 D1985 D1990 D1995 D2000 D2005 D2010 D2015 D2020 D2025 D2030 D2035 D2040 D2045 D2050 D2055 D2060 D2065 D2070 D2075 D2080 D2085 D2090 D2095 D2100 D2105 D2110 D2115 D2120 D2125 D2130 D2135 D2140 D2145 D2150 D2155 D2160 D2165 D2170 D2175 D2180 D2185 D2190 D2195 D2200 D2205 D2210 D2215 D2220 D2225 D2230 D2235 D2240 D2245 D2250 D2255 D2260 D2265 D2270 D2275 D2280 D2285 D2290 D2295 D2300 D2305 D2310 D2315 D2320 D2325 D2330 D2335 D2340 D2345 D2350 D2355 D2360 D2365 D2370 D2375 D2380 D2385 D2390 D2395 D2400 D2405 D2410 D2415 D2420 D2425 D2430 D2435 D2440 D2445 D2450 D2455 D2460 D2465 D2470 D2475 D2480 D2485 D2490 D2495 D2500 D2505 D2510 D2515 L22:O23 L27:O28 L32:O33 L37:O38 L42:O43 L47:O48 L52:O53 L57:O58 L62:O63 L67:O68 L72:O73 L77:O78 L82:O83 L87:O88 L92:O93 L97:O98 L102:O103 L107:O108 L112:O113 L117:O118 L122:O123 L127:O128 L132:O133 L137:O138 L142:O143 L147:O148 L152:O153 L157:O158 L162:O163 L167:O168 L172:O173 L177:O178 L182:O183 L187:O188 L192:O193 L197:O198 L202:O203 L207:O208 L212:O213 L217:O218 L222:O223 L227:O228 L232:O233 L237:O238 L242:O243 L247:O248 L252:O253 L257:O258 L262:O263 L267:O268 L272:O273 L277:O278 L282:O283 L287:O288 L292:O293 L297:O298 L302:O303 L307:O308 L312:O313 L317:O318 L322:O323 L327:O328 L332:O333 L337:O338 L342:O343 L347:O348 L352:O353 L357:O358 L362:O363 L367:O368 L372:O373 L377:O378 L382:O383 L387:O388 L392:O393 L397:O398 L402:O403 L407:O408 L412:O413 L417:O418 L422:O423 L427:O428 L432:O433 L437:O438 L442:O443 L447:O448 L452:O453 L457:O458 L462:O463 L467:O468 L472:O473 L477:O478 L482:O483 L487:O488 L492:O493 L497:O498 L502:O503 L507:O508 L512:O513 L517:O518 L522:O523 L527:O528 L532:O533 L537:O538 L542:O543 L547:O548 L552:O553 L557:O558 L562:O563 L567:O568 L572:O573 L577:O578 L582:O583 L587:O588 L592:O593 L597:O598 L602:O603 L607:O608 L612:O613 L617:O618 L622:O623 L627:O628 L632:O633 L637:O638 L642:O643 L647:O648 L652:O653 L657:O658 L662:O663 L667:O668 L672:O673 L677:O678 L682:O683 L687:O688 L692:O693 L697:O698 L702:O703 L707:O708 L712:O713 L717:O718 L722:O723 L727:O728 L732:O733 L737:O738 L742:O743 L747:O748 L752:O753 L757:O758 L762:O763 L767:O768 L772:O773 L777:O778 L782:O783 L787:O788 L792:O793 L797:O798 L802:O803 L807:O808 L812:O813 L817:O818 L822:O823 L827:O828 L832:O833 L837:O838 L842:O843 L847:O848 L852:O853 L857:O858 L862:O863 L867:O868 L872:O873 L877:O878 L882:O883 L887:O888 L892:O893 L897:O898 L902:O903 L907:O908 L912:O913 L917:O918 L922:O923 L927:O928 L932:O933 L937:O938 L942:O943 L947:O948 L952:O953 L957:O958 L962:O963 L967:O968 L972:O973 L977:O978 L982:O983 L987:O988 L992:O993 L997:O998 L1002:O1003 L1007:O1008 L1012:O1013 L1017:O1018 L1022:O1023 L1027:O1028 L1032:O1033 L1037:O1038 L1042:O1043 L1047:O1048 L1052:O1053 L1057:O1058 L1062:O1063 L1067:O1068 L1072:O1073 L1077:O1078 L1082:O1083 L1087:O1088 L1092:O1093 L1097:O1098 L1102:O1103 L1107:O1108 L1112:O1113 L1117:O1118 L1122:O1123 L1127:O1128 L1132:O1133 L1137:O1138 L1142:O1143 L1147:O1148 L1152:O1153 L1157:O1158 L1162:O1163 L1167:O1168 L1172:O1173 L1177:O1178 L1182:O1183 L1187:O1188 L1192:O1193 L1197:O1198 L1202:O1203 L1207:O1208 L1212:O1213 L1217:O1218 L1222:O1223 L1227:O1228 L1232:O1233 L1237:O1238 L1242:O1243 L1247:O1248 L1252:O1253 L1257:O1258 L1262:O1263 L1267:O1268 L1272:O1273 L1277:O1278 L1282:O1283 L1287:O1288 L1292:O1293 L1297:O1298 L1302:O1303 L1307:O1308 L1312:O1313 L1317:O1318 L1322:O1323 L1327:O1328 L1332:O1333 L1337:O1338 L1342:O1343 L1347:O1348 L1352:O1353 L1357:O1358 L1362:O1363 L1367:O1368 L1372:O1373 L1377:O1378 L1382:O1383 L1387:O1388 L1392:O1393 L1397:O1398 L1402:O1403 L1407:O1408 L1412:O1413 L1417:O1418 L1422:O1423 L1427:O1428 L1432:O1433 L1437:O1438 L1442:O1443 L1447:O1448 L1452:O1453 L1457:O1458 L1462:O1463 L1467:O1468 L1472:O1473 L1477:O1478 L1482:O1483 L1487:O1488 L1492:O1493 L1497:O1498 L1502:O1503 L1507:O1508 L1512:O1513 L1517:O1518 L1522:O1523 L1527:O1528 L1532:O1533 L1537:O1538 L1542:O1543 L1547:O1548 L1552:O1553 L1557:O1558 L1562:O1563 L1567:O1568 L1572:O1573 L1577:O1578 L1582:O1583 L1587:O1588 L1592:O1593 L1597:O1598 L1602:O1603 L1607:O1608 L1612:O1613 L1617:O1618 L1622:O1623 L1627:O1628 L1632:O1633 L1637:O1638 L1642:O1643 L1647:O1648 L1652:O1653 L1657:O1658 L1662:O1663 L1667:O1668 L1672:O1673 L1677:O1678 L1682:O1683 L1687:O1688 L1692:O1693 L1697:O1698 L1702:O1703 L1707:O1708 L1712:O1713 L1717:O1718 L1722:O1723 L1727:O1728 L1732:O1733 L1737:O1738 L1742:O1743 L1747:O1748 L1752:O1753 L1757:O1758 L1762:O1763 L1767:O1768 L1772:O1773 L1777:O1778 L1782:O1783 L1787:O1788 L1792:O1793 L1797:O1798 L1802:O1803 L1807:O1808 L1812:O1813 L1817:O1818 L1822:O1823 L1827:O1828 L1832:O1833 L1837:O1838 L1842:O1843 L1847:O1848 L1852:O1853 L1857:O1858 L1862:O1863 L1867:O1868 L1872:O1873 L1877:O1878 L1882:O1883 L1887:O1888 L1892:O1893 L1897:O1898 L1902:O1903 L1907:O1908 L1912:O1913 L1917:O1918 L1922:O1923 L1927:O1928 L1932:O1933 L1937:O1938 L1942:O1943 L1947:O1948 L1952:O1953 L1957:O1958 L1962:O1963 L1967:O1968 L1972:O1973 L1977:O1978 L1982:O1983 L1987:O1988 L1992:O1993 L1997:O1998 L2002:O2003 L2007:O2008 L2012:O2013 L2017:O2018 L2022:O2023 L2027:O2028 L2032:O2033 L2037:O2038 L2042:O2043 L2047:O2048 L2052:O2053 L2057:O2058 L2062:O2063 L2067:O2068 L2072:O2073 L2077:O2078 L2082:O2083 L2087:O2088 L2092:O2093 L2097:O2098 L2102:O2103 L2107:O2108 L2112:O2113 L2117:O2118 L2122:O2123 L2127:O2128 L2132:O2133 L2137:O2138 L2142:O2143 L2147:O2148 L2152:O2153 L2157:O2158 L2162:O2163 L2167:O2168 L2172:O2173 L2177:O2178 L2182:O2183 L2187:O2188 L2192:O2193 L2197:O2198 L2202:O2203 L2207:O2208 L2212:O2213 L2217:O2218 L2222:O2223 L2227:O2228 L2232:O2233 L2237:O2238 L2242:O2243 L2247:O2248 L2252:O2253 L2257:O2258 L2262:O2263 L2267:O2268 L2272:O2273 L2277:O2278 L2282:O2283 L2287:O2288 L2292:O2293 L2297:O2298 L2302:O2303 L2307:O2308 L2312:O2313 L2317:O2318 L2322:O2323 L2327:O2328 L2332:O2333 L2337:O2338 L2342:O2343 L2347:O2348 L2352:O2353 L2357:O2358 L2362:O2363 L2367:O2368 L2372:O2373 L2377:O2378 L2382:O2383 L2387:O2388 L2392:O2393 L2397:O2398 L2402:O2403 L2407:O2408 L2412:O2413 L2417:O2418 L2422:O2423 L2427:O2428 L2432:O2433 L2437:O2438 L2442:O2443 L2447:O2448 L2452:O2453 L2457:O2458 L2462:O2463 L2467:O2468 L2472:O2473 L2477:O2478 L2482:O2483 L2487:O2488 L2492:O2493 L2497:O2498 L2502:O2503 L2507:O2508 L2512:O2513 L2517:O2518 O20 O25 O30 O35 O40 O45 O50 O55 O60 O65 O70 O75 O80 O85 O90 O95 O100 O105 O110 O115 O120 O125 O130 O135 O140 O145 O150 O155 O160 O165 O170 O175 O180 O185 O190 O195 O200 O205 O210 O215 O220 O225 O230 O235 O240 O245 O250 O255 O260 O265 O270 O275 O280 O285 O290 O295 O300 O305 O310 O315 O320 O325 O330 O335 O340 O345 O350 O355 O360 O365 O370 O375 O380 O385 O390 O395 O400 O405 O410 O415 O420 O425 O430 O435 O440 O445 O450 O455 O460 O465 O470 O475 O480 O485 O490 O495 O500 O505 O510 O515 O520 O525 O530 O535 O540 O545 O550 O555 O560 O565 O570 O575 O580 O585 O590 O595 O600 O605 O610 O615 O620 O625 O630 O635 O640 O645 O650 O655 O660 O665 O670 O675 O680 O685 O690 O695 O700 O705 O710 O715 O720 O725 O730 O735 O740 O745 O750 O755 O760 O765 O770 O775 O780 O785 O790 O795 O800 O805 O810 O815 O820 O825 O830 O835 O840 O845 O850 O855 O860 O865 O870 O875 O880 O885 O890 O895 O900 O905 O910 O915 O920 O925 O930 O935 O940 O945 O950 O955 O960 O965 O970 O975 O980 O985 O990 O995 O1000 O1005 O1010 O1015 O1020 O1025 O1030 O1035 O1040 O1045 O1050 O1055 O1060 O1065 O1070 O1075 O1080 O1085 O1090 O1095 O1100 O1105 O1110 O1115 O1120 O1125 O1130 O1135 O1140 O1145 O1150 O1155 O1160 O1165 O1170 O1175 O1180 O1185 O1190 O1195 O1200 O1205 O1210 O1215 O1220 O1225 O1230 O1235 O1240 O1245 O1250 O1255 O1260 O1265 O1270 O1275 O1280 O1285 O1290 O1295 O1300 O1305 O1310 O1315 O1320 O1325 O1330 O1335 O1340 O1345 O1350 O1355 O1360 O1365 O1370 O1375 O1380 O1385 O1390 O1395 O1400 O1405 O1410 O1415 O1420 O1425 O1430 O1435 O1440 O1445 O1450 O1455 O1460 O1465 O1470 O1475 O1480 O1485 O1490 O1495 O1500 O1505 O1510 O1515 O1520 O1525 O1530 O1535 O1540 O1545 O1550 O1555 O1560 O1565 O1570 O1575 O1580 O1585 O1590 O1595 O1600 O1605 O1610 O1615 O1620 O1625 O1630 O1635 O1640 O1645 O1650 O1655 O1660 O1665 O1670 O1675 O1680 O1685 O1690 O1695 O1700 O1705 O1710 O1715 O1720 O1725 O1730 O1735 O1740 O1745 O1750 O1755 O1760 O1765 O1770 O1775 O1780 O1785 O1790 O1795 O1800 O1805 O1810 O1815 O1820 O1825 O1830 O1835 O1840 O1845 O1850 O1855 O1860 O1865 O1870 O1875 O1880 O1885 O1890 O1895 O1900 O1905 O1910 O1915 O1920 O1925 O1930 O1935 O1940 O1945 O1950 O1955 O1960 O1965 O1970 O1975 O1980 O1985 O1990 O1995 O2000 O2005 O2010 O2015 O2020 O2025 O2030 O2035 O2040 O2045 O2050 O2055 O2060 O2065 O2070 O2075 O2080 O2085 O2090 O2095 O2100 O2105 O2110 O2115 O2120 O2125 O2130 O2135 O2140 O2145 O2150 O2155 O2160 O2165 O2170 O2175 O2180 O2185 O2190 O2195 O2200 O2205 O2210 O2215 O2220 O2225 O2230 O2235 O2240 O2245 O2250 O2255 O2260 O2265 O2270 O2275 O2280 O2285 O2290 O2295 O2300 O2305 O2310 O2315 O2320 O2325 O2330 O2335 O2340 O2345 O2350 O2355 O2360 O2365 O2370 O2375 O2380 O2385 O2390 O2395 O2400 O2405 O2410 O2415 O2420 O2425 O2430 O2435 O2440 O2445 O2450 O2455 O2460 O2465 O2470 O2475 O2480 O2485 O2490 O2495 O2500 O2505 O2510 O2515 L20 L25 L30 L35 L40 L45 L50 L55 L60 L65 L70 L75 L80 L85 L90 L95 L100 L105 L110 L115 L120 L125 L130 L135 L140 L145 L150 L155 L160 L165 L170 L175 L180 L185 L190 L195 L200 L205 L210 L215 L220 L225 L230 L235 L240 L245 L250 L255 L260 L265 L270 L275 L280 L285 L290 L295 L300 L305 L310 L315 L320 L325 L330 L335 L340 L345 L350 L355 L360 L365 L370 L375 L380 L385 L390 L395 L400 L405 L410 L415 L420 L425 L430 L435 L440 L445 L450 L455 L460 L465 L470 L475 L480 L485 L490 L495 L500 L505 L510 L515 L520 L525 L530 L535 L540 L545 L550 L555 L560 L565 L570 L575 L580 L585 L590 L595 L600 L605 L610 L615 L620 L625 L630 L635 L640 L645 L650 L655 L660 L665 L670 L675 L680 L685 L690 L695 L700 L705 L710 L715 L720 L725 L730 L735 L740 L745 L750 L755 L760 L765 L770 L775 L780 L785 L790 L795 L800 L805 L810 L815 L820 L825 L830 L835 L840 L845 L850 L855 L860 L865 L870 L875 L880 L885 L890 L895 L900 L905 L910 L915 L920 L925 L930 L935 L940 L945 L950 L955 L960 L965 L970 L975 L980 L985 L990 L995 L1000 L1005 L1010 L1015 L1020 L1025 L1030 L1035 L1040 L1045 L1050 L1055 L1060 L1065 L1070 L1075 L1080 L1085 L1090 L1095 L1100 L1105 L1110 L1115 L1120 L1125 L1130 L1135 L1140 L1145 L1150 L1155 L1160 L1165 L1170 L1175 L1180 L1185 L1190 L1195 L1200 L1205 L1210 L1215 L1220 L1225 L1230 L1235 L1240 L1245 L1250 L1255 L1260 L1265 L1270 L1275 L1280 L1285 L1290 L1295 L1300 L1305 L1310 L1315 L1320 L1325 L1330 L1335 L1340 L1345 L1350 L1355 L1360 L1365 L1370 L1375 L1380 L1385 L1390 L1395 L1400 L1405 L1410 L1415 L1420 L1425 L1430 L1435 L1440 L1445 L1450 L1455 L1460 L1465 L1470 L1475 L1480 L1485 L1490 L1495 L1500 L1505 L1510 L1515 L1520 L1525 L1530 L1535 L1540 L1545 L1550 L1555 L1560 L1565 L1570 L1575 L1580 L1585 L1590 L1595 L1600 L1605 L1610 L1615 L1620 L1625 L1630 L1635 L1640 L1645 L1650 L1655 L1660 L1665 L1670 L1675 L1680 L1685 L1690 L1695 L1700 L1705 L1710 L1715 L1720 L1725 L1730 L1735 L1740 L1745 L1750 L1755 L1760 L1765 L1770 L1775 L1780 L1785 L1790 L1795 L1800 L1805 L1810 L1815 L1820 L1825 L1830 L1835 L1840 L1845 L1850 L1855 L1860 L1865 L1870 L1875 L1880 L1885 L1890 L1895 L1900 L1905 L1910 L1915 L1920 L1925 L1930 L1935 L1940 L1945 L1950 L1955 L1960 L1965 L1970 L1975 L1980 L1985 L1990 L1995 L2000 L2005 L2010 L2015 L2020 L2025 L2030 L2035 L2040 L2045 L2050 L2055 L2060 L2065 L2070 L2075 L2080 L2085 L2090 L2095 L2100 L2105 L2110 L2115 L2120 L2125 L2130 L2135 L2140 L2145 L2150 L2155 L2160 L2165 L2170 L2175 L2180 L2185 L2190 L2195 L2200 L2205 L2210 L2215 L2220 L2225 L2230 L2235 L2240 L2245 L2250 L2255 L2260 L2265 L2270 L2275 L2280 L2285 L2290 L2295 L2300 L2305 L2310 L2315 L2320 L2325 L2330 L2335 L2340 L2345 L2350 L2355 L2360 L2365 L2370 L2375 L2380 L2385 L2390 L2395 L2400 L2405 L2410 L2415 L2420 L2425 L2430 L2435 L2440 L2445 L2450 L2455 L2460 L2465 L2470 L2475 L2480 L2485 L2490 L2495 L2500 L2505 L2510 L2515 T22:W23 T27:W28 T32:W33 T37:W38 T42:W43 T47:W48 T52:W53 T57:W58 T62:W63 T67:W68 T72:W73 T77:W78 T82:W83 T87:W88 T92:W93 T97:W98 T102:W103 T107:W108 T112:W113 T117:W118 T122:W123 T127:W128 T132:W133 T137:W138 T142:W143 T147:W148 T152:W153 T157:W158 T162:W163 T167:W168 T172:W173 T177:W178 T182:W183 T187:W188 T192:W193 T197:W198 T202:W203 T207:W208 T212:W213 T217:W218 T222:W223 T227:W228 T232:W233 T237:W238 T242:W243 T247:W248 T252:W253 T257:W258 T262:W263 T267:W268 T272:W273 T277:W278 T282:W283 T287:W288 T292:W293 T297:W298 T302:W303 T307:W308 T312:W313 T317:W318 T322:W323 T327:W328 T332:W333 T337:W338 T342:W343 T347:W348 T352:W353 T357:W358 T362:W363 T367:W368 T372:W373 T377:W378 T382:W383 T387:W388 T392:W393 T397:W398 T402:W403 T407:W408 T412:W413 T417:W418 T422:W423 T427:W428 T432:W433 T437:W438 T442:W443 T447:W448 T452:W453 T457:W458 T462:W463 T467:W468 T472:W473 T477:W478 T482:W483 T487:W488 T492:W493 T497:W498 T502:W503 T507:W508 T512:W513 T517:W518 T522:W523 T527:W528 T532:W533 T537:W538 T542:W543 T547:W548 T552:W553 T557:W558 T562:W563 T567:W568 T572:W573 T577:W578 T582:W583 T587:W588 T592:W593 T597:W598 T602:W603 T607:W608 T612:W613 T617:W618 T622:W623 T627:W628 T632:W633 T637:W638 T642:W643 T647:W648 T652:W653 T657:W658 T662:W663 T667:W668 T672:W673 T677:W678 T682:W683 T687:W688 T692:W693 T697:W698 T702:W703 T707:W708 T712:W713 T717:W718 T722:W723 T727:W728 T732:W733 T737:W738 T742:W743 T747:W748 T752:W753 T757:W758 T762:W763 T767:W768 T772:W773 T777:W778 T782:W783 T787:W788 T792:W793 T797:W798 T802:W803 T807:W808 T812:W813 T817:W818 T822:W823 T827:W828 T832:W833 T837:W838 T842:W843 T847:W848 T852:W853 T857:W858 T862:W863 T867:W868 T872:W873 T877:W878 T882:W883 T887:W888 T892:W893 T897:W898 T902:W903 T907:W908 T912:W913 T917:W918 T922:W923 T927:W928 T932:W933 T937:W938 T942:W943 T947:W948 T952:W953 T957:W958 T962:W963 T967:W968 T972:W973 T977:W978 T982:W983 T987:W988 T992:W993 T997:W998 T1002:W1003 T1007:W1008 T1012:W1013 T1017:W1018 T1022:W1023 T1027:W1028 T1032:W1033 T1037:W1038 T1042:W1043 T1047:W1048 T1052:W1053 T1057:W1058 T1062:W1063 T1067:W1068 T1072:W1073 T1077:W1078 T1082:W1083 T1087:W1088 T1092:W1093 T1097:W1098 T1102:W1103 T1107:W1108 T1112:W1113 T1117:W1118 T1122:W1123 T1127:W1128 T1132:W1133 T1137:W1138 T1142:W1143 T1147:W1148 T1152:W1153 T1157:W1158 T1162:W1163 T1167:W1168 T1172:W1173 T1177:W1178 T1182:W1183 T1187:W1188 T1192:W1193 T1197:W1198 T1202:W1203 T1207:W1208 T1212:W1213 T1217:W1218 T1222:W1223 T1227:W1228 T1232:W1233 T1237:W1238 T1242:W1243 T1247:W1248 T1252:W1253 T1257:W1258 T1262:W1263 T1267:W1268 T1272:W1273 T1277:W1278 T1282:W1283 T1287:W1288 T1292:W1293 T1297:W1298 T1302:W1303 T1307:W1308 T1312:W1313 T1317:W1318 T1322:W1323 T1327:W1328 T1332:W1333 T1337:W1338 T1342:W1343 T1347:W1348 T1352:W1353 T1357:W1358 T1362:W1363 T1367:W1368 T1372:W1373 T1377:W1378 T1382:W1383 T1387:W1388 T1392:W1393 T1397:W1398 T1402:W1403 T1407:W1408 T1412:W1413 T1417:W1418 T1422:W1423 T1427:W1428 T1432:W1433 T1437:W1438 T1442:W1443 T1447:W1448 T1452:W1453 T1457:W1458 T1462:W1463 T1467:W1468 T1472:W1473 T1477:W1478 T1482:W1483 T1487:W1488 T1492:W1493 T1497:W1498 T1502:W1503 T1507:W1508 T1512:W1513 T1517:W1518 T1522:W1523 T1527:W1528 T1532:W1533 T1537:W1538 T1542:W1543 T1547:W1548 T1552:W1553 T1557:W1558 T1562:W1563 T1567:W1568 T1572:W1573 T1577:W1578 T1582:W1583 T1587:W1588 T1592:W1593 T1597:W1598 T1602:W1603 T1607:W1608 T1612:W1613 T1617:W1618 T1622:W1623 T1627:W1628 T1632:W1633 T1637:W1638 T1642:W1643 T1647:W1648 T1652:W1653 T1657:W1658 T1662:W1663 T1667:W1668 T1672:W1673 T1677:W1678 T1682:W1683 T1687:W1688 T1692:W1693 T1697:W1698 T1702:W1703 T1707:W1708 T1712:W1713 T1717:W1718 T1722:W1723 T1727:W1728 T1732:W1733 T1737:W1738 T1742:W1743 T1747:W1748 T1752:W1753 T1757:W1758 T1762:W1763 T1767:W1768 T1772:W1773 T1777:W1778 T1782:W1783 T1787:W1788 T1792:W1793 T1797:W1798 T1802:W1803 T1807:W1808 T1812:W1813 T1817:W1818 T1822:W1823 T1827:W1828 T1832:W1833 T1837:W1838 T1842:W1843 T1847:W1848 T1852:W1853 T1857:W1858 T1862:W1863 T1867:W1868 T1872:W1873 T1877:W1878 T1882:W1883 T1887:W1888 T1892:W1893 T1897:W1898 T1902:W1903 T1907:W1908 T1912:W1913 T1917:W1918 T1922:W1923 T1927:W1928 T1932:W1933 T1937:W1938 T1942:W1943 T1947:W1948 T1952:W1953 T1957:W1958 T1962:W1963 T1967:W1968 T1972:W1973 T1977:W1978 T1982:W1983 T1987:W1988 T1992:W1993 T1997:W1998 T2002:W2003 T2007:W2008 T2012:W2013 T2017:W2018 T2022:W2023 T2027:W2028 T2032:W2033 T2037:W2038 T2042:W2043 T2047:W2048 T2052:W2053 T2057:W2058 T2062:W2063 T2067:W2068 T2072:W2073 T2077:W2078 T2082:W2083 T2087:W2088 T2092:W2093 T2097:W2098 T2102:W2103 T2107:W2108 T2112:W2113 T2117:W2118 T2122:W2123 T2127:W2128 T2132:W2133 T2137:W2138 T2142:W2143 T2147:W2148 T2152:W2153 T2157:W2158 T2162:W2163 T2167:W2168 T2172:W2173 T2177:W2178 T2182:W2183 T2187:W2188 T2192:W2193 T2197:W2198 T2202:W2203 T2207:W2208 T2212:W2213 T2217:W2218 T2222:W2223 T2227:W2228 T2232:W2233 T2237:W2238 T2242:W2243 T2247:W2248 T2252:W2253 T2257:W2258 T2262:W2263 T2267:W2268 T2272:W2273 T2277:W2278 T2282:W2283 T2287:W2288 T2292:W2293 T2297:W2298 T2302:W2303 T2307:W2308 T2312:W2313 T2317:W2318 T2322:W2323 T2327:W2328 T2332:W2333 T2337:W2338 T2342:W2343 T2347:W2348 T2352:W2353 T2357:W2358 T2362:W2363 T2367:W2368 T2372:W2373 T2377:W2378 T2382:W2383 T2387:W2388 T2392:W2393 T2397:W2398 T2402:W2403 T2407:W2408 T2412:W2413 T2417:W2418 T2422:W2423 T2427:W2428 T2432:W2433 T2437:W2438 T2442:W2443 T2447:W2448 T2452:W2453 T2457:W2458 T2462:W2463 T2467:W2468 T2472:W2473 T2477:W2478 T2482:W2483 T2487:W2488 T2492:W2493 T2497:W2498 T2502:W2503 T2507:W2508 T2512:W2513 T2517:W2518 W20 W25 W30 W35 W40 W45 W50 W55 W60 W65 W70 W75 W80 W85 W90 W95 W100 W105 W110 W115 W120 W125 W130 W135 W140 W145 W150 W155 W160 W165 W170 W175 W180 W185 W190 W195 W200 W205 W210 W215 W220 W225 W230 W235 W240 W245 W250 W255 W260 W265 W270 W275 W280 W285 W290 W295 W300 W305 W310 W315 W320 W325 W330 W335 W340 W345 W350 W355 W360 W365 W370 W375 W380 W385 W390 W395 W400 W405 W410 W415 W420 W425 W430 W435 W440 W445 W450 W455 W460 W465 W470 W475 W480 W485 W490 W495 W500 W505 W510 W515 W520 W525 W530 W535 W540 W545 W550 W555 W560 W565 W570 W575 W580 W585 W590 W595 W600 W605 W610 W615 W620 W625 W630 W635 W640 W645 W650 W655 W660 W665 W670 W675 W680 W685 W690 W695 W700 W705 W710 W715 W720 W725 W730 W735 W740 W745 W750 W755 W760 W765 W770 W775 W780 W785 W790 W795 W800 W805 W810 W815 W820 W825 W830 W835 W840 W845 W850 W855 W860 W865 W870 W875 W880 W885 W890 W895 W900 W905 W910 W915 W920 W925 W930 W935 W940 W945 W950 W955 W960 W965 W970 W975 W980 W985 W990 W995 W1000 W1005 W1010 W1015 W1020 W1025 W1030 W1035 W1040 W1045 W1050 W1055 W1060 W1065 W1070 W1075 W1080 W1085 W1090 W1095 W1100 W1105 W1110 W1115 W1120 W1125 W1130 W1135 W1140 W1145 W1150 W1155 W1160 W1165 W1170 W1175 W1180 W1185 W1190 W1195 W1200 W1205 W1210 W1215 W1220 W1225 W1230 W1235 W1240 W1245 W1250 W1255 W1260 W1265 W1270 W1275 W1280 W1285 W1290 W1295 W1300 W1305 W1310 W1315 W1320 W1325 W1330 W1335 W1340 W1345 W1350 W1355 W1360 W1365 W1370 W1375 W1380 W1385 W1390 W1395 W1400 W1405 W1410 W1415 W1420 W1425 W1430 W1435 W1440 W1445 W1450 W1455 W1460 W1465 W1470 W1475 W1480 W1485 W1490 W1495 W1500 W1505 W1510 W1515 W1520 W1525 W1530 W1535 W1540 W1545 W1550 W1555 W1560 W1565 W1570 W1575 W1580 W1585 W1590 W1595 W1600 W1605 W1610 W1615 W1620 W1625 W1630 W1635 W1640 W1645 W1650 W1655 W1660 W1665 W1670 W1675 W1680 W1685 W1690 W1695 W1700 W1705 W1710 W1715 W1720 W1725 W1730 W1735 W1740 W1745 W1750 W1755 W1760 W1765 W1770 W1775 W1780 W1785 W1790 W1795 W1800 W1805 W1810 W1815 W1820 W1825 W1830 W1835 W1840 W1845 W1850 W1855 W1860 W1865 W1870 W1875 W1880 W1885 W1890 W1895 W1900 W1905 W1910 W1915 W1920 W1925 W1930 W1935 W1940 W1945 W1950 W1955 W1960 W1965 W1970 W1975 W1980 W1985 W1990 W1995 W2000 W2005 W2010 W2015 W2020 W2025 W2030 W2035 W2040 W2045 W2050 W2055 W2060 W2065 W2070 W2075 W2080 W2085 W2090 W2095 W2100 W2105 W2110 W2115 W2120 W2125 W2130 W2135 W2140 W2145 W2150 W2155 W2160 W2165 W2170 W2175 W2180 W2185 W2190 W2195 W2200 W2205 W2210 W2215 W2220 W2225 W2230 W2235 W2240 W2245 W2250 W2255 W2260 W2265 W2270 W2275 W2280 W2285 W2290 W2295 W2300 W2305 W2310 W2315 W2320 W2325 W2330 W2335 W2340 W2345 W2350 W2355 W2360 W2365 W2370 W2375 W2380 W2385 W2390 W2395 W2400 W2405 W2410 W2415 W2420 W2425 W2430 W2435 W2440 W2445 W2450 W2455 W2460 W2465 W2470 W2475 W2480 W2485 W2490 W2495 W2500 W2505 W2510 W2515 T20 T25 T30 T35 T40 T45 T50 T55 T60 T65 T70 T75 T80 T85 T90 T95 T100 T105 T110 T115 T120 T125 T130 T135 T140 T145 T150 T155 T160 T165 T170 T175 T180 T185 T190 T195 T200 T205 T210 T215 T220 T225 T230 T235 T240 T245 T250 T255 T260 T265 T270 T275 T280 T285 T290 T295 T300 T305 T310 T315 T320 T325 T330 T335 T340 T345 T350 T355 T360 T365 T370 T375 T380 T385 T390 T395 T400 T405 T410 T415 T420 T425 T430 T435 T440 T445 T450 T455 T460 T465 T470 T475 T480 T485 T490 T495 T500 T505 T510 T515 T520 T525 T530 T535 T540 T545 T550 T555 T560 T565 T570 T575 T580 T585 T590 T595 T600 T605 T610 T615 T620 T625 T630 T635 T640 T645 T650 T655 T660 T665 T670 T675 T680 T685 T690 T695 T700 T705 T710 T715 T720 T725 T730 T735 T740 T745 T750 T755 T760 T765 T770 T775 T780 T785 T790 T795 T800 T805 T810 T815 T820 T825 T830 T835 T840 T845 T850 T855 T860 T865 T870 T875 T880 T885 T890 T895 T900 T905 T910 T915 T920 T925 T930 T935 T940 T945 T950 T955 T960 T965 T970 T975 T980 T985 T990 T995 T1000 T1005 T1010 T1015 T1020 T1025 T1030 T1035 T1040 T1045 T1050 T1055 T1060 T1065 T1070 T1075 T1080 T1085 T1090 T1095 T1100 T1105 T1110 T1115 T1120 T1125 T1130 T1135 T1140 T1145 T1150 T1155 T1160 T1165 T1170 T1175 T1180 T1185 T1190 T1195 T1200 T1205 T1210 T1215 T1220 T1225 T1230 T1235 T1240 T1245 T1250 T1255 T1260 T1265 T1270 T1275 T1280 T1285 T1290 T1295 T1300 T1305 T1310 T1315 T1320 T1325 T1330 T1335 T1340 T1345 T1350 T1355 T1360 T1365 T1370 T1375 T1380 T1385 T1390 T1395 T1400 T1405 T1410 T1415 T1420 T1425 T1430 T1435 T1440 T1445 T1450 T1455 T1460 T1465 T1470 T1475 T1480 T1485 T1490 T1495 T1500 T1505 T1510 T1515 T1520 T1525 T1530 T1535 T1540 T1545 T1550 T1555 T1560 T1565 T1570 T1575 T1580 T1585 T1590 T1595 T1600 T1605 T1610 T1615 T1620 T1625 T1630 T1635 T1640 T1645 T1650 T1655 T1660 T1665 T1670 T1675 T1680 T1685 T1690 T1695 T1700 T1705 T1710 T1715 T1720 T1725 T1730 T1735 T1740 T1745 T1750 T1755 T1760 T1765 T1770 T1775 T1780 T1785 T1790 T1795 T1800 T1805 T1810 T1815 T1820 T1825 T1830 T1835 T1840 T1845 T1850 T1855 T1860 T1865 T1870 T1875 T1880 T1885 T1890 T1895 T1900 T1905 T1910 T1915 T1920 T1925 T1930 T1935 T1940 T1945 T1950 T1955 T1960 T1965 T1970 T1975 T1980 T1985 T1990 T1995 T2000 T2005 T2010 T2015 T2020 T2025 T2030 T2035 T2040 T2045 T2050 T2055 T2060 T2065 T2070 T2075 T2080 T2085 T2090 T2095 T2100 T2105 T2110 T2115 T2120 T2125 T2130 T2135 T2140 T2145 T2150 T2155 T2160 T2165 T2170 T2175 T2180 T2185 T2190 T2195 T2200 T2205 T2210 T2215 T2220 T2225 T2230 T2235 T2240 T2245 T2250 T2255 T2260 T2265 T2270 T2275 T2280 T2285 T2290 T2295 T2300 T2305 T2310 T2315 T2320 T2325 T2330 T2335 T2340 T2345 T2350 T2355 T2360 T2365 T2370 T2375 T2380 T2385 T2390 T2395 T2400 T2405 T2410 T2415 T2420 T2425 T2430 T2435 T2440 T2445 T2450 T2455 T2460 T2465 T2470 T2475 T2480 T2485 T2490 T2495 T2500 T2505 T2510 T2515 AB22:AE23 AB27:AE28 AB32:AE33 AB37:AE38 AB42:AE43 AB47:AE48 AB52:AE53 AB57:AE58 AB62:AE63 AB67:AE68 AB72:AE73 AB77:AE78 AB82:AE83 AB87:AE88 AB92:AE93 AB97:AE98 AB102:AE103 AB107:AE108 AB112:AE113 AB117:AE118 AB122:AE123 AB127:AE128 AB132:AE133 AB137:AE138 AB142:AE143 AB147:AE148 AB152:AE153 AB157:AE158 AB162:AE163 AB167:AE168 AB172:AE173 AB177:AE178 AB182:AE183 AB187:AE188 AB192:AE193 AB197:AE198 AB202:AE203 AB207:AE208 AB212:AE213 AB217:AE218 AB222:AE223 AB227:AE228 AB232:AE233 AB237:AE238 AB242:AE243 AB247:AE248 AB252:AE253 AB257:AE258 AB262:AE263 AB267:AE268 AB272:AE273 AB277:AE278 AB282:AE283 AB287:AE288 AB292:AE293 AB297:AE298 AB302:AE303 AB307:AE308 AB312:AE313 AB317:AE318 AB322:AE323 AB327:AE328 AB332:AE333 AB337:AE338 AB342:AE343 AB347:AE348 AB352:AE353 AB357:AE358 AB362:AE363 AB367:AE368 AB372:AE373 AB377:AE378 AB382:AE383 AB387:AE388 AB392:AE393 AB397:AE398 AB402:AE403 AB407:AE408 AB412:AE413 AB417:AE418 AB422:AE423 AB427:AE428 AB432:AE433 AB437:AE438 AB442:AE443 AB447:AE448 AB452:AE453 AB457:AE458 AB462:AE463 AB467:AE468 AB472:AE473 AB477:AE478 AB482:AE483 AB487:AE488 AB492:AE493 AB497:AE498 AB502:AE503 AB507:AE508 AB512:AE513 AB517:AE518 AB522:AE523 AB527:AE528 AB532:AE533 AB537:AE538 AB542:AE543 AB547:AE548 AB552:AE553 AB557:AE558 AB562:AE563 AB567:AE568 AB572:AE573 AB577:AE578 AB582:AE583 AB587:AE588 AB592:AE593 AB597:AE598 AB602:AE603 AB607:AE608 AB612:AE613 AB617:AE618 AB622:AE623 AB627:AE628 AB632:AE633 AB637:AE638 AB642:AE643 AB647:AE648 AB652:AE653 AB657:AE658 AB662:AE663 AB667:AE668 AB672:AE673 AB677:AE678 AB682:AE683 AB687:AE688 AB692:AE693 AB697:AE698 AB702:AE703 AB707:AE708 AB712:AE713 AB717:AE718 AB722:AE723 AB727:AE728 AB732:AE733 AB737:AE738 AB742:AE743 AB747:AE748 AB752:AE753 AB757:AE758 AB762:AE763 AB767:AE768 AB772:AE773 AB777:AE778 AB782:AE783 AB787:AE788 AB792:AE793 AB797:AE798 AB802:AE803 AB807:AE808 AB812:AE813 AB817:AE818 AB822:AE823 AB827:AE828 AB832:AE833 AB837:AE838 AB842:AE843 AB847:AE848 AB852:AE853 AB857:AE858 AB862:AE863 AB867:AE868 AB872:AE873 AB877:AE878 AB882:AE883 AB887:AE888 AB892:AE893 AB897:AE898 AB902:AE903 AB907:AE908 AB912:AE913 AB917:AE918 AB922:AE923 AB927:AE928 AB932:AE933 AB937:AE938 AB942:AE943 AB947:AE948 AB952:AE953 AB957:AE958 AB962:AE963 AB967:AE968 AB972:AE973 AB977:AE978 AB982:AE983 AB987:AE988 AB992:AE993 AB997:AE998 AB1002:AE1003 AB1007:AE1008 AB1012:AE1013 AB1017:AE1018 AB1022:AE1023 AB1027:AE1028 AB1032:AE1033 AB1037:AE1038 AB1042:AE1043 AB1047:AE1048 AB1052:AE1053 AB1057:AE1058 AB1062:AE1063 AB1067:AE1068 AB1072:AE1073 AB1077:AE1078 AB1082:AE1083 AB1087:AE1088 AB1092:AE1093 AB1097:AE1098 AB1102:AE1103 AB1107:AE1108 AB1112:AE1113 AB1117:AE1118 AB1122:AE1123 AB1127:AE1128 AB1132:AE1133 AB1137:AE1138 AB1142:AE1143 AB1147:AE1148 AB1152:AE1153 AB1157:AE1158 AB1162:AE1163 AB1167:AE1168 AB1172:AE1173 AB1177:AE1178 AB1182:AE1183 AB1187:AE1188 AB1192:AE1193 AB1197:AE1198 AB1202:AE1203 AB1207:AE1208 AB1212:AE1213 AB1217:AE1218 AB1222:AE1223 AB1227:AE1228 AB1232:AE1233 AB1237:AE1238 AB1242:AE1243 AB1247:AE1248 AB1252:AE1253 AB1257:AE1258 AB1262:AE1263 AB1267:AE1268 AB1272:AE1273 AB1277:AE1278 AB1282:AE1283 AB1287:AE1288 AB1292:AE1293 AB1297:AE1298 AB1302:AE1303 AB1307:AE1308 AB1312:AE1313 AB1317:AE1318 AB1322:AE1323 AB1327:AE1328 AB1332:AE1333 AB1337:AE1338 AB1342:AE1343 AB1347:AE1348 AB1352:AE1353 AB1357:AE1358 AB1362:AE1363 AB1367:AE1368 AB1372:AE1373 AB1377:AE1378 AB1382:AE1383 AB1387:AE1388 AB1392:AE1393 AB1397:AE1398 AB1402:AE1403 AB1407:AE1408 AB1412:AE1413 AB1417:AE1418 AB1422:AE1423 AB1427:AE1428 AB1432:AE1433 AB1437:AE1438 AB1442:AE1443 AB1447:AE1448 AB1452:AE1453 AB1457:AE1458 AB1462:AE1463 AB1467:AE1468 AB1472:AE1473 AB1477:AE1478 AB1482:AE1483 AB1487:AE1488 AB1492:AE1493 AB1497:AE1498 AB1502:AE1503 AB1507:AE1508 AB1512:AE1513 AB1517:AE1518 AB1522:AE1523 AB1527:AE1528 AB1532:AE1533 AB1537:AE1538 AB1542:AE1543 AB1547:AE1548 AB1552:AE1553 AB1557:AE1558 AB1562:AE1563 AB1567:AE1568 AB1572:AE1573 AB1577:AE1578 AB1582:AE1583 AB1587:AE1588 AB1592:AE1593 AB1597:AE1598 AB1602:AE1603 AB1607:AE1608 AB1612:AE1613 AB1617:AE1618 AB1622:AE1623 AB1627:AE1628 AB1632:AE1633 AB1637:AE1638 AB1642:AE1643 AB1647:AE1648 AB1652:AE1653 AB1657:AE1658 AB1662:AE1663 AB1667:AE1668 AB1672:AE1673 AB1677:AE1678 AB1682:AE1683 AB1687:AE1688 AB1692:AE1693 AB1697:AE1698 AB1702:AE1703 AB1707:AE1708 AB1712:AE1713 AB1717:AE1718 AB1722:AE1723 AB1727:AE1728 AB1732:AE1733 AB1737:AE1738 AB1742:AE1743 AB1747:AE1748 AB1752:AE1753 AB1757:AE1758 AB1762:AE1763 AB1767:AE1768 AB1772:AE1773 AB1777:AE1778 AB1782:AE1783 AB1787:AE1788 AB1792:AE1793 AB1797:AE1798 AB1802:AE1803 AB1807:AE1808 AB1812:AE1813 AB1817:AE1818 AB1822:AE1823 AB1827:AE1828 AB1832:AE1833 AB1837:AE1838 AB1842:AE1843 AB1847:AE1848 AB1852:AE1853 AB1857:AE1858 AB1862:AE1863 AB1867:AE1868 AB1872:AE1873 AB1877:AE1878 AB1882:AE1883 AB1887:AE1888 AB1892:AE1893 AB1897:AE1898 AB1902:AE1903 AB1907:AE1908 AB1912:AE1913 AB1917:AE1918 AB1922:AE1923 AB1927:AE1928 AB1932:AE1933 AB1937:AE1938 AB1942:AE1943 AB1947:AE1948 AB1952:AE1953 AB1957:AE1958 AB1962:AE1963 AB1967:AE1968 AB1972:AE1973 AB1977:AE1978 AB1982:AE1983 AB1987:AE1988 AB1992:AE1993 AB1997:AE1998 AB2002:AE2003 AB2007:AE2008 AB2012:AE2013 AB2017:AE2018 AB2022:AE2023 AB2027:AE2028 AB2032:AE2033 AB2037:AE2038 AB2042:AE2043 AB2047:AE2048 AB2052:AE2053 AB2057:AE2058 AB2062:AE2063 AB2067:AE2068 AB2072:AE2073 AB2077:AE2078 AB2082:AE2083 AB2087:AE2088 AB2092:AE2093 AB2097:AE2098 AB2102:AE2103 AB2107:AE2108 AB2112:AE2113 AB2117:AE2118 AB2122:AE2123 AB2127:AE2128 AB2132:AE2133 AB2137:AE2138 AB2142:AE2143 AB2147:AE2148 AB2152:AE2153 AB2157:AE2158 AB2162:AE2163 AB2167:AE2168 AB2172:AE2173 AB2177:AE2178 AB2182:AE2183 AB2187:AE2188 AB2192:AE2193 AB2197:AE2198 AB2202:AE2203 AB2207:AE2208 AB2212:AE2213 AB2217:AE2218 AB2222:AE2223 AB2227:AE2228 AB2232:AE2233 AB2237:AE2238 AB2242:AE2243 AB2247:AE2248 AB2252:AE2253 AB2257:AE2258 AB2262:AE2263 AB2267:AE2268 AB2272:AE2273 AB2277:AE2278 AB2282:AE2283 AB2287:AE2288 AB2292:AE2293 AB2297:AE2298 AB2302:AE2303 AB2307:AE2308 AB2312:AE2313 AB2317:AE2318 AB2322:AE2323 AB2327:AE2328 AB2332:AE2333 AB2337:AE2338 AB2342:AE2343 AB2347:AE2348 AB2352:AE2353 AB2357:AE2358 AB2362:AE2363 AB2367:AE2368 AB2372:AE2373 AB2377:AE2378 AB2382:AE2383 AB2387:AE2388 AB2392:AE2393 AB2397:AE2398 AB2402:AE2403 AB2407:AE2408 AB2412:AE2413 AB2417:AE2418 AB2422:AE2423 AB2427:AE2428 AB2432:AE2433 AB2437:AE2438 AB2442:AE2443 AB2447:AE2448 AB2452:AE2453 AB2457:AE2458 AB2462:AE2463 AB2467:AE2468 AB2472:AE2473 AB2477:AE2478 AB2482:AE2483 AB2487:AE2488 AB2492:AE2493 AB2497:AE2498 AB2502:AE2503 AB2507:AE2508 AB2512:AE2513 AB2517:AE2518 AE20 AE25 AE30 AE35 AE40 AE45 AE50 AE55 AE60 AE65 AE70 AE75 AE80 AE85 AE90 AE95 AE100 AE105 AE110 AE115 AE120 AE125 AE130 AE135 AE140 AE145 AE150 AE155 AE160 AE165 AE170 AE175 AE180 AE185 AE190 AE195 AE200 AE205 AE210 AE215 AE220 AE225 AE230 AE235 AE240 AE245 AE250 AE255 AE260 AE265 AE270 AE275 AE280 AE285 AE290 AE295 AE300 AE305 AE310 AE315 AE320 AE325 AE330 AE335 AE340 AE345 AE350 AE355 AE360 AE365 AE370 AE375 AE380 AE385 AE390 AE395 AE400 AE405 AE410 AE415 AE420 AE425 AE430 AE435 AE440 AE445 AE450 AE455 AE460 AE465 AE470 AE475 AE480 AE485 AE490 AE495 AE500 AE505 AE510 AE515 AE520 AE525 AE530 AE535 AE540 AE545 AE550 AE555 AE560 AE565 AE570 AE575 AE580 AE585 AE590 AE595 AE600 AE605 AE610 AE615 AE620 AE625 AE630 AE635 AE640 AE645 AE650 AE655 AE660 AE665 AE670 AE675 AE680 AE685 AE690 AE695 AE700 AE705 AE710 AE715 AE720 AE725 AE730 AE735 AE740 AE745 AE750 AE755 AE760 AE765 AE770 AE775 AE780 AE785 AE790 AE795 AE800 AE805 AE810 AE815 AE820 AE825 AE830 AE835 AE840 AE845 AE850 AE855 AE860 AE865 AE870 AE875 AE880 AE885 AE890 AE895 AE900 AE905 AE910 AE915 AE920 AE925 AE930 AE935 AE940 AE945 AE950 AE955 AE960 AE965 AE970 AE975 AE980 AE985 AE990 AE995 AE1000 AE1005 AE1010 AE1015 AE1020 AE1025 AE1030 AE1035 AE1040 AE1045 AE1050 AE1055 AE1060 AE1065 AE1070 AE1075 AE1080 AE1085 AE1090 AE1095 AE1100 AE1105 AE1110 AE1115 AE1120 AE1125 AE1130 AE1135 AE1140 AE1145 AE1150 AE1155 AE1160 AE1165 AE1170 AE1175 AE1180 AE1185 AE1190 AE1195 AE1200 AE1205 AE1210 AE1215 AE1220 AE1225 AE1230 AE1235 AE1240 AE1245 AE1250 AE1255 AE1260 AE1265 AE1270 AE1275 AE1280 AE1285 AE1290 AE1295 AE1300 AE1305 AE1310 AE1315 AE1320 AE1325 AE1330 AE1335 AE1340 AE1345 AE1350 AE1355 AE1360 AE1365 AE1370 AE1375 AE1380 AE1385 AE1390 AE1395 AE1400 AE1405 AE1410 AE1415 AE1420 AE1425 AE1430 AE1435 AE1440 AE1445 AE1450 AE1455 AE1460 AE1465 AE1470 AE1475 AE1480 AE1485 AE1490 AE1495 AE1500 AE1505 AE1510 AE1515 AE1520 AE1525 AE1530 AE1535 AE1540 AE1545 AE1550 AE1555 AE1560 AE1565 AE1570 AE1575 AE1580 AE1585 AE1590 AE1595 AE1600 AE1605 AE1610 AE1615 AE1620 AE1625 AE1630 AE1635 AE1640 AE1645 AE1650 AE1655 AE1660 AE1665 AE1670 AE1675 AE1680 AE1685 AE1690 AE1695 AE1700 AE1705 AE1710 AE1715 AE1720 AE1725 AE1730 AE1735 AE1740 AE1745 AE1750 AE1755 AE1760 AE1765 AE1770 AE1775 AE1780 AE1785 AE1790 AE1795 AE1800 AE1805 AE1810 AE1815 AE1820 AE1825 AE1830 AE1835 AE1840 AE1845 AE1850 AE1855 AE1860 AE1865 AE1870 AE1875 AE1880 AE1885 AE1890 AE1895 AE1900 AE1905 AE1910 AE1915 AE1920 AE1925 AE1930 AE1935 AE1940 AE1945 AE1950 AE1955 AE1960 AE1965 AE1970 AE1975 AE1980 AE1985 AE1990 AE1995 AE2000 AE2005 AE2010 AE2015 AE2020 AE2025 AE2030 AE2035 AE2040 AE2045 AE2050 AE2055 AE2060 AE2065 AE2070 AE2075 AE2080 AE2085 AE2090 AE2095 AE2100 AE2105 AE2110 AE2115 AE2120 AE2125 AE2130 AE2135 AE2140 AE2145 AE2150 AE2155 AE2160 AE2165 AE2170 AE2175 AE2180 AE2185 AE2190 AE2195 AE2200 AE2205 AE2210 AE2215 AE2220 AE2225 AE2230 AE2235 AE2240 AE2245 AE2250 AE2255 AE2260 AE2265 AE2270 AE2275 AE2280 AE2285 AE2290 AE2295 AE2300 AE2305 AE2310 AE2315 AE2320 AE2325 AE2330 AE2335 AE2340 AE2345 AE2350 AE2355 AE2360 AE2365 AE2370 AE2375 AE2380 AE2385 AE2390 AE2395 AE2400 AE2405 AE2410 AE2415 AE2420 AE2425 AE2430 AE2435 AE2440 AE2445 AE2450 AE2455 AE2460 AE2465 AE2470 AE2475 AE2480 AE2485 AE2490 AE2495 AE2500 AE2505 AE2510 AE2515 AB20 AB25 AB30 AB35 AB40 AB45 AB50 AB55 AB60 AB65 AB70 AB75 AB80 AB85 AB90 AB95 AB100 AB105 AB110 AB115 AB120 AB125 AB130 AB135 AB140 AB145 AB150 AB155 AB160 AB165 AB170 AB175 AB180 AB185 AB190 AB195 AB200 AB205 AB210 AB215 AB220 AB225 AB230 AB235 AB240 AB245 AB250 AB255 AB260 AB265 AB270 AB275 AB280 AB285 AB290 AB295 AB300 AB305 AB310 AB315 AB320 AB325 AB330 AB335 AB340 AB345 AB350 AB355 AB360 AB365 AB370 AB375 AB380 AB385 AB390 AB395 AB400 AB405 AB410 AB415 AB420 AB425 AB430 AB435 AB440 AB445 AB450 AB455 AB460 AB465 AB470 AB475 AB480 AB485 AB490 AB495 AB500 AB505 AB510 AB515 AB520 AB525 AB530 AB535 AB540 AB545 AB550 AB555 AB560 AB565 AB570 AB575 AB580 AB585 AB590 AB595 AB600 AB605 AB610 AB615 AB620 AB625 AB630 AB635 AB640 AB645 AB650 AB655 AB660 AB665 AB670 AB675 AB680 AB685 AB690 AB695 AB700 AB705 AB710 AB715 AB720 AB725 AB730 AB735 AB740 AB745 AB750 AB755 AB760 AB765 AB770 AB775 AB780 AB785 AB790 AB795 AB800 AB805 AB810 AB815 AB820 AB825 AB830 AB835 AB840 AB845 AB850 AB855 AB860 AB865 AB870 AB875 AB880 AB885 AB890 AB895 AB900 AB905 AB910 AB915 AB920 AB925 AB930 AB935 AB940 AB945 AB950 AB955 AB960 AB965 AB970 AB975 AB980 AB985 AB990 AB995 AB1000 AB1005 AB1010 AB1015 AB1020 AB1025 AB1030 AB1035 AB1040 AB1045 AB1050 AB1055 AB1060 AB1065 AB1070 AB1075 AB1080 AB1085 AB1090 AB1095 AB1100 AB1105 AB1110 AB1115 AB1120 AB1125 AB1130 AB1135 AB1140 AB1145 AB1150 AB1155 AB1160 AB1165 AB1170 AB1175 AB1180 AB1185 AB1190 AB1195 AB1200 AB1205 AB1210 AB1215 AB1220 AB1225 AB1230 AB1235 AB1240 AB1245 AB1250 AB1255 AB1260 AB1265 AB1270 AB1275 AB1280 AB1285 AB1290 AB1295 AB1300 AB1305 AB1310 AB1315 AB1320 AB1325 AB1330 AB1335 AB1340 AB1345 AB1350 AB1355 AB1360 AB1365 AB1370 AB1375 AB1380 AB1385 AB1390 AB1395 AB1400 AB1405 AB1410 AB1415 AB1420 AB1425 AB1430 AB1435 AB1440 AB1445 AB1450 AB1455 AB1460 AB1465 AB1470 AB1475 AB1480 AB1485 AB1490 AB1495 AB1500 AB1505 AB1510 AB1515 AB1520 AB1525 AB1530 AB1535 AB1540 AB1545 AB1550 AB1555 AB1560 AB1565 AB1570 AB1575 AB1580 AB1585 AB1590 AB1595 AB1600 AB1605 AB1610 AB1615 AB1620 AB1625 AB1630 AB1635 AB1640 AB1645 AB1650 AB1655 AB1660 AB1665 AB1670 AB1675 AB1680 AB1685 AB1690 AB1695 AB1700 AB1705 AB1710 AB1715 AB1720 AB1725 AB1730 AB1735 AB1740 AB1745 AB1750 AB1755 AB1760 AB1765 AB1770 AB1775 AB1780 AB1785 AB1790 AB1795 AB1800 AB1805 AB1810 AB1815 AB1820 AB1825 AB1830 AB1835 AB1840 AB1845 AB1850 AB1855 AB1860 AB1865 AB1870 AB1875 AB1880 AB1885 AB1890 AB1895 AB1900 AB1905 AB1910 AB1915 AB1920 AB1925 AB1930 AB1935 AB1940 AB1945 AB1950 AB1955 AB1960 AB1965 AB1970 AB1975 AB1980 AB1985 AB1990 AB1995 AB2000 AB2005 AB2010 AB2015 AB2020 AB2025 AB2030 AB2035 AB2040 AB2045 AB2050 AB2055 AB2060 AB2065 AB2070 AB2075 AB2080 AB2085 AB2090 AB2095 AB2100 AB2105 AB2110 AB2115 AB2120 AB2125 AB2130 AB2135 AB2140 AB2145 AB2150 AB2155 AB2160 AB2165 AB2170 AB2175 AB2180 AB2185 AB2190 AB2195 AB2200 AB2205 AB2210 AB2215 AB2220 AB2225 AB2230 AB2235 AB2240 AB2245 AB2250 AB2255 AB2260 AB2265 AB2270 AB2275 AB2280 AB2285 AB2290 AB2295 AB2300 AB2305 AB2310 AB2315 AB2320 AB2325 AB2330 AB2335 AB2340 AB2345 AB2350 AB2355 AB2360 AB2365 AB2370 AB2375 AB2380 AB2385 AB2390 AB2395 AB2400 AB2405 AB2410 AB2415 AB2420 AB2425 AB2430 AB2435 AB2440 AB2445 AB2450 AB2455 AB2460 AB2465 AB2470 AB2475 AB2480 AB2485 AB2490 AB2495 AB2500 AB2505 AB2510 AB2515">
    <cfRule type="notContainsBlanks" dxfId="16" priority="2">
      <formula>LEN(TRIM(D15))&gt;0</formula>
    </cfRule>
    <cfRule type="containsBlanks" dxfId="15" priority="3">
      <formula>LEN(TRIM(D15))=0</formula>
    </cfRule>
  </conditionalFormatting>
  <pageMargins left="0.7" right="0.7" top="0.75" bottom="0.75" header="0.3" footer="0.3"/>
  <pageSetup paperSize="129" fitToWidth="0" fitToHeight="0"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containsText" priority="6" operator="containsText" id="{378E2F69-04DA-41B6-A247-83EF4A6E172D}">
            <xm:f>NOT(ISERROR(SEARCH(List!$B$5,C15)))</xm:f>
            <xm:f>List!$B$5</xm:f>
            <x14:dxf>
              <fill>
                <patternFill>
                  <bgColor rgb="FF01B8AA"/>
                </patternFill>
              </fill>
            </x14:dxf>
          </x14:cfRule>
          <x14:cfRule type="containsText" priority="7" operator="containsText" id="{189FA07B-FA45-4B65-BC46-A80457933584}">
            <xm:f>NOT(ISERROR(SEARCH(List!$B$6,C15)))</xm:f>
            <xm:f>List!$B$6</xm:f>
            <x14:dxf>
              <fill>
                <patternFill>
                  <bgColor rgb="FFF5D23D"/>
                </patternFill>
              </fill>
            </x14:dxf>
          </x14:cfRule>
          <x14:cfRule type="containsText" priority="8" operator="containsText" id="{907547EA-B02A-4120-BDAC-F4F3016D38F1}">
            <xm:f>NOT(ISERROR(SEARCH(List!$B$7,C15)))</xm:f>
            <xm:f>List!$B$7</xm:f>
            <x14:dxf>
              <fill>
                <patternFill>
                  <bgColor rgb="FFFD7E7B"/>
                </patternFill>
              </fill>
            </x14:dxf>
          </x14:cfRule>
          <xm:sqref>C15 K15 S15 AA15 C20 C25 C30 C35 C40 C45 C50 C55 C60 C65 C70 C75 C80 C85 C90 C95 C100 C105 C110 C115 C120 C125 C130 C135 C140 C145 C150 C155 C160 C165 C170 C175 C180 C185 C190 C195 C200 C205 C210 C215 C220 C225 C230 C235 C240 C245 C250 C255 C260 C265 C270 C275 C280 C285 C290 C295 C300 C305 C310 C315 C320 C325 C330 C335 C340 C345 C350 C355 C360 C365 C370 C375 C380 C385 C390 C395 C400 C405 C410 C415 C420 C425 C430 C435 C440 C445 C450 C455 C460 C465 C470 C475 C480 C485 C490 C495 C500 C505 C510 C515 C520 C525 C530 C535 C540 C545 C550 C555 C560 C565 C570 C575 C580 C585 C590 C595 C600 C605 C610 C615 C620 C625 C630 C635 C640 C645 C650 C655 C660 C665 C670 C675 C680 C685 C690 C695 C700 C705 C710 C715 C720 C725 C730 C735 C740 C745 C750 C755 C760 C765 C770 C775 C780 C785 C790 C795 C800 C805 C810 C815 C820 C825 C830 C835 C840 C845 C850 C855 C860 C865 C870 C875 C880 C885 C890 C895 C900 C905 C910 C915 C920 C925 C930 C935 C940 C945 C950 C955 C960 C965 C970 C975 C980 C985 C990 C995 C1000 C1005 C1010 C1015 C1020 C1025 C1030 C1035 C1040 C1045 C1050 C1055 C1060 C1065 C1070 C1075 C1080 C1085 C1090 C1095 C1100 C1105 C1110 C1115 C1120 C1125 C1130 C1135 C1140 C1145 C1150 C1155 C1160 C1165 C1170 C1175 C1180 C1185 C1190 C1195 C1200 C1205 C1210 C1215 C1220 C1225 C1230 C1235 C1240 C1245 C1250 C1255 C1260 C1265 C1270 C1275 C1280 C1285 C1290 C1295 C1300 C1305 C1310 C1315 C1320 C1325 C1330 C1335 C1340 C1345 C1350 C1355 C1360 C1365 C1370 C1375 C1380 C1385 C1390 C1395 C1400 C1405 C1410 C1415 C1420 C1425 C1430 C1435 C1440 C1445 C1450 C1455 C1460 C1465 C1470 C1475 C1480 C1485 C1490 C1495 C1500 C1505 C1510 C1515 C1520 C1525 C1530 C1535 C1540 C1545 C1550 C1555 C1560 C1565 C1570 C1575 C1580 C1585 C1590 C1595 C1600 C1605 C1610 C1615 C1620 C1625 C1630 C1635 C1640 C1645 C1650 C1655 C1660 C1665 C1670 C1675 C1680 C1685 C1690 C1695 C1700 C1705 C1710 C1715 C1720 C1725 C1730 C1735 C1740 C1745 C1750 C1755 C1760 C1765 C1770 C1775 C1780 C1785 C1790 C1795 C1800 C1805 C1810 C1815 C1820 C1825 C1830 C1835 C1840 C1845 C1850 C1855 C1860 C1865 C1870 C1875 C1880 C1885 C1890 C1895 C1900 C1905 C1910 C1915 C1920 C1925 C1930 C1935 C1940 C1945 C1950 C1955 C1960 C1965 C1970 C1975 C1980 C1985 C1990 C1995 C2000 C2005 C2010 C2015 C2020 C2025 C2030 C2035 C2040 C2045 C2050 C2055 C2060 C2065 C2070 C2075 C2080 C2085 C2090 C2095 C2100 C2105 C2110 C2115 C2120 C2125 C2130 C2135 C2140 C2145 C2150 C2155 C2160 C2165 C2170 C2175 C2180 C2185 C2190 C2195 C2200 C2205 C2210 C2215 C2220 C2225 C2230 C2235 C2240 C2245 C2250 C2255 C2260 C2265 C2270 C2275 C2280 C2285 C2290 C2295 C2300 C2305 C2310 C2315 C2320 C2325 C2330 C2335 C2340 C2345 C2350 C2355 C2360 C2365 C2370 C2375 C2380 C2385 C2390 C2395 C2400 C2405 C2410 C2415 C2420 C2425 C2430 C2435 C2440 C2445 C2450 C2455 C2460 C2465 C2470 C2475 C2480 C2485 C2490 C2495 C2500 C2505 C2510 C2515 K20 K25 K30 K35 K40 K45 K50 K55 K60 K65 K70 K75 K80 K85 K90 K95 K100 K105 K110 K115 K120 K125 K130 K135 K140 K145 K150 K155 K160 K165 K170 K175 K180 K185 K190 K195 K200 K205 K210 K215 K220 K225 K230 K235 K240 K245 K250 K255 K260 K265 K270 K275 K280 K285 K290 K295 K300 K305 K310 K315 K320 K325 K330 K335 K340 K345 K350 K355 K360 K365 K370 K375 K380 K385 K390 K395 K400 K405 K410 K415 K420 K425 K430 K435 K440 K445 K450 K455 K460 K465 K470 K475 K480 K485 K490 K495 K500 K505 K510 K515 K520 K525 K530 K535 K540 K545 K550 K555 K560 K565 K570 K575 K580 K585 K590 K595 K600 K605 K610 K615 K620 K625 K630 K635 K640 K645 K650 K655 K660 K665 K670 K675 K680 K685 K690 K695 K700 K705 K710 K715 K720 K725 K730 K735 K740 K745 K750 K755 K760 K765 K770 K775 K780 K785 K790 K795 K800 K805 K810 K815 K820 K825 K830 K835 K840 K845 K850 K855 K860 K865 K870 K875 K880 K885 K890 K895 K900 K905 K910 K915 K920 K925 K930 K935 K940 K945 K950 K955 K960 K965 K970 K975 K980 K985 K990 K995 K1000 K1005 K1010 K1015 K1020 K1025 K1030 K1035 K1040 K1045 K1050 K1055 K1060 K1065 K1070 K1075 K1080 K1085 K1090 K1095 K1100 K1105 K1110 K1115 K1120 K1125 K1130 K1135 K1140 K1145 K1150 K1155 K1160 K1165 K1170 K1175 K1180 K1185 K1190 K1195 K1200 K1205 K1210 K1215 K1220 K1225 K1230 K1235 K1240 K1245 K1250 K1255 K1260 K1265 K1270 K1275 K1280 K1285 K1290 K1295 K1300 K1305 K1310 K1315 K1320 K1325 K1330 K1335 K1340 K1345 K1350 K1355 K1360 K1365 K1370 K1375 K1380 K1385 K1390 K1395 K1400 K1405 K1410 K1415 K1420 K1425 K1430 K1435 K1440 K1445 K1450 K1455 K1460 K1465 K1470 K1475 K1480 K1485 K1490 K1495 K1500 K1505 K1510 K1515 K1520 K1525 K1530 K1535 K1540 K1545 K1550 K1555 K1560 K1565 K1570 K1575 K1580 K1585 K1590 K1595 K1600 K1605 K1610 K1615 K1620 K1625 K1630 K1635 K1640 K1645 K1650 K1655 K1660 K1665 K1670 K1675 K1680 K1685 K1690 K1695 K1700 K1705 K1710 K1715 K1720 K1725 K1730 K1735 K1740 K1745 K1750 K1755 K1760 K1765 K1770 K1775 K1780 K1785 K1790 K1795 K1800 K1805 K1810 K1815 K1820 K1825 K1830 K1835 K1840 K1845 K1850 K1855 K1860 K1865 K1870 K1875 K1880 K1885 K1890 K1895 K1900 K1905 K1910 K1915 K1920 K1925 K1930 K1935 K1940 K1945 K1950 K1955 K1960 K1965 K1970 K1975 K1980 K1985 K1990 K1995 K2000 K2005 K2010 K2015 K2020 K2025 K2030 K2035 K2040 K2045 K2050 K2055 K2060 K2065 K2070 K2075 K2080 K2085 K2090 K2095 K2100 K2105 K2110 K2115 K2120 K2125 K2130 K2135 K2140 K2145 K2150 K2155 K2160 K2165 K2170 K2175 K2180 K2185 K2190 K2195 K2200 K2205 K2210 K2215 K2220 K2225 K2230 K2235 K2240 K2245 K2250 K2255 K2260 K2265 K2270 K2275 K2280 K2285 K2290 K2295 K2300 K2305 K2310 K2315 K2320 K2325 K2330 K2335 K2340 K2345 K2350 K2355 K2360 K2365 K2370 K2375 K2380 K2385 K2390 K2395 K2400 K2405 K2410 K2415 K2420 K2425 K2430 K2435 K2440 K2445 K2450 K2455 K2460 K2465 K2470 K2475 K2480 K2485 K2490 K2495 K2500 K2505 K2510 K2515 S20 S25 S30 S35 S40 S45 S50 S55 S60 S65 S70 S75 S80 S85 S90 S95 S100 S105 S110 S115 S120 S125 S130 S135 S140 S145 S150 S155 S160 S165 S170 S175 S180 S185 S190 S195 S200 S205 S210 S215 S220 S225 S230 S235 S240 S245 S250 S255 S260 S265 S270 S275 S280 S285 S290 S295 S300 S305 S310 S315 S320 S325 S330 S335 S340 S345 S350 S355 S360 S365 S370 S375 S380 S385 S390 S395 S400 S405 S410 S415 S420 S425 S430 S435 S440 S445 S450 S455 S460 S465 S470 S475 S480 S485 S490 S495 S500 S505 S510 S515 S520 S525 S530 S535 S540 S545 S550 S555 S560 S565 S570 S575 S580 S585 S590 S595 S600 S605 S610 S615 S620 S625 S630 S635 S640 S645 S650 S655 S660 S665 S670 S675 S680 S685 S690 S695 S700 S705 S710 S715 S720 S725 S730 S735 S740 S745 S750 S755 S760 S765 S770 S775 S780 S785 S790 S795 S800 S805 S810 S815 S820 S825 S830 S835 S840 S845 S850 S855 S860 S865 S870 S875 S880 S885 S890 S895 S900 S905 S910 S915 S920 S925 S930 S935 S940 S945 S950 S955 S960 S965 S970 S975 S980 S985 S990 S995 S1000 S1005 S1010 S1015 S1020 S1025 S1030 S1035 S1040 S1045 S1050 S1055 S1060 S1065 S1070 S1075 S1080 S1085 S1090 S1095 S1100 S1105 S1110 S1115 S1120 S1125 S1130 S1135 S1140 S1145 S1150 S1155 S1160 S1165 S1170 S1175 S1180 S1185 S1190 S1195 S1200 S1205 S1210 S1215 S1220 S1225 S1230 S1235 S1240 S1245 S1250 S1255 S1260 S1265 S1270 S1275 S1280 S1285 S1290 S1295 S1300 S1305 S1310 S1315 S1320 S1325 S1330 S1335 S1340 S1345 S1350 S1355 S1360 S1365 S1370 S1375 S1380 S1385 S1390 S1395 S1400 S1405 S1410 S1415 S1420 S1425 S1430 S1435 S1440 S1445 S1450 S1455 S1460 S1465 S1470 S1475 S1480 S1485 S1490 S1495 S1500 S1505 S1510 S1515 S1520 S1525 S1530 S1535 S1540 S1545 S1550 S1555 S1560 S1565 S1570 S1575 S1580 S1585 S1590 S1595 S1600 S1605 S1610 S1615 S1620 S1625 S1630 S1635 S1640 S1645 S1650 S1655 S1660 S1665 S1670 S1675 S1680 S1685 S1690 S1695 S1700 S1705 S1710 S1715 S1720 S1725 S1730 S1735 S1740 S1745 S1750 S1755 S1760 S1765 S1770 S1775 S1780 S1785 S1790 S1795 S1800 S1805 S1810 S1815 S1820 S1825 S1830 S1835 S1840 S1845 S1850 S1855 S1860 S1865 S1870 S1875 S1880 S1885 S1890 S1895 S1900 S1905 S1910 S1915 S1920 S1925 S1930 S1935 S1940 S1945 S1950 S1955 S1960 S1965 S1970 S1975 S1980 S1985 S1990 S1995 S2000 S2005 S2010 S2015 S2020 S2025 S2030 S2035 S2040 S2045 S2050 S2055 S2060 S2065 S2070 S2075 S2080 S2085 S2090 S2095 S2100 S2105 S2110 S2115 S2120 S2125 S2130 S2135 S2140 S2145 S2150 S2155 S2160 S2165 S2170 S2175 S2180 S2185 S2190 S2195 S2200 S2205 S2210 S2215 S2220 S2225 S2230 S2235 S2240 S2245 S2250 S2255 S2260 S2265 S2270 S2275 S2280 S2285 S2290 S2295 S2300 S2305 S2310 S2315 S2320 S2325 S2330 S2335 S2340 S2345 S2350 S2355 S2360 S2365 S2370 S2375 S2380 S2385 S2390 S2395 S2400 S2405 S2410 S2415 S2420 S2425 S2430 S2435 S2440 S2445 S2450 S2455 S2460 S2465 S2470 S2475 S2480 S2485 S2490 S2495 S2500 S2505 S2510 S2515 AA20 AA25 AA30 AA35 AA40 AA45 AA50 AA55 AA60 AA65 AA70 AA75 AA80 AA85 AA90 AA95 AA100 AA105 AA110 AA115 AA120 AA125 AA130 AA135 AA140 AA145 AA150 AA155 AA160 AA165 AA170 AA175 AA180 AA185 AA190 AA195 AA200 AA205 AA210 AA215 AA220 AA225 AA230 AA235 AA240 AA245 AA250 AA255 AA260 AA265 AA270 AA275 AA280 AA285 AA290 AA295 AA300 AA305 AA310 AA315 AA320 AA325 AA330 AA335 AA340 AA345 AA350 AA355 AA360 AA365 AA370 AA375 AA380 AA385 AA390 AA395 AA400 AA405 AA410 AA415 AA420 AA425 AA430 AA435 AA440 AA445 AA450 AA455 AA460 AA465 AA470 AA475 AA480 AA485 AA490 AA495 AA500 AA505 AA510 AA515 AA520 AA525 AA530 AA535 AA540 AA545 AA550 AA555 AA560 AA565 AA570 AA575 AA580 AA585 AA590 AA595 AA600 AA605 AA610 AA615 AA620 AA625 AA630 AA635 AA640 AA645 AA650 AA655 AA660 AA665 AA670 AA675 AA680 AA685 AA690 AA695 AA700 AA705 AA710 AA715 AA720 AA725 AA730 AA735 AA740 AA745 AA750 AA755 AA760 AA765 AA770 AA775 AA780 AA785 AA790 AA795 AA800 AA805 AA810 AA815 AA820 AA825 AA830 AA835 AA840 AA845 AA850 AA855 AA860 AA865 AA870 AA875 AA880 AA885 AA890 AA895 AA900 AA905 AA910 AA915 AA920 AA925 AA930 AA935 AA940 AA945 AA950 AA955 AA960 AA965 AA970 AA975 AA980 AA985 AA990 AA995 AA1000 AA1005 AA1010 AA1015 AA1020 AA1025 AA1030 AA1035 AA1040 AA1045 AA1050 AA1055 AA1060 AA1065 AA1070 AA1075 AA1080 AA1085 AA1090 AA1095 AA1100 AA1105 AA1110 AA1115 AA1120 AA1125 AA1130 AA1135 AA1140 AA1145 AA1150 AA1155 AA1160 AA1165 AA1170 AA1175 AA1180 AA1185 AA1190 AA1195 AA1200 AA1205 AA1210 AA1215 AA1220 AA1225 AA1230 AA1235 AA1240 AA1245 AA1250 AA1255 AA1260 AA1265 AA1270 AA1275 AA1280 AA1285 AA1290 AA1295 AA1300 AA1305 AA1310 AA1315 AA1320 AA1325 AA1330 AA1335 AA1340 AA1345 AA1350 AA1355 AA1360 AA1365 AA1370 AA1375 AA1380 AA1385 AA1390 AA1395 AA1400 AA1405 AA1410 AA1415 AA1420 AA1425 AA1430 AA1435 AA1440 AA1445 AA1450 AA1455 AA1460 AA1465 AA1470 AA1475 AA1480 AA1485 AA1490 AA1495 AA1500 AA1505 AA1510 AA1515 AA1520 AA1525 AA1530 AA1535 AA1540 AA1545 AA1550 AA1555 AA1560 AA1565 AA1570 AA1575 AA1580 AA1585 AA1590 AA1595 AA1600 AA1605 AA1610 AA1615 AA1620 AA1625 AA1630 AA1635 AA1640 AA1645 AA1650 AA1655 AA1660 AA1665 AA1670 AA1675 AA1680 AA1685 AA1690 AA1695 AA1700 AA1705 AA1710 AA1715 AA1720 AA1725 AA1730 AA1735 AA1740 AA1745 AA1750 AA1755 AA1760 AA1765 AA1770 AA1775 AA1780 AA1785 AA1790 AA1795 AA1800 AA1805 AA1810 AA1815 AA1820 AA1825 AA1830 AA1835 AA1840 AA1845 AA1850 AA1855 AA1860 AA1865 AA1870 AA1875 AA1880 AA1885 AA1890 AA1895 AA1900 AA1905 AA1910 AA1915 AA1920 AA1925 AA1930 AA1935 AA1940 AA1945 AA1950 AA1955 AA1960 AA1965 AA1970 AA1975 AA1980 AA1985 AA1990 AA1995 AA2000 AA2005 AA2010 AA2015 AA2020 AA2025 AA2030 AA2035 AA2040 AA2045 AA2050 AA2055 AA2060 AA2065 AA2070 AA2075 AA2080 AA2085 AA2090 AA2095 AA2100 AA2105 AA2110 AA2115 AA2120 AA2125 AA2130 AA2135 AA2140 AA2145 AA2150 AA2155 AA2160 AA2165 AA2170 AA2175 AA2180 AA2185 AA2190 AA2195 AA2200 AA2205 AA2210 AA2215 AA2220 AA2225 AA2230 AA2235 AA2240 AA2245 AA2250 AA2255 AA2260 AA2265 AA2270 AA2275 AA2280 AA2285 AA2290 AA2295 AA2300 AA2305 AA2310 AA2315 AA2320 AA2325 AA2330 AA2335 AA2340 AA2345 AA2350 AA2355 AA2360 AA2365 AA2370 AA2375 AA2380 AA2385 AA2390 AA2395 AA2400 AA2405 AA2410 AA2415 AA2420 AA2425 AA2430 AA2435 AA2440 AA2445 AA2450 AA2455 AA2460 AA2465 AA2470 AA2475 AA2480 AA2485 AA2490 AA2495 AA2500 AA2505 AA2510 AA2515</xm:sqref>
        </x14:conditionalFormatting>
      </x14:conditionalFormatting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AB3"/>
  <sheetViews>
    <sheetView showGridLines="0" showRowColHeaders="0" tabSelected="1" view="pageBreakPreview" zoomScale="60" zoomScaleNormal="80" workbookViewId="0">
      <selection activeCell="AD16" sqref="AD16"/>
    </sheetView>
  </sheetViews>
  <sheetFormatPr defaultRowHeight="15" x14ac:dyDescent="0.25"/>
  <cols>
    <col min="1" max="16384" width="9.140625" style="6"/>
  </cols>
  <sheetData>
    <row r="1" spans="1:28" s="5" customFormat="1" ht="21" customHeight="1" x14ac:dyDescent="0.25"/>
    <row r="2" spans="1:28" s="5" customFormat="1" ht="21" customHeight="1" x14ac:dyDescent="0.25"/>
    <row r="3" spans="1:28" ht="21" customHeight="1" x14ac:dyDescent="0.25">
      <c r="A3" s="67" t="s">
        <v>14</v>
      </c>
      <c r="B3" s="67"/>
      <c r="C3" s="67"/>
      <c r="D3" s="67"/>
      <c r="E3" s="67"/>
      <c r="F3" s="67"/>
      <c r="G3" s="67"/>
      <c r="H3" s="67"/>
      <c r="I3" s="67"/>
      <c r="J3" s="67"/>
      <c r="K3" s="67"/>
      <c r="L3" s="67"/>
      <c r="M3" s="67"/>
      <c r="N3" s="67"/>
      <c r="O3" s="67"/>
      <c r="P3" s="67"/>
      <c r="Q3" s="67"/>
      <c r="R3" s="67"/>
      <c r="S3" s="67"/>
      <c r="T3" s="67"/>
      <c r="U3" s="67"/>
      <c r="V3" s="67"/>
      <c r="W3" s="67"/>
      <c r="X3" s="67"/>
      <c r="Y3" s="67"/>
      <c r="Z3" s="67"/>
      <c r="AA3" s="67"/>
      <c r="AB3" s="67"/>
    </row>
  </sheetData>
  <mergeCells count="2">
    <mergeCell ref="A3:Q3"/>
    <mergeCell ref="R3:AB3"/>
  </mergeCells>
  <pageMargins left="0.7" right="0.7" top="0.75" bottom="0.75" header="0.3" footer="0.3"/>
  <pageSetup paperSize="121" orientation="portrait" horizontalDpi="4294967294"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5"/>
  </sheetPr>
  <dimension ref="B2:J10000"/>
  <sheetViews>
    <sheetView workbookViewId="0">
      <selection activeCell="C9" sqref="C9:J15"/>
    </sheetView>
  </sheetViews>
  <sheetFormatPr defaultColWidth="11.5703125" defaultRowHeight="15" x14ac:dyDescent="0.25"/>
  <cols>
    <col min="3" max="3" width="11.140625" customWidth="1"/>
    <col min="4" max="4" width="22.28515625" bestFit="1" customWidth="1"/>
    <col min="5" max="5" width="15.85546875" bestFit="1" customWidth="1"/>
    <col min="6" max="6" width="9" customWidth="1"/>
    <col min="7" max="7" width="10.140625" customWidth="1"/>
    <col min="8" max="8" width="25.5703125" customWidth="1"/>
    <col min="9" max="9" width="20.28515625" customWidth="1"/>
    <col min="10" max="10" width="30" customWidth="1"/>
    <col min="11" max="11" width="24" customWidth="1"/>
  </cols>
  <sheetData>
    <row r="2" spans="2:10" ht="18.75" x14ac:dyDescent="0.3">
      <c r="C2" s="3"/>
    </row>
    <row r="9" spans="2:10" x14ac:dyDescent="0.25">
      <c r="C9" s="4" t="s">
        <v>8</v>
      </c>
      <c r="D9" s="4" t="s">
        <v>1</v>
      </c>
      <c r="E9" s="4" t="s">
        <v>3</v>
      </c>
      <c r="F9" s="4" t="s">
        <v>4</v>
      </c>
      <c r="G9" s="4" t="s">
        <v>6</v>
      </c>
      <c r="H9" s="4" t="s">
        <v>2</v>
      </c>
      <c r="I9" s="4" t="s">
        <v>9</v>
      </c>
      <c r="J9" t="s">
        <v>17</v>
      </c>
    </row>
    <row r="10" spans="2:10" x14ac:dyDescent="0.25">
      <c r="B10" t="str">
        <f>IF(C10="","",C10&amp;COUNTIF(C$9:C10,C10))</f>
        <v>В работе1</v>
      </c>
      <c r="C10" t="s">
        <v>19</v>
      </c>
      <c r="D10" t="s">
        <v>32</v>
      </c>
      <c r="E10" t="s">
        <v>41</v>
      </c>
      <c r="F10" t="s">
        <v>12</v>
      </c>
      <c r="G10" s="2">
        <v>44550</v>
      </c>
      <c r="H10" t="s">
        <v>43</v>
      </c>
      <c r="I10" t="s">
        <v>24</v>
      </c>
      <c r="J10" s="1">
        <v>10</v>
      </c>
    </row>
    <row r="11" spans="2:10" x14ac:dyDescent="0.25">
      <c r="B11" t="str">
        <f>IF(C11="","",C11&amp;COUNTIF(C$9:C11,C11))</f>
        <v>В работе2</v>
      </c>
      <c r="C11" t="s">
        <v>19</v>
      </c>
      <c r="D11" t="s">
        <v>30</v>
      </c>
      <c r="E11" t="s">
        <v>35</v>
      </c>
      <c r="F11" t="s">
        <v>10</v>
      </c>
      <c r="G11" s="2">
        <v>44469</v>
      </c>
      <c r="H11" t="s">
        <v>36</v>
      </c>
      <c r="I11" t="s">
        <v>24</v>
      </c>
      <c r="J11" s="1">
        <v>-71</v>
      </c>
    </row>
    <row r="12" spans="2:10" x14ac:dyDescent="0.25">
      <c r="B12" t="str">
        <f>IF(C12="","",C12&amp;COUNTIF(C$9:C12,C12))</f>
        <v>В работе3</v>
      </c>
      <c r="C12" t="s">
        <v>19</v>
      </c>
      <c r="D12" t="s">
        <v>33</v>
      </c>
      <c r="E12" t="s">
        <v>41</v>
      </c>
      <c r="F12" t="s">
        <v>12</v>
      </c>
      <c r="G12" s="2">
        <v>44550</v>
      </c>
      <c r="H12" t="s">
        <v>43</v>
      </c>
      <c r="I12" t="s">
        <v>24</v>
      </c>
      <c r="J12" s="1">
        <v>10</v>
      </c>
    </row>
    <row r="13" spans="2:10" x14ac:dyDescent="0.25">
      <c r="B13" t="str">
        <f>IF(C13="","",C13&amp;COUNTIF(C$9:C13,C13))</f>
        <v>Готово1</v>
      </c>
      <c r="C13" t="s">
        <v>23</v>
      </c>
      <c r="D13" t="s">
        <v>28</v>
      </c>
      <c r="E13" t="s">
        <v>35</v>
      </c>
      <c r="F13" t="s">
        <v>10</v>
      </c>
      <c r="G13" s="2">
        <v>44432</v>
      </c>
      <c r="H13" t="s">
        <v>34</v>
      </c>
      <c r="I13" t="s">
        <v>29</v>
      </c>
      <c r="J13" s="1"/>
    </row>
    <row r="14" spans="2:10" x14ac:dyDescent="0.25">
      <c r="B14" t="str">
        <f>IF(C14="","",C14&amp;COUNTIF(C$9:C14,C14))</f>
        <v>Готово2</v>
      </c>
      <c r="C14" t="s">
        <v>23</v>
      </c>
      <c r="D14" t="s">
        <v>42</v>
      </c>
      <c r="E14" t="s">
        <v>41</v>
      </c>
      <c r="F14" t="s">
        <v>10</v>
      </c>
      <c r="G14" s="2">
        <v>44432</v>
      </c>
      <c r="H14" t="s">
        <v>40</v>
      </c>
      <c r="I14" t="s">
        <v>29</v>
      </c>
      <c r="J14" s="1"/>
    </row>
    <row r="15" spans="2:10" x14ac:dyDescent="0.25">
      <c r="B15" t="str">
        <f>IF(C15="","",C15&amp;COUNTIF(C$9:C15,C15))</f>
        <v>(пусто)1</v>
      </c>
      <c r="C15" t="s">
        <v>24</v>
      </c>
      <c r="D15" t="s">
        <v>37</v>
      </c>
      <c r="E15" t="s">
        <v>35</v>
      </c>
      <c r="F15" t="s">
        <v>10</v>
      </c>
      <c r="G15" s="2">
        <v>44560</v>
      </c>
      <c r="H15" t="s">
        <v>34</v>
      </c>
      <c r="I15" t="s">
        <v>24</v>
      </c>
      <c r="J15" s="1">
        <v>20</v>
      </c>
    </row>
    <row r="16" spans="2:10" x14ac:dyDescent="0.25">
      <c r="B16" t="str">
        <f>IF(C16="","",C16&amp;COUNTIF(C$9:C16,C16))</f>
        <v>(пусто)2</v>
      </c>
      <c r="C16" t="s">
        <v>24</v>
      </c>
      <c r="D16" t="s">
        <v>39</v>
      </c>
      <c r="E16" t="s">
        <v>35</v>
      </c>
      <c r="F16" t="s">
        <v>12</v>
      </c>
      <c r="G16" s="2">
        <v>44560</v>
      </c>
      <c r="H16" t="s">
        <v>38</v>
      </c>
      <c r="I16" t="s">
        <v>24</v>
      </c>
      <c r="J16" s="1">
        <v>20</v>
      </c>
    </row>
    <row r="17" spans="2:2" x14ac:dyDescent="0.25">
      <c r="B17" t="str">
        <f>IF(C17="","",C17&amp;COUNTIF(C$9:C17,C17))</f>
        <v/>
      </c>
    </row>
    <row r="18" spans="2:2" x14ac:dyDescent="0.25">
      <c r="B18" t="str">
        <f>IF(C18="","",C18&amp;COUNTIF(C$9:C18,C18))</f>
        <v/>
      </c>
    </row>
    <row r="19" spans="2:2" x14ac:dyDescent="0.25">
      <c r="B19" t="str">
        <f>IF(C19="","",C19&amp;COUNTIF(C$9:C19,C19))</f>
        <v/>
      </c>
    </row>
    <row r="20" spans="2:2" x14ac:dyDescent="0.25">
      <c r="B20" t="str">
        <f>IF(C20="","",C20&amp;COUNTIF(C$9:C20,C20))</f>
        <v/>
      </c>
    </row>
    <row r="21" spans="2:2" x14ac:dyDescent="0.25">
      <c r="B21" t="str">
        <f>IF(C21="","",C21&amp;COUNTIF(C$9:C21,C21))</f>
        <v/>
      </c>
    </row>
    <row r="22" spans="2:2" x14ac:dyDescent="0.25">
      <c r="B22" t="str">
        <f>IF(C22="","",C22&amp;COUNTIF(C$9:C22,C22))</f>
        <v/>
      </c>
    </row>
    <row r="23" spans="2:2" x14ac:dyDescent="0.25">
      <c r="B23" t="str">
        <f>IF(C23="","",C23&amp;COUNTIF(C$9:C23,C23))</f>
        <v/>
      </c>
    </row>
    <row r="24" spans="2:2" x14ac:dyDescent="0.25">
      <c r="B24" t="str">
        <f>IF(C24="","",C24&amp;COUNTIF(C$9:C24,C24))</f>
        <v/>
      </c>
    </row>
    <row r="25" spans="2:2" x14ac:dyDescent="0.25">
      <c r="B25" t="str">
        <f>IF(C25="","",C25&amp;COUNTIF(C$9:C25,C25))</f>
        <v/>
      </c>
    </row>
    <row r="26" spans="2:2" x14ac:dyDescent="0.25">
      <c r="B26" t="str">
        <f>IF(C26="","",C26&amp;COUNTIF(C$9:C26,C26))</f>
        <v/>
      </c>
    </row>
    <row r="27" spans="2:2" x14ac:dyDescent="0.25">
      <c r="B27" t="str">
        <f>IF(C27="","",C27&amp;COUNTIF(C$9:C27,C27))</f>
        <v/>
      </c>
    </row>
    <row r="28" spans="2:2" x14ac:dyDescent="0.25">
      <c r="B28" t="str">
        <f>IF(C28="","",C28&amp;COUNTIF(C$9:C28,C28))</f>
        <v/>
      </c>
    </row>
    <row r="29" spans="2:2" x14ac:dyDescent="0.25">
      <c r="B29" t="str">
        <f>IF(C29="","",C29&amp;COUNTIF(C$9:C29,C29))</f>
        <v/>
      </c>
    </row>
    <row r="30" spans="2:2" x14ac:dyDescent="0.25">
      <c r="B30" t="str">
        <f>IF(C30="","",C30&amp;COUNTIF(C$9:C30,C30))</f>
        <v/>
      </c>
    </row>
    <row r="31" spans="2:2" x14ac:dyDescent="0.25">
      <c r="B31" t="str">
        <f>IF(C31="","",C31&amp;COUNTIF(C$9:C31,C31))</f>
        <v/>
      </c>
    </row>
    <row r="32" spans="2:2" x14ac:dyDescent="0.25">
      <c r="B32" t="str">
        <f>IF(C32="","",C32&amp;COUNTIF(C$9:C32,C32))</f>
        <v/>
      </c>
    </row>
    <row r="33" spans="2:2" x14ac:dyDescent="0.25">
      <c r="B33" t="str">
        <f>IF(C33="","",C33&amp;COUNTIF(C$9:C33,C33))</f>
        <v/>
      </c>
    </row>
    <row r="34" spans="2:2" x14ac:dyDescent="0.25">
      <c r="B34" t="str">
        <f>IF(C34="","",C34&amp;COUNTIF(C$9:C34,C34))</f>
        <v/>
      </c>
    </row>
    <row r="35" spans="2:2" x14ac:dyDescent="0.25">
      <c r="B35" t="str">
        <f>IF(C35="","",C35&amp;COUNTIF(C$9:C35,C35))</f>
        <v/>
      </c>
    </row>
    <row r="36" spans="2:2" x14ac:dyDescent="0.25">
      <c r="B36" t="str">
        <f>IF(C36="","",C36&amp;COUNTIF(C$9:C36,C36))</f>
        <v/>
      </c>
    </row>
    <row r="37" spans="2:2" x14ac:dyDescent="0.25">
      <c r="B37" t="str">
        <f>IF(C37="","",C37&amp;COUNTIF(C$9:C37,C37))</f>
        <v/>
      </c>
    </row>
    <row r="38" spans="2:2" x14ac:dyDescent="0.25">
      <c r="B38" t="str">
        <f>IF(C38="","",C38&amp;COUNTIF(C$9:C38,C38))</f>
        <v/>
      </c>
    </row>
    <row r="39" spans="2:2" x14ac:dyDescent="0.25">
      <c r="B39" t="str">
        <f>IF(C39="","",C39&amp;COUNTIF(C$9:C39,C39))</f>
        <v/>
      </c>
    </row>
    <row r="40" spans="2:2" x14ac:dyDescent="0.25">
      <c r="B40" t="str">
        <f>IF(C40="","",C40&amp;COUNTIF(C$9:C40,C40))</f>
        <v/>
      </c>
    </row>
    <row r="41" spans="2:2" x14ac:dyDescent="0.25">
      <c r="B41" t="str">
        <f>IF(C41="","",C41&amp;COUNTIF(C$9:C41,C41))</f>
        <v/>
      </c>
    </row>
    <row r="42" spans="2:2" x14ac:dyDescent="0.25">
      <c r="B42" t="str">
        <f>IF(C42="","",C42&amp;COUNTIF(C$9:C42,C42))</f>
        <v/>
      </c>
    </row>
    <row r="43" spans="2:2" x14ac:dyDescent="0.25">
      <c r="B43" t="str">
        <f>IF(C43="","",C43&amp;COUNTIF(C$9:C43,C43))</f>
        <v/>
      </c>
    </row>
    <row r="44" spans="2:2" x14ac:dyDescent="0.25">
      <c r="B44" t="str">
        <f>IF(C44="","",C44&amp;COUNTIF(C$9:C44,C44))</f>
        <v/>
      </c>
    </row>
    <row r="45" spans="2:2" x14ac:dyDescent="0.25">
      <c r="B45" t="str">
        <f>IF(C45="","",C45&amp;COUNTIF(C$9:C45,C45))</f>
        <v/>
      </c>
    </row>
    <row r="46" spans="2:2" x14ac:dyDescent="0.25">
      <c r="B46" t="str">
        <f>IF(C46="","",C46&amp;COUNTIF(C$9:C46,C46))</f>
        <v/>
      </c>
    </row>
    <row r="47" spans="2:2" x14ac:dyDescent="0.25">
      <c r="B47" t="str">
        <f>IF(C47="","",C47&amp;COUNTIF(C$9:C47,C47))</f>
        <v/>
      </c>
    </row>
    <row r="48" spans="2:2" x14ac:dyDescent="0.25">
      <c r="B48" t="str">
        <f>IF(C48="","",C48&amp;COUNTIF(C$9:C48,C48))</f>
        <v/>
      </c>
    </row>
    <row r="49" spans="2:2" x14ac:dyDescent="0.25">
      <c r="B49" t="str">
        <f>IF(C49="","",C49&amp;COUNTIF(C$9:C49,C49))</f>
        <v/>
      </c>
    </row>
    <row r="50" spans="2:2" x14ac:dyDescent="0.25">
      <c r="B50" t="str">
        <f>IF(C50="","",C50&amp;COUNTIF(C$9:C50,C50))</f>
        <v/>
      </c>
    </row>
    <row r="51" spans="2:2" x14ac:dyDescent="0.25">
      <c r="B51" t="str">
        <f>IF(C51="","",C51&amp;COUNTIF(C$9:C51,C51))</f>
        <v/>
      </c>
    </row>
    <row r="52" spans="2:2" x14ac:dyDescent="0.25">
      <c r="B52" t="str">
        <f>IF(C52="","",C52&amp;COUNTIF(C$9:C52,C52))</f>
        <v/>
      </c>
    </row>
    <row r="53" spans="2:2" x14ac:dyDescent="0.25">
      <c r="B53" t="str">
        <f>IF(C53="","",C53&amp;COUNTIF(C$9:C53,C53))</f>
        <v/>
      </c>
    </row>
    <row r="54" spans="2:2" x14ac:dyDescent="0.25">
      <c r="B54" t="str">
        <f>IF(C54="","",C54&amp;COUNTIF(C$9:C54,C54))</f>
        <v/>
      </c>
    </row>
    <row r="55" spans="2:2" x14ac:dyDescent="0.25">
      <c r="B55" t="str">
        <f>IF(C55="","",C55&amp;COUNTIF(C$9:C55,C55))</f>
        <v/>
      </c>
    </row>
    <row r="56" spans="2:2" x14ac:dyDescent="0.25">
      <c r="B56" t="str">
        <f>IF(C56="","",C56&amp;COUNTIF(C$9:C56,C56))</f>
        <v/>
      </c>
    </row>
    <row r="57" spans="2:2" x14ac:dyDescent="0.25">
      <c r="B57" t="str">
        <f>IF(C57="","",C57&amp;COUNTIF(C$9:C57,C57))</f>
        <v/>
      </c>
    </row>
    <row r="58" spans="2:2" x14ac:dyDescent="0.25">
      <c r="B58" t="str">
        <f>IF(C58="","",C58&amp;COUNTIF(C$9:C58,C58))</f>
        <v/>
      </c>
    </row>
    <row r="59" spans="2:2" x14ac:dyDescent="0.25">
      <c r="B59" t="str">
        <f>IF(C59="","",C59&amp;COUNTIF(C$9:C59,C59))</f>
        <v/>
      </c>
    </row>
    <row r="60" spans="2:2" x14ac:dyDescent="0.25">
      <c r="B60" t="str">
        <f>IF(C60="","",C60&amp;COUNTIF(C$9:C60,C60))</f>
        <v/>
      </c>
    </row>
    <row r="61" spans="2:2" x14ac:dyDescent="0.25">
      <c r="B61" t="str">
        <f>IF(C61="","",C61&amp;COUNTIF(C$9:C61,C61))</f>
        <v/>
      </c>
    </row>
    <row r="62" spans="2:2" x14ac:dyDescent="0.25">
      <c r="B62" t="str">
        <f>IF(C62="","",C62&amp;COUNTIF(C$9:C62,C62))</f>
        <v/>
      </c>
    </row>
    <row r="63" spans="2:2" x14ac:dyDescent="0.25">
      <c r="B63" t="str">
        <f>IF(C63="","",C63&amp;COUNTIF(C$9:C63,C63))</f>
        <v/>
      </c>
    </row>
    <row r="64" spans="2:2" x14ac:dyDescent="0.25">
      <c r="B64" t="str">
        <f>IF(C64="","",C64&amp;COUNTIF(C$9:C64,C64))</f>
        <v/>
      </c>
    </row>
    <row r="65" spans="2:2" x14ac:dyDescent="0.25">
      <c r="B65" t="str">
        <f>IF(C65="","",C65&amp;COUNTIF(C$9:C65,C65))</f>
        <v/>
      </c>
    </row>
    <row r="66" spans="2:2" x14ac:dyDescent="0.25">
      <c r="B66" t="str">
        <f>IF(C66="","",C66&amp;COUNTIF(C$9:C66,C66))</f>
        <v/>
      </c>
    </row>
    <row r="67" spans="2:2" x14ac:dyDescent="0.25">
      <c r="B67" t="str">
        <f>IF(C67="","",C67&amp;COUNTIF(C$9:C67,C67))</f>
        <v/>
      </c>
    </row>
    <row r="68" spans="2:2" x14ac:dyDescent="0.25">
      <c r="B68" t="str">
        <f>IF(C68="","",C68&amp;COUNTIF(C$9:C68,C68))</f>
        <v/>
      </c>
    </row>
    <row r="69" spans="2:2" x14ac:dyDescent="0.25">
      <c r="B69" t="str">
        <f>IF(C69="","",C69&amp;COUNTIF(C$9:C69,C69))</f>
        <v/>
      </c>
    </row>
    <row r="70" spans="2:2" x14ac:dyDescent="0.25">
      <c r="B70" t="str">
        <f>IF(C70="","",C70&amp;COUNTIF(C$9:C70,C70))</f>
        <v/>
      </c>
    </row>
    <row r="71" spans="2:2" x14ac:dyDescent="0.25">
      <c r="B71" t="str">
        <f>IF(C71="","",C71&amp;COUNTIF(C$9:C71,C71))</f>
        <v/>
      </c>
    </row>
    <row r="72" spans="2:2" x14ac:dyDescent="0.25">
      <c r="B72" t="str">
        <f>IF(C72="","",C72&amp;COUNTIF(C$9:C72,C72))</f>
        <v/>
      </c>
    </row>
    <row r="73" spans="2:2" x14ac:dyDescent="0.25">
      <c r="B73" t="str">
        <f>IF(C73="","",C73&amp;COUNTIF(C$9:C73,C73))</f>
        <v/>
      </c>
    </row>
    <row r="74" spans="2:2" x14ac:dyDescent="0.25">
      <c r="B74" t="str">
        <f>IF(C74="","",C74&amp;COUNTIF(C$9:C74,C74))</f>
        <v/>
      </c>
    </row>
    <row r="75" spans="2:2" x14ac:dyDescent="0.25">
      <c r="B75" t="str">
        <f>IF(C75="","",C75&amp;COUNTIF(C$9:C75,C75))</f>
        <v/>
      </c>
    </row>
    <row r="76" spans="2:2" x14ac:dyDescent="0.25">
      <c r="B76" t="str">
        <f>IF(C76="","",C76&amp;COUNTIF(C$9:C76,C76))</f>
        <v/>
      </c>
    </row>
    <row r="77" spans="2:2" x14ac:dyDescent="0.25">
      <c r="B77" t="str">
        <f>IF(C77="","",C77&amp;COUNTIF(C$9:C77,C77))</f>
        <v/>
      </c>
    </row>
    <row r="78" spans="2:2" x14ac:dyDescent="0.25">
      <c r="B78" t="str">
        <f>IF(C78="","",C78&amp;COUNTIF(C$9:C78,C78))</f>
        <v/>
      </c>
    </row>
    <row r="79" spans="2:2" x14ac:dyDescent="0.25">
      <c r="B79" t="str">
        <f>IF(C79="","",C79&amp;COUNTIF(C$9:C79,C79))</f>
        <v/>
      </c>
    </row>
    <row r="80" spans="2:2" x14ac:dyDescent="0.25">
      <c r="B80" t="str">
        <f>IF(C80="","",C80&amp;COUNTIF(C$9:C80,C80))</f>
        <v/>
      </c>
    </row>
    <row r="81" spans="2:2" x14ac:dyDescent="0.25">
      <c r="B81" t="str">
        <f>IF(C81="","",C81&amp;COUNTIF(C$9:C81,C81))</f>
        <v/>
      </c>
    </row>
    <row r="82" spans="2:2" x14ac:dyDescent="0.25">
      <c r="B82" t="str">
        <f>IF(C82="","",C82&amp;COUNTIF(C$9:C82,C82))</f>
        <v/>
      </c>
    </row>
    <row r="83" spans="2:2" x14ac:dyDescent="0.25">
      <c r="B83" t="str">
        <f>IF(C83="","",C83&amp;COUNTIF(C$9:C83,C83))</f>
        <v/>
      </c>
    </row>
    <row r="84" spans="2:2" x14ac:dyDescent="0.25">
      <c r="B84" t="str">
        <f>IF(C84="","",C84&amp;COUNTIF(C$9:C84,C84))</f>
        <v/>
      </c>
    </row>
    <row r="85" spans="2:2" x14ac:dyDescent="0.25">
      <c r="B85" t="str">
        <f>IF(C85="","",C85&amp;COUNTIF(C$9:C85,C85))</f>
        <v/>
      </c>
    </row>
    <row r="86" spans="2:2" x14ac:dyDescent="0.25">
      <c r="B86" t="str">
        <f>IF(C86="","",C86&amp;COUNTIF(C$9:C86,C86))</f>
        <v/>
      </c>
    </row>
    <row r="87" spans="2:2" x14ac:dyDescent="0.25">
      <c r="B87" t="str">
        <f>IF(C87="","",C87&amp;COUNTIF(C$9:C87,C87))</f>
        <v/>
      </c>
    </row>
    <row r="88" spans="2:2" x14ac:dyDescent="0.25">
      <c r="B88" t="str">
        <f>IF(C88="","",C88&amp;COUNTIF(C$9:C88,C88))</f>
        <v/>
      </c>
    </row>
    <row r="89" spans="2:2" x14ac:dyDescent="0.25">
      <c r="B89" t="str">
        <f>IF(C89="","",C89&amp;COUNTIF(C$9:C89,C89))</f>
        <v/>
      </c>
    </row>
    <row r="90" spans="2:2" x14ac:dyDescent="0.25">
      <c r="B90" t="str">
        <f>IF(C90="","",C90&amp;COUNTIF(C$9:C90,C90))</f>
        <v/>
      </c>
    </row>
    <row r="91" spans="2:2" x14ac:dyDescent="0.25">
      <c r="B91" t="str">
        <f>IF(C91="","",C91&amp;COUNTIF(C$9:C91,C91))</f>
        <v/>
      </c>
    </row>
    <row r="92" spans="2:2" x14ac:dyDescent="0.25">
      <c r="B92" t="str">
        <f>IF(C92="","",C92&amp;COUNTIF(C$9:C92,C92))</f>
        <v/>
      </c>
    </row>
    <row r="93" spans="2:2" x14ac:dyDescent="0.25">
      <c r="B93" t="str">
        <f>IF(C93="","",C93&amp;COUNTIF(C$9:C93,C93))</f>
        <v/>
      </c>
    </row>
    <row r="94" spans="2:2" x14ac:dyDescent="0.25">
      <c r="B94" t="str">
        <f>IF(C94="","",C94&amp;COUNTIF(C$9:C94,C94))</f>
        <v/>
      </c>
    </row>
    <row r="95" spans="2:2" x14ac:dyDescent="0.25">
      <c r="B95" t="str">
        <f>IF(C95="","",C95&amp;COUNTIF(C$9:C95,C95))</f>
        <v/>
      </c>
    </row>
    <row r="96" spans="2:2" x14ac:dyDescent="0.25">
      <c r="B96" t="str">
        <f>IF(C96="","",C96&amp;COUNTIF(C$9:C96,C96))</f>
        <v/>
      </c>
    </row>
    <row r="97" spans="2:2" x14ac:dyDescent="0.25">
      <c r="B97" t="str">
        <f>IF(C97="","",C97&amp;COUNTIF(C$9:C97,C97))</f>
        <v/>
      </c>
    </row>
    <row r="98" spans="2:2" x14ac:dyDescent="0.25">
      <c r="B98" t="str">
        <f>IF(C98="","",C98&amp;COUNTIF(C$9:C98,C98))</f>
        <v/>
      </c>
    </row>
    <row r="99" spans="2:2" x14ac:dyDescent="0.25">
      <c r="B99" t="str">
        <f>IF(C99="","",C99&amp;COUNTIF(C$9:C99,C99))</f>
        <v/>
      </c>
    </row>
    <row r="100" spans="2:2" x14ac:dyDescent="0.25">
      <c r="B100" t="str">
        <f>IF(C100="","",C100&amp;COUNTIF(C$9:C100,C100))</f>
        <v/>
      </c>
    </row>
    <row r="101" spans="2:2" x14ac:dyDescent="0.25">
      <c r="B101" t="str">
        <f>IF(C101="","",C101&amp;COUNTIF(C$9:C101,C101))</f>
        <v/>
      </c>
    </row>
    <row r="102" spans="2:2" x14ac:dyDescent="0.25">
      <c r="B102" t="str">
        <f>IF(C102="","",C102&amp;COUNTIF(C$9:C102,C102))</f>
        <v/>
      </c>
    </row>
    <row r="103" spans="2:2" x14ac:dyDescent="0.25">
      <c r="B103" t="str">
        <f>IF(C103="","",C103&amp;COUNTIF(C$9:C103,C103))</f>
        <v/>
      </c>
    </row>
    <row r="104" spans="2:2" x14ac:dyDescent="0.25">
      <c r="B104" t="str">
        <f>IF(C104="","",C104&amp;COUNTIF(C$9:C104,C104))</f>
        <v/>
      </c>
    </row>
    <row r="105" spans="2:2" x14ac:dyDescent="0.25">
      <c r="B105" t="str">
        <f>IF(C105="","",C105&amp;COUNTIF(C$9:C105,C105))</f>
        <v/>
      </c>
    </row>
    <row r="106" spans="2:2" x14ac:dyDescent="0.25">
      <c r="B106" t="str">
        <f>IF(C106="","",C106&amp;COUNTIF(C$9:C106,C106))</f>
        <v/>
      </c>
    </row>
    <row r="107" spans="2:2" x14ac:dyDescent="0.25">
      <c r="B107" t="str">
        <f>IF(C107="","",C107&amp;COUNTIF(C$9:C107,C107))</f>
        <v/>
      </c>
    </row>
    <row r="108" spans="2:2" x14ac:dyDescent="0.25">
      <c r="B108" t="str">
        <f>IF(C108="","",C108&amp;COUNTIF(C$9:C108,C108))</f>
        <v/>
      </c>
    </row>
    <row r="109" spans="2:2" x14ac:dyDescent="0.25">
      <c r="B109" t="str">
        <f>IF(C109="","",C109&amp;COUNTIF(C$9:C109,C109))</f>
        <v/>
      </c>
    </row>
    <row r="110" spans="2:2" x14ac:dyDescent="0.25">
      <c r="B110" t="str">
        <f>IF(C110="","",C110&amp;COUNTIF(C$9:C110,C110))</f>
        <v/>
      </c>
    </row>
    <row r="111" spans="2:2" x14ac:dyDescent="0.25">
      <c r="B111" t="str">
        <f>IF(C111="","",C111&amp;COUNTIF(C$9:C111,C111))</f>
        <v/>
      </c>
    </row>
    <row r="112" spans="2:2" x14ac:dyDescent="0.25">
      <c r="B112" t="str">
        <f>IF(C112="","",C112&amp;COUNTIF(C$9:C112,C112))</f>
        <v/>
      </c>
    </row>
    <row r="113" spans="2:2" x14ac:dyDescent="0.25">
      <c r="B113" t="str">
        <f>IF(C113="","",C113&amp;COUNTIF(C$9:C113,C113))</f>
        <v/>
      </c>
    </row>
    <row r="114" spans="2:2" x14ac:dyDescent="0.25">
      <c r="B114" t="str">
        <f>IF(C114="","",C114&amp;COUNTIF(C$9:C114,C114))</f>
        <v/>
      </c>
    </row>
    <row r="115" spans="2:2" x14ac:dyDescent="0.25">
      <c r="B115" t="str">
        <f>IF(C115="","",C115&amp;COUNTIF(C$9:C115,C115))</f>
        <v/>
      </c>
    </row>
    <row r="116" spans="2:2" x14ac:dyDescent="0.25">
      <c r="B116" t="str">
        <f>IF(C116="","",C116&amp;COUNTIF(C$9:C116,C116))</f>
        <v/>
      </c>
    </row>
    <row r="117" spans="2:2" x14ac:dyDescent="0.25">
      <c r="B117" t="str">
        <f>IF(C117="","",C117&amp;COUNTIF(C$9:C117,C117))</f>
        <v/>
      </c>
    </row>
    <row r="118" spans="2:2" x14ac:dyDescent="0.25">
      <c r="B118" t="str">
        <f>IF(C118="","",C118&amp;COUNTIF(C$9:C118,C118))</f>
        <v/>
      </c>
    </row>
    <row r="119" spans="2:2" x14ac:dyDescent="0.25">
      <c r="B119" t="str">
        <f>IF(C119="","",C119&amp;COUNTIF(C$9:C119,C119))</f>
        <v/>
      </c>
    </row>
    <row r="120" spans="2:2" x14ac:dyDescent="0.25">
      <c r="B120" t="str">
        <f>IF(C120="","",C120&amp;COUNTIF(C$9:C120,C120))</f>
        <v/>
      </c>
    </row>
    <row r="121" spans="2:2" x14ac:dyDescent="0.25">
      <c r="B121" t="str">
        <f>IF(C121="","",C121&amp;COUNTIF(C$9:C121,C121))</f>
        <v/>
      </c>
    </row>
    <row r="122" spans="2:2" x14ac:dyDescent="0.25">
      <c r="B122" t="str">
        <f>IF(C122="","",C122&amp;COUNTIF(C$9:C122,C122))</f>
        <v/>
      </c>
    </row>
    <row r="123" spans="2:2" x14ac:dyDescent="0.25">
      <c r="B123" t="str">
        <f>IF(C123="","",C123&amp;COUNTIF(C$9:C123,C123))</f>
        <v/>
      </c>
    </row>
    <row r="124" spans="2:2" x14ac:dyDescent="0.25">
      <c r="B124" t="str">
        <f>IF(C124="","",C124&amp;COUNTIF(C$9:C124,C124))</f>
        <v/>
      </c>
    </row>
    <row r="125" spans="2:2" x14ac:dyDescent="0.25">
      <c r="B125" t="str">
        <f>IF(C125="","",C125&amp;COUNTIF(C$9:C125,C125))</f>
        <v/>
      </c>
    </row>
    <row r="126" spans="2:2" x14ac:dyDescent="0.25">
      <c r="B126" t="str">
        <f>IF(C126="","",C126&amp;COUNTIF(C$9:C126,C126))</f>
        <v/>
      </c>
    </row>
    <row r="127" spans="2:2" x14ac:dyDescent="0.25">
      <c r="B127" t="str">
        <f>IF(C127="","",C127&amp;COUNTIF(C$9:C127,C127))</f>
        <v/>
      </c>
    </row>
    <row r="128" spans="2:2" x14ac:dyDescent="0.25">
      <c r="B128" t="str">
        <f>IF(C128="","",C128&amp;COUNTIF(C$9:C128,C128))</f>
        <v/>
      </c>
    </row>
    <row r="129" spans="2:2" x14ac:dyDescent="0.25">
      <c r="B129" t="str">
        <f>IF(C129="","",C129&amp;COUNTIF(C$9:C129,C129))</f>
        <v/>
      </c>
    </row>
    <row r="130" spans="2:2" x14ac:dyDescent="0.25">
      <c r="B130" t="str">
        <f>IF(C130="","",C130&amp;COUNTIF(C$9:C130,C130))</f>
        <v/>
      </c>
    </row>
    <row r="131" spans="2:2" x14ac:dyDescent="0.25">
      <c r="B131" t="str">
        <f>IF(C131="","",C131&amp;COUNTIF(C$9:C131,C131))</f>
        <v/>
      </c>
    </row>
    <row r="132" spans="2:2" x14ac:dyDescent="0.25">
      <c r="B132" t="str">
        <f>IF(C132="","",C132&amp;COUNTIF(C$9:C132,C132))</f>
        <v/>
      </c>
    </row>
    <row r="133" spans="2:2" x14ac:dyDescent="0.25">
      <c r="B133" t="str">
        <f>IF(C133="","",C133&amp;COUNTIF(C$9:C133,C133))</f>
        <v/>
      </c>
    </row>
    <row r="134" spans="2:2" x14ac:dyDescent="0.25">
      <c r="B134" t="str">
        <f>IF(C134="","",C134&amp;COUNTIF(C$9:C134,C134))</f>
        <v/>
      </c>
    </row>
    <row r="135" spans="2:2" x14ac:dyDescent="0.25">
      <c r="B135" t="str">
        <f>IF(C135="","",C135&amp;COUNTIF(C$9:C135,C135))</f>
        <v/>
      </c>
    </row>
    <row r="136" spans="2:2" x14ac:dyDescent="0.25">
      <c r="B136" t="str">
        <f>IF(C136="","",C136&amp;COUNTIF(C$9:C136,C136))</f>
        <v/>
      </c>
    </row>
    <row r="137" spans="2:2" x14ac:dyDescent="0.25">
      <c r="B137" t="str">
        <f>IF(C137="","",C137&amp;COUNTIF(C$9:C137,C137))</f>
        <v/>
      </c>
    </row>
    <row r="138" spans="2:2" x14ac:dyDescent="0.25">
      <c r="B138" t="str">
        <f>IF(C138="","",C138&amp;COUNTIF(C$9:C138,C138))</f>
        <v/>
      </c>
    </row>
    <row r="139" spans="2:2" x14ac:dyDescent="0.25">
      <c r="B139" t="str">
        <f>IF(C139="","",C139&amp;COUNTIF(C$9:C139,C139))</f>
        <v/>
      </c>
    </row>
    <row r="140" spans="2:2" x14ac:dyDescent="0.25">
      <c r="B140" t="str">
        <f>IF(C140="","",C140&amp;COUNTIF(C$9:C140,C140))</f>
        <v/>
      </c>
    </row>
    <row r="141" spans="2:2" x14ac:dyDescent="0.25">
      <c r="B141" t="str">
        <f>IF(C141="","",C141&amp;COUNTIF(C$9:C141,C141))</f>
        <v/>
      </c>
    </row>
    <row r="142" spans="2:2" x14ac:dyDescent="0.25">
      <c r="B142" t="str">
        <f>IF(C142="","",C142&amp;COUNTIF(C$9:C142,C142))</f>
        <v/>
      </c>
    </row>
    <row r="143" spans="2:2" x14ac:dyDescent="0.25">
      <c r="B143" t="str">
        <f>IF(C143="","",C143&amp;COUNTIF(C$9:C143,C143))</f>
        <v/>
      </c>
    </row>
    <row r="144" spans="2:2" x14ac:dyDescent="0.25">
      <c r="B144" t="str">
        <f>IF(C144="","",C144&amp;COUNTIF(C$9:C144,C144))</f>
        <v/>
      </c>
    </row>
    <row r="145" spans="2:2" x14ac:dyDescent="0.25">
      <c r="B145" t="str">
        <f>IF(C145="","",C145&amp;COUNTIF(C$9:C145,C145))</f>
        <v/>
      </c>
    </row>
    <row r="146" spans="2:2" x14ac:dyDescent="0.25">
      <c r="B146" t="str">
        <f>IF(C146="","",C146&amp;COUNTIF(C$9:C146,C146))</f>
        <v/>
      </c>
    </row>
    <row r="147" spans="2:2" x14ac:dyDescent="0.25">
      <c r="B147" t="str">
        <f>IF(C147="","",C147&amp;COUNTIF(C$9:C147,C147))</f>
        <v/>
      </c>
    </row>
    <row r="148" spans="2:2" x14ac:dyDescent="0.25">
      <c r="B148" t="str">
        <f>IF(C148="","",C148&amp;COUNTIF(C$9:C148,C148))</f>
        <v/>
      </c>
    </row>
    <row r="149" spans="2:2" x14ac:dyDescent="0.25">
      <c r="B149" t="str">
        <f>IF(C149="","",C149&amp;COUNTIF(C$9:C149,C149))</f>
        <v/>
      </c>
    </row>
    <row r="150" spans="2:2" x14ac:dyDescent="0.25">
      <c r="B150" t="str">
        <f>IF(C150="","",C150&amp;COUNTIF(C$9:C150,C150))</f>
        <v/>
      </c>
    </row>
    <row r="151" spans="2:2" x14ac:dyDescent="0.25">
      <c r="B151" t="str">
        <f>IF(C151="","",C151&amp;COUNTIF(C$9:C151,C151))</f>
        <v/>
      </c>
    </row>
    <row r="152" spans="2:2" x14ac:dyDescent="0.25">
      <c r="B152" t="str">
        <f>IF(C152="","",C152&amp;COUNTIF(C$9:C152,C152))</f>
        <v/>
      </c>
    </row>
    <row r="153" spans="2:2" x14ac:dyDescent="0.25">
      <c r="B153" t="str">
        <f>IF(C153="","",C153&amp;COUNTIF(C$9:C153,C153))</f>
        <v/>
      </c>
    </row>
    <row r="154" spans="2:2" x14ac:dyDescent="0.25">
      <c r="B154" t="str">
        <f>IF(C154="","",C154&amp;COUNTIF(C$9:C154,C154))</f>
        <v/>
      </c>
    </row>
    <row r="155" spans="2:2" x14ac:dyDescent="0.25">
      <c r="B155" t="str">
        <f>IF(C155="","",C155&amp;COUNTIF(C$9:C155,C155))</f>
        <v/>
      </c>
    </row>
    <row r="156" spans="2:2" x14ac:dyDescent="0.25">
      <c r="B156" t="str">
        <f>IF(C156="","",C156&amp;COUNTIF(C$9:C156,C156))</f>
        <v/>
      </c>
    </row>
    <row r="157" spans="2:2" x14ac:dyDescent="0.25">
      <c r="B157" t="str">
        <f>IF(C157="","",C157&amp;COUNTIF(C$9:C157,C157))</f>
        <v/>
      </c>
    </row>
    <row r="158" spans="2:2" x14ac:dyDescent="0.25">
      <c r="B158" t="str">
        <f>IF(C158="","",C158&amp;COUNTIF(C$9:C158,C158))</f>
        <v/>
      </c>
    </row>
    <row r="159" spans="2:2" x14ac:dyDescent="0.25">
      <c r="B159" t="str">
        <f>IF(C159="","",C159&amp;COUNTIF(C$9:C159,C159))</f>
        <v/>
      </c>
    </row>
    <row r="160" spans="2:2" x14ac:dyDescent="0.25">
      <c r="B160" t="str">
        <f>IF(C160="","",C160&amp;COUNTIF(C$9:C160,C160))</f>
        <v/>
      </c>
    </row>
    <row r="161" spans="2:2" x14ac:dyDescent="0.25">
      <c r="B161" t="str">
        <f>IF(C161="","",C161&amp;COUNTIF(C$9:C161,C161))</f>
        <v/>
      </c>
    </row>
    <row r="162" spans="2:2" x14ac:dyDescent="0.25">
      <c r="B162" t="str">
        <f>IF(C162="","",C162&amp;COUNTIF(C$9:C162,C162))</f>
        <v/>
      </c>
    </row>
    <row r="163" spans="2:2" x14ac:dyDescent="0.25">
      <c r="B163" t="str">
        <f>IF(C163="","",C163&amp;COUNTIF(C$9:C163,C163))</f>
        <v/>
      </c>
    </row>
    <row r="164" spans="2:2" x14ac:dyDescent="0.25">
      <c r="B164" t="str">
        <f>IF(C164="","",C164&amp;COUNTIF(C$9:C164,C164))</f>
        <v/>
      </c>
    </row>
    <row r="165" spans="2:2" x14ac:dyDescent="0.25">
      <c r="B165" t="str">
        <f>IF(C165="","",C165&amp;COUNTIF(C$9:C165,C165))</f>
        <v/>
      </c>
    </row>
    <row r="166" spans="2:2" x14ac:dyDescent="0.25">
      <c r="B166" t="str">
        <f>IF(C166="","",C166&amp;COUNTIF(C$9:C166,C166))</f>
        <v/>
      </c>
    </row>
    <row r="167" spans="2:2" x14ac:dyDescent="0.25">
      <c r="B167" t="str">
        <f>IF(C167="","",C167&amp;COUNTIF(C$9:C167,C167))</f>
        <v/>
      </c>
    </row>
    <row r="168" spans="2:2" x14ac:dyDescent="0.25">
      <c r="B168" t="str">
        <f>IF(C168="","",C168&amp;COUNTIF(C$9:C168,C168))</f>
        <v/>
      </c>
    </row>
    <row r="169" spans="2:2" x14ac:dyDescent="0.25">
      <c r="B169" t="str">
        <f>IF(C169="","",C169&amp;COUNTIF(C$9:C169,C169))</f>
        <v/>
      </c>
    </row>
    <row r="170" spans="2:2" x14ac:dyDescent="0.25">
      <c r="B170" t="str">
        <f>IF(C170="","",C170&amp;COUNTIF(C$9:C170,C170))</f>
        <v/>
      </c>
    </row>
    <row r="171" spans="2:2" x14ac:dyDescent="0.25">
      <c r="B171" t="str">
        <f>IF(C171="","",C171&amp;COUNTIF(C$9:C171,C171))</f>
        <v/>
      </c>
    </row>
    <row r="172" spans="2:2" x14ac:dyDescent="0.25">
      <c r="B172" t="str">
        <f>IF(C172="","",C172&amp;COUNTIF(C$9:C172,C172))</f>
        <v/>
      </c>
    </row>
    <row r="173" spans="2:2" x14ac:dyDescent="0.25">
      <c r="B173" t="str">
        <f>IF(C173="","",C173&amp;COUNTIF(C$9:C173,C173))</f>
        <v/>
      </c>
    </row>
    <row r="174" spans="2:2" x14ac:dyDescent="0.25">
      <c r="B174" t="str">
        <f>IF(C174="","",C174&amp;COUNTIF(C$9:C174,C174))</f>
        <v/>
      </c>
    </row>
    <row r="175" spans="2:2" x14ac:dyDescent="0.25">
      <c r="B175" t="str">
        <f>IF(C175="","",C175&amp;COUNTIF(C$9:C175,C175))</f>
        <v/>
      </c>
    </row>
    <row r="176" spans="2:2" x14ac:dyDescent="0.25">
      <c r="B176" t="str">
        <f>IF(C176="","",C176&amp;COUNTIF(C$9:C176,C176))</f>
        <v/>
      </c>
    </row>
    <row r="177" spans="2:2" x14ac:dyDescent="0.25">
      <c r="B177" t="str">
        <f>IF(C177="","",C177&amp;COUNTIF(C$9:C177,C177))</f>
        <v/>
      </c>
    </row>
    <row r="178" spans="2:2" x14ac:dyDescent="0.25">
      <c r="B178" t="str">
        <f>IF(C178="","",C178&amp;COUNTIF(C$9:C178,C178))</f>
        <v/>
      </c>
    </row>
    <row r="179" spans="2:2" x14ac:dyDescent="0.25">
      <c r="B179" t="str">
        <f>IF(C179="","",C179&amp;COUNTIF(C$9:C179,C179))</f>
        <v/>
      </c>
    </row>
    <row r="180" spans="2:2" x14ac:dyDescent="0.25">
      <c r="B180" t="str">
        <f>IF(C180="","",C180&amp;COUNTIF(C$9:C180,C180))</f>
        <v/>
      </c>
    </row>
    <row r="181" spans="2:2" x14ac:dyDescent="0.25">
      <c r="B181" t="str">
        <f>IF(C181="","",C181&amp;COUNTIF(C$9:C181,C181))</f>
        <v/>
      </c>
    </row>
    <row r="182" spans="2:2" x14ac:dyDescent="0.25">
      <c r="B182" t="str">
        <f>IF(C182="","",C182&amp;COUNTIF(C$9:C182,C182))</f>
        <v/>
      </c>
    </row>
    <row r="183" spans="2:2" x14ac:dyDescent="0.25">
      <c r="B183" t="str">
        <f>IF(C183="","",C183&amp;COUNTIF(C$9:C183,C183))</f>
        <v/>
      </c>
    </row>
    <row r="184" spans="2:2" x14ac:dyDescent="0.25">
      <c r="B184" t="str">
        <f>IF(C184="","",C184&amp;COUNTIF(C$9:C184,C184))</f>
        <v/>
      </c>
    </row>
    <row r="185" spans="2:2" x14ac:dyDescent="0.25">
      <c r="B185" t="str">
        <f>IF(C185="","",C185&amp;COUNTIF(C$9:C185,C185))</f>
        <v/>
      </c>
    </row>
    <row r="186" spans="2:2" x14ac:dyDescent="0.25">
      <c r="B186" t="str">
        <f>IF(C186="","",C186&amp;COUNTIF(C$9:C186,C186))</f>
        <v/>
      </c>
    </row>
    <row r="187" spans="2:2" x14ac:dyDescent="0.25">
      <c r="B187" t="str">
        <f>IF(C187="","",C187&amp;COUNTIF(C$9:C187,C187))</f>
        <v/>
      </c>
    </row>
    <row r="188" spans="2:2" x14ac:dyDescent="0.25">
      <c r="B188" t="str">
        <f>IF(C188="","",C188&amp;COUNTIF(C$9:C188,C188))</f>
        <v/>
      </c>
    </row>
    <row r="189" spans="2:2" x14ac:dyDescent="0.25">
      <c r="B189" t="str">
        <f>IF(C189="","",C189&amp;COUNTIF(C$9:C189,C189))</f>
        <v/>
      </c>
    </row>
    <row r="190" spans="2:2" x14ac:dyDescent="0.25">
      <c r="B190" t="str">
        <f>IF(C190="","",C190&amp;COUNTIF(C$9:C190,C190))</f>
        <v/>
      </c>
    </row>
    <row r="191" spans="2:2" x14ac:dyDescent="0.25">
      <c r="B191" t="str">
        <f>IF(C191="","",C191&amp;COUNTIF(C$9:C191,C191))</f>
        <v/>
      </c>
    </row>
    <row r="192" spans="2:2" x14ac:dyDescent="0.25">
      <c r="B192" t="str">
        <f>IF(C192="","",C192&amp;COUNTIF(C$9:C192,C192))</f>
        <v/>
      </c>
    </row>
    <row r="193" spans="2:2" x14ac:dyDescent="0.25">
      <c r="B193" t="str">
        <f>IF(C193="","",C193&amp;COUNTIF(C$9:C193,C193))</f>
        <v/>
      </c>
    </row>
    <row r="194" spans="2:2" x14ac:dyDescent="0.25">
      <c r="B194" t="str">
        <f>IF(C194="","",C194&amp;COUNTIF(C$9:C194,C194))</f>
        <v/>
      </c>
    </row>
    <row r="195" spans="2:2" x14ac:dyDescent="0.25">
      <c r="B195" t="str">
        <f>IF(C195="","",C195&amp;COUNTIF(C$9:C195,C195))</f>
        <v/>
      </c>
    </row>
    <row r="196" spans="2:2" x14ac:dyDescent="0.25">
      <c r="B196" t="str">
        <f>IF(C196="","",C196&amp;COUNTIF(C$9:C196,C196))</f>
        <v/>
      </c>
    </row>
    <row r="197" spans="2:2" x14ac:dyDescent="0.25">
      <c r="B197" t="str">
        <f>IF(C197="","",C197&amp;COUNTIF(C$9:C197,C197))</f>
        <v/>
      </c>
    </row>
    <row r="198" spans="2:2" x14ac:dyDescent="0.25">
      <c r="B198" t="str">
        <f>IF(C198="","",C198&amp;COUNTIF(C$9:C198,C198))</f>
        <v/>
      </c>
    </row>
    <row r="199" spans="2:2" x14ac:dyDescent="0.25">
      <c r="B199" t="str">
        <f>IF(C199="","",C199&amp;COUNTIF(C$9:C199,C199))</f>
        <v/>
      </c>
    </row>
    <row r="200" spans="2:2" x14ac:dyDescent="0.25">
      <c r="B200" t="str">
        <f>IF(C200="","",C200&amp;COUNTIF(C$9:C200,C200))</f>
        <v/>
      </c>
    </row>
    <row r="201" spans="2:2" x14ac:dyDescent="0.25">
      <c r="B201" t="str">
        <f>IF(C201="","",C201&amp;COUNTIF(C$9:C201,C201))</f>
        <v/>
      </c>
    </row>
    <row r="202" spans="2:2" x14ac:dyDescent="0.25">
      <c r="B202" t="str">
        <f>IF(C202="","",C202&amp;COUNTIF(C$9:C202,C202))</f>
        <v/>
      </c>
    </row>
    <row r="203" spans="2:2" x14ac:dyDescent="0.25">
      <c r="B203" t="str">
        <f>IF(C203="","",C203&amp;COUNTIF(C$9:C203,C203))</f>
        <v/>
      </c>
    </row>
    <row r="204" spans="2:2" x14ac:dyDescent="0.25">
      <c r="B204" t="str">
        <f>IF(C204="","",C204&amp;COUNTIF(C$9:C204,C204))</f>
        <v/>
      </c>
    </row>
    <row r="205" spans="2:2" x14ac:dyDescent="0.25">
      <c r="B205" t="str">
        <f>IF(C205="","",C205&amp;COUNTIF(C$9:C205,C205))</f>
        <v/>
      </c>
    </row>
    <row r="206" spans="2:2" x14ac:dyDescent="0.25">
      <c r="B206" t="str">
        <f>IF(C206="","",C206&amp;COUNTIF(C$9:C206,C206))</f>
        <v/>
      </c>
    </row>
    <row r="207" spans="2:2" x14ac:dyDescent="0.25">
      <c r="B207" t="str">
        <f>IF(C207="","",C207&amp;COUNTIF(C$9:C207,C207))</f>
        <v/>
      </c>
    </row>
    <row r="208" spans="2:2" x14ac:dyDescent="0.25">
      <c r="B208" t="str">
        <f>IF(C208="","",C208&amp;COUNTIF(C$9:C208,C208))</f>
        <v/>
      </c>
    </row>
    <row r="209" spans="2:2" x14ac:dyDescent="0.25">
      <c r="B209" t="str">
        <f>IF(C209="","",C209&amp;COUNTIF(C$9:C209,C209))</f>
        <v/>
      </c>
    </row>
    <row r="210" spans="2:2" x14ac:dyDescent="0.25">
      <c r="B210" t="str">
        <f>IF(C210="","",C210&amp;COUNTIF(C$9:C210,C210))</f>
        <v/>
      </c>
    </row>
    <row r="211" spans="2:2" x14ac:dyDescent="0.25">
      <c r="B211" t="str">
        <f>IF(C211="","",C211&amp;COUNTIF(C$9:C211,C211))</f>
        <v/>
      </c>
    </row>
    <row r="212" spans="2:2" x14ac:dyDescent="0.25">
      <c r="B212" t="str">
        <f>IF(C212="","",C212&amp;COUNTIF(C$9:C212,C212))</f>
        <v/>
      </c>
    </row>
    <row r="213" spans="2:2" x14ac:dyDescent="0.25">
      <c r="B213" t="str">
        <f>IF(C213="","",C213&amp;COUNTIF(C$9:C213,C213))</f>
        <v/>
      </c>
    </row>
    <row r="214" spans="2:2" x14ac:dyDescent="0.25">
      <c r="B214" t="str">
        <f>IF(C214="","",C214&amp;COUNTIF(C$9:C214,C214))</f>
        <v/>
      </c>
    </row>
    <row r="215" spans="2:2" x14ac:dyDescent="0.25">
      <c r="B215" t="str">
        <f>IF(C215="","",C215&amp;COUNTIF(C$9:C215,C215))</f>
        <v/>
      </c>
    </row>
    <row r="216" spans="2:2" x14ac:dyDescent="0.25">
      <c r="B216" t="str">
        <f>IF(C216="","",C216&amp;COUNTIF(C$9:C216,C216))</f>
        <v/>
      </c>
    </row>
    <row r="217" spans="2:2" x14ac:dyDescent="0.25">
      <c r="B217" t="str">
        <f>IF(C217="","",C217&amp;COUNTIF(C$9:C217,C217))</f>
        <v/>
      </c>
    </row>
    <row r="218" spans="2:2" x14ac:dyDescent="0.25">
      <c r="B218" t="str">
        <f>IF(C218="","",C218&amp;COUNTIF(C$9:C218,C218))</f>
        <v/>
      </c>
    </row>
    <row r="219" spans="2:2" x14ac:dyDescent="0.25">
      <c r="B219" t="str">
        <f>IF(C219="","",C219&amp;COUNTIF(C$9:C219,C219))</f>
        <v/>
      </c>
    </row>
    <row r="220" spans="2:2" x14ac:dyDescent="0.25">
      <c r="B220" t="str">
        <f>IF(C220="","",C220&amp;COUNTIF(C$9:C220,C220))</f>
        <v/>
      </c>
    </row>
    <row r="221" spans="2:2" x14ac:dyDescent="0.25">
      <c r="B221" t="str">
        <f>IF(C221="","",C221&amp;COUNTIF(C$9:C221,C221))</f>
        <v/>
      </c>
    </row>
    <row r="222" spans="2:2" x14ac:dyDescent="0.25">
      <c r="B222" t="str">
        <f>IF(C222="","",C222&amp;COUNTIF(C$9:C222,C222))</f>
        <v/>
      </c>
    </row>
    <row r="223" spans="2:2" x14ac:dyDescent="0.25">
      <c r="B223" t="str">
        <f>IF(C223="","",C223&amp;COUNTIF(C$9:C223,C223))</f>
        <v/>
      </c>
    </row>
    <row r="224" spans="2:2" x14ac:dyDescent="0.25">
      <c r="B224" t="str">
        <f>IF(C224="","",C224&amp;COUNTIF(C$9:C224,C224))</f>
        <v/>
      </c>
    </row>
    <row r="225" spans="2:2" x14ac:dyDescent="0.25">
      <c r="B225" t="str">
        <f>IF(C225="","",C225&amp;COUNTIF(C$9:C225,C225))</f>
        <v/>
      </c>
    </row>
    <row r="226" spans="2:2" x14ac:dyDescent="0.25">
      <c r="B226" t="str">
        <f>IF(C226="","",C226&amp;COUNTIF(C$9:C226,C226))</f>
        <v/>
      </c>
    </row>
    <row r="227" spans="2:2" x14ac:dyDescent="0.25">
      <c r="B227" t="str">
        <f>IF(C227="","",C227&amp;COUNTIF(C$9:C227,C227))</f>
        <v/>
      </c>
    </row>
    <row r="228" spans="2:2" x14ac:dyDescent="0.25">
      <c r="B228" t="str">
        <f>IF(C228="","",C228&amp;COUNTIF(C$9:C228,C228))</f>
        <v/>
      </c>
    </row>
    <row r="229" spans="2:2" x14ac:dyDescent="0.25">
      <c r="B229" t="str">
        <f>IF(C229="","",C229&amp;COUNTIF(C$9:C229,C229))</f>
        <v/>
      </c>
    </row>
    <row r="230" spans="2:2" x14ac:dyDescent="0.25">
      <c r="B230" t="str">
        <f>IF(C230="","",C230&amp;COUNTIF(C$9:C230,C230))</f>
        <v/>
      </c>
    </row>
    <row r="231" spans="2:2" x14ac:dyDescent="0.25">
      <c r="B231" t="str">
        <f>IF(C231="","",C231&amp;COUNTIF(C$9:C231,C231))</f>
        <v/>
      </c>
    </row>
    <row r="232" spans="2:2" x14ac:dyDescent="0.25">
      <c r="B232" t="str">
        <f>IF(C232="","",C232&amp;COUNTIF(C$9:C232,C232))</f>
        <v/>
      </c>
    </row>
    <row r="233" spans="2:2" x14ac:dyDescent="0.25">
      <c r="B233" t="str">
        <f>IF(C233="","",C233&amp;COUNTIF(C$9:C233,C233))</f>
        <v/>
      </c>
    </row>
    <row r="234" spans="2:2" x14ac:dyDescent="0.25">
      <c r="B234" t="str">
        <f>IF(C234="","",C234&amp;COUNTIF(C$9:C234,C234))</f>
        <v/>
      </c>
    </row>
    <row r="235" spans="2:2" x14ac:dyDescent="0.25">
      <c r="B235" t="str">
        <f>IF(C235="","",C235&amp;COUNTIF(C$9:C235,C235))</f>
        <v/>
      </c>
    </row>
    <row r="236" spans="2:2" x14ac:dyDescent="0.25">
      <c r="B236" t="str">
        <f>IF(C236="","",C236&amp;COUNTIF(C$9:C236,C236))</f>
        <v/>
      </c>
    </row>
    <row r="237" spans="2:2" x14ac:dyDescent="0.25">
      <c r="B237" t="str">
        <f>IF(C237="","",C237&amp;COUNTIF(C$9:C237,C237))</f>
        <v/>
      </c>
    </row>
    <row r="238" spans="2:2" x14ac:dyDescent="0.25">
      <c r="B238" t="str">
        <f>IF(C238="","",C238&amp;COUNTIF(C$9:C238,C238))</f>
        <v/>
      </c>
    </row>
    <row r="239" spans="2:2" x14ac:dyDescent="0.25">
      <c r="B239" t="str">
        <f>IF(C239="","",C239&amp;COUNTIF(C$9:C239,C239))</f>
        <v/>
      </c>
    </row>
    <row r="240" spans="2:2" x14ac:dyDescent="0.25">
      <c r="B240" t="str">
        <f>IF(C240="","",C240&amp;COUNTIF(C$9:C240,C240))</f>
        <v/>
      </c>
    </row>
    <row r="241" spans="2:2" x14ac:dyDescent="0.25">
      <c r="B241" t="str">
        <f>IF(C241="","",C241&amp;COUNTIF(C$9:C241,C241))</f>
        <v/>
      </c>
    </row>
    <row r="242" spans="2:2" x14ac:dyDescent="0.25">
      <c r="B242" t="str">
        <f>IF(C242="","",C242&amp;COUNTIF(C$9:C242,C242))</f>
        <v/>
      </c>
    </row>
    <row r="243" spans="2:2" x14ac:dyDescent="0.25">
      <c r="B243" t="str">
        <f>IF(C243="","",C243&amp;COUNTIF(C$9:C243,C243))</f>
        <v/>
      </c>
    </row>
    <row r="244" spans="2:2" x14ac:dyDescent="0.25">
      <c r="B244" t="str">
        <f>IF(C244="","",C244&amp;COUNTIF(C$9:C244,C244))</f>
        <v/>
      </c>
    </row>
    <row r="245" spans="2:2" x14ac:dyDescent="0.25">
      <c r="B245" t="str">
        <f>IF(C245="","",C245&amp;COUNTIF(C$9:C245,C245))</f>
        <v/>
      </c>
    </row>
    <row r="246" spans="2:2" x14ac:dyDescent="0.25">
      <c r="B246" t="str">
        <f>IF(C246="","",C246&amp;COUNTIF(C$9:C246,C246))</f>
        <v/>
      </c>
    </row>
    <row r="247" spans="2:2" x14ac:dyDescent="0.25">
      <c r="B247" t="str">
        <f>IF(C247="","",C247&amp;COUNTIF(C$9:C247,C247))</f>
        <v/>
      </c>
    </row>
    <row r="248" spans="2:2" x14ac:dyDescent="0.25">
      <c r="B248" t="str">
        <f>IF(C248="","",C248&amp;COUNTIF(C$9:C248,C248))</f>
        <v/>
      </c>
    </row>
    <row r="249" spans="2:2" x14ac:dyDescent="0.25">
      <c r="B249" t="str">
        <f>IF(C249="","",C249&amp;COUNTIF(C$9:C249,C249))</f>
        <v/>
      </c>
    </row>
    <row r="250" spans="2:2" x14ac:dyDescent="0.25">
      <c r="B250" t="str">
        <f>IF(C250="","",C250&amp;COUNTIF(C$9:C250,C250))</f>
        <v/>
      </c>
    </row>
    <row r="251" spans="2:2" x14ac:dyDescent="0.25">
      <c r="B251" t="str">
        <f>IF(C251="","",C251&amp;COUNTIF(C$9:C251,C251))</f>
        <v/>
      </c>
    </row>
    <row r="252" spans="2:2" x14ac:dyDescent="0.25">
      <c r="B252" t="str">
        <f>IF(C252="","",C252&amp;COUNTIF(C$9:C252,C252))</f>
        <v/>
      </c>
    </row>
    <row r="253" spans="2:2" x14ac:dyDescent="0.25">
      <c r="B253" t="str">
        <f>IF(C253="","",C253&amp;COUNTIF(C$9:C253,C253))</f>
        <v/>
      </c>
    </row>
    <row r="254" spans="2:2" x14ac:dyDescent="0.25">
      <c r="B254" t="str">
        <f>IF(C254="","",C254&amp;COUNTIF(C$9:C254,C254))</f>
        <v/>
      </c>
    </row>
    <row r="255" spans="2:2" x14ac:dyDescent="0.25">
      <c r="B255" t="str">
        <f>IF(C255="","",C255&amp;COUNTIF(C$9:C255,C255))</f>
        <v/>
      </c>
    </row>
    <row r="256" spans="2:2" x14ac:dyDescent="0.25">
      <c r="B256" t="str">
        <f>IF(C256="","",C256&amp;COUNTIF(C$9:C256,C256))</f>
        <v/>
      </c>
    </row>
    <row r="257" spans="2:2" x14ac:dyDescent="0.25">
      <c r="B257" t="str">
        <f>IF(C257="","",C257&amp;COUNTIF(C$9:C257,C257))</f>
        <v/>
      </c>
    </row>
    <row r="258" spans="2:2" x14ac:dyDescent="0.25">
      <c r="B258" t="str">
        <f>IF(C258="","",C258&amp;COUNTIF(C$9:C258,C258))</f>
        <v/>
      </c>
    </row>
    <row r="259" spans="2:2" x14ac:dyDescent="0.25">
      <c r="B259" t="str">
        <f>IF(C259="","",C259&amp;COUNTIF(C$9:C259,C259))</f>
        <v/>
      </c>
    </row>
    <row r="260" spans="2:2" x14ac:dyDescent="0.25">
      <c r="B260" t="str">
        <f>IF(C260="","",C260&amp;COUNTIF(C$9:C260,C260))</f>
        <v/>
      </c>
    </row>
    <row r="261" spans="2:2" x14ac:dyDescent="0.25">
      <c r="B261" t="str">
        <f>IF(C261="","",C261&amp;COUNTIF(C$9:C261,C261))</f>
        <v/>
      </c>
    </row>
    <row r="262" spans="2:2" x14ac:dyDescent="0.25">
      <c r="B262" t="str">
        <f>IF(C262="","",C262&amp;COUNTIF(C$9:C262,C262))</f>
        <v/>
      </c>
    </row>
    <row r="263" spans="2:2" x14ac:dyDescent="0.25">
      <c r="B263" t="str">
        <f>IF(C263="","",C263&amp;COUNTIF(C$9:C263,C263))</f>
        <v/>
      </c>
    </row>
    <row r="264" spans="2:2" x14ac:dyDescent="0.25">
      <c r="B264" t="str">
        <f>IF(C264="","",C264&amp;COUNTIF(C$9:C264,C264))</f>
        <v/>
      </c>
    </row>
    <row r="265" spans="2:2" x14ac:dyDescent="0.25">
      <c r="B265" t="str">
        <f>IF(C265="","",C265&amp;COUNTIF(C$9:C265,C265))</f>
        <v/>
      </c>
    </row>
    <row r="266" spans="2:2" x14ac:dyDescent="0.25">
      <c r="B266" t="str">
        <f>IF(C266="","",C266&amp;COUNTIF(C$9:C266,C266))</f>
        <v/>
      </c>
    </row>
    <row r="267" spans="2:2" x14ac:dyDescent="0.25">
      <c r="B267" t="str">
        <f>IF(C267="","",C267&amp;COUNTIF(C$9:C267,C267))</f>
        <v/>
      </c>
    </row>
    <row r="268" spans="2:2" x14ac:dyDescent="0.25">
      <c r="B268" t="str">
        <f>IF(C268="","",C268&amp;COUNTIF(C$9:C268,C268))</f>
        <v/>
      </c>
    </row>
    <row r="269" spans="2:2" x14ac:dyDescent="0.25">
      <c r="B269" t="str">
        <f>IF(C269="","",C269&amp;COUNTIF(C$9:C269,C269))</f>
        <v/>
      </c>
    </row>
    <row r="270" spans="2:2" x14ac:dyDescent="0.25">
      <c r="B270" t="str">
        <f>IF(C270="","",C270&amp;COUNTIF(C$9:C270,C270))</f>
        <v/>
      </c>
    </row>
    <row r="271" spans="2:2" x14ac:dyDescent="0.25">
      <c r="B271" t="str">
        <f>IF(C271="","",C271&amp;COUNTIF(C$9:C271,C271))</f>
        <v/>
      </c>
    </row>
    <row r="272" spans="2:2" x14ac:dyDescent="0.25">
      <c r="B272" t="str">
        <f>IF(C272="","",C272&amp;COUNTIF(C$9:C272,C272))</f>
        <v/>
      </c>
    </row>
    <row r="273" spans="2:2" x14ac:dyDescent="0.25">
      <c r="B273" t="str">
        <f>IF(C273="","",C273&amp;COUNTIF(C$9:C273,C273))</f>
        <v/>
      </c>
    </row>
    <row r="274" spans="2:2" x14ac:dyDescent="0.25">
      <c r="B274" t="str">
        <f>IF(C274="","",C274&amp;COUNTIF(C$9:C274,C274))</f>
        <v/>
      </c>
    </row>
    <row r="275" spans="2:2" x14ac:dyDescent="0.25">
      <c r="B275" t="str">
        <f>IF(C275="","",C275&amp;COUNTIF(C$9:C275,C275))</f>
        <v/>
      </c>
    </row>
    <row r="276" spans="2:2" x14ac:dyDescent="0.25">
      <c r="B276" t="str">
        <f>IF(C276="","",C276&amp;COUNTIF(C$9:C276,C276))</f>
        <v/>
      </c>
    </row>
    <row r="277" spans="2:2" x14ac:dyDescent="0.25">
      <c r="B277" t="str">
        <f>IF(C277="","",C277&amp;COUNTIF(C$9:C277,C277))</f>
        <v/>
      </c>
    </row>
    <row r="278" spans="2:2" x14ac:dyDescent="0.25">
      <c r="B278" t="str">
        <f>IF(C278="","",C278&amp;COUNTIF(C$9:C278,C278))</f>
        <v/>
      </c>
    </row>
    <row r="279" spans="2:2" x14ac:dyDescent="0.25">
      <c r="B279" t="str">
        <f>IF(C279="","",C279&amp;COUNTIF(C$9:C279,C279))</f>
        <v/>
      </c>
    </row>
    <row r="280" spans="2:2" x14ac:dyDescent="0.25">
      <c r="B280" t="str">
        <f>IF(C280="","",C280&amp;COUNTIF(C$9:C280,C280))</f>
        <v/>
      </c>
    </row>
    <row r="281" spans="2:2" x14ac:dyDescent="0.25">
      <c r="B281" t="str">
        <f>IF(C281="","",C281&amp;COUNTIF(C$9:C281,C281))</f>
        <v/>
      </c>
    </row>
    <row r="282" spans="2:2" x14ac:dyDescent="0.25">
      <c r="B282" t="str">
        <f>IF(C282="","",C282&amp;COUNTIF(C$9:C282,C282))</f>
        <v/>
      </c>
    </row>
    <row r="283" spans="2:2" x14ac:dyDescent="0.25">
      <c r="B283" t="str">
        <f>IF(C283="","",C283&amp;COUNTIF(C$9:C283,C283))</f>
        <v/>
      </c>
    </row>
    <row r="284" spans="2:2" x14ac:dyDescent="0.25">
      <c r="B284" t="str">
        <f>IF(C284="","",C284&amp;COUNTIF(C$9:C284,C284))</f>
        <v/>
      </c>
    </row>
    <row r="285" spans="2:2" x14ac:dyDescent="0.25">
      <c r="B285" t="str">
        <f>IF(C285="","",C285&amp;COUNTIF(C$9:C285,C285))</f>
        <v/>
      </c>
    </row>
    <row r="286" spans="2:2" x14ac:dyDescent="0.25">
      <c r="B286" t="str">
        <f>IF(C286="","",C286&amp;COUNTIF(C$9:C286,C286))</f>
        <v/>
      </c>
    </row>
    <row r="287" spans="2:2" x14ac:dyDescent="0.25">
      <c r="B287" t="str">
        <f>IF(C287="","",C287&amp;COUNTIF(C$9:C287,C287))</f>
        <v/>
      </c>
    </row>
    <row r="288" spans="2:2" x14ac:dyDescent="0.25">
      <c r="B288" t="str">
        <f>IF(C288="","",C288&amp;COUNTIF(C$9:C288,C288))</f>
        <v/>
      </c>
    </row>
    <row r="289" spans="2:2" x14ac:dyDescent="0.25">
      <c r="B289" t="str">
        <f>IF(C289="","",C289&amp;COUNTIF(C$9:C289,C289))</f>
        <v/>
      </c>
    </row>
    <row r="290" spans="2:2" x14ac:dyDescent="0.25">
      <c r="B290" t="str">
        <f>IF(C290="","",C290&amp;COUNTIF(C$9:C290,C290))</f>
        <v/>
      </c>
    </row>
    <row r="291" spans="2:2" x14ac:dyDescent="0.25">
      <c r="B291" t="str">
        <f>IF(C291="","",C291&amp;COUNTIF(C$9:C291,C291))</f>
        <v/>
      </c>
    </row>
    <row r="292" spans="2:2" x14ac:dyDescent="0.25">
      <c r="B292" t="str">
        <f>IF(C292="","",C292&amp;COUNTIF(C$9:C292,C292))</f>
        <v/>
      </c>
    </row>
    <row r="293" spans="2:2" x14ac:dyDescent="0.25">
      <c r="B293" t="str">
        <f>IF(C293="","",C293&amp;COUNTIF(C$9:C293,C293))</f>
        <v/>
      </c>
    </row>
    <row r="294" spans="2:2" x14ac:dyDescent="0.25">
      <c r="B294" t="str">
        <f>IF(C294="","",C294&amp;COUNTIF(C$9:C294,C294))</f>
        <v/>
      </c>
    </row>
    <row r="295" spans="2:2" x14ac:dyDescent="0.25">
      <c r="B295" t="str">
        <f>IF(C295="","",C295&amp;COUNTIF(C$9:C295,C295))</f>
        <v/>
      </c>
    </row>
    <row r="296" spans="2:2" x14ac:dyDescent="0.25">
      <c r="B296" t="str">
        <f>IF(C296="","",C296&amp;COUNTIF(C$9:C296,C296))</f>
        <v/>
      </c>
    </row>
    <row r="297" spans="2:2" x14ac:dyDescent="0.25">
      <c r="B297" t="str">
        <f>IF(C297="","",C297&amp;COUNTIF(C$9:C297,C297))</f>
        <v/>
      </c>
    </row>
    <row r="298" spans="2:2" x14ac:dyDescent="0.25">
      <c r="B298" t="str">
        <f>IF(C298="","",C298&amp;COUNTIF(C$9:C298,C298))</f>
        <v/>
      </c>
    </row>
    <row r="299" spans="2:2" x14ac:dyDescent="0.25">
      <c r="B299" t="str">
        <f>IF(C299="","",C299&amp;COUNTIF(C$9:C299,C299))</f>
        <v/>
      </c>
    </row>
    <row r="300" spans="2:2" x14ac:dyDescent="0.25">
      <c r="B300" t="str">
        <f>IF(C300="","",C300&amp;COUNTIF(C$9:C300,C300))</f>
        <v/>
      </c>
    </row>
    <row r="301" spans="2:2" x14ac:dyDescent="0.25">
      <c r="B301" t="str">
        <f>IF(C301="","",C301&amp;COUNTIF(C$9:C301,C301))</f>
        <v/>
      </c>
    </row>
    <row r="302" spans="2:2" x14ac:dyDescent="0.25">
      <c r="B302" t="str">
        <f>IF(C302="","",C302&amp;COUNTIF(C$9:C302,C302))</f>
        <v/>
      </c>
    </row>
    <row r="303" spans="2:2" x14ac:dyDescent="0.25">
      <c r="B303" t="str">
        <f>IF(C303="","",C303&amp;COUNTIF(C$9:C303,C303))</f>
        <v/>
      </c>
    </row>
    <row r="304" spans="2:2" x14ac:dyDescent="0.25">
      <c r="B304" t="str">
        <f>IF(C304="","",C304&amp;COUNTIF(C$9:C304,C304))</f>
        <v/>
      </c>
    </row>
    <row r="305" spans="2:2" x14ac:dyDescent="0.25">
      <c r="B305" t="str">
        <f>IF(C305="","",C305&amp;COUNTIF(C$9:C305,C305))</f>
        <v/>
      </c>
    </row>
    <row r="306" spans="2:2" x14ac:dyDescent="0.25">
      <c r="B306" t="str">
        <f>IF(C306="","",C306&amp;COUNTIF(C$9:C306,C306))</f>
        <v/>
      </c>
    </row>
    <row r="307" spans="2:2" x14ac:dyDescent="0.25">
      <c r="B307" t="str">
        <f>IF(C307="","",C307&amp;COUNTIF(C$9:C307,C307))</f>
        <v/>
      </c>
    </row>
    <row r="308" spans="2:2" x14ac:dyDescent="0.25">
      <c r="B308" t="str">
        <f>IF(C308="","",C308&amp;COUNTIF(C$9:C308,C308))</f>
        <v/>
      </c>
    </row>
    <row r="309" spans="2:2" x14ac:dyDescent="0.25">
      <c r="B309" t="str">
        <f>IF(C309="","",C309&amp;COUNTIF(C$9:C309,C309))</f>
        <v/>
      </c>
    </row>
    <row r="310" spans="2:2" x14ac:dyDescent="0.25">
      <c r="B310" t="str">
        <f>IF(C310="","",C310&amp;COUNTIF(C$9:C310,C310))</f>
        <v/>
      </c>
    </row>
    <row r="311" spans="2:2" x14ac:dyDescent="0.25">
      <c r="B311" t="str">
        <f>IF(C311="","",C311&amp;COUNTIF(C$9:C311,C311))</f>
        <v/>
      </c>
    </row>
    <row r="312" spans="2:2" x14ac:dyDescent="0.25">
      <c r="B312" t="str">
        <f>IF(C312="","",C312&amp;COUNTIF(C$9:C312,C312))</f>
        <v/>
      </c>
    </row>
    <row r="313" spans="2:2" x14ac:dyDescent="0.25">
      <c r="B313" t="str">
        <f>IF(C313="","",C313&amp;COUNTIF(C$9:C313,C313))</f>
        <v/>
      </c>
    </row>
    <row r="314" spans="2:2" x14ac:dyDescent="0.25">
      <c r="B314" t="str">
        <f>IF(C314="","",C314&amp;COUNTIF(C$9:C314,C314))</f>
        <v/>
      </c>
    </row>
    <row r="315" spans="2:2" x14ac:dyDescent="0.25">
      <c r="B315" t="str">
        <f>IF(C315="","",C315&amp;COUNTIF(C$9:C315,C315))</f>
        <v/>
      </c>
    </row>
    <row r="316" spans="2:2" x14ac:dyDescent="0.25">
      <c r="B316" t="str">
        <f>IF(C316="","",C316&amp;COUNTIF(C$9:C316,C316))</f>
        <v/>
      </c>
    </row>
    <row r="317" spans="2:2" x14ac:dyDescent="0.25">
      <c r="B317" t="str">
        <f>IF(C317="","",C317&amp;COUNTIF(C$9:C317,C317))</f>
        <v/>
      </c>
    </row>
    <row r="318" spans="2:2" x14ac:dyDescent="0.25">
      <c r="B318" t="str">
        <f>IF(C318="","",C318&amp;COUNTIF(C$9:C318,C318))</f>
        <v/>
      </c>
    </row>
    <row r="319" spans="2:2" x14ac:dyDescent="0.25">
      <c r="B319" t="str">
        <f>IF(C319="","",C319&amp;COUNTIF(C$9:C319,C319))</f>
        <v/>
      </c>
    </row>
    <row r="320" spans="2:2" x14ac:dyDescent="0.25">
      <c r="B320" t="str">
        <f>IF(C320="","",C320&amp;COUNTIF(C$9:C320,C320))</f>
        <v/>
      </c>
    </row>
    <row r="321" spans="2:2" x14ac:dyDescent="0.25">
      <c r="B321" t="str">
        <f>IF(C321="","",C321&amp;COUNTIF(C$9:C321,C321))</f>
        <v/>
      </c>
    </row>
    <row r="322" spans="2:2" x14ac:dyDescent="0.25">
      <c r="B322" t="str">
        <f>IF(C322="","",C322&amp;COUNTIF(C$9:C322,C322))</f>
        <v/>
      </c>
    </row>
    <row r="323" spans="2:2" x14ac:dyDescent="0.25">
      <c r="B323" t="str">
        <f>IF(C323="","",C323&amp;COUNTIF(C$9:C323,C323))</f>
        <v/>
      </c>
    </row>
    <row r="324" spans="2:2" x14ac:dyDescent="0.25">
      <c r="B324" t="str">
        <f>IF(C324="","",C324&amp;COUNTIF(C$9:C324,C324))</f>
        <v/>
      </c>
    </row>
    <row r="325" spans="2:2" x14ac:dyDescent="0.25">
      <c r="B325" t="str">
        <f>IF(C325="","",C325&amp;COUNTIF(C$9:C325,C325))</f>
        <v/>
      </c>
    </row>
    <row r="326" spans="2:2" x14ac:dyDescent="0.25">
      <c r="B326" t="str">
        <f>IF(C326="","",C326&amp;COUNTIF(C$9:C326,C326))</f>
        <v/>
      </c>
    </row>
    <row r="327" spans="2:2" x14ac:dyDescent="0.25">
      <c r="B327" t="str">
        <f>IF(C327="","",C327&amp;COUNTIF(C$9:C327,C327))</f>
        <v/>
      </c>
    </row>
    <row r="328" spans="2:2" x14ac:dyDescent="0.25">
      <c r="B328" t="str">
        <f>IF(C328="","",C328&amp;COUNTIF(C$9:C328,C328))</f>
        <v/>
      </c>
    </row>
    <row r="329" spans="2:2" x14ac:dyDescent="0.25">
      <c r="B329" t="str">
        <f>IF(C329="","",C329&amp;COUNTIF(C$9:C329,C329))</f>
        <v/>
      </c>
    </row>
    <row r="330" spans="2:2" x14ac:dyDescent="0.25">
      <c r="B330" t="str">
        <f>IF(C330="","",C330&amp;COUNTIF(C$9:C330,C330))</f>
        <v/>
      </c>
    </row>
    <row r="331" spans="2:2" x14ac:dyDescent="0.25">
      <c r="B331" t="str">
        <f>IF(C331="","",C331&amp;COUNTIF(C$9:C331,C331))</f>
        <v/>
      </c>
    </row>
    <row r="332" spans="2:2" x14ac:dyDescent="0.25">
      <c r="B332" t="str">
        <f>IF(C332="","",C332&amp;COUNTIF(C$9:C332,C332))</f>
        <v/>
      </c>
    </row>
    <row r="333" spans="2:2" x14ac:dyDescent="0.25">
      <c r="B333" t="str">
        <f>IF(C333="","",C333&amp;COUNTIF(C$9:C333,C333))</f>
        <v/>
      </c>
    </row>
    <row r="334" spans="2:2" x14ac:dyDescent="0.25">
      <c r="B334" t="str">
        <f>IF(C334="","",C334&amp;COUNTIF(C$9:C334,C334))</f>
        <v/>
      </c>
    </row>
    <row r="335" spans="2:2" x14ac:dyDescent="0.25">
      <c r="B335" t="str">
        <f>IF(C335="","",C335&amp;COUNTIF(C$9:C335,C335))</f>
        <v/>
      </c>
    </row>
    <row r="336" spans="2:2" x14ac:dyDescent="0.25">
      <c r="B336" t="str">
        <f>IF(C336="","",C336&amp;COUNTIF(C$9:C336,C336))</f>
        <v/>
      </c>
    </row>
    <row r="337" spans="2:2" x14ac:dyDescent="0.25">
      <c r="B337" t="str">
        <f>IF(C337="","",C337&amp;COUNTIF(C$9:C337,C337))</f>
        <v/>
      </c>
    </row>
    <row r="338" spans="2:2" x14ac:dyDescent="0.25">
      <c r="B338" t="str">
        <f>IF(C338="","",C338&amp;COUNTIF(C$9:C338,C338))</f>
        <v/>
      </c>
    </row>
    <row r="339" spans="2:2" x14ac:dyDescent="0.25">
      <c r="B339" t="str">
        <f>IF(C339="","",C339&amp;COUNTIF(C$9:C339,C339))</f>
        <v/>
      </c>
    </row>
    <row r="340" spans="2:2" x14ac:dyDescent="0.25">
      <c r="B340" t="str">
        <f>IF(C340="","",C340&amp;COUNTIF(C$9:C340,C340))</f>
        <v/>
      </c>
    </row>
    <row r="341" spans="2:2" x14ac:dyDescent="0.25">
      <c r="B341" t="str">
        <f>IF(C341="","",C341&amp;COUNTIF(C$9:C341,C341))</f>
        <v/>
      </c>
    </row>
    <row r="342" spans="2:2" x14ac:dyDescent="0.25">
      <c r="B342" t="str">
        <f>IF(C342="","",C342&amp;COUNTIF(C$9:C342,C342))</f>
        <v/>
      </c>
    </row>
    <row r="343" spans="2:2" x14ac:dyDescent="0.25">
      <c r="B343" t="str">
        <f>IF(C343="","",C343&amp;COUNTIF(C$9:C343,C343))</f>
        <v/>
      </c>
    </row>
    <row r="344" spans="2:2" x14ac:dyDescent="0.25">
      <c r="B344" t="str">
        <f>IF(C344="","",C344&amp;COUNTIF(C$9:C344,C344))</f>
        <v/>
      </c>
    </row>
    <row r="345" spans="2:2" x14ac:dyDescent="0.25">
      <c r="B345" t="str">
        <f>IF(C345="","",C345&amp;COUNTIF(C$9:C345,C345))</f>
        <v/>
      </c>
    </row>
    <row r="346" spans="2:2" x14ac:dyDescent="0.25">
      <c r="B346" t="str">
        <f>IF(C346="","",C346&amp;COUNTIF(C$9:C346,C346))</f>
        <v/>
      </c>
    </row>
    <row r="347" spans="2:2" x14ac:dyDescent="0.25">
      <c r="B347" t="str">
        <f>IF(C347="","",C347&amp;COUNTIF(C$9:C347,C347))</f>
        <v/>
      </c>
    </row>
    <row r="348" spans="2:2" x14ac:dyDescent="0.25">
      <c r="B348" t="str">
        <f>IF(C348="","",C348&amp;COUNTIF(C$9:C348,C348))</f>
        <v/>
      </c>
    </row>
    <row r="349" spans="2:2" x14ac:dyDescent="0.25">
      <c r="B349" t="str">
        <f>IF(C349="","",C349&amp;COUNTIF(C$9:C349,C349))</f>
        <v/>
      </c>
    </row>
    <row r="350" spans="2:2" x14ac:dyDescent="0.25">
      <c r="B350" t="str">
        <f>IF(C350="","",C350&amp;COUNTIF(C$9:C350,C350))</f>
        <v/>
      </c>
    </row>
    <row r="351" spans="2:2" x14ac:dyDescent="0.25">
      <c r="B351" t="str">
        <f>IF(C351="","",C351&amp;COUNTIF(C$9:C351,C351))</f>
        <v/>
      </c>
    </row>
    <row r="352" spans="2:2" x14ac:dyDescent="0.25">
      <c r="B352" t="str">
        <f>IF(C352="","",C352&amp;COUNTIF(C$9:C352,C352))</f>
        <v/>
      </c>
    </row>
    <row r="353" spans="2:2" x14ac:dyDescent="0.25">
      <c r="B353" t="str">
        <f>IF(C353="","",C353&amp;COUNTIF(C$9:C353,C353))</f>
        <v/>
      </c>
    </row>
    <row r="354" spans="2:2" x14ac:dyDescent="0.25">
      <c r="B354" t="str">
        <f>IF(C354="","",C354&amp;COUNTIF(C$9:C354,C354))</f>
        <v/>
      </c>
    </row>
    <row r="355" spans="2:2" x14ac:dyDescent="0.25">
      <c r="B355" t="str">
        <f>IF(C355="","",C355&amp;COUNTIF(C$9:C355,C355))</f>
        <v/>
      </c>
    </row>
    <row r="356" spans="2:2" x14ac:dyDescent="0.25">
      <c r="B356" t="str">
        <f>IF(C356="","",C356&amp;COUNTIF(C$9:C356,C356))</f>
        <v/>
      </c>
    </row>
    <row r="357" spans="2:2" x14ac:dyDescent="0.25">
      <c r="B357" t="str">
        <f>IF(C357="","",C357&amp;COUNTIF(C$9:C357,C357))</f>
        <v/>
      </c>
    </row>
    <row r="358" spans="2:2" x14ac:dyDescent="0.25">
      <c r="B358" t="str">
        <f>IF(C358="","",C358&amp;COUNTIF(C$9:C358,C358))</f>
        <v/>
      </c>
    </row>
    <row r="359" spans="2:2" x14ac:dyDescent="0.25">
      <c r="B359" t="str">
        <f>IF(C359="","",C359&amp;COUNTIF(C$9:C359,C359))</f>
        <v/>
      </c>
    </row>
    <row r="360" spans="2:2" x14ac:dyDescent="0.25">
      <c r="B360" t="str">
        <f>IF(C360="","",C360&amp;COUNTIF(C$9:C360,C360))</f>
        <v/>
      </c>
    </row>
    <row r="361" spans="2:2" x14ac:dyDescent="0.25">
      <c r="B361" t="str">
        <f>IF(C361="","",C361&amp;COUNTIF(C$9:C361,C361))</f>
        <v/>
      </c>
    </row>
    <row r="362" spans="2:2" x14ac:dyDescent="0.25">
      <c r="B362" t="str">
        <f>IF(C362="","",C362&amp;COUNTIF(C$9:C362,C362))</f>
        <v/>
      </c>
    </row>
    <row r="363" spans="2:2" x14ac:dyDescent="0.25">
      <c r="B363" t="str">
        <f>IF(C363="","",C363&amp;COUNTIF(C$9:C363,C363))</f>
        <v/>
      </c>
    </row>
    <row r="364" spans="2:2" x14ac:dyDescent="0.25">
      <c r="B364" t="str">
        <f>IF(C364="","",C364&amp;COUNTIF(C$9:C364,C364))</f>
        <v/>
      </c>
    </row>
    <row r="365" spans="2:2" x14ac:dyDescent="0.25">
      <c r="B365" t="str">
        <f>IF(C365="","",C365&amp;COUNTIF(C$9:C365,C365))</f>
        <v/>
      </c>
    </row>
    <row r="366" spans="2:2" x14ac:dyDescent="0.25">
      <c r="B366" t="str">
        <f>IF(C366="","",C366&amp;COUNTIF(C$9:C366,C366))</f>
        <v/>
      </c>
    </row>
    <row r="367" spans="2:2" x14ac:dyDescent="0.25">
      <c r="B367" t="str">
        <f>IF(C367="","",C367&amp;COUNTIF(C$9:C367,C367))</f>
        <v/>
      </c>
    </row>
    <row r="368" spans="2:2" x14ac:dyDescent="0.25">
      <c r="B368" t="str">
        <f>IF(C368="","",C368&amp;COUNTIF(C$9:C368,C368))</f>
        <v/>
      </c>
    </row>
    <row r="369" spans="2:2" x14ac:dyDescent="0.25">
      <c r="B369" t="str">
        <f>IF(C369="","",C369&amp;COUNTIF(C$9:C369,C369))</f>
        <v/>
      </c>
    </row>
    <row r="370" spans="2:2" x14ac:dyDescent="0.25">
      <c r="B370" t="str">
        <f>IF(C370="","",C370&amp;COUNTIF(C$9:C370,C370))</f>
        <v/>
      </c>
    </row>
    <row r="371" spans="2:2" x14ac:dyDescent="0.25">
      <c r="B371" t="str">
        <f>IF(C371="","",C371&amp;COUNTIF(C$9:C371,C371))</f>
        <v/>
      </c>
    </row>
    <row r="372" spans="2:2" x14ac:dyDescent="0.25">
      <c r="B372" t="str">
        <f>IF(C372="","",C372&amp;COUNTIF(C$9:C372,C372))</f>
        <v/>
      </c>
    </row>
    <row r="373" spans="2:2" x14ac:dyDescent="0.25">
      <c r="B373" t="str">
        <f>IF(C373="","",C373&amp;COUNTIF(C$9:C373,C373))</f>
        <v/>
      </c>
    </row>
    <row r="374" spans="2:2" x14ac:dyDescent="0.25">
      <c r="B374" t="str">
        <f>IF(C374="","",C374&amp;COUNTIF(C$9:C374,C374))</f>
        <v/>
      </c>
    </row>
    <row r="375" spans="2:2" x14ac:dyDescent="0.25">
      <c r="B375" t="str">
        <f>IF(C375="","",C375&amp;COUNTIF(C$9:C375,C375))</f>
        <v/>
      </c>
    </row>
    <row r="376" spans="2:2" x14ac:dyDescent="0.25">
      <c r="B376" t="str">
        <f>IF(C376="","",C376&amp;COUNTIF(C$9:C376,C376))</f>
        <v/>
      </c>
    </row>
    <row r="377" spans="2:2" x14ac:dyDescent="0.25">
      <c r="B377" t="str">
        <f>IF(C377="","",C377&amp;COUNTIF(C$9:C377,C377))</f>
        <v/>
      </c>
    </row>
    <row r="378" spans="2:2" x14ac:dyDescent="0.25">
      <c r="B378" t="str">
        <f>IF(C378="","",C378&amp;COUNTIF(C$9:C378,C378))</f>
        <v/>
      </c>
    </row>
    <row r="379" spans="2:2" x14ac:dyDescent="0.25">
      <c r="B379" t="str">
        <f>IF(C379="","",C379&amp;COUNTIF(C$9:C379,C379))</f>
        <v/>
      </c>
    </row>
    <row r="380" spans="2:2" x14ac:dyDescent="0.25">
      <c r="B380" t="str">
        <f>IF(C380="","",C380&amp;COUNTIF(C$9:C380,C380))</f>
        <v/>
      </c>
    </row>
    <row r="381" spans="2:2" x14ac:dyDescent="0.25">
      <c r="B381" t="str">
        <f>IF(C381="","",C381&amp;COUNTIF(C$9:C381,C381))</f>
        <v/>
      </c>
    </row>
    <row r="382" spans="2:2" x14ac:dyDescent="0.25">
      <c r="B382" t="str">
        <f>IF(C382="","",C382&amp;COUNTIF(C$9:C382,C382))</f>
        <v/>
      </c>
    </row>
    <row r="383" spans="2:2" x14ac:dyDescent="0.25">
      <c r="B383" t="str">
        <f>IF(C383="","",C383&amp;COUNTIF(C$9:C383,C383))</f>
        <v/>
      </c>
    </row>
    <row r="384" spans="2:2" x14ac:dyDescent="0.25">
      <c r="B384" t="str">
        <f>IF(C384="","",C384&amp;COUNTIF(C$9:C384,C384))</f>
        <v/>
      </c>
    </row>
    <row r="385" spans="2:2" x14ac:dyDescent="0.25">
      <c r="B385" t="str">
        <f>IF(C385="","",C385&amp;COUNTIF(C$9:C385,C385))</f>
        <v/>
      </c>
    </row>
    <row r="386" spans="2:2" x14ac:dyDescent="0.25">
      <c r="B386" t="str">
        <f>IF(C386="","",C386&amp;COUNTIF(C$9:C386,C386))</f>
        <v/>
      </c>
    </row>
    <row r="387" spans="2:2" x14ac:dyDescent="0.25">
      <c r="B387" t="str">
        <f>IF(C387="","",C387&amp;COUNTIF(C$9:C387,C387))</f>
        <v/>
      </c>
    </row>
    <row r="388" spans="2:2" x14ac:dyDescent="0.25">
      <c r="B388" t="str">
        <f>IF(C388="","",C388&amp;COUNTIF(C$9:C388,C388))</f>
        <v/>
      </c>
    </row>
    <row r="389" spans="2:2" x14ac:dyDescent="0.25">
      <c r="B389" t="str">
        <f>IF(C389="","",C389&amp;COUNTIF(C$9:C389,C389))</f>
        <v/>
      </c>
    </row>
    <row r="390" spans="2:2" x14ac:dyDescent="0.25">
      <c r="B390" t="str">
        <f>IF(C390="","",C390&amp;COUNTIF(C$9:C390,C390))</f>
        <v/>
      </c>
    </row>
    <row r="391" spans="2:2" x14ac:dyDescent="0.25">
      <c r="B391" t="str">
        <f>IF(C391="","",C391&amp;COUNTIF(C$9:C391,C391))</f>
        <v/>
      </c>
    </row>
    <row r="392" spans="2:2" x14ac:dyDescent="0.25">
      <c r="B392" t="str">
        <f>IF(C392="","",C392&amp;COUNTIF(C$9:C392,C392))</f>
        <v/>
      </c>
    </row>
    <row r="393" spans="2:2" x14ac:dyDescent="0.25">
      <c r="B393" t="str">
        <f>IF(C393="","",C393&amp;COUNTIF(C$9:C393,C393))</f>
        <v/>
      </c>
    </row>
    <row r="394" spans="2:2" x14ac:dyDescent="0.25">
      <c r="B394" t="str">
        <f>IF(C394="","",C394&amp;COUNTIF(C$9:C394,C394))</f>
        <v/>
      </c>
    </row>
    <row r="395" spans="2:2" x14ac:dyDescent="0.25">
      <c r="B395" t="str">
        <f>IF(C395="","",C395&amp;COUNTIF(C$9:C395,C395))</f>
        <v/>
      </c>
    </row>
    <row r="396" spans="2:2" x14ac:dyDescent="0.25">
      <c r="B396" t="str">
        <f>IF(C396="","",C396&amp;COUNTIF(C$9:C396,C396))</f>
        <v/>
      </c>
    </row>
    <row r="397" spans="2:2" x14ac:dyDescent="0.25">
      <c r="B397" t="str">
        <f>IF(C397="","",C397&amp;COUNTIF(C$9:C397,C397))</f>
        <v/>
      </c>
    </row>
    <row r="398" spans="2:2" x14ac:dyDescent="0.25">
      <c r="B398" t="str">
        <f>IF(C398="","",C398&amp;COUNTIF(C$9:C398,C398))</f>
        <v/>
      </c>
    </row>
    <row r="399" spans="2:2" x14ac:dyDescent="0.25">
      <c r="B399" t="str">
        <f>IF(C399="","",C399&amp;COUNTIF(C$9:C399,C399))</f>
        <v/>
      </c>
    </row>
    <row r="400" spans="2:2" x14ac:dyDescent="0.25">
      <c r="B400" t="str">
        <f>IF(C400="","",C400&amp;COUNTIF(C$9:C400,C400))</f>
        <v/>
      </c>
    </row>
    <row r="401" spans="2:2" x14ac:dyDescent="0.25">
      <c r="B401" t="str">
        <f>IF(C401="","",C401&amp;COUNTIF(C$9:C401,C401))</f>
        <v/>
      </c>
    </row>
    <row r="402" spans="2:2" x14ac:dyDescent="0.25">
      <c r="B402" t="str">
        <f>IF(C402="","",C402&amp;COUNTIF(C$9:C402,C402))</f>
        <v/>
      </c>
    </row>
    <row r="403" spans="2:2" x14ac:dyDescent="0.25">
      <c r="B403" t="str">
        <f>IF(C403="","",C403&amp;COUNTIF(C$9:C403,C403))</f>
        <v/>
      </c>
    </row>
    <row r="404" spans="2:2" x14ac:dyDescent="0.25">
      <c r="B404" t="str">
        <f>IF(C404="","",C404&amp;COUNTIF(C$9:C404,C404))</f>
        <v/>
      </c>
    </row>
    <row r="405" spans="2:2" x14ac:dyDescent="0.25">
      <c r="B405" t="str">
        <f>IF(C405="","",C405&amp;COUNTIF(C$9:C405,C405))</f>
        <v/>
      </c>
    </row>
    <row r="406" spans="2:2" x14ac:dyDescent="0.25">
      <c r="B406" t="str">
        <f>IF(C406="","",C406&amp;COUNTIF(C$9:C406,C406))</f>
        <v/>
      </c>
    </row>
    <row r="407" spans="2:2" x14ac:dyDescent="0.25">
      <c r="B407" t="str">
        <f>IF(C407="","",C407&amp;COUNTIF(C$9:C407,C407))</f>
        <v/>
      </c>
    </row>
    <row r="408" spans="2:2" x14ac:dyDescent="0.25">
      <c r="B408" t="str">
        <f>IF(C408="","",C408&amp;COUNTIF(C$9:C408,C408))</f>
        <v/>
      </c>
    </row>
    <row r="409" spans="2:2" x14ac:dyDescent="0.25">
      <c r="B409" t="str">
        <f>IF(C409="","",C409&amp;COUNTIF(C$9:C409,C409))</f>
        <v/>
      </c>
    </row>
    <row r="410" spans="2:2" x14ac:dyDescent="0.25">
      <c r="B410" t="str">
        <f>IF(C410="","",C410&amp;COUNTIF(C$9:C410,C410))</f>
        <v/>
      </c>
    </row>
    <row r="411" spans="2:2" x14ac:dyDescent="0.25">
      <c r="B411" t="str">
        <f>IF(C411="","",C411&amp;COUNTIF(C$9:C411,C411))</f>
        <v/>
      </c>
    </row>
    <row r="412" spans="2:2" x14ac:dyDescent="0.25">
      <c r="B412" t="str">
        <f>IF(C412="","",C412&amp;COUNTIF(C$9:C412,C412))</f>
        <v/>
      </c>
    </row>
    <row r="413" spans="2:2" x14ac:dyDescent="0.25">
      <c r="B413" t="str">
        <f>IF(C413="","",C413&amp;COUNTIF(C$9:C413,C413))</f>
        <v/>
      </c>
    </row>
    <row r="414" spans="2:2" x14ac:dyDescent="0.25">
      <c r="B414" t="str">
        <f>IF(C414="","",C414&amp;COUNTIF(C$9:C414,C414))</f>
        <v/>
      </c>
    </row>
    <row r="415" spans="2:2" x14ac:dyDescent="0.25">
      <c r="B415" t="str">
        <f>IF(C415="","",C415&amp;COUNTIF(C$9:C415,C415))</f>
        <v/>
      </c>
    </row>
    <row r="416" spans="2:2" x14ac:dyDescent="0.25">
      <c r="B416" t="str">
        <f>IF(C416="","",C416&amp;COUNTIF(C$9:C416,C416))</f>
        <v/>
      </c>
    </row>
    <row r="417" spans="2:2" x14ac:dyDescent="0.25">
      <c r="B417" t="str">
        <f>IF(C417="","",C417&amp;COUNTIF(C$9:C417,C417))</f>
        <v/>
      </c>
    </row>
    <row r="418" spans="2:2" x14ac:dyDescent="0.25">
      <c r="B418" t="str">
        <f>IF(C418="","",C418&amp;COUNTIF(C$9:C418,C418))</f>
        <v/>
      </c>
    </row>
    <row r="419" spans="2:2" x14ac:dyDescent="0.25">
      <c r="B419" t="str">
        <f>IF(C419="","",C419&amp;COUNTIF(C$9:C419,C419))</f>
        <v/>
      </c>
    </row>
    <row r="420" spans="2:2" x14ac:dyDescent="0.25">
      <c r="B420" t="str">
        <f>IF(C420="","",C420&amp;COUNTIF(C$9:C420,C420))</f>
        <v/>
      </c>
    </row>
    <row r="421" spans="2:2" x14ac:dyDescent="0.25">
      <c r="B421" t="str">
        <f>IF(C421="","",C421&amp;COUNTIF(C$9:C421,C421))</f>
        <v/>
      </c>
    </row>
    <row r="422" spans="2:2" x14ac:dyDescent="0.25">
      <c r="B422" t="str">
        <f>IF(C422="","",C422&amp;COUNTIF(C$9:C422,C422))</f>
        <v/>
      </c>
    </row>
    <row r="423" spans="2:2" x14ac:dyDescent="0.25">
      <c r="B423" t="str">
        <f>IF(C423="","",C423&amp;COUNTIF(C$9:C423,C423))</f>
        <v/>
      </c>
    </row>
    <row r="424" spans="2:2" x14ac:dyDescent="0.25">
      <c r="B424" t="str">
        <f>IF(C424="","",C424&amp;COUNTIF(C$9:C424,C424))</f>
        <v/>
      </c>
    </row>
    <row r="425" spans="2:2" x14ac:dyDescent="0.25">
      <c r="B425" t="str">
        <f>IF(C425="","",C425&amp;COUNTIF(C$9:C425,C425))</f>
        <v/>
      </c>
    </row>
    <row r="426" spans="2:2" x14ac:dyDescent="0.25">
      <c r="B426" t="str">
        <f>IF(C426="","",C426&amp;COUNTIF(C$9:C426,C426))</f>
        <v/>
      </c>
    </row>
    <row r="427" spans="2:2" x14ac:dyDescent="0.25">
      <c r="B427" t="str">
        <f>IF(C427="","",C427&amp;COUNTIF(C$9:C427,C427))</f>
        <v/>
      </c>
    </row>
    <row r="428" spans="2:2" x14ac:dyDescent="0.25">
      <c r="B428" t="str">
        <f>IF(C428="","",C428&amp;COUNTIF(C$9:C428,C428))</f>
        <v/>
      </c>
    </row>
    <row r="429" spans="2:2" x14ac:dyDescent="0.25">
      <c r="B429" t="str">
        <f>IF(C429="","",C429&amp;COUNTIF(C$9:C429,C429))</f>
        <v/>
      </c>
    </row>
    <row r="430" spans="2:2" x14ac:dyDescent="0.25">
      <c r="B430" t="str">
        <f>IF(C430="","",C430&amp;COUNTIF(C$9:C430,C430))</f>
        <v/>
      </c>
    </row>
    <row r="431" spans="2:2" x14ac:dyDescent="0.25">
      <c r="B431" t="str">
        <f>IF(C431="","",C431&amp;COUNTIF(C$9:C431,C431))</f>
        <v/>
      </c>
    </row>
    <row r="432" spans="2:2" x14ac:dyDescent="0.25">
      <c r="B432" t="str">
        <f>IF(C432="","",C432&amp;COUNTIF(C$9:C432,C432))</f>
        <v/>
      </c>
    </row>
    <row r="433" spans="2:2" x14ac:dyDescent="0.25">
      <c r="B433" t="str">
        <f>IF(C433="","",C433&amp;COUNTIF(C$9:C433,C433))</f>
        <v/>
      </c>
    </row>
    <row r="434" spans="2:2" x14ac:dyDescent="0.25">
      <c r="B434" t="str">
        <f>IF(C434="","",C434&amp;COUNTIF(C$9:C434,C434))</f>
        <v/>
      </c>
    </row>
    <row r="435" spans="2:2" x14ac:dyDescent="0.25">
      <c r="B435" t="str">
        <f>IF(C435="","",C435&amp;COUNTIF(C$9:C435,C435))</f>
        <v/>
      </c>
    </row>
    <row r="436" spans="2:2" x14ac:dyDescent="0.25">
      <c r="B436" t="str">
        <f>IF(C436="","",C436&amp;COUNTIF(C$9:C436,C436))</f>
        <v/>
      </c>
    </row>
    <row r="437" spans="2:2" x14ac:dyDescent="0.25">
      <c r="B437" t="str">
        <f>IF(C437="","",C437&amp;COUNTIF(C$9:C437,C437))</f>
        <v/>
      </c>
    </row>
    <row r="438" spans="2:2" x14ac:dyDescent="0.25">
      <c r="B438" t="str">
        <f>IF(C438="","",C438&amp;COUNTIF(C$9:C438,C438))</f>
        <v/>
      </c>
    </row>
    <row r="439" spans="2:2" x14ac:dyDescent="0.25">
      <c r="B439" t="str">
        <f>IF(C439="","",C439&amp;COUNTIF(C$9:C439,C439))</f>
        <v/>
      </c>
    </row>
    <row r="440" spans="2:2" x14ac:dyDescent="0.25">
      <c r="B440" t="str">
        <f>IF(C440="","",C440&amp;COUNTIF(C$9:C440,C440))</f>
        <v/>
      </c>
    </row>
    <row r="441" spans="2:2" x14ac:dyDescent="0.25">
      <c r="B441" t="str">
        <f>IF(C441="","",C441&amp;COUNTIF(C$9:C441,C441))</f>
        <v/>
      </c>
    </row>
    <row r="442" spans="2:2" x14ac:dyDescent="0.25">
      <c r="B442" t="str">
        <f>IF(C442="","",C442&amp;COUNTIF(C$9:C442,C442))</f>
        <v/>
      </c>
    </row>
    <row r="443" spans="2:2" x14ac:dyDescent="0.25">
      <c r="B443" t="str">
        <f>IF(C443="","",C443&amp;COUNTIF(C$9:C443,C443))</f>
        <v/>
      </c>
    </row>
    <row r="444" spans="2:2" x14ac:dyDescent="0.25">
      <c r="B444" t="str">
        <f>IF(C444="","",C444&amp;COUNTIF(C$9:C444,C444))</f>
        <v/>
      </c>
    </row>
    <row r="445" spans="2:2" x14ac:dyDescent="0.25">
      <c r="B445" t="str">
        <f>IF(C445="","",C445&amp;COUNTIF(C$9:C445,C445))</f>
        <v/>
      </c>
    </row>
    <row r="446" spans="2:2" x14ac:dyDescent="0.25">
      <c r="B446" t="str">
        <f>IF(C446="","",C446&amp;COUNTIF(C$9:C446,C446))</f>
        <v/>
      </c>
    </row>
    <row r="447" spans="2:2" x14ac:dyDescent="0.25">
      <c r="B447" t="str">
        <f>IF(C447="","",C447&amp;COUNTIF(C$9:C447,C447))</f>
        <v/>
      </c>
    </row>
    <row r="448" spans="2:2" x14ac:dyDescent="0.25">
      <c r="B448" t="str">
        <f>IF(C448="","",C448&amp;COUNTIF(C$9:C448,C448))</f>
        <v/>
      </c>
    </row>
    <row r="449" spans="2:2" x14ac:dyDescent="0.25">
      <c r="B449" t="str">
        <f>IF(C449="","",C449&amp;COUNTIF(C$9:C449,C449))</f>
        <v/>
      </c>
    </row>
    <row r="450" spans="2:2" x14ac:dyDescent="0.25">
      <c r="B450" t="str">
        <f>IF(C450="","",C450&amp;COUNTIF(C$9:C450,C450))</f>
        <v/>
      </c>
    </row>
    <row r="451" spans="2:2" x14ac:dyDescent="0.25">
      <c r="B451" t="str">
        <f>IF(C451="","",C451&amp;COUNTIF(C$9:C451,C451))</f>
        <v/>
      </c>
    </row>
    <row r="452" spans="2:2" x14ac:dyDescent="0.25">
      <c r="B452" t="str">
        <f>IF(C452="","",C452&amp;COUNTIF(C$9:C452,C452))</f>
        <v/>
      </c>
    </row>
    <row r="453" spans="2:2" x14ac:dyDescent="0.25">
      <c r="B453" t="str">
        <f>IF(C453="","",C453&amp;COUNTIF(C$9:C453,C453))</f>
        <v/>
      </c>
    </row>
    <row r="454" spans="2:2" x14ac:dyDescent="0.25">
      <c r="B454" t="str">
        <f>IF(C454="","",C454&amp;COUNTIF(C$9:C454,C454))</f>
        <v/>
      </c>
    </row>
    <row r="455" spans="2:2" x14ac:dyDescent="0.25">
      <c r="B455" t="str">
        <f>IF(C455="","",C455&amp;COUNTIF(C$9:C455,C455))</f>
        <v/>
      </c>
    </row>
    <row r="456" spans="2:2" x14ac:dyDescent="0.25">
      <c r="B456" t="str">
        <f>IF(C456="","",C456&amp;COUNTIF(C$9:C456,C456))</f>
        <v/>
      </c>
    </row>
    <row r="457" spans="2:2" x14ac:dyDescent="0.25">
      <c r="B457" t="str">
        <f>IF(C457="","",C457&amp;COUNTIF(C$9:C457,C457))</f>
        <v/>
      </c>
    </row>
    <row r="458" spans="2:2" x14ac:dyDescent="0.25">
      <c r="B458" t="str">
        <f>IF(C458="","",C458&amp;COUNTIF(C$9:C458,C458))</f>
        <v/>
      </c>
    </row>
    <row r="459" spans="2:2" x14ac:dyDescent="0.25">
      <c r="B459" t="str">
        <f>IF(C459="","",C459&amp;COUNTIF(C$9:C459,C459))</f>
        <v/>
      </c>
    </row>
    <row r="460" spans="2:2" x14ac:dyDescent="0.25">
      <c r="B460" t="str">
        <f>IF(C460="","",C460&amp;COUNTIF(C$9:C460,C460))</f>
        <v/>
      </c>
    </row>
    <row r="461" spans="2:2" x14ac:dyDescent="0.25">
      <c r="B461" t="str">
        <f>IF(C461="","",C461&amp;COUNTIF(C$9:C461,C461))</f>
        <v/>
      </c>
    </row>
    <row r="462" spans="2:2" x14ac:dyDescent="0.25">
      <c r="B462" t="str">
        <f>IF(C462="","",C462&amp;COUNTIF(C$9:C462,C462))</f>
        <v/>
      </c>
    </row>
    <row r="463" spans="2:2" x14ac:dyDescent="0.25">
      <c r="B463" t="str">
        <f>IF(C463="","",C463&amp;COUNTIF(C$9:C463,C463))</f>
        <v/>
      </c>
    </row>
    <row r="464" spans="2:2" x14ac:dyDescent="0.25">
      <c r="B464" t="str">
        <f>IF(C464="","",C464&amp;COUNTIF(C$9:C464,C464))</f>
        <v/>
      </c>
    </row>
    <row r="465" spans="2:2" x14ac:dyDescent="0.25">
      <c r="B465" t="str">
        <f>IF(C465="","",C465&amp;COUNTIF(C$9:C465,C465))</f>
        <v/>
      </c>
    </row>
    <row r="466" spans="2:2" x14ac:dyDescent="0.25">
      <c r="B466" t="str">
        <f>IF(C466="","",C466&amp;COUNTIF(C$9:C466,C466))</f>
        <v/>
      </c>
    </row>
    <row r="467" spans="2:2" x14ac:dyDescent="0.25">
      <c r="B467" t="str">
        <f>IF(C467="","",C467&amp;COUNTIF(C$9:C467,C467))</f>
        <v/>
      </c>
    </row>
    <row r="468" spans="2:2" x14ac:dyDescent="0.25">
      <c r="B468" t="str">
        <f>IF(C468="","",C468&amp;COUNTIF(C$9:C468,C468))</f>
        <v/>
      </c>
    </row>
    <row r="469" spans="2:2" x14ac:dyDescent="0.25">
      <c r="B469" t="str">
        <f>IF(C469="","",C469&amp;COUNTIF(C$9:C469,C469))</f>
        <v/>
      </c>
    </row>
    <row r="470" spans="2:2" x14ac:dyDescent="0.25">
      <c r="B470" t="str">
        <f>IF(C470="","",C470&amp;COUNTIF(C$9:C470,C470))</f>
        <v/>
      </c>
    </row>
    <row r="471" spans="2:2" x14ac:dyDescent="0.25">
      <c r="B471" t="str">
        <f>IF(C471="","",C471&amp;COUNTIF(C$9:C471,C471))</f>
        <v/>
      </c>
    </row>
    <row r="472" spans="2:2" x14ac:dyDescent="0.25">
      <c r="B472" t="str">
        <f>IF(C472="","",C472&amp;COUNTIF(C$9:C472,C472))</f>
        <v/>
      </c>
    </row>
    <row r="473" spans="2:2" x14ac:dyDescent="0.25">
      <c r="B473" t="str">
        <f>IF(C473="","",C473&amp;COUNTIF(C$9:C473,C473))</f>
        <v/>
      </c>
    </row>
    <row r="474" spans="2:2" x14ac:dyDescent="0.25">
      <c r="B474" t="str">
        <f>IF(C474="","",C474&amp;COUNTIF(C$9:C474,C474))</f>
        <v/>
      </c>
    </row>
    <row r="475" spans="2:2" x14ac:dyDescent="0.25">
      <c r="B475" t="str">
        <f>IF(C475="","",C475&amp;COUNTIF(C$9:C475,C475))</f>
        <v/>
      </c>
    </row>
    <row r="476" spans="2:2" x14ac:dyDescent="0.25">
      <c r="B476" t="str">
        <f>IF(C476="","",C476&amp;COUNTIF(C$9:C476,C476))</f>
        <v/>
      </c>
    </row>
    <row r="477" spans="2:2" x14ac:dyDescent="0.25">
      <c r="B477" t="str">
        <f>IF(C477="","",C477&amp;COUNTIF(C$9:C477,C477))</f>
        <v/>
      </c>
    </row>
    <row r="478" spans="2:2" x14ac:dyDescent="0.25">
      <c r="B478" t="str">
        <f>IF(C478="","",C478&amp;COUNTIF(C$9:C478,C478))</f>
        <v/>
      </c>
    </row>
    <row r="479" spans="2:2" x14ac:dyDescent="0.25">
      <c r="B479" t="str">
        <f>IF(C479="","",C479&amp;COUNTIF(C$9:C479,C479))</f>
        <v/>
      </c>
    </row>
    <row r="480" spans="2:2" x14ac:dyDescent="0.25">
      <c r="B480" t="str">
        <f>IF(C480="","",C480&amp;COUNTIF(C$9:C480,C480))</f>
        <v/>
      </c>
    </row>
    <row r="481" spans="2:2" x14ac:dyDescent="0.25">
      <c r="B481" t="str">
        <f>IF(C481="","",C481&amp;COUNTIF(C$9:C481,C481))</f>
        <v/>
      </c>
    </row>
    <row r="482" spans="2:2" x14ac:dyDescent="0.25">
      <c r="B482" t="str">
        <f>IF(C482="","",C482&amp;COUNTIF(C$9:C482,C482))</f>
        <v/>
      </c>
    </row>
    <row r="483" spans="2:2" x14ac:dyDescent="0.25">
      <c r="B483" t="str">
        <f>IF(C483="","",C483&amp;COUNTIF(C$9:C483,C483))</f>
        <v/>
      </c>
    </row>
    <row r="484" spans="2:2" x14ac:dyDescent="0.25">
      <c r="B484" t="str">
        <f>IF(C484="","",C484&amp;COUNTIF(C$9:C484,C484))</f>
        <v/>
      </c>
    </row>
    <row r="485" spans="2:2" x14ac:dyDescent="0.25">
      <c r="B485" t="str">
        <f>IF(C485="","",C485&amp;COUNTIF(C$9:C485,C485))</f>
        <v/>
      </c>
    </row>
    <row r="486" spans="2:2" x14ac:dyDescent="0.25">
      <c r="B486" t="str">
        <f>IF(C486="","",C486&amp;COUNTIF(C$9:C486,C486))</f>
        <v/>
      </c>
    </row>
    <row r="487" spans="2:2" x14ac:dyDescent="0.25">
      <c r="B487" t="str">
        <f>IF(C487="","",C487&amp;COUNTIF(C$9:C487,C487))</f>
        <v/>
      </c>
    </row>
    <row r="488" spans="2:2" x14ac:dyDescent="0.25">
      <c r="B488" t="str">
        <f>IF(C488="","",C488&amp;COUNTIF(C$9:C488,C488))</f>
        <v/>
      </c>
    </row>
    <row r="489" spans="2:2" x14ac:dyDescent="0.25">
      <c r="B489" t="str">
        <f>IF(C489="","",C489&amp;COUNTIF(C$9:C489,C489))</f>
        <v/>
      </c>
    </row>
    <row r="490" spans="2:2" x14ac:dyDescent="0.25">
      <c r="B490" t="str">
        <f>IF(C490="","",C490&amp;COUNTIF(C$9:C490,C490))</f>
        <v/>
      </c>
    </row>
    <row r="491" spans="2:2" x14ac:dyDescent="0.25">
      <c r="B491" t="str">
        <f>IF(C491="","",C491&amp;COUNTIF(C$9:C491,C491))</f>
        <v/>
      </c>
    </row>
    <row r="492" spans="2:2" x14ac:dyDescent="0.25">
      <c r="B492" t="str">
        <f>IF(C492="","",C492&amp;COUNTIF(C$9:C492,C492))</f>
        <v/>
      </c>
    </row>
    <row r="493" spans="2:2" x14ac:dyDescent="0.25">
      <c r="B493" t="str">
        <f>IF(C493="","",C493&amp;COUNTIF(C$9:C493,C493))</f>
        <v/>
      </c>
    </row>
    <row r="494" spans="2:2" x14ac:dyDescent="0.25">
      <c r="B494" t="str">
        <f>IF(C494="","",C494&amp;COUNTIF(C$9:C494,C494))</f>
        <v/>
      </c>
    </row>
    <row r="495" spans="2:2" x14ac:dyDescent="0.25">
      <c r="B495" t="str">
        <f>IF(C495="","",C495&amp;COUNTIF(C$9:C495,C495))</f>
        <v/>
      </c>
    </row>
    <row r="496" spans="2:2" x14ac:dyDescent="0.25">
      <c r="B496" t="str">
        <f>IF(C496="","",C496&amp;COUNTIF(C$9:C496,C496))</f>
        <v/>
      </c>
    </row>
    <row r="497" spans="2:2" x14ac:dyDescent="0.25">
      <c r="B497" t="str">
        <f>IF(C497="","",C497&amp;COUNTIF(C$9:C497,C497))</f>
        <v/>
      </c>
    </row>
    <row r="498" spans="2:2" x14ac:dyDescent="0.25">
      <c r="B498" t="str">
        <f>IF(C498="","",C498&amp;COUNTIF(C$9:C498,C498))</f>
        <v/>
      </c>
    </row>
    <row r="499" spans="2:2" x14ac:dyDescent="0.25">
      <c r="B499" t="str">
        <f>IF(C499="","",C499&amp;COUNTIF(C$9:C499,C499))</f>
        <v/>
      </c>
    </row>
    <row r="500" spans="2:2" x14ac:dyDescent="0.25">
      <c r="B500" t="str">
        <f>IF(C500="","",C500&amp;COUNTIF(C$9:C500,C500))</f>
        <v/>
      </c>
    </row>
    <row r="501" spans="2:2" x14ac:dyDescent="0.25">
      <c r="B501" t="str">
        <f>IF(C501="","",C501&amp;COUNTIF(C$9:C501,C501))</f>
        <v/>
      </c>
    </row>
    <row r="502" spans="2:2" x14ac:dyDescent="0.25">
      <c r="B502" t="str">
        <f>IF(C502="","",C502&amp;COUNTIF(C$9:C502,C502))</f>
        <v/>
      </c>
    </row>
    <row r="503" spans="2:2" x14ac:dyDescent="0.25">
      <c r="B503" t="str">
        <f>IF(C503="","",C503&amp;COUNTIF(C$9:C503,C503))</f>
        <v/>
      </c>
    </row>
    <row r="504" spans="2:2" x14ac:dyDescent="0.25">
      <c r="B504" t="str">
        <f>IF(C504="","",C504&amp;COUNTIF(C$9:C504,C504))</f>
        <v/>
      </c>
    </row>
    <row r="505" spans="2:2" x14ac:dyDescent="0.25">
      <c r="B505" t="str">
        <f>IF(C505="","",C505&amp;COUNTIF(C$9:C505,C505))</f>
        <v/>
      </c>
    </row>
    <row r="506" spans="2:2" x14ac:dyDescent="0.25">
      <c r="B506" t="str">
        <f>IF(C506="","",C506&amp;COUNTIF(C$9:C506,C506))</f>
        <v/>
      </c>
    </row>
    <row r="507" spans="2:2" x14ac:dyDescent="0.25">
      <c r="B507" t="str">
        <f>IF(C507="","",C507&amp;COUNTIF(C$9:C507,C507))</f>
        <v/>
      </c>
    </row>
    <row r="508" spans="2:2" x14ac:dyDescent="0.25">
      <c r="B508" t="str">
        <f>IF(C508="","",C508&amp;COUNTIF(C$9:C508,C508))</f>
        <v/>
      </c>
    </row>
    <row r="509" spans="2:2" x14ac:dyDescent="0.25">
      <c r="B509" t="str">
        <f>IF(C509="","",C509&amp;COUNTIF(C$9:C509,C509))</f>
        <v/>
      </c>
    </row>
    <row r="510" spans="2:2" x14ac:dyDescent="0.25">
      <c r="B510" t="str">
        <f>IF(C510="","",C510&amp;COUNTIF(C$9:C510,C510))</f>
        <v/>
      </c>
    </row>
    <row r="511" spans="2:2" x14ac:dyDescent="0.25">
      <c r="B511" t="str">
        <f>IF(C511="","",C511&amp;COUNTIF(C$9:C511,C511))</f>
        <v/>
      </c>
    </row>
    <row r="512" spans="2:2" x14ac:dyDescent="0.25">
      <c r="B512" t="str">
        <f>IF(C512="","",C512&amp;COUNTIF(C$9:C512,C512))</f>
        <v/>
      </c>
    </row>
    <row r="513" spans="2:2" x14ac:dyDescent="0.25">
      <c r="B513" t="str">
        <f>IF(C513="","",C513&amp;COUNTIF(C$9:C513,C513))</f>
        <v/>
      </c>
    </row>
    <row r="514" spans="2:2" x14ac:dyDescent="0.25">
      <c r="B514" t="str">
        <f>IF(C514="","",C514&amp;COUNTIF(C$9:C514,C514))</f>
        <v/>
      </c>
    </row>
    <row r="515" spans="2:2" x14ac:dyDescent="0.25">
      <c r="B515" t="str">
        <f>IF(C515="","",C515&amp;COUNTIF(C$9:C515,C515))</f>
        <v/>
      </c>
    </row>
    <row r="516" spans="2:2" x14ac:dyDescent="0.25">
      <c r="B516" t="str">
        <f>IF(C516="","",C516&amp;COUNTIF(C$9:C516,C516))</f>
        <v/>
      </c>
    </row>
    <row r="517" spans="2:2" x14ac:dyDescent="0.25">
      <c r="B517" t="str">
        <f>IF(C517="","",C517&amp;COUNTIF(C$9:C517,C517))</f>
        <v/>
      </c>
    </row>
    <row r="518" spans="2:2" x14ac:dyDescent="0.25">
      <c r="B518" t="str">
        <f>IF(C518="","",C518&amp;COUNTIF(C$9:C518,C518))</f>
        <v/>
      </c>
    </row>
    <row r="519" spans="2:2" x14ac:dyDescent="0.25">
      <c r="B519" t="str">
        <f>IF(C519="","",C519&amp;COUNTIF(C$9:C519,C519))</f>
        <v/>
      </c>
    </row>
    <row r="520" spans="2:2" x14ac:dyDescent="0.25">
      <c r="B520" t="str">
        <f>IF(C520="","",C520&amp;COUNTIF(C$9:C520,C520))</f>
        <v/>
      </c>
    </row>
    <row r="521" spans="2:2" x14ac:dyDescent="0.25">
      <c r="B521" t="str">
        <f>IF(C521="","",C521&amp;COUNTIF(C$9:C521,C521))</f>
        <v/>
      </c>
    </row>
    <row r="522" spans="2:2" x14ac:dyDescent="0.25">
      <c r="B522" t="str">
        <f>IF(C522="","",C522&amp;COUNTIF(C$9:C522,C522))</f>
        <v/>
      </c>
    </row>
    <row r="523" spans="2:2" x14ac:dyDescent="0.25">
      <c r="B523" t="str">
        <f>IF(C523="","",C523&amp;COUNTIF(C$9:C523,C523))</f>
        <v/>
      </c>
    </row>
    <row r="524" spans="2:2" x14ac:dyDescent="0.25">
      <c r="B524" t="str">
        <f>IF(C524="","",C524&amp;COUNTIF(C$9:C524,C524))</f>
        <v/>
      </c>
    </row>
    <row r="525" spans="2:2" x14ac:dyDescent="0.25">
      <c r="B525" t="str">
        <f>IF(C525="","",C525&amp;COUNTIF(C$9:C525,C525))</f>
        <v/>
      </c>
    </row>
    <row r="526" spans="2:2" x14ac:dyDescent="0.25">
      <c r="B526" t="str">
        <f>IF(C526="","",C526&amp;COUNTIF(C$9:C526,C526))</f>
        <v/>
      </c>
    </row>
    <row r="527" spans="2:2" x14ac:dyDescent="0.25">
      <c r="B527" t="str">
        <f>IF(C527="","",C527&amp;COUNTIF(C$9:C527,C527))</f>
        <v/>
      </c>
    </row>
    <row r="528" spans="2:2" x14ac:dyDescent="0.25">
      <c r="B528" t="str">
        <f>IF(C528="","",C528&amp;COUNTIF(C$9:C528,C528))</f>
        <v/>
      </c>
    </row>
    <row r="529" spans="2:2" x14ac:dyDescent="0.25">
      <c r="B529" t="str">
        <f>IF(C529="","",C529&amp;COUNTIF(C$9:C529,C529))</f>
        <v/>
      </c>
    </row>
    <row r="530" spans="2:2" x14ac:dyDescent="0.25">
      <c r="B530" t="str">
        <f>IF(C530="","",C530&amp;COUNTIF(C$9:C530,C530))</f>
        <v/>
      </c>
    </row>
    <row r="531" spans="2:2" x14ac:dyDescent="0.25">
      <c r="B531" t="str">
        <f>IF(C531="","",C531&amp;COUNTIF(C$9:C531,C531))</f>
        <v/>
      </c>
    </row>
    <row r="532" spans="2:2" x14ac:dyDescent="0.25">
      <c r="B532" t="str">
        <f>IF(C532="","",C532&amp;COUNTIF(C$9:C532,C532))</f>
        <v/>
      </c>
    </row>
    <row r="533" spans="2:2" x14ac:dyDescent="0.25">
      <c r="B533" t="str">
        <f>IF(C533="","",C533&amp;COUNTIF(C$9:C533,C533))</f>
        <v/>
      </c>
    </row>
    <row r="534" spans="2:2" x14ac:dyDescent="0.25">
      <c r="B534" t="str">
        <f>IF(C534="","",C534&amp;COUNTIF(C$9:C534,C534))</f>
        <v/>
      </c>
    </row>
    <row r="535" spans="2:2" x14ac:dyDescent="0.25">
      <c r="B535" t="str">
        <f>IF(C535="","",C535&amp;COUNTIF(C$9:C535,C535))</f>
        <v/>
      </c>
    </row>
    <row r="536" spans="2:2" x14ac:dyDescent="0.25">
      <c r="B536" t="str">
        <f>IF(C536="","",C536&amp;COUNTIF(C$9:C536,C536))</f>
        <v/>
      </c>
    </row>
    <row r="537" spans="2:2" x14ac:dyDescent="0.25">
      <c r="B537" t="str">
        <f>IF(C537="","",C537&amp;COUNTIF(C$9:C537,C537))</f>
        <v/>
      </c>
    </row>
    <row r="538" spans="2:2" x14ac:dyDescent="0.25">
      <c r="B538" t="str">
        <f>IF(C538="","",C538&amp;COUNTIF(C$9:C538,C538))</f>
        <v/>
      </c>
    </row>
    <row r="539" spans="2:2" x14ac:dyDescent="0.25">
      <c r="B539" t="str">
        <f>IF(C539="","",C539&amp;COUNTIF(C$9:C539,C539))</f>
        <v/>
      </c>
    </row>
    <row r="540" spans="2:2" x14ac:dyDescent="0.25">
      <c r="B540" t="str">
        <f>IF(C540="","",C540&amp;COUNTIF(C$9:C540,C540))</f>
        <v/>
      </c>
    </row>
    <row r="541" spans="2:2" x14ac:dyDescent="0.25">
      <c r="B541" t="str">
        <f>IF(C541="","",C541&amp;COUNTIF(C$9:C541,C541))</f>
        <v/>
      </c>
    </row>
    <row r="542" spans="2:2" x14ac:dyDescent="0.25">
      <c r="B542" t="str">
        <f>IF(C542="","",C542&amp;COUNTIF(C$9:C542,C542))</f>
        <v/>
      </c>
    </row>
    <row r="543" spans="2:2" x14ac:dyDescent="0.25">
      <c r="B543" t="str">
        <f>IF(C543="","",C543&amp;COUNTIF(C$9:C543,C543))</f>
        <v/>
      </c>
    </row>
    <row r="544" spans="2:2" x14ac:dyDescent="0.25">
      <c r="B544" t="str">
        <f>IF(C544="","",C544&amp;COUNTIF(C$9:C544,C544))</f>
        <v/>
      </c>
    </row>
    <row r="545" spans="2:2" x14ac:dyDescent="0.25">
      <c r="B545" t="str">
        <f>IF(C545="","",C545&amp;COUNTIF(C$9:C545,C545))</f>
        <v/>
      </c>
    </row>
    <row r="546" spans="2:2" x14ac:dyDescent="0.25">
      <c r="B546" t="str">
        <f>IF(C546="","",C546&amp;COUNTIF(C$9:C546,C546))</f>
        <v/>
      </c>
    </row>
    <row r="547" spans="2:2" x14ac:dyDescent="0.25">
      <c r="B547" t="str">
        <f>IF(C547="","",C547&amp;COUNTIF(C$9:C547,C547))</f>
        <v/>
      </c>
    </row>
    <row r="548" spans="2:2" x14ac:dyDescent="0.25">
      <c r="B548" t="str">
        <f>IF(C548="","",C548&amp;COUNTIF(C$9:C548,C548))</f>
        <v/>
      </c>
    </row>
    <row r="549" spans="2:2" x14ac:dyDescent="0.25">
      <c r="B549" t="str">
        <f>IF(C549="","",C549&amp;COUNTIF(C$9:C549,C549))</f>
        <v/>
      </c>
    </row>
    <row r="550" spans="2:2" x14ac:dyDescent="0.25">
      <c r="B550" t="str">
        <f>IF(C550="","",C550&amp;COUNTIF(C$9:C550,C550))</f>
        <v/>
      </c>
    </row>
    <row r="551" spans="2:2" x14ac:dyDescent="0.25">
      <c r="B551" t="str">
        <f>IF(C551="","",C551&amp;COUNTIF(C$9:C551,C551))</f>
        <v/>
      </c>
    </row>
    <row r="552" spans="2:2" x14ac:dyDescent="0.25">
      <c r="B552" t="str">
        <f>IF(C552="","",C552&amp;COUNTIF(C$9:C552,C552))</f>
        <v/>
      </c>
    </row>
    <row r="553" spans="2:2" x14ac:dyDescent="0.25">
      <c r="B553" t="str">
        <f>IF(C553="","",C553&amp;COUNTIF(C$9:C553,C553))</f>
        <v/>
      </c>
    </row>
    <row r="554" spans="2:2" x14ac:dyDescent="0.25">
      <c r="B554" t="str">
        <f>IF(C554="","",C554&amp;COUNTIF(C$9:C554,C554))</f>
        <v/>
      </c>
    </row>
    <row r="555" spans="2:2" x14ac:dyDescent="0.25">
      <c r="B555" t="str">
        <f>IF(C555="","",C555&amp;COUNTIF(C$9:C555,C555))</f>
        <v/>
      </c>
    </row>
    <row r="556" spans="2:2" x14ac:dyDescent="0.25">
      <c r="B556" t="str">
        <f>IF(C556="","",C556&amp;COUNTIF(C$9:C556,C556))</f>
        <v/>
      </c>
    </row>
    <row r="557" spans="2:2" x14ac:dyDescent="0.25">
      <c r="B557" t="str">
        <f>IF(C557="","",C557&amp;COUNTIF(C$9:C557,C557))</f>
        <v/>
      </c>
    </row>
    <row r="558" spans="2:2" x14ac:dyDescent="0.25">
      <c r="B558" t="str">
        <f>IF(C558="","",C558&amp;COUNTIF(C$9:C558,C558))</f>
        <v/>
      </c>
    </row>
    <row r="559" spans="2:2" x14ac:dyDescent="0.25">
      <c r="B559" t="str">
        <f>IF(C559="","",C559&amp;COUNTIF(C$9:C559,C559))</f>
        <v/>
      </c>
    </row>
    <row r="560" spans="2:2" x14ac:dyDescent="0.25">
      <c r="B560" t="str">
        <f>IF(C560="","",C560&amp;COUNTIF(C$9:C560,C560))</f>
        <v/>
      </c>
    </row>
    <row r="561" spans="2:2" x14ac:dyDescent="0.25">
      <c r="B561" t="str">
        <f>IF(C561="","",C561&amp;COUNTIF(C$9:C561,C561))</f>
        <v/>
      </c>
    </row>
    <row r="562" spans="2:2" x14ac:dyDescent="0.25">
      <c r="B562" t="str">
        <f>IF(C562="","",C562&amp;COUNTIF(C$9:C562,C562))</f>
        <v/>
      </c>
    </row>
    <row r="563" spans="2:2" x14ac:dyDescent="0.25">
      <c r="B563" t="str">
        <f>IF(C563="","",C563&amp;COUNTIF(C$9:C563,C563))</f>
        <v/>
      </c>
    </row>
    <row r="564" spans="2:2" x14ac:dyDescent="0.25">
      <c r="B564" t="str">
        <f>IF(C564="","",C564&amp;COUNTIF(C$9:C564,C564))</f>
        <v/>
      </c>
    </row>
    <row r="565" spans="2:2" x14ac:dyDescent="0.25">
      <c r="B565" t="str">
        <f>IF(C565="","",C565&amp;COUNTIF(C$9:C565,C565))</f>
        <v/>
      </c>
    </row>
    <row r="566" spans="2:2" x14ac:dyDescent="0.25">
      <c r="B566" t="str">
        <f>IF(C566="","",C566&amp;COUNTIF(C$9:C566,C566))</f>
        <v/>
      </c>
    </row>
    <row r="567" spans="2:2" x14ac:dyDescent="0.25">
      <c r="B567" t="str">
        <f>IF(C567="","",C567&amp;COUNTIF(C$9:C567,C567))</f>
        <v/>
      </c>
    </row>
    <row r="568" spans="2:2" x14ac:dyDescent="0.25">
      <c r="B568" t="str">
        <f>IF(C568="","",C568&amp;COUNTIF(C$9:C568,C568))</f>
        <v/>
      </c>
    </row>
    <row r="569" spans="2:2" x14ac:dyDescent="0.25">
      <c r="B569" t="str">
        <f>IF(C569="","",C569&amp;COUNTIF(C$9:C569,C569))</f>
        <v/>
      </c>
    </row>
    <row r="570" spans="2:2" x14ac:dyDescent="0.25">
      <c r="B570" t="str">
        <f>IF(C570="","",C570&amp;COUNTIF(C$9:C570,C570))</f>
        <v/>
      </c>
    </row>
    <row r="571" spans="2:2" x14ac:dyDescent="0.25">
      <c r="B571" t="str">
        <f>IF(C571="","",C571&amp;COUNTIF(C$9:C571,C571))</f>
        <v/>
      </c>
    </row>
    <row r="572" spans="2:2" x14ac:dyDescent="0.25">
      <c r="B572" t="str">
        <f>IF(C572="","",C572&amp;COUNTIF(C$9:C572,C572))</f>
        <v/>
      </c>
    </row>
    <row r="573" spans="2:2" x14ac:dyDescent="0.25">
      <c r="B573" t="str">
        <f>IF(C573="","",C573&amp;COUNTIF(C$9:C573,C573))</f>
        <v/>
      </c>
    </row>
    <row r="574" spans="2:2" x14ac:dyDescent="0.25">
      <c r="B574" t="str">
        <f>IF(C574="","",C574&amp;COUNTIF(C$9:C574,C574))</f>
        <v/>
      </c>
    </row>
    <row r="575" spans="2:2" x14ac:dyDescent="0.25">
      <c r="B575" t="str">
        <f>IF(C575="","",C575&amp;COUNTIF(C$9:C575,C575))</f>
        <v/>
      </c>
    </row>
    <row r="576" spans="2:2" x14ac:dyDescent="0.25">
      <c r="B576" t="str">
        <f>IF(C576="","",C576&amp;COUNTIF(C$9:C576,C576))</f>
        <v/>
      </c>
    </row>
    <row r="577" spans="2:2" x14ac:dyDescent="0.25">
      <c r="B577" t="str">
        <f>IF(C577="","",C577&amp;COUNTIF(C$9:C577,C577))</f>
        <v/>
      </c>
    </row>
    <row r="578" spans="2:2" x14ac:dyDescent="0.25">
      <c r="B578" t="str">
        <f>IF(C578="","",C578&amp;COUNTIF(C$9:C578,C578))</f>
        <v/>
      </c>
    </row>
    <row r="579" spans="2:2" x14ac:dyDescent="0.25">
      <c r="B579" t="str">
        <f>IF(C579="","",C579&amp;COUNTIF(C$9:C579,C579))</f>
        <v/>
      </c>
    </row>
    <row r="580" spans="2:2" x14ac:dyDescent="0.25">
      <c r="B580" t="str">
        <f>IF(C580="","",C580&amp;COUNTIF(C$9:C580,C580))</f>
        <v/>
      </c>
    </row>
    <row r="581" spans="2:2" x14ac:dyDescent="0.25">
      <c r="B581" t="str">
        <f>IF(C581="","",C581&amp;COUNTIF(C$9:C581,C581))</f>
        <v/>
      </c>
    </row>
    <row r="582" spans="2:2" x14ac:dyDescent="0.25">
      <c r="B582" t="str">
        <f>IF(C582="","",C582&amp;COUNTIF(C$9:C582,C582))</f>
        <v/>
      </c>
    </row>
    <row r="583" spans="2:2" x14ac:dyDescent="0.25">
      <c r="B583" t="str">
        <f>IF(C583="","",C583&amp;COUNTIF(C$9:C583,C583))</f>
        <v/>
      </c>
    </row>
    <row r="584" spans="2:2" x14ac:dyDescent="0.25">
      <c r="B584" t="str">
        <f>IF(C584="","",C584&amp;COUNTIF(C$9:C584,C584))</f>
        <v/>
      </c>
    </row>
    <row r="585" spans="2:2" x14ac:dyDescent="0.25">
      <c r="B585" t="str">
        <f>IF(C585="","",C585&amp;COUNTIF(C$9:C585,C585))</f>
        <v/>
      </c>
    </row>
    <row r="586" spans="2:2" x14ac:dyDescent="0.25">
      <c r="B586" t="str">
        <f>IF(C586="","",C586&amp;COUNTIF(C$9:C586,C586))</f>
        <v/>
      </c>
    </row>
    <row r="587" spans="2:2" x14ac:dyDescent="0.25">
      <c r="B587" t="str">
        <f>IF(C587="","",C587&amp;COUNTIF(C$9:C587,C587))</f>
        <v/>
      </c>
    </row>
    <row r="588" spans="2:2" x14ac:dyDescent="0.25">
      <c r="B588" t="str">
        <f>IF(C588="","",C588&amp;COUNTIF(C$9:C588,C588))</f>
        <v/>
      </c>
    </row>
    <row r="589" spans="2:2" x14ac:dyDescent="0.25">
      <c r="B589" t="str">
        <f>IF(C589="","",C589&amp;COUNTIF(C$9:C589,C589))</f>
        <v/>
      </c>
    </row>
    <row r="590" spans="2:2" x14ac:dyDescent="0.25">
      <c r="B590" t="str">
        <f>IF(C590="","",C590&amp;COUNTIF(C$9:C590,C590))</f>
        <v/>
      </c>
    </row>
    <row r="591" spans="2:2" x14ac:dyDescent="0.25">
      <c r="B591" t="str">
        <f>IF(C591="","",C591&amp;COUNTIF(C$9:C591,C591))</f>
        <v/>
      </c>
    </row>
    <row r="592" spans="2:2" x14ac:dyDescent="0.25">
      <c r="B592" t="str">
        <f>IF(C592="","",C592&amp;COUNTIF(C$9:C592,C592))</f>
        <v/>
      </c>
    </row>
    <row r="593" spans="2:2" x14ac:dyDescent="0.25">
      <c r="B593" t="str">
        <f>IF(C593="","",C593&amp;COUNTIF(C$9:C593,C593))</f>
        <v/>
      </c>
    </row>
    <row r="594" spans="2:2" x14ac:dyDescent="0.25">
      <c r="B594" t="str">
        <f>IF(C594="","",C594&amp;COUNTIF(C$9:C594,C594))</f>
        <v/>
      </c>
    </row>
    <row r="595" spans="2:2" x14ac:dyDescent="0.25">
      <c r="B595" t="str">
        <f>IF(C595="","",C595&amp;COUNTIF(C$9:C595,C595))</f>
        <v/>
      </c>
    </row>
    <row r="596" spans="2:2" x14ac:dyDescent="0.25">
      <c r="B596" t="str">
        <f>IF(C596="","",C596&amp;COUNTIF(C$9:C596,C596))</f>
        <v/>
      </c>
    </row>
    <row r="597" spans="2:2" x14ac:dyDescent="0.25">
      <c r="B597" t="str">
        <f>IF(C597="","",C597&amp;COUNTIF(C$9:C597,C597))</f>
        <v/>
      </c>
    </row>
    <row r="598" spans="2:2" x14ac:dyDescent="0.25">
      <c r="B598" t="str">
        <f>IF(C598="","",C598&amp;COUNTIF(C$9:C598,C598))</f>
        <v/>
      </c>
    </row>
    <row r="599" spans="2:2" x14ac:dyDescent="0.25">
      <c r="B599" t="str">
        <f>IF(C599="","",C599&amp;COUNTIF(C$9:C599,C599))</f>
        <v/>
      </c>
    </row>
    <row r="600" spans="2:2" x14ac:dyDescent="0.25">
      <c r="B600" t="str">
        <f>IF(C600="","",C600&amp;COUNTIF(C$9:C600,C600))</f>
        <v/>
      </c>
    </row>
    <row r="601" spans="2:2" x14ac:dyDescent="0.25">
      <c r="B601" t="str">
        <f>IF(C601="","",C601&amp;COUNTIF(C$9:C601,C601))</f>
        <v/>
      </c>
    </row>
    <row r="602" spans="2:2" x14ac:dyDescent="0.25">
      <c r="B602" t="str">
        <f>IF(C602="","",C602&amp;COUNTIF(C$9:C602,C602))</f>
        <v/>
      </c>
    </row>
    <row r="603" spans="2:2" x14ac:dyDescent="0.25">
      <c r="B603" t="str">
        <f>IF(C603="","",C603&amp;COUNTIF(C$9:C603,C603))</f>
        <v/>
      </c>
    </row>
    <row r="604" spans="2:2" x14ac:dyDescent="0.25">
      <c r="B604" t="str">
        <f>IF(C604="","",C604&amp;COUNTIF(C$9:C604,C604))</f>
        <v/>
      </c>
    </row>
    <row r="605" spans="2:2" x14ac:dyDescent="0.25">
      <c r="B605" t="str">
        <f>IF(C605="","",C605&amp;COUNTIF(C$9:C605,C605))</f>
        <v/>
      </c>
    </row>
    <row r="606" spans="2:2" x14ac:dyDescent="0.25">
      <c r="B606" t="str">
        <f>IF(C606="","",C606&amp;COUNTIF(C$9:C606,C606))</f>
        <v/>
      </c>
    </row>
    <row r="607" spans="2:2" x14ac:dyDescent="0.25">
      <c r="B607" t="str">
        <f>IF(C607="","",C607&amp;COUNTIF(C$9:C607,C607))</f>
        <v/>
      </c>
    </row>
    <row r="608" spans="2:2" x14ac:dyDescent="0.25">
      <c r="B608" t="str">
        <f>IF(C608="","",C608&amp;COUNTIF(C$9:C608,C608))</f>
        <v/>
      </c>
    </row>
    <row r="609" spans="2:2" x14ac:dyDescent="0.25">
      <c r="B609" t="str">
        <f>IF(C609="","",C609&amp;COUNTIF(C$9:C609,C609))</f>
        <v/>
      </c>
    </row>
    <row r="610" spans="2:2" x14ac:dyDescent="0.25">
      <c r="B610" t="str">
        <f>IF(C610="","",C610&amp;COUNTIF(C$9:C610,C610))</f>
        <v/>
      </c>
    </row>
    <row r="611" spans="2:2" x14ac:dyDescent="0.25">
      <c r="B611" t="str">
        <f>IF(C611="","",C611&amp;COUNTIF(C$9:C611,C611))</f>
        <v/>
      </c>
    </row>
    <row r="612" spans="2:2" x14ac:dyDescent="0.25">
      <c r="B612" t="str">
        <f>IF(C612="","",C612&amp;COUNTIF(C$9:C612,C612))</f>
        <v/>
      </c>
    </row>
    <row r="613" spans="2:2" x14ac:dyDescent="0.25">
      <c r="B613" t="str">
        <f>IF(C613="","",C613&amp;COUNTIF(C$9:C613,C613))</f>
        <v/>
      </c>
    </row>
    <row r="614" spans="2:2" x14ac:dyDescent="0.25">
      <c r="B614" t="str">
        <f>IF(C614="","",C614&amp;COUNTIF(C$9:C614,C614))</f>
        <v/>
      </c>
    </row>
    <row r="615" spans="2:2" x14ac:dyDescent="0.25">
      <c r="B615" t="str">
        <f>IF(C615="","",C615&amp;COUNTIF(C$9:C615,C615))</f>
        <v/>
      </c>
    </row>
    <row r="616" spans="2:2" x14ac:dyDescent="0.25">
      <c r="B616" t="str">
        <f>IF(C616="","",C616&amp;COUNTIF(C$9:C616,C616))</f>
        <v/>
      </c>
    </row>
    <row r="617" spans="2:2" x14ac:dyDescent="0.25">
      <c r="B617" t="str">
        <f>IF(C617="","",C617&amp;COUNTIF(C$9:C617,C617))</f>
        <v/>
      </c>
    </row>
    <row r="618" spans="2:2" x14ac:dyDescent="0.25">
      <c r="B618" t="str">
        <f>IF(C618="","",C618&amp;COUNTIF(C$9:C618,C618))</f>
        <v/>
      </c>
    </row>
    <row r="619" spans="2:2" x14ac:dyDescent="0.25">
      <c r="B619" t="str">
        <f>IF(C619="","",C619&amp;COUNTIF(C$9:C619,C619))</f>
        <v/>
      </c>
    </row>
    <row r="620" spans="2:2" x14ac:dyDescent="0.25">
      <c r="B620" t="str">
        <f>IF(C620="","",C620&amp;COUNTIF(C$9:C620,C620))</f>
        <v/>
      </c>
    </row>
    <row r="621" spans="2:2" x14ac:dyDescent="0.25">
      <c r="B621" t="str">
        <f>IF(C621="","",C621&amp;COUNTIF(C$9:C621,C621))</f>
        <v/>
      </c>
    </row>
    <row r="622" spans="2:2" x14ac:dyDescent="0.25">
      <c r="B622" t="str">
        <f>IF(C622="","",C622&amp;COUNTIF(C$9:C622,C622))</f>
        <v/>
      </c>
    </row>
    <row r="623" spans="2:2" x14ac:dyDescent="0.25">
      <c r="B623" t="str">
        <f>IF(C623="","",C623&amp;COUNTIF(C$9:C623,C623))</f>
        <v/>
      </c>
    </row>
    <row r="624" spans="2:2" x14ac:dyDescent="0.25">
      <c r="B624" t="str">
        <f>IF(C624="","",C624&amp;COUNTIF(C$9:C624,C624))</f>
        <v/>
      </c>
    </row>
    <row r="625" spans="2:2" x14ac:dyDescent="0.25">
      <c r="B625" t="str">
        <f>IF(C625="","",C625&amp;COUNTIF(C$9:C625,C625))</f>
        <v/>
      </c>
    </row>
    <row r="626" spans="2:2" x14ac:dyDescent="0.25">
      <c r="B626" t="str">
        <f>IF(C626="","",C626&amp;COUNTIF(C$9:C626,C626))</f>
        <v/>
      </c>
    </row>
    <row r="627" spans="2:2" x14ac:dyDescent="0.25">
      <c r="B627" t="str">
        <f>IF(C627="","",C627&amp;COUNTIF(C$9:C627,C627))</f>
        <v/>
      </c>
    </row>
    <row r="628" spans="2:2" x14ac:dyDescent="0.25">
      <c r="B628" t="str">
        <f>IF(C628="","",C628&amp;COUNTIF(C$9:C628,C628))</f>
        <v/>
      </c>
    </row>
    <row r="629" spans="2:2" x14ac:dyDescent="0.25">
      <c r="B629" t="str">
        <f>IF(C629="","",C629&amp;COUNTIF(C$9:C629,C629))</f>
        <v/>
      </c>
    </row>
    <row r="630" spans="2:2" x14ac:dyDescent="0.25">
      <c r="B630" t="str">
        <f>IF(C630="","",C630&amp;COUNTIF(C$9:C630,C630))</f>
        <v/>
      </c>
    </row>
    <row r="631" spans="2:2" x14ac:dyDescent="0.25">
      <c r="B631" t="str">
        <f>IF(C631="","",C631&amp;COUNTIF(C$9:C631,C631))</f>
        <v/>
      </c>
    </row>
    <row r="632" spans="2:2" x14ac:dyDescent="0.25">
      <c r="B632" t="str">
        <f>IF(C632="","",C632&amp;COUNTIF(C$9:C632,C632))</f>
        <v/>
      </c>
    </row>
    <row r="633" spans="2:2" x14ac:dyDescent="0.25">
      <c r="B633" t="str">
        <f>IF(C633="","",C633&amp;COUNTIF(C$9:C633,C633))</f>
        <v/>
      </c>
    </row>
    <row r="634" spans="2:2" x14ac:dyDescent="0.25">
      <c r="B634" t="str">
        <f>IF(C634="","",C634&amp;COUNTIF(C$9:C634,C634))</f>
        <v/>
      </c>
    </row>
    <row r="635" spans="2:2" x14ac:dyDescent="0.25">
      <c r="B635" t="str">
        <f>IF(C635="","",C635&amp;COUNTIF(C$9:C635,C635))</f>
        <v/>
      </c>
    </row>
    <row r="636" spans="2:2" x14ac:dyDescent="0.25">
      <c r="B636" t="str">
        <f>IF(C636="","",C636&amp;COUNTIF(C$9:C636,C636))</f>
        <v/>
      </c>
    </row>
    <row r="637" spans="2:2" x14ac:dyDescent="0.25">
      <c r="B637" t="str">
        <f>IF(C637="","",C637&amp;COUNTIF(C$9:C637,C637))</f>
        <v/>
      </c>
    </row>
    <row r="638" spans="2:2" x14ac:dyDescent="0.25">
      <c r="B638" t="str">
        <f>IF(C638="","",C638&amp;COUNTIF(C$9:C638,C638))</f>
        <v/>
      </c>
    </row>
    <row r="639" spans="2:2" x14ac:dyDescent="0.25">
      <c r="B639" t="str">
        <f>IF(C639="","",C639&amp;COUNTIF(C$9:C639,C639))</f>
        <v/>
      </c>
    </row>
    <row r="640" spans="2:2" x14ac:dyDescent="0.25">
      <c r="B640" t="str">
        <f>IF(C640="","",C640&amp;COUNTIF(C$9:C640,C640))</f>
        <v/>
      </c>
    </row>
    <row r="641" spans="2:2" x14ac:dyDescent="0.25">
      <c r="B641" t="str">
        <f>IF(C641="","",C641&amp;COUNTIF(C$9:C641,C641))</f>
        <v/>
      </c>
    </row>
    <row r="642" spans="2:2" x14ac:dyDescent="0.25">
      <c r="B642" t="str">
        <f>IF(C642="","",C642&amp;COUNTIF(C$9:C642,C642))</f>
        <v/>
      </c>
    </row>
    <row r="643" spans="2:2" x14ac:dyDescent="0.25">
      <c r="B643" t="str">
        <f>IF(C643="","",C643&amp;COUNTIF(C$9:C643,C643))</f>
        <v/>
      </c>
    </row>
    <row r="644" spans="2:2" x14ac:dyDescent="0.25">
      <c r="B644" t="str">
        <f>IF(C644="","",C644&amp;COUNTIF(C$9:C644,C644))</f>
        <v/>
      </c>
    </row>
    <row r="645" spans="2:2" x14ac:dyDescent="0.25">
      <c r="B645" t="str">
        <f>IF(C645="","",C645&amp;COUNTIF(C$9:C645,C645))</f>
        <v/>
      </c>
    </row>
    <row r="646" spans="2:2" x14ac:dyDescent="0.25">
      <c r="B646" t="str">
        <f>IF(C646="","",C646&amp;COUNTIF(C$9:C646,C646))</f>
        <v/>
      </c>
    </row>
    <row r="647" spans="2:2" x14ac:dyDescent="0.25">
      <c r="B647" t="str">
        <f>IF(C647="","",C647&amp;COUNTIF(C$9:C647,C647))</f>
        <v/>
      </c>
    </row>
    <row r="648" spans="2:2" x14ac:dyDescent="0.25">
      <c r="B648" t="str">
        <f>IF(C648="","",C648&amp;COUNTIF(C$9:C648,C648))</f>
        <v/>
      </c>
    </row>
    <row r="649" spans="2:2" x14ac:dyDescent="0.25">
      <c r="B649" t="str">
        <f>IF(C649="","",C649&amp;COUNTIF(C$9:C649,C649))</f>
        <v/>
      </c>
    </row>
    <row r="650" spans="2:2" x14ac:dyDescent="0.25">
      <c r="B650" t="str">
        <f>IF(C650="","",C650&amp;COUNTIF(C$9:C650,C650))</f>
        <v/>
      </c>
    </row>
    <row r="651" spans="2:2" x14ac:dyDescent="0.25">
      <c r="B651" t="str">
        <f>IF(C651="","",C651&amp;COUNTIF(C$9:C651,C651))</f>
        <v/>
      </c>
    </row>
    <row r="652" spans="2:2" x14ac:dyDescent="0.25">
      <c r="B652" t="str">
        <f>IF(C652="","",C652&amp;COUNTIF(C$9:C652,C652))</f>
        <v/>
      </c>
    </row>
    <row r="653" spans="2:2" x14ac:dyDescent="0.25">
      <c r="B653" t="str">
        <f>IF(C653="","",C653&amp;COUNTIF(C$9:C653,C653))</f>
        <v/>
      </c>
    </row>
    <row r="654" spans="2:2" x14ac:dyDescent="0.25">
      <c r="B654" t="str">
        <f>IF(C654="","",C654&amp;COUNTIF(C$9:C654,C654))</f>
        <v/>
      </c>
    </row>
    <row r="655" spans="2:2" x14ac:dyDescent="0.25">
      <c r="B655" t="str">
        <f>IF(C655="","",C655&amp;COUNTIF(C$9:C655,C655))</f>
        <v/>
      </c>
    </row>
    <row r="656" spans="2:2" x14ac:dyDescent="0.25">
      <c r="B656" t="str">
        <f>IF(C656="","",C656&amp;COUNTIF(C$9:C656,C656))</f>
        <v/>
      </c>
    </row>
    <row r="657" spans="2:2" x14ac:dyDescent="0.25">
      <c r="B657" t="str">
        <f>IF(C657="","",C657&amp;COUNTIF(C$9:C657,C657))</f>
        <v/>
      </c>
    </row>
    <row r="658" spans="2:2" x14ac:dyDescent="0.25">
      <c r="B658" t="str">
        <f>IF(C658="","",C658&amp;COUNTIF(C$9:C658,C658))</f>
        <v/>
      </c>
    </row>
    <row r="659" spans="2:2" x14ac:dyDescent="0.25">
      <c r="B659" t="str">
        <f>IF(C659="","",C659&amp;COUNTIF(C$9:C659,C659))</f>
        <v/>
      </c>
    </row>
    <row r="660" spans="2:2" x14ac:dyDescent="0.25">
      <c r="B660" t="str">
        <f>IF(C660="","",C660&amp;COUNTIF(C$9:C660,C660))</f>
        <v/>
      </c>
    </row>
    <row r="661" spans="2:2" x14ac:dyDescent="0.25">
      <c r="B661" t="str">
        <f>IF(C661="","",C661&amp;COUNTIF(C$9:C661,C661))</f>
        <v/>
      </c>
    </row>
    <row r="662" spans="2:2" x14ac:dyDescent="0.25">
      <c r="B662" t="str">
        <f>IF(C662="","",C662&amp;COUNTIF(C$9:C662,C662))</f>
        <v/>
      </c>
    </row>
    <row r="663" spans="2:2" x14ac:dyDescent="0.25">
      <c r="B663" t="str">
        <f>IF(C663="","",C663&amp;COUNTIF(C$9:C663,C663))</f>
        <v/>
      </c>
    </row>
    <row r="664" spans="2:2" x14ac:dyDescent="0.25">
      <c r="B664" t="str">
        <f>IF(C664="","",C664&amp;COUNTIF(C$9:C664,C664))</f>
        <v/>
      </c>
    </row>
    <row r="665" spans="2:2" x14ac:dyDescent="0.25">
      <c r="B665" t="str">
        <f>IF(C665="","",C665&amp;COUNTIF(C$9:C665,C665))</f>
        <v/>
      </c>
    </row>
    <row r="666" spans="2:2" x14ac:dyDescent="0.25">
      <c r="B666" t="str">
        <f>IF(C666="","",C666&amp;COUNTIF(C$9:C666,C666))</f>
        <v/>
      </c>
    </row>
    <row r="667" spans="2:2" x14ac:dyDescent="0.25">
      <c r="B667" t="str">
        <f>IF(C667="","",C667&amp;COUNTIF(C$9:C667,C667))</f>
        <v/>
      </c>
    </row>
    <row r="668" spans="2:2" x14ac:dyDescent="0.25">
      <c r="B668" t="str">
        <f>IF(C668="","",C668&amp;COUNTIF(C$9:C668,C668))</f>
        <v/>
      </c>
    </row>
    <row r="669" spans="2:2" x14ac:dyDescent="0.25">
      <c r="B669" t="str">
        <f>IF(C669="","",C669&amp;COUNTIF(C$9:C669,C669))</f>
        <v/>
      </c>
    </row>
    <row r="670" spans="2:2" x14ac:dyDescent="0.25">
      <c r="B670" t="str">
        <f>IF(C670="","",C670&amp;COUNTIF(C$9:C670,C670))</f>
        <v/>
      </c>
    </row>
    <row r="671" spans="2:2" x14ac:dyDescent="0.25">
      <c r="B671" t="str">
        <f>IF(C671="","",C671&amp;COUNTIF(C$9:C671,C671))</f>
        <v/>
      </c>
    </row>
    <row r="672" spans="2:2" x14ac:dyDescent="0.25">
      <c r="B672" t="str">
        <f>IF(C672="","",C672&amp;COUNTIF(C$9:C672,C672))</f>
        <v/>
      </c>
    </row>
    <row r="673" spans="2:2" x14ac:dyDescent="0.25">
      <c r="B673" t="str">
        <f>IF(C673="","",C673&amp;COUNTIF(C$9:C673,C673))</f>
        <v/>
      </c>
    </row>
    <row r="674" spans="2:2" x14ac:dyDescent="0.25">
      <c r="B674" t="str">
        <f>IF(C674="","",C674&amp;COUNTIF(C$9:C674,C674))</f>
        <v/>
      </c>
    </row>
    <row r="675" spans="2:2" x14ac:dyDescent="0.25">
      <c r="B675" t="str">
        <f>IF(C675="","",C675&amp;COUNTIF(C$9:C675,C675))</f>
        <v/>
      </c>
    </row>
    <row r="676" spans="2:2" x14ac:dyDescent="0.25">
      <c r="B676" t="str">
        <f>IF(C676="","",C676&amp;COUNTIF(C$9:C676,C676))</f>
        <v/>
      </c>
    </row>
    <row r="677" spans="2:2" x14ac:dyDescent="0.25">
      <c r="B677" t="str">
        <f>IF(C677="","",C677&amp;COUNTIF(C$9:C677,C677))</f>
        <v/>
      </c>
    </row>
    <row r="678" spans="2:2" x14ac:dyDescent="0.25">
      <c r="B678" t="str">
        <f>IF(C678="","",C678&amp;COUNTIF(C$9:C678,C678))</f>
        <v/>
      </c>
    </row>
    <row r="679" spans="2:2" x14ac:dyDescent="0.25">
      <c r="B679" t="str">
        <f>IF(C679="","",C679&amp;COUNTIF(C$9:C679,C679))</f>
        <v/>
      </c>
    </row>
    <row r="680" spans="2:2" x14ac:dyDescent="0.25">
      <c r="B680" t="str">
        <f>IF(C680="","",C680&amp;COUNTIF(C$9:C680,C680))</f>
        <v/>
      </c>
    </row>
    <row r="681" spans="2:2" x14ac:dyDescent="0.25">
      <c r="B681" t="str">
        <f>IF(C681="","",C681&amp;COUNTIF(C$9:C681,C681))</f>
        <v/>
      </c>
    </row>
    <row r="682" spans="2:2" x14ac:dyDescent="0.25">
      <c r="B682" t="str">
        <f>IF(C682="","",C682&amp;COUNTIF(C$9:C682,C682))</f>
        <v/>
      </c>
    </row>
    <row r="683" spans="2:2" x14ac:dyDescent="0.25">
      <c r="B683" t="str">
        <f>IF(C683="","",C683&amp;COUNTIF(C$9:C683,C683))</f>
        <v/>
      </c>
    </row>
    <row r="684" spans="2:2" x14ac:dyDescent="0.25">
      <c r="B684" t="str">
        <f>IF(C684="","",C684&amp;COUNTIF(C$9:C684,C684))</f>
        <v/>
      </c>
    </row>
    <row r="685" spans="2:2" x14ac:dyDescent="0.25">
      <c r="B685" t="str">
        <f>IF(C685="","",C685&amp;COUNTIF(C$9:C685,C685))</f>
        <v/>
      </c>
    </row>
    <row r="686" spans="2:2" x14ac:dyDescent="0.25">
      <c r="B686" t="str">
        <f>IF(C686="","",C686&amp;COUNTIF(C$9:C686,C686))</f>
        <v/>
      </c>
    </row>
    <row r="687" spans="2:2" x14ac:dyDescent="0.25">
      <c r="B687" t="str">
        <f>IF(C687="","",C687&amp;COUNTIF(C$9:C687,C687))</f>
        <v/>
      </c>
    </row>
    <row r="688" spans="2:2" x14ac:dyDescent="0.25">
      <c r="B688" t="str">
        <f>IF(C688="","",C688&amp;COUNTIF(C$9:C688,C688))</f>
        <v/>
      </c>
    </row>
    <row r="689" spans="2:2" x14ac:dyDescent="0.25">
      <c r="B689" t="str">
        <f>IF(C689="","",C689&amp;COUNTIF(C$9:C689,C689))</f>
        <v/>
      </c>
    </row>
    <row r="690" spans="2:2" x14ac:dyDescent="0.25">
      <c r="B690" t="str">
        <f>IF(C690="","",C690&amp;COUNTIF(C$9:C690,C690))</f>
        <v/>
      </c>
    </row>
    <row r="691" spans="2:2" x14ac:dyDescent="0.25">
      <c r="B691" t="str">
        <f>IF(C691="","",C691&amp;COUNTIF(C$9:C691,C691))</f>
        <v/>
      </c>
    </row>
    <row r="692" spans="2:2" x14ac:dyDescent="0.25">
      <c r="B692" t="str">
        <f>IF(C692="","",C692&amp;COUNTIF(C$9:C692,C692))</f>
        <v/>
      </c>
    </row>
    <row r="693" spans="2:2" x14ac:dyDescent="0.25">
      <c r="B693" t="str">
        <f>IF(C693="","",C693&amp;COUNTIF(C$9:C693,C693))</f>
        <v/>
      </c>
    </row>
    <row r="694" spans="2:2" x14ac:dyDescent="0.25">
      <c r="B694" t="str">
        <f>IF(C694="","",C694&amp;COUNTIF(C$9:C694,C694))</f>
        <v/>
      </c>
    </row>
    <row r="695" spans="2:2" x14ac:dyDescent="0.25">
      <c r="B695" t="str">
        <f>IF(C695="","",C695&amp;COUNTIF(C$9:C695,C695))</f>
        <v/>
      </c>
    </row>
    <row r="696" spans="2:2" x14ac:dyDescent="0.25">
      <c r="B696" t="str">
        <f>IF(C696="","",C696&amp;COUNTIF(C$9:C696,C696))</f>
        <v/>
      </c>
    </row>
    <row r="697" spans="2:2" x14ac:dyDescent="0.25">
      <c r="B697" t="str">
        <f>IF(C697="","",C697&amp;COUNTIF(C$9:C697,C697))</f>
        <v/>
      </c>
    </row>
    <row r="698" spans="2:2" x14ac:dyDescent="0.25">
      <c r="B698" t="str">
        <f>IF(C698="","",C698&amp;COUNTIF(C$9:C698,C698))</f>
        <v/>
      </c>
    </row>
    <row r="699" spans="2:2" x14ac:dyDescent="0.25">
      <c r="B699" t="str">
        <f>IF(C699="","",C699&amp;COUNTIF(C$9:C699,C699))</f>
        <v/>
      </c>
    </row>
    <row r="700" spans="2:2" x14ac:dyDescent="0.25">
      <c r="B700" t="str">
        <f>IF(C700="","",C700&amp;COUNTIF(C$9:C700,C700))</f>
        <v/>
      </c>
    </row>
    <row r="701" spans="2:2" x14ac:dyDescent="0.25">
      <c r="B701" t="str">
        <f>IF(C701="","",C701&amp;COUNTIF(C$9:C701,C701))</f>
        <v/>
      </c>
    </row>
    <row r="702" spans="2:2" x14ac:dyDescent="0.25">
      <c r="B702" t="str">
        <f>IF(C702="","",C702&amp;COUNTIF(C$9:C702,C702))</f>
        <v/>
      </c>
    </row>
    <row r="703" spans="2:2" x14ac:dyDescent="0.25">
      <c r="B703" t="str">
        <f>IF(C703="","",C703&amp;COUNTIF(C$9:C703,C703))</f>
        <v/>
      </c>
    </row>
    <row r="704" spans="2:2" x14ac:dyDescent="0.25">
      <c r="B704" t="str">
        <f>IF(C704="","",C704&amp;COUNTIF(C$9:C704,C704))</f>
        <v/>
      </c>
    </row>
    <row r="705" spans="2:2" x14ac:dyDescent="0.25">
      <c r="B705" t="str">
        <f>IF(C705="","",C705&amp;COUNTIF(C$9:C705,C705))</f>
        <v/>
      </c>
    </row>
    <row r="706" spans="2:2" x14ac:dyDescent="0.25">
      <c r="B706" t="str">
        <f>IF(C706="","",C706&amp;COUNTIF(C$9:C706,C706))</f>
        <v/>
      </c>
    </row>
    <row r="707" spans="2:2" x14ac:dyDescent="0.25">
      <c r="B707" t="str">
        <f>IF(C707="","",C707&amp;COUNTIF(C$9:C707,C707))</f>
        <v/>
      </c>
    </row>
    <row r="708" spans="2:2" x14ac:dyDescent="0.25">
      <c r="B708" t="str">
        <f>IF(C708="","",C708&amp;COUNTIF(C$9:C708,C708))</f>
        <v/>
      </c>
    </row>
    <row r="709" spans="2:2" x14ac:dyDescent="0.25">
      <c r="B709" t="str">
        <f>IF(C709="","",C709&amp;COUNTIF(C$9:C709,C709))</f>
        <v/>
      </c>
    </row>
    <row r="710" spans="2:2" x14ac:dyDescent="0.25">
      <c r="B710" t="str">
        <f>IF(C710="","",C710&amp;COUNTIF(C$9:C710,C710))</f>
        <v/>
      </c>
    </row>
    <row r="711" spans="2:2" x14ac:dyDescent="0.25">
      <c r="B711" t="str">
        <f>IF(C711="","",C711&amp;COUNTIF(C$9:C711,C711))</f>
        <v/>
      </c>
    </row>
    <row r="712" spans="2:2" x14ac:dyDescent="0.25">
      <c r="B712" t="str">
        <f>IF(C712="","",C712&amp;COUNTIF(C$9:C712,C712))</f>
        <v/>
      </c>
    </row>
    <row r="713" spans="2:2" x14ac:dyDescent="0.25">
      <c r="B713" t="str">
        <f>IF(C713="","",C713&amp;COUNTIF(C$9:C713,C713))</f>
        <v/>
      </c>
    </row>
    <row r="714" spans="2:2" x14ac:dyDescent="0.25">
      <c r="B714" t="str">
        <f>IF(C714="","",C714&amp;COUNTIF(C$9:C714,C714))</f>
        <v/>
      </c>
    </row>
    <row r="715" spans="2:2" x14ac:dyDescent="0.25">
      <c r="B715" t="str">
        <f>IF(C715="","",C715&amp;COUNTIF(C$9:C715,C715))</f>
        <v/>
      </c>
    </row>
    <row r="716" spans="2:2" x14ac:dyDescent="0.25">
      <c r="B716" t="str">
        <f>IF(C716="","",C716&amp;COUNTIF(C$9:C716,C716))</f>
        <v/>
      </c>
    </row>
    <row r="717" spans="2:2" x14ac:dyDescent="0.25">
      <c r="B717" t="str">
        <f>IF(C717="","",C717&amp;COUNTIF(C$9:C717,C717))</f>
        <v/>
      </c>
    </row>
    <row r="718" spans="2:2" x14ac:dyDescent="0.25">
      <c r="B718" t="str">
        <f>IF(C718="","",C718&amp;COUNTIF(C$9:C718,C718))</f>
        <v/>
      </c>
    </row>
    <row r="719" spans="2:2" x14ac:dyDescent="0.25">
      <c r="B719" t="str">
        <f>IF(C719="","",C719&amp;COUNTIF(C$9:C719,C719))</f>
        <v/>
      </c>
    </row>
    <row r="720" spans="2:2" x14ac:dyDescent="0.25">
      <c r="B720" t="str">
        <f>IF(C720="","",C720&amp;COUNTIF(C$9:C720,C720))</f>
        <v/>
      </c>
    </row>
    <row r="721" spans="2:2" x14ac:dyDescent="0.25">
      <c r="B721" t="str">
        <f>IF(C721="","",C721&amp;COUNTIF(C$9:C721,C721))</f>
        <v/>
      </c>
    </row>
    <row r="722" spans="2:2" x14ac:dyDescent="0.25">
      <c r="B722" t="str">
        <f>IF(C722="","",C722&amp;COUNTIF(C$9:C722,C722))</f>
        <v/>
      </c>
    </row>
    <row r="723" spans="2:2" x14ac:dyDescent="0.25">
      <c r="B723" t="str">
        <f>IF(C723="","",C723&amp;COUNTIF(C$9:C723,C723))</f>
        <v/>
      </c>
    </row>
    <row r="724" spans="2:2" x14ac:dyDescent="0.25">
      <c r="B724" t="str">
        <f>IF(C724="","",C724&amp;COUNTIF(C$9:C724,C724))</f>
        <v/>
      </c>
    </row>
    <row r="725" spans="2:2" x14ac:dyDescent="0.25">
      <c r="B725" t="str">
        <f>IF(C725="","",C725&amp;COUNTIF(C$9:C725,C725))</f>
        <v/>
      </c>
    </row>
    <row r="726" spans="2:2" x14ac:dyDescent="0.25">
      <c r="B726" t="str">
        <f>IF(C726="","",C726&amp;COUNTIF(C$9:C726,C726))</f>
        <v/>
      </c>
    </row>
    <row r="727" spans="2:2" x14ac:dyDescent="0.25">
      <c r="B727" t="str">
        <f>IF(C727="","",C727&amp;COUNTIF(C$9:C727,C727))</f>
        <v/>
      </c>
    </row>
    <row r="728" spans="2:2" x14ac:dyDescent="0.25">
      <c r="B728" t="str">
        <f>IF(C728="","",C728&amp;COUNTIF(C$9:C728,C728))</f>
        <v/>
      </c>
    </row>
    <row r="729" spans="2:2" x14ac:dyDescent="0.25">
      <c r="B729" t="str">
        <f>IF(C729="","",C729&amp;COUNTIF(C$9:C729,C729))</f>
        <v/>
      </c>
    </row>
    <row r="730" spans="2:2" x14ac:dyDescent="0.25">
      <c r="B730" t="str">
        <f>IF(C730="","",C730&amp;COUNTIF(C$9:C730,C730))</f>
        <v/>
      </c>
    </row>
    <row r="731" spans="2:2" x14ac:dyDescent="0.25">
      <c r="B731" t="str">
        <f>IF(C731="","",C731&amp;COUNTIF(C$9:C731,C731))</f>
        <v/>
      </c>
    </row>
    <row r="732" spans="2:2" x14ac:dyDescent="0.25">
      <c r="B732" t="str">
        <f>IF(C732="","",C732&amp;COUNTIF(C$9:C732,C732))</f>
        <v/>
      </c>
    </row>
    <row r="733" spans="2:2" x14ac:dyDescent="0.25">
      <c r="B733" t="str">
        <f>IF(C733="","",C733&amp;COUNTIF(C$9:C733,C733))</f>
        <v/>
      </c>
    </row>
    <row r="734" spans="2:2" x14ac:dyDescent="0.25">
      <c r="B734" t="str">
        <f>IF(C734="","",C734&amp;COUNTIF(C$9:C734,C734))</f>
        <v/>
      </c>
    </row>
    <row r="735" spans="2:2" x14ac:dyDescent="0.25">
      <c r="B735" t="str">
        <f>IF(C735="","",C735&amp;COUNTIF(C$9:C735,C735))</f>
        <v/>
      </c>
    </row>
    <row r="736" spans="2:2" x14ac:dyDescent="0.25">
      <c r="B736" t="str">
        <f>IF(C736="","",C736&amp;COUNTIF(C$9:C736,C736))</f>
        <v/>
      </c>
    </row>
    <row r="737" spans="2:2" x14ac:dyDescent="0.25">
      <c r="B737" t="str">
        <f>IF(C737="","",C737&amp;COUNTIF(C$9:C737,C737))</f>
        <v/>
      </c>
    </row>
    <row r="738" spans="2:2" x14ac:dyDescent="0.25">
      <c r="B738" t="str">
        <f>IF(C738="","",C738&amp;COUNTIF(C$9:C738,C738))</f>
        <v/>
      </c>
    </row>
    <row r="739" spans="2:2" x14ac:dyDescent="0.25">
      <c r="B739" t="str">
        <f>IF(C739="","",C739&amp;COUNTIF(C$9:C739,C739))</f>
        <v/>
      </c>
    </row>
    <row r="740" spans="2:2" x14ac:dyDescent="0.25">
      <c r="B740" t="str">
        <f>IF(C740="","",C740&amp;COUNTIF(C$9:C740,C740))</f>
        <v/>
      </c>
    </row>
    <row r="741" spans="2:2" x14ac:dyDescent="0.25">
      <c r="B741" t="str">
        <f>IF(C741="","",C741&amp;COUNTIF(C$9:C741,C741))</f>
        <v/>
      </c>
    </row>
    <row r="742" spans="2:2" x14ac:dyDescent="0.25">
      <c r="B742" t="str">
        <f>IF(C742="","",C742&amp;COUNTIF(C$9:C742,C742))</f>
        <v/>
      </c>
    </row>
    <row r="743" spans="2:2" x14ac:dyDescent="0.25">
      <c r="B743" t="str">
        <f>IF(C743="","",C743&amp;COUNTIF(C$9:C743,C743))</f>
        <v/>
      </c>
    </row>
    <row r="744" spans="2:2" x14ac:dyDescent="0.25">
      <c r="B744" t="str">
        <f>IF(C744="","",C744&amp;COUNTIF(C$9:C744,C744))</f>
        <v/>
      </c>
    </row>
    <row r="745" spans="2:2" x14ac:dyDescent="0.25">
      <c r="B745" t="str">
        <f>IF(C745="","",C745&amp;COUNTIF(C$9:C745,C745))</f>
        <v/>
      </c>
    </row>
    <row r="746" spans="2:2" x14ac:dyDescent="0.25">
      <c r="B746" t="str">
        <f>IF(C746="","",C746&amp;COUNTIF(C$9:C746,C746))</f>
        <v/>
      </c>
    </row>
    <row r="747" spans="2:2" x14ac:dyDescent="0.25">
      <c r="B747" t="str">
        <f>IF(C747="","",C747&amp;COUNTIF(C$9:C747,C747))</f>
        <v/>
      </c>
    </row>
    <row r="748" spans="2:2" x14ac:dyDescent="0.25">
      <c r="B748" t="str">
        <f>IF(C748="","",C748&amp;COUNTIF(C$9:C748,C748))</f>
        <v/>
      </c>
    </row>
    <row r="749" spans="2:2" x14ac:dyDescent="0.25">
      <c r="B749" t="str">
        <f>IF(C749="","",C749&amp;COUNTIF(C$9:C749,C749))</f>
        <v/>
      </c>
    </row>
    <row r="750" spans="2:2" x14ac:dyDescent="0.25">
      <c r="B750" t="str">
        <f>IF(C750="","",C750&amp;COUNTIF(C$9:C750,C750))</f>
        <v/>
      </c>
    </row>
    <row r="751" spans="2:2" x14ac:dyDescent="0.25">
      <c r="B751" t="str">
        <f>IF(C751="","",C751&amp;COUNTIF(C$9:C751,C751))</f>
        <v/>
      </c>
    </row>
    <row r="752" spans="2:2" x14ac:dyDescent="0.25">
      <c r="B752" t="str">
        <f>IF(C752="","",C752&amp;COUNTIF(C$9:C752,C752))</f>
        <v/>
      </c>
    </row>
    <row r="753" spans="2:2" x14ac:dyDescent="0.25">
      <c r="B753" t="str">
        <f>IF(C753="","",C753&amp;COUNTIF(C$9:C753,C753))</f>
        <v/>
      </c>
    </row>
    <row r="754" spans="2:2" x14ac:dyDescent="0.25">
      <c r="B754" t="str">
        <f>IF(C754="","",C754&amp;COUNTIF(C$9:C754,C754))</f>
        <v/>
      </c>
    </row>
    <row r="755" spans="2:2" x14ac:dyDescent="0.25">
      <c r="B755" t="str">
        <f>IF(C755="","",C755&amp;COUNTIF(C$9:C755,C755))</f>
        <v/>
      </c>
    </row>
    <row r="756" spans="2:2" x14ac:dyDescent="0.25">
      <c r="B756" t="str">
        <f>IF(C756="","",C756&amp;COUNTIF(C$9:C756,C756))</f>
        <v/>
      </c>
    </row>
    <row r="757" spans="2:2" x14ac:dyDescent="0.25">
      <c r="B757" t="str">
        <f>IF(C757="","",C757&amp;COUNTIF(C$9:C757,C757))</f>
        <v/>
      </c>
    </row>
    <row r="758" spans="2:2" x14ac:dyDescent="0.25">
      <c r="B758" t="str">
        <f>IF(C758="","",C758&amp;COUNTIF(C$9:C758,C758))</f>
        <v/>
      </c>
    </row>
    <row r="759" spans="2:2" x14ac:dyDescent="0.25">
      <c r="B759" t="str">
        <f>IF(C759="","",C759&amp;COUNTIF(C$9:C759,C759))</f>
        <v/>
      </c>
    </row>
    <row r="760" spans="2:2" x14ac:dyDescent="0.25">
      <c r="B760" t="str">
        <f>IF(C760="","",C760&amp;COUNTIF(C$9:C760,C760))</f>
        <v/>
      </c>
    </row>
    <row r="761" spans="2:2" x14ac:dyDescent="0.25">
      <c r="B761" t="str">
        <f>IF(C761="","",C761&amp;COUNTIF(C$9:C761,C761))</f>
        <v/>
      </c>
    </row>
    <row r="762" spans="2:2" x14ac:dyDescent="0.25">
      <c r="B762" t="str">
        <f>IF(C762="","",C762&amp;COUNTIF(C$9:C762,C762))</f>
        <v/>
      </c>
    </row>
    <row r="763" spans="2:2" x14ac:dyDescent="0.25">
      <c r="B763" t="str">
        <f>IF(C763="","",C763&amp;COUNTIF(C$9:C763,C763))</f>
        <v/>
      </c>
    </row>
    <row r="764" spans="2:2" x14ac:dyDescent="0.25">
      <c r="B764" t="str">
        <f>IF(C764="","",C764&amp;COUNTIF(C$9:C764,C764))</f>
        <v/>
      </c>
    </row>
    <row r="765" spans="2:2" x14ac:dyDescent="0.25">
      <c r="B765" t="str">
        <f>IF(C765="","",C765&amp;COUNTIF(C$9:C765,C765))</f>
        <v/>
      </c>
    </row>
    <row r="766" spans="2:2" x14ac:dyDescent="0.25">
      <c r="B766" t="str">
        <f>IF(C766="","",C766&amp;COUNTIF(C$9:C766,C766))</f>
        <v/>
      </c>
    </row>
    <row r="767" spans="2:2" x14ac:dyDescent="0.25">
      <c r="B767" t="str">
        <f>IF(C767="","",C767&amp;COUNTIF(C$9:C767,C767))</f>
        <v/>
      </c>
    </row>
    <row r="768" spans="2:2" x14ac:dyDescent="0.25">
      <c r="B768" t="str">
        <f>IF(C768="","",C768&amp;COUNTIF(C$9:C768,C768))</f>
        <v/>
      </c>
    </row>
    <row r="769" spans="2:2" x14ac:dyDescent="0.25">
      <c r="B769" t="str">
        <f>IF(C769="","",C769&amp;COUNTIF(C$9:C769,C769))</f>
        <v/>
      </c>
    </row>
    <row r="770" spans="2:2" x14ac:dyDescent="0.25">
      <c r="B770" t="str">
        <f>IF(C770="","",C770&amp;COUNTIF(C$9:C770,C770))</f>
        <v/>
      </c>
    </row>
    <row r="771" spans="2:2" x14ac:dyDescent="0.25">
      <c r="B771" t="str">
        <f>IF(C771="","",C771&amp;COUNTIF(C$9:C771,C771))</f>
        <v/>
      </c>
    </row>
    <row r="772" spans="2:2" x14ac:dyDescent="0.25">
      <c r="B772" t="str">
        <f>IF(C772="","",C772&amp;COUNTIF(C$9:C772,C772))</f>
        <v/>
      </c>
    </row>
    <row r="773" spans="2:2" x14ac:dyDescent="0.25">
      <c r="B773" t="str">
        <f>IF(C773="","",C773&amp;COUNTIF(C$9:C773,C773))</f>
        <v/>
      </c>
    </row>
    <row r="774" spans="2:2" x14ac:dyDescent="0.25">
      <c r="B774" t="str">
        <f>IF(C774="","",C774&amp;COUNTIF(C$9:C774,C774))</f>
        <v/>
      </c>
    </row>
    <row r="775" spans="2:2" x14ac:dyDescent="0.25">
      <c r="B775" t="str">
        <f>IF(C775="","",C775&amp;COUNTIF(C$9:C775,C775))</f>
        <v/>
      </c>
    </row>
    <row r="776" spans="2:2" x14ac:dyDescent="0.25">
      <c r="B776" t="str">
        <f>IF(C776="","",C776&amp;COUNTIF(C$9:C776,C776))</f>
        <v/>
      </c>
    </row>
    <row r="777" spans="2:2" x14ac:dyDescent="0.25">
      <c r="B777" t="str">
        <f>IF(C777="","",C777&amp;COUNTIF(C$9:C777,C777))</f>
        <v/>
      </c>
    </row>
    <row r="778" spans="2:2" x14ac:dyDescent="0.25">
      <c r="B778" t="str">
        <f>IF(C778="","",C778&amp;COUNTIF(C$9:C778,C778))</f>
        <v/>
      </c>
    </row>
    <row r="779" spans="2:2" x14ac:dyDescent="0.25">
      <c r="B779" t="str">
        <f>IF(C779="","",C779&amp;COUNTIF(C$9:C779,C779))</f>
        <v/>
      </c>
    </row>
    <row r="780" spans="2:2" x14ac:dyDescent="0.25">
      <c r="B780" t="str">
        <f>IF(C780="","",C780&amp;COUNTIF(C$9:C780,C780))</f>
        <v/>
      </c>
    </row>
    <row r="781" spans="2:2" x14ac:dyDescent="0.25">
      <c r="B781" t="str">
        <f>IF(C781="","",C781&amp;COUNTIF(C$9:C781,C781))</f>
        <v/>
      </c>
    </row>
    <row r="782" spans="2:2" x14ac:dyDescent="0.25">
      <c r="B782" t="str">
        <f>IF(C782="","",C782&amp;COUNTIF(C$9:C782,C782))</f>
        <v/>
      </c>
    </row>
    <row r="783" spans="2:2" x14ac:dyDescent="0.25">
      <c r="B783" t="str">
        <f>IF(C783="","",C783&amp;COUNTIF(C$9:C783,C783))</f>
        <v/>
      </c>
    </row>
    <row r="784" spans="2:2" x14ac:dyDescent="0.25">
      <c r="B784" t="str">
        <f>IF(C784="","",C784&amp;COUNTIF(C$9:C784,C784))</f>
        <v/>
      </c>
    </row>
    <row r="785" spans="2:2" x14ac:dyDescent="0.25">
      <c r="B785" t="str">
        <f>IF(C785="","",C785&amp;COUNTIF(C$9:C785,C785))</f>
        <v/>
      </c>
    </row>
    <row r="786" spans="2:2" x14ac:dyDescent="0.25">
      <c r="B786" t="str">
        <f>IF(C786="","",C786&amp;COUNTIF(C$9:C786,C786))</f>
        <v/>
      </c>
    </row>
    <row r="787" spans="2:2" x14ac:dyDescent="0.25">
      <c r="B787" t="str">
        <f>IF(C787="","",C787&amp;COUNTIF(C$9:C787,C787))</f>
        <v/>
      </c>
    </row>
    <row r="788" spans="2:2" x14ac:dyDescent="0.25">
      <c r="B788" t="str">
        <f>IF(C788="","",C788&amp;COUNTIF(C$9:C788,C788))</f>
        <v/>
      </c>
    </row>
    <row r="789" spans="2:2" x14ac:dyDescent="0.25">
      <c r="B789" t="str">
        <f>IF(C789="","",C789&amp;COUNTIF(C$9:C789,C789))</f>
        <v/>
      </c>
    </row>
    <row r="790" spans="2:2" x14ac:dyDescent="0.25">
      <c r="B790" t="str">
        <f>IF(C790="","",C790&amp;COUNTIF(C$9:C790,C790))</f>
        <v/>
      </c>
    </row>
    <row r="791" spans="2:2" x14ac:dyDescent="0.25">
      <c r="B791" t="str">
        <f>IF(C791="","",C791&amp;COUNTIF(C$9:C791,C791))</f>
        <v/>
      </c>
    </row>
    <row r="792" spans="2:2" x14ac:dyDescent="0.25">
      <c r="B792" t="str">
        <f>IF(C792="","",C792&amp;COUNTIF(C$9:C792,C792))</f>
        <v/>
      </c>
    </row>
    <row r="793" spans="2:2" x14ac:dyDescent="0.25">
      <c r="B793" t="str">
        <f>IF(C793="","",C793&amp;COUNTIF(C$9:C793,C793))</f>
        <v/>
      </c>
    </row>
    <row r="794" spans="2:2" x14ac:dyDescent="0.25">
      <c r="B794" t="str">
        <f>IF(C794="","",C794&amp;COUNTIF(C$9:C794,C794))</f>
        <v/>
      </c>
    </row>
    <row r="795" spans="2:2" x14ac:dyDescent="0.25">
      <c r="B795" t="str">
        <f>IF(C795="","",C795&amp;COUNTIF(C$9:C795,C795))</f>
        <v/>
      </c>
    </row>
    <row r="796" spans="2:2" x14ac:dyDescent="0.25">
      <c r="B796" t="str">
        <f>IF(C796="","",C796&amp;COUNTIF(C$9:C796,C796))</f>
        <v/>
      </c>
    </row>
    <row r="797" spans="2:2" x14ac:dyDescent="0.25">
      <c r="B797" t="str">
        <f>IF(C797="","",C797&amp;COUNTIF(C$9:C797,C797))</f>
        <v/>
      </c>
    </row>
    <row r="798" spans="2:2" x14ac:dyDescent="0.25">
      <c r="B798" t="str">
        <f>IF(C798="","",C798&amp;COUNTIF(C$9:C798,C798))</f>
        <v/>
      </c>
    </row>
    <row r="799" spans="2:2" x14ac:dyDescent="0.25">
      <c r="B799" t="str">
        <f>IF(C799="","",C799&amp;COUNTIF(C$9:C799,C799))</f>
        <v/>
      </c>
    </row>
    <row r="800" spans="2:2" x14ac:dyDescent="0.25">
      <c r="B800" t="str">
        <f>IF(C800="","",C800&amp;COUNTIF(C$9:C800,C800))</f>
        <v/>
      </c>
    </row>
    <row r="801" spans="2:2" x14ac:dyDescent="0.25">
      <c r="B801" t="str">
        <f>IF(C801="","",C801&amp;COUNTIF(C$9:C801,C801))</f>
        <v/>
      </c>
    </row>
    <row r="802" spans="2:2" x14ac:dyDescent="0.25">
      <c r="B802" t="str">
        <f>IF(C802="","",C802&amp;COUNTIF(C$9:C802,C802))</f>
        <v/>
      </c>
    </row>
    <row r="803" spans="2:2" x14ac:dyDescent="0.25">
      <c r="B803" t="str">
        <f>IF(C803="","",C803&amp;COUNTIF(C$9:C803,C803))</f>
        <v/>
      </c>
    </row>
    <row r="804" spans="2:2" x14ac:dyDescent="0.25">
      <c r="B804" t="str">
        <f>IF(C804="","",C804&amp;COUNTIF(C$9:C804,C804))</f>
        <v/>
      </c>
    </row>
    <row r="805" spans="2:2" x14ac:dyDescent="0.25">
      <c r="B805" t="str">
        <f>IF(C805="","",C805&amp;COUNTIF(C$9:C805,C805))</f>
        <v/>
      </c>
    </row>
    <row r="806" spans="2:2" x14ac:dyDescent="0.25">
      <c r="B806" t="str">
        <f>IF(C806="","",C806&amp;COUNTIF(C$9:C806,C806))</f>
        <v/>
      </c>
    </row>
    <row r="807" spans="2:2" x14ac:dyDescent="0.25">
      <c r="B807" t="str">
        <f>IF(C807="","",C807&amp;COUNTIF(C$9:C807,C807))</f>
        <v/>
      </c>
    </row>
    <row r="808" spans="2:2" x14ac:dyDescent="0.25">
      <c r="B808" t="str">
        <f>IF(C808="","",C808&amp;COUNTIF(C$9:C808,C808))</f>
        <v/>
      </c>
    </row>
    <row r="809" spans="2:2" x14ac:dyDescent="0.25">
      <c r="B809" t="str">
        <f>IF(C809="","",C809&amp;COUNTIF(C$9:C809,C809))</f>
        <v/>
      </c>
    </row>
    <row r="810" spans="2:2" x14ac:dyDescent="0.25">
      <c r="B810" t="str">
        <f>IF(C810="","",C810&amp;COUNTIF(C$9:C810,C810))</f>
        <v/>
      </c>
    </row>
    <row r="811" spans="2:2" x14ac:dyDescent="0.25">
      <c r="B811" t="str">
        <f>IF(C811="","",C811&amp;COUNTIF(C$9:C811,C811))</f>
        <v/>
      </c>
    </row>
    <row r="812" spans="2:2" x14ac:dyDescent="0.25">
      <c r="B812" t="str">
        <f>IF(C812="","",C812&amp;COUNTIF(C$9:C812,C812))</f>
        <v/>
      </c>
    </row>
    <row r="813" spans="2:2" x14ac:dyDescent="0.25">
      <c r="B813" t="str">
        <f>IF(C813="","",C813&amp;COUNTIF(C$9:C813,C813))</f>
        <v/>
      </c>
    </row>
    <row r="814" spans="2:2" x14ac:dyDescent="0.25">
      <c r="B814" t="str">
        <f>IF(C814="","",C814&amp;COUNTIF(C$9:C814,C814))</f>
        <v/>
      </c>
    </row>
    <row r="815" spans="2:2" x14ac:dyDescent="0.25">
      <c r="B815" t="str">
        <f>IF(C815="","",C815&amp;COUNTIF(C$9:C815,C815))</f>
        <v/>
      </c>
    </row>
    <row r="816" spans="2:2" x14ac:dyDescent="0.25">
      <c r="B816" t="str">
        <f>IF(C816="","",C816&amp;COUNTIF(C$9:C816,C816))</f>
        <v/>
      </c>
    </row>
    <row r="817" spans="2:2" x14ac:dyDescent="0.25">
      <c r="B817" t="str">
        <f>IF(C817="","",C817&amp;COUNTIF(C$9:C817,C817))</f>
        <v/>
      </c>
    </row>
    <row r="818" spans="2:2" x14ac:dyDescent="0.25">
      <c r="B818" t="str">
        <f>IF(C818="","",C818&amp;COUNTIF(C$9:C818,C818))</f>
        <v/>
      </c>
    </row>
    <row r="819" spans="2:2" x14ac:dyDescent="0.25">
      <c r="B819" t="str">
        <f>IF(C819="","",C819&amp;COUNTIF(C$9:C819,C819))</f>
        <v/>
      </c>
    </row>
    <row r="820" spans="2:2" x14ac:dyDescent="0.25">
      <c r="B820" t="str">
        <f>IF(C820="","",C820&amp;COUNTIF(C$9:C820,C820))</f>
        <v/>
      </c>
    </row>
    <row r="821" spans="2:2" x14ac:dyDescent="0.25">
      <c r="B821" t="str">
        <f>IF(C821="","",C821&amp;COUNTIF(C$9:C821,C821))</f>
        <v/>
      </c>
    </row>
    <row r="822" spans="2:2" x14ac:dyDescent="0.25">
      <c r="B822" t="str">
        <f>IF(C822="","",C822&amp;COUNTIF(C$9:C822,C822))</f>
        <v/>
      </c>
    </row>
    <row r="823" spans="2:2" x14ac:dyDescent="0.25">
      <c r="B823" t="str">
        <f>IF(C823="","",C823&amp;COUNTIF(C$9:C823,C823))</f>
        <v/>
      </c>
    </row>
    <row r="824" spans="2:2" x14ac:dyDescent="0.25">
      <c r="B824" t="str">
        <f>IF(C824="","",C824&amp;COUNTIF(C$9:C824,C824))</f>
        <v/>
      </c>
    </row>
    <row r="825" spans="2:2" x14ac:dyDescent="0.25">
      <c r="B825" t="str">
        <f>IF(C825="","",C825&amp;COUNTIF(C$9:C825,C825))</f>
        <v/>
      </c>
    </row>
    <row r="826" spans="2:2" x14ac:dyDescent="0.25">
      <c r="B826" t="str">
        <f>IF(C826="","",C826&amp;COUNTIF(C$9:C826,C826))</f>
        <v/>
      </c>
    </row>
    <row r="827" spans="2:2" x14ac:dyDescent="0.25">
      <c r="B827" t="str">
        <f>IF(C827="","",C827&amp;COUNTIF(C$9:C827,C827))</f>
        <v/>
      </c>
    </row>
    <row r="828" spans="2:2" x14ac:dyDescent="0.25">
      <c r="B828" t="str">
        <f>IF(C828="","",C828&amp;COUNTIF(C$9:C828,C828))</f>
        <v/>
      </c>
    </row>
    <row r="829" spans="2:2" x14ac:dyDescent="0.25">
      <c r="B829" t="str">
        <f>IF(C829="","",C829&amp;COUNTIF(C$9:C829,C829))</f>
        <v/>
      </c>
    </row>
    <row r="830" spans="2:2" x14ac:dyDescent="0.25">
      <c r="B830" t="str">
        <f>IF(C830="","",C830&amp;COUNTIF(C$9:C830,C830))</f>
        <v/>
      </c>
    </row>
    <row r="831" spans="2:2" x14ac:dyDescent="0.25">
      <c r="B831" t="str">
        <f>IF(C831="","",C831&amp;COUNTIF(C$9:C831,C831))</f>
        <v/>
      </c>
    </row>
    <row r="832" spans="2:2" x14ac:dyDescent="0.25">
      <c r="B832" t="str">
        <f>IF(C832="","",C832&amp;COUNTIF(C$9:C832,C832))</f>
        <v/>
      </c>
    </row>
    <row r="833" spans="2:2" x14ac:dyDescent="0.25">
      <c r="B833" t="str">
        <f>IF(C833="","",C833&amp;COUNTIF(C$9:C833,C833))</f>
        <v/>
      </c>
    </row>
    <row r="834" spans="2:2" x14ac:dyDescent="0.25">
      <c r="B834" t="str">
        <f>IF(C834="","",C834&amp;COUNTIF(C$9:C834,C834))</f>
        <v/>
      </c>
    </row>
    <row r="835" spans="2:2" x14ac:dyDescent="0.25">
      <c r="B835" t="str">
        <f>IF(C835="","",C835&amp;COUNTIF(C$9:C835,C835))</f>
        <v/>
      </c>
    </row>
    <row r="836" spans="2:2" x14ac:dyDescent="0.25">
      <c r="B836" t="str">
        <f>IF(C836="","",C836&amp;COUNTIF(C$9:C836,C836))</f>
        <v/>
      </c>
    </row>
    <row r="837" spans="2:2" x14ac:dyDescent="0.25">
      <c r="B837" t="str">
        <f>IF(C837="","",C837&amp;COUNTIF(C$9:C837,C837))</f>
        <v/>
      </c>
    </row>
    <row r="838" spans="2:2" x14ac:dyDescent="0.25">
      <c r="B838" t="str">
        <f>IF(C838="","",C838&amp;COUNTIF(C$9:C838,C838))</f>
        <v/>
      </c>
    </row>
    <row r="839" spans="2:2" x14ac:dyDescent="0.25">
      <c r="B839" t="str">
        <f>IF(C839="","",C839&amp;COUNTIF(C$9:C839,C839))</f>
        <v/>
      </c>
    </row>
    <row r="840" spans="2:2" x14ac:dyDescent="0.25">
      <c r="B840" t="str">
        <f>IF(C840="","",C840&amp;COUNTIF(C$9:C840,C840))</f>
        <v/>
      </c>
    </row>
    <row r="841" spans="2:2" x14ac:dyDescent="0.25">
      <c r="B841" t="str">
        <f>IF(C841="","",C841&amp;COUNTIF(C$9:C841,C841))</f>
        <v/>
      </c>
    </row>
    <row r="842" spans="2:2" x14ac:dyDescent="0.25">
      <c r="B842" t="str">
        <f>IF(C842="","",C842&amp;COUNTIF(C$9:C842,C842))</f>
        <v/>
      </c>
    </row>
    <row r="843" spans="2:2" x14ac:dyDescent="0.25">
      <c r="B843" t="str">
        <f>IF(C843="","",C843&amp;COUNTIF(C$9:C843,C843))</f>
        <v/>
      </c>
    </row>
    <row r="844" spans="2:2" x14ac:dyDescent="0.25">
      <c r="B844" t="str">
        <f>IF(C844="","",C844&amp;COUNTIF(C$9:C844,C844))</f>
        <v/>
      </c>
    </row>
    <row r="845" spans="2:2" x14ac:dyDescent="0.25">
      <c r="B845" t="str">
        <f>IF(C845="","",C845&amp;COUNTIF(C$9:C845,C845))</f>
        <v/>
      </c>
    </row>
    <row r="846" spans="2:2" x14ac:dyDescent="0.25">
      <c r="B846" t="str">
        <f>IF(C846="","",C846&amp;COUNTIF(C$9:C846,C846))</f>
        <v/>
      </c>
    </row>
    <row r="847" spans="2:2" x14ac:dyDescent="0.25">
      <c r="B847" t="str">
        <f>IF(C847="","",C847&amp;COUNTIF(C$9:C847,C847))</f>
        <v/>
      </c>
    </row>
    <row r="848" spans="2:2" x14ac:dyDescent="0.25">
      <c r="B848" t="str">
        <f>IF(C848="","",C848&amp;COUNTIF(C$9:C848,C848))</f>
        <v/>
      </c>
    </row>
    <row r="849" spans="2:2" x14ac:dyDescent="0.25">
      <c r="B849" t="str">
        <f>IF(C849="","",C849&amp;COUNTIF(C$9:C849,C849))</f>
        <v/>
      </c>
    </row>
    <row r="850" spans="2:2" x14ac:dyDescent="0.25">
      <c r="B850" t="str">
        <f>IF(C850="","",C850&amp;COUNTIF(C$9:C850,C850))</f>
        <v/>
      </c>
    </row>
    <row r="851" spans="2:2" x14ac:dyDescent="0.25">
      <c r="B851" t="str">
        <f>IF(C851="","",C851&amp;COUNTIF(C$9:C851,C851))</f>
        <v/>
      </c>
    </row>
    <row r="852" spans="2:2" x14ac:dyDescent="0.25">
      <c r="B852" t="str">
        <f>IF(C852="","",C852&amp;COUNTIF(C$9:C852,C852))</f>
        <v/>
      </c>
    </row>
    <row r="853" spans="2:2" x14ac:dyDescent="0.25">
      <c r="B853" t="str">
        <f>IF(C853="","",C853&amp;COUNTIF(C$9:C853,C853))</f>
        <v/>
      </c>
    </row>
    <row r="854" spans="2:2" x14ac:dyDescent="0.25">
      <c r="B854" t="str">
        <f>IF(C854="","",C854&amp;COUNTIF(C$9:C854,C854))</f>
        <v/>
      </c>
    </row>
    <row r="855" spans="2:2" x14ac:dyDescent="0.25">
      <c r="B855" t="str">
        <f>IF(C855="","",C855&amp;COUNTIF(C$9:C855,C855))</f>
        <v/>
      </c>
    </row>
    <row r="856" spans="2:2" x14ac:dyDescent="0.25">
      <c r="B856" t="str">
        <f>IF(C856="","",C856&amp;COUNTIF(C$9:C856,C856))</f>
        <v/>
      </c>
    </row>
    <row r="857" spans="2:2" x14ac:dyDescent="0.25">
      <c r="B857" t="str">
        <f>IF(C857="","",C857&amp;COUNTIF(C$9:C857,C857))</f>
        <v/>
      </c>
    </row>
    <row r="858" spans="2:2" x14ac:dyDescent="0.25">
      <c r="B858" t="str">
        <f>IF(C858="","",C858&amp;COUNTIF(C$9:C858,C858))</f>
        <v/>
      </c>
    </row>
    <row r="859" spans="2:2" x14ac:dyDescent="0.25">
      <c r="B859" t="str">
        <f>IF(C859="","",C859&amp;COUNTIF(C$9:C859,C859))</f>
        <v/>
      </c>
    </row>
    <row r="860" spans="2:2" x14ac:dyDescent="0.25">
      <c r="B860" t="str">
        <f>IF(C860="","",C860&amp;COUNTIF(C$9:C860,C860))</f>
        <v/>
      </c>
    </row>
    <row r="861" spans="2:2" x14ac:dyDescent="0.25">
      <c r="B861" t="str">
        <f>IF(C861="","",C861&amp;COUNTIF(C$9:C861,C861))</f>
        <v/>
      </c>
    </row>
    <row r="862" spans="2:2" x14ac:dyDescent="0.25">
      <c r="B862" t="str">
        <f>IF(C862="","",C862&amp;COUNTIF(C$9:C862,C862))</f>
        <v/>
      </c>
    </row>
    <row r="863" spans="2:2" x14ac:dyDescent="0.25">
      <c r="B863" t="str">
        <f>IF(C863="","",C863&amp;COUNTIF(C$9:C863,C863))</f>
        <v/>
      </c>
    </row>
    <row r="864" spans="2:2" x14ac:dyDescent="0.25">
      <c r="B864" t="str">
        <f>IF(C864="","",C864&amp;COUNTIF(C$9:C864,C864))</f>
        <v/>
      </c>
    </row>
    <row r="865" spans="2:2" x14ac:dyDescent="0.25">
      <c r="B865" t="str">
        <f>IF(C865="","",C865&amp;COUNTIF(C$9:C865,C865))</f>
        <v/>
      </c>
    </row>
    <row r="866" spans="2:2" x14ac:dyDescent="0.25">
      <c r="B866" t="str">
        <f>IF(C866="","",C866&amp;COUNTIF(C$9:C866,C866))</f>
        <v/>
      </c>
    </row>
    <row r="867" spans="2:2" x14ac:dyDescent="0.25">
      <c r="B867" t="str">
        <f>IF(C867="","",C867&amp;COUNTIF(C$9:C867,C867))</f>
        <v/>
      </c>
    </row>
    <row r="868" spans="2:2" x14ac:dyDescent="0.25">
      <c r="B868" t="str">
        <f>IF(C868="","",C868&amp;COUNTIF(C$9:C868,C868))</f>
        <v/>
      </c>
    </row>
    <row r="869" spans="2:2" x14ac:dyDescent="0.25">
      <c r="B869" t="str">
        <f>IF(C869="","",C869&amp;COUNTIF(C$9:C869,C869))</f>
        <v/>
      </c>
    </row>
    <row r="870" spans="2:2" x14ac:dyDescent="0.25">
      <c r="B870" t="str">
        <f>IF(C870="","",C870&amp;COUNTIF(C$9:C870,C870))</f>
        <v/>
      </c>
    </row>
    <row r="871" spans="2:2" x14ac:dyDescent="0.25">
      <c r="B871" t="str">
        <f>IF(C871="","",C871&amp;COUNTIF(C$9:C871,C871))</f>
        <v/>
      </c>
    </row>
    <row r="872" spans="2:2" x14ac:dyDescent="0.25">
      <c r="B872" t="str">
        <f>IF(C872="","",C872&amp;COUNTIF(C$9:C872,C872))</f>
        <v/>
      </c>
    </row>
    <row r="873" spans="2:2" x14ac:dyDescent="0.25">
      <c r="B873" t="str">
        <f>IF(C873="","",C873&amp;COUNTIF(C$9:C873,C873))</f>
        <v/>
      </c>
    </row>
    <row r="874" spans="2:2" x14ac:dyDescent="0.25">
      <c r="B874" t="str">
        <f>IF(C874="","",C874&amp;COUNTIF(C$9:C874,C874))</f>
        <v/>
      </c>
    </row>
    <row r="875" spans="2:2" x14ac:dyDescent="0.25">
      <c r="B875" t="str">
        <f>IF(C875="","",C875&amp;COUNTIF(C$9:C875,C875))</f>
        <v/>
      </c>
    </row>
    <row r="876" spans="2:2" x14ac:dyDescent="0.25">
      <c r="B876" t="str">
        <f>IF(C876="","",C876&amp;COUNTIF(C$9:C876,C876))</f>
        <v/>
      </c>
    </row>
    <row r="877" spans="2:2" x14ac:dyDescent="0.25">
      <c r="B877" t="str">
        <f>IF(C877="","",C877&amp;COUNTIF(C$9:C877,C877))</f>
        <v/>
      </c>
    </row>
    <row r="878" spans="2:2" x14ac:dyDescent="0.25">
      <c r="B878" t="str">
        <f>IF(C878="","",C878&amp;COUNTIF(C$9:C878,C878))</f>
        <v/>
      </c>
    </row>
    <row r="879" spans="2:2" x14ac:dyDescent="0.25">
      <c r="B879" t="str">
        <f>IF(C879="","",C879&amp;COUNTIF(C$9:C879,C879))</f>
        <v/>
      </c>
    </row>
    <row r="880" spans="2:2" x14ac:dyDescent="0.25">
      <c r="B880" t="str">
        <f>IF(C880="","",C880&amp;COUNTIF(C$9:C880,C880))</f>
        <v/>
      </c>
    </row>
    <row r="881" spans="2:2" x14ac:dyDescent="0.25">
      <c r="B881" t="str">
        <f>IF(C881="","",C881&amp;COUNTIF(C$9:C881,C881))</f>
        <v/>
      </c>
    </row>
    <row r="882" spans="2:2" x14ac:dyDescent="0.25">
      <c r="B882" t="str">
        <f>IF(C882="","",C882&amp;COUNTIF(C$9:C882,C882))</f>
        <v/>
      </c>
    </row>
    <row r="883" spans="2:2" x14ac:dyDescent="0.25">
      <c r="B883" t="str">
        <f>IF(C883="","",C883&amp;COUNTIF(C$9:C883,C883))</f>
        <v/>
      </c>
    </row>
    <row r="884" spans="2:2" x14ac:dyDescent="0.25">
      <c r="B884" t="str">
        <f>IF(C884="","",C884&amp;COUNTIF(C$9:C884,C884))</f>
        <v/>
      </c>
    </row>
    <row r="885" spans="2:2" x14ac:dyDescent="0.25">
      <c r="B885" t="str">
        <f>IF(C885="","",C885&amp;COUNTIF(C$9:C885,C885))</f>
        <v/>
      </c>
    </row>
    <row r="886" spans="2:2" x14ac:dyDescent="0.25">
      <c r="B886" t="str">
        <f>IF(C886="","",C886&amp;COUNTIF(C$9:C886,C886))</f>
        <v/>
      </c>
    </row>
    <row r="887" spans="2:2" x14ac:dyDescent="0.25">
      <c r="B887" t="str">
        <f>IF(C887="","",C887&amp;COUNTIF(C$9:C887,C887))</f>
        <v/>
      </c>
    </row>
    <row r="888" spans="2:2" x14ac:dyDescent="0.25">
      <c r="B888" t="str">
        <f>IF(C888="","",C888&amp;COUNTIF(C$9:C888,C888))</f>
        <v/>
      </c>
    </row>
    <row r="889" spans="2:2" x14ac:dyDescent="0.25">
      <c r="B889" t="str">
        <f>IF(C889="","",C889&amp;COUNTIF(C$9:C889,C889))</f>
        <v/>
      </c>
    </row>
    <row r="890" spans="2:2" x14ac:dyDescent="0.25">
      <c r="B890" t="str">
        <f>IF(C890="","",C890&amp;COUNTIF(C$9:C890,C890))</f>
        <v/>
      </c>
    </row>
    <row r="891" spans="2:2" x14ac:dyDescent="0.25">
      <c r="B891" t="str">
        <f>IF(C891="","",C891&amp;COUNTIF(C$9:C891,C891))</f>
        <v/>
      </c>
    </row>
    <row r="892" spans="2:2" x14ac:dyDescent="0.25">
      <c r="B892" t="str">
        <f>IF(C892="","",C892&amp;COUNTIF(C$9:C892,C892))</f>
        <v/>
      </c>
    </row>
    <row r="893" spans="2:2" x14ac:dyDescent="0.25">
      <c r="B893" t="str">
        <f>IF(C893="","",C893&amp;COUNTIF(C$9:C893,C893))</f>
        <v/>
      </c>
    </row>
    <row r="894" spans="2:2" x14ac:dyDescent="0.25">
      <c r="B894" t="str">
        <f>IF(C894="","",C894&amp;COUNTIF(C$9:C894,C894))</f>
        <v/>
      </c>
    </row>
    <row r="895" spans="2:2" x14ac:dyDescent="0.25">
      <c r="B895" t="str">
        <f>IF(C895="","",C895&amp;COUNTIF(C$9:C895,C895))</f>
        <v/>
      </c>
    </row>
    <row r="896" spans="2:2" x14ac:dyDescent="0.25">
      <c r="B896" t="str">
        <f>IF(C896="","",C896&amp;COUNTIF(C$9:C896,C896))</f>
        <v/>
      </c>
    </row>
    <row r="897" spans="2:2" x14ac:dyDescent="0.25">
      <c r="B897" t="str">
        <f>IF(C897="","",C897&amp;COUNTIF(C$9:C897,C897))</f>
        <v/>
      </c>
    </row>
    <row r="898" spans="2:2" x14ac:dyDescent="0.25">
      <c r="B898" t="str">
        <f>IF(C898="","",C898&amp;COUNTIF(C$9:C898,C898))</f>
        <v/>
      </c>
    </row>
    <row r="899" spans="2:2" x14ac:dyDescent="0.25">
      <c r="B899" t="str">
        <f>IF(C899="","",C899&amp;COUNTIF(C$9:C899,C899))</f>
        <v/>
      </c>
    </row>
    <row r="900" spans="2:2" x14ac:dyDescent="0.25">
      <c r="B900" t="str">
        <f>IF(C900="","",C900&amp;COUNTIF(C$9:C900,C900))</f>
        <v/>
      </c>
    </row>
    <row r="901" spans="2:2" x14ac:dyDescent="0.25">
      <c r="B901" t="str">
        <f>IF(C901="","",C901&amp;COUNTIF(C$9:C901,C901))</f>
        <v/>
      </c>
    </row>
    <row r="902" spans="2:2" x14ac:dyDescent="0.25">
      <c r="B902" t="str">
        <f>IF(C902="","",C902&amp;COUNTIF(C$9:C902,C902))</f>
        <v/>
      </c>
    </row>
    <row r="903" spans="2:2" x14ac:dyDescent="0.25">
      <c r="B903" t="str">
        <f>IF(C903="","",C903&amp;COUNTIF(C$9:C903,C903))</f>
        <v/>
      </c>
    </row>
    <row r="904" spans="2:2" x14ac:dyDescent="0.25">
      <c r="B904" t="str">
        <f>IF(C904="","",C904&amp;COUNTIF(C$9:C904,C904))</f>
        <v/>
      </c>
    </row>
    <row r="905" spans="2:2" x14ac:dyDescent="0.25">
      <c r="B905" t="str">
        <f>IF(C905="","",C905&amp;COUNTIF(C$9:C905,C905))</f>
        <v/>
      </c>
    </row>
    <row r="906" spans="2:2" x14ac:dyDescent="0.25">
      <c r="B906" t="str">
        <f>IF(C906="","",C906&amp;COUNTIF(C$9:C906,C906))</f>
        <v/>
      </c>
    </row>
    <row r="907" spans="2:2" x14ac:dyDescent="0.25">
      <c r="B907" t="str">
        <f>IF(C907="","",C907&amp;COUNTIF(C$9:C907,C907))</f>
        <v/>
      </c>
    </row>
    <row r="908" spans="2:2" x14ac:dyDescent="0.25">
      <c r="B908" t="str">
        <f>IF(C908="","",C908&amp;COUNTIF(C$9:C908,C908))</f>
        <v/>
      </c>
    </row>
    <row r="909" spans="2:2" x14ac:dyDescent="0.25">
      <c r="B909" t="str">
        <f>IF(C909="","",C909&amp;COUNTIF(C$9:C909,C909))</f>
        <v/>
      </c>
    </row>
    <row r="910" spans="2:2" x14ac:dyDescent="0.25">
      <c r="B910" t="str">
        <f>IF(C910="","",C910&amp;COUNTIF(C$9:C910,C910))</f>
        <v/>
      </c>
    </row>
    <row r="911" spans="2:2" x14ac:dyDescent="0.25">
      <c r="B911" t="str">
        <f>IF(C911="","",C911&amp;COUNTIF(C$9:C911,C911))</f>
        <v/>
      </c>
    </row>
    <row r="912" spans="2:2" x14ac:dyDescent="0.25">
      <c r="B912" t="str">
        <f>IF(C912="","",C912&amp;COUNTIF(C$9:C912,C912))</f>
        <v/>
      </c>
    </row>
    <row r="913" spans="2:2" x14ac:dyDescent="0.25">
      <c r="B913" t="str">
        <f>IF(C913="","",C913&amp;COUNTIF(C$9:C913,C913))</f>
        <v/>
      </c>
    </row>
    <row r="914" spans="2:2" x14ac:dyDescent="0.25">
      <c r="B914" t="str">
        <f>IF(C914="","",C914&amp;COUNTIF(C$9:C914,C914))</f>
        <v/>
      </c>
    </row>
    <row r="915" spans="2:2" x14ac:dyDescent="0.25">
      <c r="B915" t="str">
        <f>IF(C915="","",C915&amp;COUNTIF(C$9:C915,C915))</f>
        <v/>
      </c>
    </row>
    <row r="916" spans="2:2" x14ac:dyDescent="0.25">
      <c r="B916" t="str">
        <f>IF(C916="","",C916&amp;COUNTIF(C$9:C916,C916))</f>
        <v/>
      </c>
    </row>
    <row r="917" spans="2:2" x14ac:dyDescent="0.25">
      <c r="B917" t="str">
        <f>IF(C917="","",C917&amp;COUNTIF(C$9:C917,C917))</f>
        <v/>
      </c>
    </row>
    <row r="918" spans="2:2" x14ac:dyDescent="0.25">
      <c r="B918" t="str">
        <f>IF(C918="","",C918&amp;COUNTIF(C$9:C918,C918))</f>
        <v/>
      </c>
    </row>
    <row r="919" spans="2:2" x14ac:dyDescent="0.25">
      <c r="B919" t="str">
        <f>IF(C919="","",C919&amp;COUNTIF(C$9:C919,C919))</f>
        <v/>
      </c>
    </row>
    <row r="920" spans="2:2" x14ac:dyDescent="0.25">
      <c r="B920" t="str">
        <f>IF(C920="","",C920&amp;COUNTIF(C$9:C920,C920))</f>
        <v/>
      </c>
    </row>
    <row r="921" spans="2:2" x14ac:dyDescent="0.25">
      <c r="B921" t="str">
        <f>IF(C921="","",C921&amp;COUNTIF(C$9:C921,C921))</f>
        <v/>
      </c>
    </row>
    <row r="922" spans="2:2" x14ac:dyDescent="0.25">
      <c r="B922" t="str">
        <f>IF(C922="","",C922&amp;COUNTIF(C$9:C922,C922))</f>
        <v/>
      </c>
    </row>
    <row r="923" spans="2:2" x14ac:dyDescent="0.25">
      <c r="B923" t="str">
        <f>IF(C923="","",C923&amp;COUNTIF(C$9:C923,C923))</f>
        <v/>
      </c>
    </row>
    <row r="924" spans="2:2" x14ac:dyDescent="0.25">
      <c r="B924" t="str">
        <f>IF(C924="","",C924&amp;COUNTIF(C$9:C924,C924))</f>
        <v/>
      </c>
    </row>
    <row r="925" spans="2:2" x14ac:dyDescent="0.25">
      <c r="B925" t="str">
        <f>IF(C925="","",C925&amp;COUNTIF(C$9:C925,C925))</f>
        <v/>
      </c>
    </row>
    <row r="926" spans="2:2" x14ac:dyDescent="0.25">
      <c r="B926" t="str">
        <f>IF(C926="","",C926&amp;COUNTIF(C$9:C926,C926))</f>
        <v/>
      </c>
    </row>
    <row r="927" spans="2:2" x14ac:dyDescent="0.25">
      <c r="B927" t="str">
        <f>IF(C927="","",C927&amp;COUNTIF(C$9:C927,C927))</f>
        <v/>
      </c>
    </row>
    <row r="928" spans="2:2" x14ac:dyDescent="0.25">
      <c r="B928" t="str">
        <f>IF(C928="","",C928&amp;COUNTIF(C$9:C928,C928))</f>
        <v/>
      </c>
    </row>
    <row r="929" spans="2:2" x14ac:dyDescent="0.25">
      <c r="B929" t="str">
        <f>IF(C929="","",C929&amp;COUNTIF(C$9:C929,C929))</f>
        <v/>
      </c>
    </row>
    <row r="930" spans="2:2" x14ac:dyDescent="0.25">
      <c r="B930" t="str">
        <f>IF(C930="","",C930&amp;COUNTIF(C$9:C930,C930))</f>
        <v/>
      </c>
    </row>
    <row r="931" spans="2:2" x14ac:dyDescent="0.25">
      <c r="B931" t="str">
        <f>IF(C931="","",C931&amp;COUNTIF(C$9:C931,C931))</f>
        <v/>
      </c>
    </row>
    <row r="932" spans="2:2" x14ac:dyDescent="0.25">
      <c r="B932" t="str">
        <f>IF(C932="","",C932&amp;COUNTIF(C$9:C932,C932))</f>
        <v/>
      </c>
    </row>
    <row r="933" spans="2:2" x14ac:dyDescent="0.25">
      <c r="B933" t="str">
        <f>IF(C933="","",C933&amp;COUNTIF(C$9:C933,C933))</f>
        <v/>
      </c>
    </row>
    <row r="934" spans="2:2" x14ac:dyDescent="0.25">
      <c r="B934" t="str">
        <f>IF(C934="","",C934&amp;COUNTIF(C$9:C934,C934))</f>
        <v/>
      </c>
    </row>
    <row r="935" spans="2:2" x14ac:dyDescent="0.25">
      <c r="B935" t="str">
        <f>IF(C935="","",C935&amp;COUNTIF(C$9:C935,C935))</f>
        <v/>
      </c>
    </row>
    <row r="936" spans="2:2" x14ac:dyDescent="0.25">
      <c r="B936" t="str">
        <f>IF(C936="","",C936&amp;COUNTIF(C$9:C936,C936))</f>
        <v/>
      </c>
    </row>
    <row r="937" spans="2:2" x14ac:dyDescent="0.25">
      <c r="B937" t="str">
        <f>IF(C937="","",C937&amp;COUNTIF(C$9:C937,C937))</f>
        <v/>
      </c>
    </row>
    <row r="938" spans="2:2" x14ac:dyDescent="0.25">
      <c r="B938" t="str">
        <f>IF(C938="","",C938&amp;COUNTIF(C$9:C938,C938))</f>
        <v/>
      </c>
    </row>
    <row r="939" spans="2:2" x14ac:dyDescent="0.25">
      <c r="B939" t="str">
        <f>IF(C939="","",C939&amp;COUNTIF(C$9:C939,C939))</f>
        <v/>
      </c>
    </row>
    <row r="940" spans="2:2" x14ac:dyDescent="0.25">
      <c r="B940" t="str">
        <f>IF(C940="","",C940&amp;COUNTIF(C$9:C940,C940))</f>
        <v/>
      </c>
    </row>
    <row r="941" spans="2:2" x14ac:dyDescent="0.25">
      <c r="B941" t="str">
        <f>IF(C941="","",C941&amp;COUNTIF(C$9:C941,C941))</f>
        <v/>
      </c>
    </row>
    <row r="942" spans="2:2" x14ac:dyDescent="0.25">
      <c r="B942" t="str">
        <f>IF(C942="","",C942&amp;COUNTIF(C$9:C942,C942))</f>
        <v/>
      </c>
    </row>
    <row r="943" spans="2:2" x14ac:dyDescent="0.25">
      <c r="B943" t="str">
        <f>IF(C943="","",C943&amp;COUNTIF(C$9:C943,C943))</f>
        <v/>
      </c>
    </row>
    <row r="944" spans="2:2" x14ac:dyDescent="0.25">
      <c r="B944" t="str">
        <f>IF(C944="","",C944&amp;COUNTIF(C$9:C944,C944))</f>
        <v/>
      </c>
    </row>
    <row r="945" spans="2:2" x14ac:dyDescent="0.25">
      <c r="B945" t="str">
        <f>IF(C945="","",C945&amp;COUNTIF(C$9:C945,C945))</f>
        <v/>
      </c>
    </row>
    <row r="946" spans="2:2" x14ac:dyDescent="0.25">
      <c r="B946" t="str">
        <f>IF(C946="","",C946&amp;COUNTIF(C$9:C946,C946))</f>
        <v/>
      </c>
    </row>
    <row r="947" spans="2:2" x14ac:dyDescent="0.25">
      <c r="B947" t="str">
        <f>IF(C947="","",C947&amp;COUNTIF(C$9:C947,C947))</f>
        <v/>
      </c>
    </row>
    <row r="948" spans="2:2" x14ac:dyDescent="0.25">
      <c r="B948" t="str">
        <f>IF(C948="","",C948&amp;COUNTIF(C$9:C948,C948))</f>
        <v/>
      </c>
    </row>
    <row r="949" spans="2:2" x14ac:dyDescent="0.25">
      <c r="B949" t="str">
        <f>IF(C949="","",C949&amp;COUNTIF(C$9:C949,C949))</f>
        <v/>
      </c>
    </row>
    <row r="950" spans="2:2" x14ac:dyDescent="0.25">
      <c r="B950" t="str">
        <f>IF(C950="","",C950&amp;COUNTIF(C$9:C950,C950))</f>
        <v/>
      </c>
    </row>
    <row r="951" spans="2:2" x14ac:dyDescent="0.25">
      <c r="B951" t="str">
        <f>IF(C951="","",C951&amp;COUNTIF(C$9:C951,C951))</f>
        <v/>
      </c>
    </row>
    <row r="952" spans="2:2" x14ac:dyDescent="0.25">
      <c r="B952" t="str">
        <f>IF(C952="","",C952&amp;COUNTIF(C$9:C952,C952))</f>
        <v/>
      </c>
    </row>
    <row r="953" spans="2:2" x14ac:dyDescent="0.25">
      <c r="B953" t="str">
        <f>IF(C953="","",C953&amp;COUNTIF(C$9:C953,C953))</f>
        <v/>
      </c>
    </row>
    <row r="954" spans="2:2" x14ac:dyDescent="0.25">
      <c r="B954" t="str">
        <f>IF(C954="","",C954&amp;COUNTIF(C$9:C954,C954))</f>
        <v/>
      </c>
    </row>
    <row r="955" spans="2:2" x14ac:dyDescent="0.25">
      <c r="B955" t="str">
        <f>IF(C955="","",C955&amp;COUNTIF(C$9:C955,C955))</f>
        <v/>
      </c>
    </row>
    <row r="956" spans="2:2" x14ac:dyDescent="0.25">
      <c r="B956" t="str">
        <f>IF(C956="","",C956&amp;COUNTIF(C$9:C956,C956))</f>
        <v/>
      </c>
    </row>
    <row r="957" spans="2:2" x14ac:dyDescent="0.25">
      <c r="B957" t="str">
        <f>IF(C957="","",C957&amp;COUNTIF(C$9:C957,C957))</f>
        <v/>
      </c>
    </row>
    <row r="958" spans="2:2" x14ac:dyDescent="0.25">
      <c r="B958" t="str">
        <f>IF(C958="","",C958&amp;COUNTIF(C$9:C958,C958))</f>
        <v/>
      </c>
    </row>
    <row r="959" spans="2:2" x14ac:dyDescent="0.25">
      <c r="B959" t="str">
        <f>IF(C959="","",C959&amp;COUNTIF(C$9:C959,C959))</f>
        <v/>
      </c>
    </row>
    <row r="960" spans="2:2" x14ac:dyDescent="0.25">
      <c r="B960" t="str">
        <f>IF(C960="","",C960&amp;COUNTIF(C$9:C960,C960))</f>
        <v/>
      </c>
    </row>
    <row r="961" spans="2:2" x14ac:dyDescent="0.25">
      <c r="B961" t="str">
        <f>IF(C961="","",C961&amp;COUNTIF(C$9:C961,C961))</f>
        <v/>
      </c>
    </row>
    <row r="962" spans="2:2" x14ac:dyDescent="0.25">
      <c r="B962" t="str">
        <f>IF(C962="","",C962&amp;COUNTIF(C$9:C962,C962))</f>
        <v/>
      </c>
    </row>
    <row r="963" spans="2:2" x14ac:dyDescent="0.25">
      <c r="B963" t="str">
        <f>IF(C963="","",C963&amp;COUNTIF(C$9:C963,C963))</f>
        <v/>
      </c>
    </row>
    <row r="964" spans="2:2" x14ac:dyDescent="0.25">
      <c r="B964" t="str">
        <f>IF(C964="","",C964&amp;COUNTIF(C$9:C964,C964))</f>
        <v/>
      </c>
    </row>
    <row r="965" spans="2:2" x14ac:dyDescent="0.25">
      <c r="B965" t="str">
        <f>IF(C965="","",C965&amp;COUNTIF(C$9:C965,C965))</f>
        <v/>
      </c>
    </row>
    <row r="966" spans="2:2" x14ac:dyDescent="0.25">
      <c r="B966" t="str">
        <f>IF(C966="","",C966&amp;COUNTIF(C$9:C966,C966))</f>
        <v/>
      </c>
    </row>
    <row r="967" spans="2:2" x14ac:dyDescent="0.25">
      <c r="B967" t="str">
        <f>IF(C967="","",C967&amp;COUNTIF(C$9:C967,C967))</f>
        <v/>
      </c>
    </row>
    <row r="968" spans="2:2" x14ac:dyDescent="0.25">
      <c r="B968" t="str">
        <f>IF(C968="","",C968&amp;COUNTIF(C$9:C968,C968))</f>
        <v/>
      </c>
    </row>
    <row r="969" spans="2:2" x14ac:dyDescent="0.25">
      <c r="B969" t="str">
        <f>IF(C969="","",C969&amp;COUNTIF(C$9:C969,C969))</f>
        <v/>
      </c>
    </row>
    <row r="970" spans="2:2" x14ac:dyDescent="0.25">
      <c r="B970" t="str">
        <f>IF(C970="","",C970&amp;COUNTIF(C$9:C970,C970))</f>
        <v/>
      </c>
    </row>
    <row r="971" spans="2:2" x14ac:dyDescent="0.25">
      <c r="B971" t="str">
        <f>IF(C971="","",C971&amp;COUNTIF(C$9:C971,C971))</f>
        <v/>
      </c>
    </row>
    <row r="972" spans="2:2" x14ac:dyDescent="0.25">
      <c r="B972" t="str">
        <f>IF(C972="","",C972&amp;COUNTIF(C$9:C972,C972))</f>
        <v/>
      </c>
    </row>
    <row r="973" spans="2:2" x14ac:dyDescent="0.25">
      <c r="B973" t="str">
        <f>IF(C973="","",C973&amp;COUNTIF(C$9:C973,C973))</f>
        <v/>
      </c>
    </row>
    <row r="974" spans="2:2" x14ac:dyDescent="0.25">
      <c r="B974" t="str">
        <f>IF(C974="","",C974&amp;COUNTIF(C$9:C974,C974))</f>
        <v/>
      </c>
    </row>
    <row r="975" spans="2:2" x14ac:dyDescent="0.25">
      <c r="B975" t="str">
        <f>IF(C975="","",C975&amp;COUNTIF(C$9:C975,C975))</f>
        <v/>
      </c>
    </row>
    <row r="976" spans="2:2" x14ac:dyDescent="0.25">
      <c r="B976" t="str">
        <f>IF(C976="","",C976&amp;COUNTIF(C$9:C976,C976))</f>
        <v/>
      </c>
    </row>
    <row r="977" spans="2:2" x14ac:dyDescent="0.25">
      <c r="B977" t="str">
        <f>IF(C977="","",C977&amp;COUNTIF(C$9:C977,C977))</f>
        <v/>
      </c>
    </row>
    <row r="978" spans="2:2" x14ac:dyDescent="0.25">
      <c r="B978" t="str">
        <f>IF(C978="","",C978&amp;COUNTIF(C$9:C978,C978))</f>
        <v/>
      </c>
    </row>
    <row r="979" spans="2:2" x14ac:dyDescent="0.25">
      <c r="B979" t="str">
        <f>IF(C979="","",C979&amp;COUNTIF(C$9:C979,C979))</f>
        <v/>
      </c>
    </row>
    <row r="980" spans="2:2" x14ac:dyDescent="0.25">
      <c r="B980" t="str">
        <f>IF(C980="","",C980&amp;COUNTIF(C$9:C980,C980))</f>
        <v/>
      </c>
    </row>
    <row r="981" spans="2:2" x14ac:dyDescent="0.25">
      <c r="B981" t="str">
        <f>IF(C981="","",C981&amp;COUNTIF(C$9:C981,C981))</f>
        <v/>
      </c>
    </row>
    <row r="982" spans="2:2" x14ac:dyDescent="0.25">
      <c r="B982" t="str">
        <f>IF(C982="","",C982&amp;COUNTIF(C$9:C982,C982))</f>
        <v/>
      </c>
    </row>
    <row r="983" spans="2:2" x14ac:dyDescent="0.25">
      <c r="B983" t="str">
        <f>IF(C983="","",C983&amp;COUNTIF(C$9:C983,C983))</f>
        <v/>
      </c>
    </row>
    <row r="984" spans="2:2" x14ac:dyDescent="0.25">
      <c r="B984" t="str">
        <f>IF(C984="","",C984&amp;COUNTIF(C$9:C984,C984))</f>
        <v/>
      </c>
    </row>
    <row r="985" spans="2:2" x14ac:dyDescent="0.25">
      <c r="B985" t="str">
        <f>IF(C985="","",C985&amp;COUNTIF(C$9:C985,C985))</f>
        <v/>
      </c>
    </row>
    <row r="986" spans="2:2" x14ac:dyDescent="0.25">
      <c r="B986" t="str">
        <f>IF(C986="","",C986&amp;COUNTIF(C$9:C986,C986))</f>
        <v/>
      </c>
    </row>
    <row r="987" spans="2:2" x14ac:dyDescent="0.25">
      <c r="B987" t="str">
        <f>IF(C987="","",C987&amp;COUNTIF(C$9:C987,C987))</f>
        <v/>
      </c>
    </row>
    <row r="988" spans="2:2" x14ac:dyDescent="0.25">
      <c r="B988" t="str">
        <f>IF(C988="","",C988&amp;COUNTIF(C$9:C988,C988))</f>
        <v/>
      </c>
    </row>
    <row r="989" spans="2:2" x14ac:dyDescent="0.25">
      <c r="B989" t="str">
        <f>IF(C989="","",C989&amp;COUNTIF(C$9:C989,C989))</f>
        <v/>
      </c>
    </row>
    <row r="990" spans="2:2" x14ac:dyDescent="0.25">
      <c r="B990" t="str">
        <f>IF(C990="","",C990&amp;COUNTIF(C$9:C990,C990))</f>
        <v/>
      </c>
    </row>
    <row r="991" spans="2:2" x14ac:dyDescent="0.25">
      <c r="B991" t="str">
        <f>IF(C991="","",C991&amp;COUNTIF(C$9:C991,C991))</f>
        <v/>
      </c>
    </row>
    <row r="992" spans="2:2" x14ac:dyDescent="0.25">
      <c r="B992" t="str">
        <f>IF(C992="","",C992&amp;COUNTIF(C$9:C992,C992))</f>
        <v/>
      </c>
    </row>
    <row r="993" spans="2:2" x14ac:dyDescent="0.25">
      <c r="B993" t="str">
        <f>IF(C993="","",C993&amp;COUNTIF(C$9:C993,C993))</f>
        <v/>
      </c>
    </row>
    <row r="994" spans="2:2" x14ac:dyDescent="0.25">
      <c r="B994" t="str">
        <f>IF(C994="","",C994&amp;COUNTIF(C$9:C994,C994))</f>
        <v/>
      </c>
    </row>
    <row r="995" spans="2:2" x14ac:dyDescent="0.25">
      <c r="B995" t="str">
        <f>IF(C995="","",C995&amp;COUNTIF(C$9:C995,C995))</f>
        <v/>
      </c>
    </row>
    <row r="996" spans="2:2" x14ac:dyDescent="0.25">
      <c r="B996" t="str">
        <f>IF(C996="","",C996&amp;COUNTIF(C$9:C996,C996))</f>
        <v/>
      </c>
    </row>
    <row r="997" spans="2:2" x14ac:dyDescent="0.25">
      <c r="B997" t="str">
        <f>IF(C997="","",C997&amp;COUNTIF(C$9:C997,C997))</f>
        <v/>
      </c>
    </row>
    <row r="998" spans="2:2" x14ac:dyDescent="0.25">
      <c r="B998" t="str">
        <f>IF(C998="","",C998&amp;COUNTIF(C$9:C998,C998))</f>
        <v/>
      </c>
    </row>
    <row r="999" spans="2:2" x14ac:dyDescent="0.25">
      <c r="B999" t="str">
        <f>IF(C999="","",C999&amp;COUNTIF(C$9:C999,C999))</f>
        <v/>
      </c>
    </row>
    <row r="1000" spans="2:2" x14ac:dyDescent="0.25">
      <c r="B1000" t="str">
        <f>IF(C1000="","",C1000&amp;COUNTIF(C$9:C1000,C1000))</f>
        <v/>
      </c>
    </row>
    <row r="1001" spans="2:2" x14ac:dyDescent="0.25">
      <c r="B1001" t="str">
        <f>IF(C1001="","",C1001&amp;COUNTIF(C$9:C1001,C1001))</f>
        <v/>
      </c>
    </row>
    <row r="1002" spans="2:2" x14ac:dyDescent="0.25">
      <c r="B1002" t="str">
        <f>IF(C1002="","",C1002&amp;COUNTIF(C$9:C1002,C1002))</f>
        <v/>
      </c>
    </row>
    <row r="1003" spans="2:2" x14ac:dyDescent="0.25">
      <c r="B1003" t="str">
        <f>IF(C1003="","",C1003&amp;COUNTIF(C$9:C1003,C1003))</f>
        <v/>
      </c>
    </row>
    <row r="1004" spans="2:2" x14ac:dyDescent="0.25">
      <c r="B1004" t="str">
        <f>IF(C1004="","",C1004&amp;COUNTIF(C$9:C1004,C1004))</f>
        <v/>
      </c>
    </row>
    <row r="1005" spans="2:2" x14ac:dyDescent="0.25">
      <c r="B1005" t="str">
        <f>IF(C1005="","",C1005&amp;COUNTIF(C$9:C1005,C1005))</f>
        <v/>
      </c>
    </row>
    <row r="1006" spans="2:2" x14ac:dyDescent="0.25">
      <c r="B1006" t="str">
        <f>IF(C1006="","",C1006&amp;COUNTIF(C$9:C1006,C1006))</f>
        <v/>
      </c>
    </row>
    <row r="1007" spans="2:2" x14ac:dyDescent="0.25">
      <c r="B1007" t="str">
        <f>IF(C1007="","",C1007&amp;COUNTIF(C$9:C1007,C1007))</f>
        <v/>
      </c>
    </row>
    <row r="1008" spans="2:2" x14ac:dyDescent="0.25">
      <c r="B1008" t="str">
        <f>IF(C1008="","",C1008&amp;COUNTIF(C$9:C1008,C1008))</f>
        <v/>
      </c>
    </row>
    <row r="1009" spans="2:2" x14ac:dyDescent="0.25">
      <c r="B1009" t="str">
        <f>IF(C1009="","",C1009&amp;COUNTIF(C$9:C1009,C1009))</f>
        <v/>
      </c>
    </row>
    <row r="1010" spans="2:2" x14ac:dyDescent="0.25">
      <c r="B1010" t="str">
        <f>IF(C1010="","",C1010&amp;COUNTIF(C$9:C1010,C1010))</f>
        <v/>
      </c>
    </row>
    <row r="1011" spans="2:2" x14ac:dyDescent="0.25">
      <c r="B1011" t="str">
        <f>IF(C1011="","",C1011&amp;COUNTIF(C$9:C1011,C1011))</f>
        <v/>
      </c>
    </row>
    <row r="1012" spans="2:2" x14ac:dyDescent="0.25">
      <c r="B1012" t="str">
        <f>IF(C1012="","",C1012&amp;COUNTIF(C$9:C1012,C1012))</f>
        <v/>
      </c>
    </row>
    <row r="1013" spans="2:2" x14ac:dyDescent="0.25">
      <c r="B1013" t="str">
        <f>IF(C1013="","",C1013&amp;COUNTIF(C$9:C1013,C1013))</f>
        <v/>
      </c>
    </row>
    <row r="1014" spans="2:2" x14ac:dyDescent="0.25">
      <c r="B1014" t="str">
        <f>IF(C1014="","",C1014&amp;COUNTIF(C$9:C1014,C1014))</f>
        <v/>
      </c>
    </row>
    <row r="1015" spans="2:2" x14ac:dyDescent="0.25">
      <c r="B1015" t="str">
        <f>IF(C1015="","",C1015&amp;COUNTIF(C$9:C1015,C1015))</f>
        <v/>
      </c>
    </row>
    <row r="1016" spans="2:2" x14ac:dyDescent="0.25">
      <c r="B1016" t="str">
        <f>IF(C1016="","",C1016&amp;COUNTIF(C$9:C1016,C1016))</f>
        <v/>
      </c>
    </row>
    <row r="1017" spans="2:2" x14ac:dyDescent="0.25">
      <c r="B1017" t="str">
        <f>IF(C1017="","",C1017&amp;COUNTIF(C$9:C1017,C1017))</f>
        <v/>
      </c>
    </row>
    <row r="1018" spans="2:2" x14ac:dyDescent="0.25">
      <c r="B1018" t="str">
        <f>IF(C1018="","",C1018&amp;COUNTIF(C$9:C1018,C1018))</f>
        <v/>
      </c>
    </row>
    <row r="1019" spans="2:2" x14ac:dyDescent="0.25">
      <c r="B1019" t="str">
        <f>IF(C1019="","",C1019&amp;COUNTIF(C$9:C1019,C1019))</f>
        <v/>
      </c>
    </row>
    <row r="1020" spans="2:2" x14ac:dyDescent="0.25">
      <c r="B1020" t="str">
        <f>IF(C1020="","",C1020&amp;COUNTIF(C$9:C1020,C1020))</f>
        <v/>
      </c>
    </row>
    <row r="1021" spans="2:2" x14ac:dyDescent="0.25">
      <c r="B1021" t="str">
        <f>IF(C1021="","",C1021&amp;COUNTIF(C$9:C1021,C1021))</f>
        <v/>
      </c>
    </row>
    <row r="1022" spans="2:2" x14ac:dyDescent="0.25">
      <c r="B1022" t="str">
        <f>IF(C1022="","",C1022&amp;COUNTIF(C$9:C1022,C1022))</f>
        <v/>
      </c>
    </row>
    <row r="1023" spans="2:2" x14ac:dyDescent="0.25">
      <c r="B1023" t="str">
        <f>IF(C1023="","",C1023&amp;COUNTIF(C$9:C1023,C1023))</f>
        <v/>
      </c>
    </row>
    <row r="1024" spans="2:2" x14ac:dyDescent="0.25">
      <c r="B1024" t="str">
        <f>IF(C1024="","",C1024&amp;COUNTIF(C$9:C1024,C1024))</f>
        <v/>
      </c>
    </row>
    <row r="1025" spans="2:2" x14ac:dyDescent="0.25">
      <c r="B1025" t="str">
        <f>IF(C1025="","",C1025&amp;COUNTIF(C$9:C1025,C1025))</f>
        <v/>
      </c>
    </row>
    <row r="1026" spans="2:2" x14ac:dyDescent="0.25">
      <c r="B1026" t="str">
        <f>IF(C1026="","",C1026&amp;COUNTIF(C$9:C1026,C1026))</f>
        <v/>
      </c>
    </row>
    <row r="1027" spans="2:2" x14ac:dyDescent="0.25">
      <c r="B1027" t="str">
        <f>IF(C1027="","",C1027&amp;COUNTIF(C$9:C1027,C1027))</f>
        <v/>
      </c>
    </row>
    <row r="1028" spans="2:2" x14ac:dyDescent="0.25">
      <c r="B1028" t="str">
        <f>IF(C1028="","",C1028&amp;COUNTIF(C$9:C1028,C1028))</f>
        <v/>
      </c>
    </row>
    <row r="1029" spans="2:2" x14ac:dyDescent="0.25">
      <c r="B1029" t="str">
        <f>IF(C1029="","",C1029&amp;COUNTIF(C$9:C1029,C1029))</f>
        <v/>
      </c>
    </row>
    <row r="1030" spans="2:2" x14ac:dyDescent="0.25">
      <c r="B1030" t="str">
        <f>IF(C1030="","",C1030&amp;COUNTIF(C$9:C1030,C1030))</f>
        <v/>
      </c>
    </row>
    <row r="1031" spans="2:2" x14ac:dyDescent="0.25">
      <c r="B1031" t="str">
        <f>IF(C1031="","",C1031&amp;COUNTIF(C$9:C1031,C1031))</f>
        <v/>
      </c>
    </row>
    <row r="1032" spans="2:2" x14ac:dyDescent="0.25">
      <c r="B1032" t="str">
        <f>IF(C1032="","",C1032&amp;COUNTIF(C$9:C1032,C1032))</f>
        <v/>
      </c>
    </row>
    <row r="1033" spans="2:2" x14ac:dyDescent="0.25">
      <c r="B1033" t="str">
        <f>IF(C1033="","",C1033&amp;COUNTIF(C$9:C1033,C1033))</f>
        <v/>
      </c>
    </row>
    <row r="1034" spans="2:2" x14ac:dyDescent="0.25">
      <c r="B1034" t="str">
        <f>IF(C1034="","",C1034&amp;COUNTIF(C$9:C1034,C1034))</f>
        <v/>
      </c>
    </row>
    <row r="1035" spans="2:2" x14ac:dyDescent="0.25">
      <c r="B1035" t="str">
        <f>IF(C1035="","",C1035&amp;COUNTIF(C$9:C1035,C1035))</f>
        <v/>
      </c>
    </row>
    <row r="1036" spans="2:2" x14ac:dyDescent="0.25">
      <c r="B1036" t="str">
        <f>IF(C1036="","",C1036&amp;COUNTIF(C$9:C1036,C1036))</f>
        <v/>
      </c>
    </row>
    <row r="1037" spans="2:2" x14ac:dyDescent="0.25">
      <c r="B1037" t="str">
        <f>IF(C1037="","",C1037&amp;COUNTIF(C$9:C1037,C1037))</f>
        <v/>
      </c>
    </row>
    <row r="1038" spans="2:2" x14ac:dyDescent="0.25">
      <c r="B1038" t="str">
        <f>IF(C1038="","",C1038&amp;COUNTIF(C$9:C1038,C1038))</f>
        <v/>
      </c>
    </row>
    <row r="1039" spans="2:2" x14ac:dyDescent="0.25">
      <c r="B1039" t="str">
        <f>IF(C1039="","",C1039&amp;COUNTIF(C$9:C1039,C1039))</f>
        <v/>
      </c>
    </row>
    <row r="1040" spans="2:2" x14ac:dyDescent="0.25">
      <c r="B1040" t="str">
        <f>IF(C1040="","",C1040&amp;COUNTIF(C$9:C1040,C1040))</f>
        <v/>
      </c>
    </row>
    <row r="1041" spans="2:2" x14ac:dyDescent="0.25">
      <c r="B1041" t="str">
        <f>IF(C1041="","",C1041&amp;COUNTIF(C$9:C1041,C1041))</f>
        <v/>
      </c>
    </row>
    <row r="1042" spans="2:2" x14ac:dyDescent="0.25">
      <c r="B1042" t="str">
        <f>IF(C1042="","",C1042&amp;COUNTIF(C$9:C1042,C1042))</f>
        <v/>
      </c>
    </row>
    <row r="1043" spans="2:2" x14ac:dyDescent="0.25">
      <c r="B1043" t="str">
        <f>IF(C1043="","",C1043&amp;COUNTIF(C$9:C1043,C1043))</f>
        <v/>
      </c>
    </row>
    <row r="1044" spans="2:2" x14ac:dyDescent="0.25">
      <c r="B1044" t="str">
        <f>IF(C1044="","",C1044&amp;COUNTIF(C$9:C1044,C1044))</f>
        <v/>
      </c>
    </row>
    <row r="1045" spans="2:2" x14ac:dyDescent="0.25">
      <c r="B1045" t="str">
        <f>IF(C1045="","",C1045&amp;COUNTIF(C$9:C1045,C1045))</f>
        <v/>
      </c>
    </row>
    <row r="1046" spans="2:2" x14ac:dyDescent="0.25">
      <c r="B1046" t="str">
        <f>IF(C1046="","",C1046&amp;COUNTIF(C$9:C1046,C1046))</f>
        <v/>
      </c>
    </row>
    <row r="1047" spans="2:2" x14ac:dyDescent="0.25">
      <c r="B1047" t="str">
        <f>IF(C1047="","",C1047&amp;COUNTIF(C$9:C1047,C1047))</f>
        <v/>
      </c>
    </row>
    <row r="1048" spans="2:2" x14ac:dyDescent="0.25">
      <c r="B1048" t="str">
        <f>IF(C1048="","",C1048&amp;COUNTIF(C$9:C1048,C1048))</f>
        <v/>
      </c>
    </row>
    <row r="1049" spans="2:2" x14ac:dyDescent="0.25">
      <c r="B1049" t="str">
        <f>IF(C1049="","",C1049&amp;COUNTIF(C$9:C1049,C1049))</f>
        <v/>
      </c>
    </row>
    <row r="1050" spans="2:2" x14ac:dyDescent="0.25">
      <c r="B1050" t="str">
        <f>IF(C1050="","",C1050&amp;COUNTIF(C$9:C1050,C1050))</f>
        <v/>
      </c>
    </row>
    <row r="1051" spans="2:2" x14ac:dyDescent="0.25">
      <c r="B1051" t="str">
        <f>IF(C1051="","",C1051&amp;COUNTIF(C$9:C1051,C1051))</f>
        <v/>
      </c>
    </row>
    <row r="1052" spans="2:2" x14ac:dyDescent="0.25">
      <c r="B1052" t="str">
        <f>IF(C1052="","",C1052&amp;COUNTIF(C$9:C1052,C1052))</f>
        <v/>
      </c>
    </row>
    <row r="1053" spans="2:2" x14ac:dyDescent="0.25">
      <c r="B1053" t="str">
        <f>IF(C1053="","",C1053&amp;COUNTIF(C$9:C1053,C1053))</f>
        <v/>
      </c>
    </row>
    <row r="1054" spans="2:2" x14ac:dyDescent="0.25">
      <c r="B1054" t="str">
        <f>IF(C1054="","",C1054&amp;COUNTIF(C$9:C1054,C1054))</f>
        <v/>
      </c>
    </row>
    <row r="1055" spans="2:2" x14ac:dyDescent="0.25">
      <c r="B1055" t="str">
        <f>IF(C1055="","",C1055&amp;COUNTIF(C$9:C1055,C1055))</f>
        <v/>
      </c>
    </row>
    <row r="1056" spans="2:2" x14ac:dyDescent="0.25">
      <c r="B1056" t="str">
        <f>IF(C1056="","",C1056&amp;COUNTIF(C$9:C1056,C1056))</f>
        <v/>
      </c>
    </row>
    <row r="1057" spans="2:2" x14ac:dyDescent="0.25">
      <c r="B1057" t="str">
        <f>IF(C1057="","",C1057&amp;COUNTIF(C$9:C1057,C1057))</f>
        <v/>
      </c>
    </row>
    <row r="1058" spans="2:2" x14ac:dyDescent="0.25">
      <c r="B1058" t="str">
        <f>IF(C1058="","",C1058&amp;COUNTIF(C$9:C1058,C1058))</f>
        <v/>
      </c>
    </row>
    <row r="1059" spans="2:2" x14ac:dyDescent="0.25">
      <c r="B1059" t="str">
        <f>IF(C1059="","",C1059&amp;COUNTIF(C$9:C1059,C1059))</f>
        <v/>
      </c>
    </row>
    <row r="1060" spans="2:2" x14ac:dyDescent="0.25">
      <c r="B1060" t="str">
        <f>IF(C1060="","",C1060&amp;COUNTIF(C$9:C1060,C1060))</f>
        <v/>
      </c>
    </row>
    <row r="1061" spans="2:2" x14ac:dyDescent="0.25">
      <c r="B1061" t="str">
        <f>IF(C1061="","",C1061&amp;COUNTIF(C$9:C1061,C1061))</f>
        <v/>
      </c>
    </row>
    <row r="1062" spans="2:2" x14ac:dyDescent="0.25">
      <c r="B1062" t="str">
        <f>IF(C1062="","",C1062&amp;COUNTIF(C$9:C1062,C1062))</f>
        <v/>
      </c>
    </row>
    <row r="1063" spans="2:2" x14ac:dyDescent="0.25">
      <c r="B1063" t="str">
        <f>IF(C1063="","",C1063&amp;COUNTIF(C$9:C1063,C1063))</f>
        <v/>
      </c>
    </row>
    <row r="1064" spans="2:2" x14ac:dyDescent="0.25">
      <c r="B1064" t="str">
        <f>IF(C1064="","",C1064&amp;COUNTIF(C$9:C1064,C1064))</f>
        <v/>
      </c>
    </row>
    <row r="1065" spans="2:2" x14ac:dyDescent="0.25">
      <c r="B1065" t="str">
        <f>IF(C1065="","",C1065&amp;COUNTIF(C$9:C1065,C1065))</f>
        <v/>
      </c>
    </row>
    <row r="1066" spans="2:2" x14ac:dyDescent="0.25">
      <c r="B1066" t="str">
        <f>IF(C1066="","",C1066&amp;COUNTIF(C$9:C1066,C1066))</f>
        <v/>
      </c>
    </row>
    <row r="1067" spans="2:2" x14ac:dyDescent="0.25">
      <c r="B1067" t="str">
        <f>IF(C1067="","",C1067&amp;COUNTIF(C$9:C1067,C1067))</f>
        <v/>
      </c>
    </row>
    <row r="1068" spans="2:2" x14ac:dyDescent="0.25">
      <c r="B1068" t="str">
        <f>IF(C1068="","",C1068&amp;COUNTIF(C$9:C1068,C1068))</f>
        <v/>
      </c>
    </row>
    <row r="1069" spans="2:2" x14ac:dyDescent="0.25">
      <c r="B1069" t="str">
        <f>IF(C1069="","",C1069&amp;COUNTIF(C$9:C1069,C1069))</f>
        <v/>
      </c>
    </row>
    <row r="1070" spans="2:2" x14ac:dyDescent="0.25">
      <c r="B1070" t="str">
        <f>IF(C1070="","",C1070&amp;COUNTIF(C$9:C1070,C1070))</f>
        <v/>
      </c>
    </row>
    <row r="1071" spans="2:2" x14ac:dyDescent="0.25">
      <c r="B1071" t="str">
        <f>IF(C1071="","",C1071&amp;COUNTIF(C$9:C1071,C1071))</f>
        <v/>
      </c>
    </row>
    <row r="1072" spans="2:2" x14ac:dyDescent="0.25">
      <c r="B1072" t="str">
        <f>IF(C1072="","",C1072&amp;COUNTIF(C$9:C1072,C1072))</f>
        <v/>
      </c>
    </row>
    <row r="1073" spans="2:2" x14ac:dyDescent="0.25">
      <c r="B1073" t="str">
        <f>IF(C1073="","",C1073&amp;COUNTIF(C$9:C1073,C1073))</f>
        <v/>
      </c>
    </row>
    <row r="1074" spans="2:2" x14ac:dyDescent="0.25">
      <c r="B1074" t="str">
        <f>IF(C1074="","",C1074&amp;COUNTIF(C$9:C1074,C1074))</f>
        <v/>
      </c>
    </row>
    <row r="1075" spans="2:2" x14ac:dyDescent="0.25">
      <c r="B1075" t="str">
        <f>IF(C1075="","",C1075&amp;COUNTIF(C$9:C1075,C1075))</f>
        <v/>
      </c>
    </row>
    <row r="1076" spans="2:2" x14ac:dyDescent="0.25">
      <c r="B1076" t="str">
        <f>IF(C1076="","",C1076&amp;COUNTIF(C$9:C1076,C1076))</f>
        <v/>
      </c>
    </row>
    <row r="1077" spans="2:2" x14ac:dyDescent="0.25">
      <c r="B1077" t="str">
        <f>IF(C1077="","",C1077&amp;COUNTIF(C$9:C1077,C1077))</f>
        <v/>
      </c>
    </row>
    <row r="1078" spans="2:2" x14ac:dyDescent="0.25">
      <c r="B1078" t="str">
        <f>IF(C1078="","",C1078&amp;COUNTIF(C$9:C1078,C1078))</f>
        <v/>
      </c>
    </row>
    <row r="1079" spans="2:2" x14ac:dyDescent="0.25">
      <c r="B1079" t="str">
        <f>IF(C1079="","",C1079&amp;COUNTIF(C$9:C1079,C1079))</f>
        <v/>
      </c>
    </row>
    <row r="1080" spans="2:2" x14ac:dyDescent="0.25">
      <c r="B1080" t="str">
        <f>IF(C1080="","",C1080&amp;COUNTIF(C$9:C1080,C1080))</f>
        <v/>
      </c>
    </row>
    <row r="1081" spans="2:2" x14ac:dyDescent="0.25">
      <c r="B1081" t="str">
        <f>IF(C1081="","",C1081&amp;COUNTIF(C$9:C1081,C1081))</f>
        <v/>
      </c>
    </row>
    <row r="1082" spans="2:2" x14ac:dyDescent="0.25">
      <c r="B1082" t="str">
        <f>IF(C1082="","",C1082&amp;COUNTIF(C$9:C1082,C1082))</f>
        <v/>
      </c>
    </row>
    <row r="1083" spans="2:2" x14ac:dyDescent="0.25">
      <c r="B1083" t="str">
        <f>IF(C1083="","",C1083&amp;COUNTIF(C$9:C1083,C1083))</f>
        <v/>
      </c>
    </row>
    <row r="1084" spans="2:2" x14ac:dyDescent="0.25">
      <c r="B1084" t="str">
        <f>IF(C1084="","",C1084&amp;COUNTIF(C$9:C1084,C1084))</f>
        <v/>
      </c>
    </row>
    <row r="1085" spans="2:2" x14ac:dyDescent="0.25">
      <c r="B1085" t="str">
        <f>IF(C1085="","",C1085&amp;COUNTIF(C$9:C1085,C1085))</f>
        <v/>
      </c>
    </row>
    <row r="1086" spans="2:2" x14ac:dyDescent="0.25">
      <c r="B1086" t="str">
        <f>IF(C1086="","",C1086&amp;COUNTIF(C$9:C1086,C1086))</f>
        <v/>
      </c>
    </row>
    <row r="1087" spans="2:2" x14ac:dyDescent="0.25">
      <c r="B1087" t="str">
        <f>IF(C1087="","",C1087&amp;COUNTIF(C$9:C1087,C1087))</f>
        <v/>
      </c>
    </row>
    <row r="1088" spans="2:2" x14ac:dyDescent="0.25">
      <c r="B1088" t="str">
        <f>IF(C1088="","",C1088&amp;COUNTIF(C$9:C1088,C1088))</f>
        <v/>
      </c>
    </row>
    <row r="1089" spans="2:2" x14ac:dyDescent="0.25">
      <c r="B1089" t="str">
        <f>IF(C1089="","",C1089&amp;COUNTIF(C$9:C1089,C1089))</f>
        <v/>
      </c>
    </row>
    <row r="1090" spans="2:2" x14ac:dyDescent="0.25">
      <c r="B1090" t="str">
        <f>IF(C1090="","",C1090&amp;COUNTIF(C$9:C1090,C1090))</f>
        <v/>
      </c>
    </row>
    <row r="1091" spans="2:2" x14ac:dyDescent="0.25">
      <c r="B1091" t="str">
        <f>IF(C1091="","",C1091&amp;COUNTIF(C$9:C1091,C1091))</f>
        <v/>
      </c>
    </row>
    <row r="1092" spans="2:2" x14ac:dyDescent="0.25">
      <c r="B1092" t="str">
        <f>IF(C1092="","",C1092&amp;COUNTIF(C$9:C1092,C1092))</f>
        <v/>
      </c>
    </row>
    <row r="1093" spans="2:2" x14ac:dyDescent="0.25">
      <c r="B1093" t="str">
        <f>IF(C1093="","",C1093&amp;COUNTIF(C$9:C1093,C1093))</f>
        <v/>
      </c>
    </row>
    <row r="1094" spans="2:2" x14ac:dyDescent="0.25">
      <c r="B1094" t="str">
        <f>IF(C1094="","",C1094&amp;COUNTIF(C$9:C1094,C1094))</f>
        <v/>
      </c>
    </row>
    <row r="1095" spans="2:2" x14ac:dyDescent="0.25">
      <c r="B1095" t="str">
        <f>IF(C1095="","",C1095&amp;COUNTIF(C$9:C1095,C1095))</f>
        <v/>
      </c>
    </row>
    <row r="1096" spans="2:2" x14ac:dyDescent="0.25">
      <c r="B1096" t="str">
        <f>IF(C1096="","",C1096&amp;COUNTIF(C$9:C1096,C1096))</f>
        <v/>
      </c>
    </row>
    <row r="1097" spans="2:2" x14ac:dyDescent="0.25">
      <c r="B1097" t="str">
        <f>IF(C1097="","",C1097&amp;COUNTIF(C$9:C1097,C1097))</f>
        <v/>
      </c>
    </row>
    <row r="1098" spans="2:2" x14ac:dyDescent="0.25">
      <c r="B1098" t="str">
        <f>IF(C1098="","",C1098&amp;COUNTIF(C$9:C1098,C1098))</f>
        <v/>
      </c>
    </row>
    <row r="1099" spans="2:2" x14ac:dyDescent="0.25">
      <c r="B1099" t="str">
        <f>IF(C1099="","",C1099&amp;COUNTIF(C$9:C1099,C1099))</f>
        <v/>
      </c>
    </row>
    <row r="1100" spans="2:2" x14ac:dyDescent="0.25">
      <c r="B1100" t="str">
        <f>IF(C1100="","",C1100&amp;COUNTIF(C$9:C1100,C1100))</f>
        <v/>
      </c>
    </row>
    <row r="1101" spans="2:2" x14ac:dyDescent="0.25">
      <c r="B1101" t="str">
        <f>IF(C1101="","",C1101&amp;COUNTIF(C$9:C1101,C1101))</f>
        <v/>
      </c>
    </row>
    <row r="1102" spans="2:2" x14ac:dyDescent="0.25">
      <c r="B1102" t="str">
        <f>IF(C1102="","",C1102&amp;COUNTIF(C$9:C1102,C1102))</f>
        <v/>
      </c>
    </row>
    <row r="1103" spans="2:2" x14ac:dyDescent="0.25">
      <c r="B1103" t="str">
        <f>IF(C1103="","",C1103&amp;COUNTIF(C$9:C1103,C1103))</f>
        <v/>
      </c>
    </row>
    <row r="1104" spans="2:2" x14ac:dyDescent="0.25">
      <c r="B1104" t="str">
        <f>IF(C1104="","",C1104&amp;COUNTIF(C$9:C1104,C1104))</f>
        <v/>
      </c>
    </row>
    <row r="1105" spans="2:2" x14ac:dyDescent="0.25">
      <c r="B1105" t="str">
        <f>IF(C1105="","",C1105&amp;COUNTIF(C$9:C1105,C1105))</f>
        <v/>
      </c>
    </row>
    <row r="1106" spans="2:2" x14ac:dyDescent="0.25">
      <c r="B1106" t="str">
        <f>IF(C1106="","",C1106&amp;COUNTIF(C$9:C1106,C1106))</f>
        <v/>
      </c>
    </row>
    <row r="1107" spans="2:2" x14ac:dyDescent="0.25">
      <c r="B1107" t="str">
        <f>IF(C1107="","",C1107&amp;COUNTIF(C$9:C1107,C1107))</f>
        <v/>
      </c>
    </row>
    <row r="1108" spans="2:2" x14ac:dyDescent="0.25">
      <c r="B1108" t="str">
        <f>IF(C1108="","",C1108&amp;COUNTIF(C$9:C1108,C1108))</f>
        <v/>
      </c>
    </row>
    <row r="1109" spans="2:2" x14ac:dyDescent="0.25">
      <c r="B1109" t="str">
        <f>IF(C1109="","",C1109&amp;COUNTIF(C$9:C1109,C1109))</f>
        <v/>
      </c>
    </row>
    <row r="1110" spans="2:2" x14ac:dyDescent="0.25">
      <c r="B1110" t="str">
        <f>IF(C1110="","",C1110&amp;COUNTIF(C$9:C1110,C1110))</f>
        <v/>
      </c>
    </row>
    <row r="1111" spans="2:2" x14ac:dyDescent="0.25">
      <c r="B1111" t="str">
        <f>IF(C1111="","",C1111&amp;COUNTIF(C$9:C1111,C1111))</f>
        <v/>
      </c>
    </row>
    <row r="1112" spans="2:2" x14ac:dyDescent="0.25">
      <c r="B1112" t="str">
        <f>IF(C1112="","",C1112&amp;COUNTIF(C$9:C1112,C1112))</f>
        <v/>
      </c>
    </row>
    <row r="1113" spans="2:2" x14ac:dyDescent="0.25">
      <c r="B1113" t="str">
        <f>IF(C1113="","",C1113&amp;COUNTIF(C$9:C1113,C1113))</f>
        <v/>
      </c>
    </row>
    <row r="1114" spans="2:2" x14ac:dyDescent="0.25">
      <c r="B1114" t="str">
        <f>IF(C1114="","",C1114&amp;COUNTIF(C$9:C1114,C1114))</f>
        <v/>
      </c>
    </row>
    <row r="1115" spans="2:2" x14ac:dyDescent="0.25">
      <c r="B1115" t="str">
        <f>IF(C1115="","",C1115&amp;COUNTIF(C$9:C1115,C1115))</f>
        <v/>
      </c>
    </row>
    <row r="1116" spans="2:2" x14ac:dyDescent="0.25">
      <c r="B1116" t="str">
        <f>IF(C1116="","",C1116&amp;COUNTIF(C$9:C1116,C1116))</f>
        <v/>
      </c>
    </row>
    <row r="1117" spans="2:2" x14ac:dyDescent="0.25">
      <c r="B1117" t="str">
        <f>IF(C1117="","",C1117&amp;COUNTIF(C$9:C1117,C1117))</f>
        <v/>
      </c>
    </row>
    <row r="1118" spans="2:2" x14ac:dyDescent="0.25">
      <c r="B1118" t="str">
        <f>IF(C1118="","",C1118&amp;COUNTIF(C$9:C1118,C1118))</f>
        <v/>
      </c>
    </row>
    <row r="1119" spans="2:2" x14ac:dyDescent="0.25">
      <c r="B1119" t="str">
        <f>IF(C1119="","",C1119&amp;COUNTIF(C$9:C1119,C1119))</f>
        <v/>
      </c>
    </row>
    <row r="1120" spans="2:2" x14ac:dyDescent="0.25">
      <c r="B1120" t="str">
        <f>IF(C1120="","",C1120&amp;COUNTIF(C$9:C1120,C1120))</f>
        <v/>
      </c>
    </row>
    <row r="1121" spans="2:2" x14ac:dyDescent="0.25">
      <c r="B1121" t="str">
        <f>IF(C1121="","",C1121&amp;COUNTIF(C$9:C1121,C1121))</f>
        <v/>
      </c>
    </row>
    <row r="1122" spans="2:2" x14ac:dyDescent="0.25">
      <c r="B1122" t="str">
        <f>IF(C1122="","",C1122&amp;COUNTIF(C$9:C1122,C1122))</f>
        <v/>
      </c>
    </row>
    <row r="1123" spans="2:2" x14ac:dyDescent="0.25">
      <c r="B1123" t="str">
        <f>IF(C1123="","",C1123&amp;COUNTIF(C$9:C1123,C1123))</f>
        <v/>
      </c>
    </row>
    <row r="1124" spans="2:2" x14ac:dyDescent="0.25">
      <c r="B1124" t="str">
        <f>IF(C1124="","",C1124&amp;COUNTIF(C$9:C1124,C1124))</f>
        <v/>
      </c>
    </row>
    <row r="1125" spans="2:2" x14ac:dyDescent="0.25">
      <c r="B1125" t="str">
        <f>IF(C1125="","",C1125&amp;COUNTIF(C$9:C1125,C1125))</f>
        <v/>
      </c>
    </row>
    <row r="1126" spans="2:2" x14ac:dyDescent="0.25">
      <c r="B1126" t="str">
        <f>IF(C1126="","",C1126&amp;COUNTIF(C$9:C1126,C1126))</f>
        <v/>
      </c>
    </row>
    <row r="1127" spans="2:2" x14ac:dyDescent="0.25">
      <c r="B1127" t="str">
        <f>IF(C1127="","",C1127&amp;COUNTIF(C$9:C1127,C1127))</f>
        <v/>
      </c>
    </row>
    <row r="1128" spans="2:2" x14ac:dyDescent="0.25">
      <c r="B1128" t="str">
        <f>IF(C1128="","",C1128&amp;COUNTIF(C$9:C1128,C1128))</f>
        <v/>
      </c>
    </row>
    <row r="1129" spans="2:2" x14ac:dyDescent="0.25">
      <c r="B1129" t="str">
        <f>IF(C1129="","",C1129&amp;COUNTIF(C$9:C1129,C1129))</f>
        <v/>
      </c>
    </row>
    <row r="1130" spans="2:2" x14ac:dyDescent="0.25">
      <c r="B1130" t="str">
        <f>IF(C1130="","",C1130&amp;COUNTIF(C$9:C1130,C1130))</f>
        <v/>
      </c>
    </row>
    <row r="1131" spans="2:2" x14ac:dyDescent="0.25">
      <c r="B1131" t="str">
        <f>IF(C1131="","",C1131&amp;COUNTIF(C$9:C1131,C1131))</f>
        <v/>
      </c>
    </row>
    <row r="1132" spans="2:2" x14ac:dyDescent="0.25">
      <c r="B1132" t="str">
        <f>IF(C1132="","",C1132&amp;COUNTIF(C$9:C1132,C1132))</f>
        <v/>
      </c>
    </row>
    <row r="1133" spans="2:2" x14ac:dyDescent="0.25">
      <c r="B1133" t="str">
        <f>IF(C1133="","",C1133&amp;COUNTIF(C$9:C1133,C1133))</f>
        <v/>
      </c>
    </row>
    <row r="1134" spans="2:2" x14ac:dyDescent="0.25">
      <c r="B1134" t="str">
        <f>IF(C1134="","",C1134&amp;COUNTIF(C$9:C1134,C1134))</f>
        <v/>
      </c>
    </row>
    <row r="1135" spans="2:2" x14ac:dyDescent="0.25">
      <c r="B1135" t="str">
        <f>IF(C1135="","",C1135&amp;COUNTIF(C$9:C1135,C1135))</f>
        <v/>
      </c>
    </row>
    <row r="1136" spans="2:2" x14ac:dyDescent="0.25">
      <c r="B1136" t="str">
        <f>IF(C1136="","",C1136&amp;COUNTIF(C$9:C1136,C1136))</f>
        <v/>
      </c>
    </row>
    <row r="1137" spans="2:2" x14ac:dyDescent="0.25">
      <c r="B1137" t="str">
        <f>IF(C1137="","",C1137&amp;COUNTIF(C$9:C1137,C1137))</f>
        <v/>
      </c>
    </row>
    <row r="1138" spans="2:2" x14ac:dyDescent="0.25">
      <c r="B1138" t="str">
        <f>IF(C1138="","",C1138&amp;COUNTIF(C$9:C1138,C1138))</f>
        <v/>
      </c>
    </row>
    <row r="1139" spans="2:2" x14ac:dyDescent="0.25">
      <c r="B1139" t="str">
        <f>IF(C1139="","",C1139&amp;COUNTIF(C$9:C1139,C1139))</f>
        <v/>
      </c>
    </row>
    <row r="1140" spans="2:2" x14ac:dyDescent="0.25">
      <c r="B1140" t="str">
        <f>IF(C1140="","",C1140&amp;COUNTIF(C$9:C1140,C1140))</f>
        <v/>
      </c>
    </row>
    <row r="1141" spans="2:2" x14ac:dyDescent="0.25">
      <c r="B1141" t="str">
        <f>IF(C1141="","",C1141&amp;COUNTIF(C$9:C1141,C1141))</f>
        <v/>
      </c>
    </row>
    <row r="1142" spans="2:2" x14ac:dyDescent="0.25">
      <c r="B1142" t="str">
        <f>IF(C1142="","",C1142&amp;COUNTIF(C$9:C1142,C1142))</f>
        <v/>
      </c>
    </row>
    <row r="1143" spans="2:2" x14ac:dyDescent="0.25">
      <c r="B1143" t="str">
        <f>IF(C1143="","",C1143&amp;COUNTIF(C$9:C1143,C1143))</f>
        <v/>
      </c>
    </row>
    <row r="1144" spans="2:2" x14ac:dyDescent="0.25">
      <c r="B1144" t="str">
        <f>IF(C1144="","",C1144&amp;COUNTIF(C$9:C1144,C1144))</f>
        <v/>
      </c>
    </row>
    <row r="1145" spans="2:2" x14ac:dyDescent="0.25">
      <c r="B1145" t="str">
        <f>IF(C1145="","",C1145&amp;COUNTIF(C$9:C1145,C1145))</f>
        <v/>
      </c>
    </row>
    <row r="1146" spans="2:2" x14ac:dyDescent="0.25">
      <c r="B1146" t="str">
        <f>IF(C1146="","",C1146&amp;COUNTIF(C$9:C1146,C1146))</f>
        <v/>
      </c>
    </row>
    <row r="1147" spans="2:2" x14ac:dyDescent="0.25">
      <c r="B1147" t="str">
        <f>IF(C1147="","",C1147&amp;COUNTIF(C$9:C1147,C1147))</f>
        <v/>
      </c>
    </row>
    <row r="1148" spans="2:2" x14ac:dyDescent="0.25">
      <c r="B1148" t="str">
        <f>IF(C1148="","",C1148&amp;COUNTIF(C$9:C1148,C1148))</f>
        <v/>
      </c>
    </row>
    <row r="1149" spans="2:2" x14ac:dyDescent="0.25">
      <c r="B1149" t="str">
        <f>IF(C1149="","",C1149&amp;COUNTIF(C$9:C1149,C1149))</f>
        <v/>
      </c>
    </row>
    <row r="1150" spans="2:2" x14ac:dyDescent="0.25">
      <c r="B1150" t="str">
        <f>IF(C1150="","",C1150&amp;COUNTIF(C$9:C1150,C1150))</f>
        <v/>
      </c>
    </row>
    <row r="1151" spans="2:2" x14ac:dyDescent="0.25">
      <c r="B1151" t="str">
        <f>IF(C1151="","",C1151&amp;COUNTIF(C$9:C1151,C1151))</f>
        <v/>
      </c>
    </row>
    <row r="1152" spans="2:2" x14ac:dyDescent="0.25">
      <c r="B1152" t="str">
        <f>IF(C1152="","",C1152&amp;COUNTIF(C$9:C1152,C1152))</f>
        <v/>
      </c>
    </row>
    <row r="1153" spans="2:2" x14ac:dyDescent="0.25">
      <c r="B1153" t="str">
        <f>IF(C1153="","",C1153&amp;COUNTIF(C$9:C1153,C1153))</f>
        <v/>
      </c>
    </row>
    <row r="1154" spans="2:2" x14ac:dyDescent="0.25">
      <c r="B1154" t="str">
        <f>IF(C1154="","",C1154&amp;COUNTIF(C$9:C1154,C1154))</f>
        <v/>
      </c>
    </row>
    <row r="1155" spans="2:2" x14ac:dyDescent="0.25">
      <c r="B1155" t="str">
        <f>IF(C1155="","",C1155&amp;COUNTIF(C$9:C1155,C1155))</f>
        <v/>
      </c>
    </row>
    <row r="1156" spans="2:2" x14ac:dyDescent="0.25">
      <c r="B1156" t="str">
        <f>IF(C1156="","",C1156&amp;COUNTIF(C$9:C1156,C1156))</f>
        <v/>
      </c>
    </row>
    <row r="1157" spans="2:2" x14ac:dyDescent="0.25">
      <c r="B1157" t="str">
        <f>IF(C1157="","",C1157&amp;COUNTIF(C$9:C1157,C1157))</f>
        <v/>
      </c>
    </row>
    <row r="1158" spans="2:2" x14ac:dyDescent="0.25">
      <c r="B1158" t="str">
        <f>IF(C1158="","",C1158&amp;COUNTIF(C$9:C1158,C1158))</f>
        <v/>
      </c>
    </row>
    <row r="1159" spans="2:2" x14ac:dyDescent="0.25">
      <c r="B1159" t="str">
        <f>IF(C1159="","",C1159&amp;COUNTIF(C$9:C1159,C1159))</f>
        <v/>
      </c>
    </row>
    <row r="1160" spans="2:2" x14ac:dyDescent="0.25">
      <c r="B1160" t="str">
        <f>IF(C1160="","",C1160&amp;COUNTIF(C$9:C1160,C1160))</f>
        <v/>
      </c>
    </row>
    <row r="1161" spans="2:2" x14ac:dyDescent="0.25">
      <c r="B1161" t="str">
        <f>IF(C1161="","",C1161&amp;COUNTIF(C$9:C1161,C1161))</f>
        <v/>
      </c>
    </row>
    <row r="1162" spans="2:2" x14ac:dyDescent="0.25">
      <c r="B1162" t="str">
        <f>IF(C1162="","",C1162&amp;COUNTIF(C$9:C1162,C1162))</f>
        <v/>
      </c>
    </row>
    <row r="1163" spans="2:2" x14ac:dyDescent="0.25">
      <c r="B1163" t="str">
        <f>IF(C1163="","",C1163&amp;COUNTIF(C$9:C1163,C1163))</f>
        <v/>
      </c>
    </row>
    <row r="1164" spans="2:2" x14ac:dyDescent="0.25">
      <c r="B1164" t="str">
        <f>IF(C1164="","",C1164&amp;COUNTIF(C$9:C1164,C1164))</f>
        <v/>
      </c>
    </row>
    <row r="1165" spans="2:2" x14ac:dyDescent="0.25">
      <c r="B1165" t="str">
        <f>IF(C1165="","",C1165&amp;COUNTIF(C$9:C1165,C1165))</f>
        <v/>
      </c>
    </row>
    <row r="1166" spans="2:2" x14ac:dyDescent="0.25">
      <c r="B1166" t="str">
        <f>IF(C1166="","",C1166&amp;COUNTIF(C$9:C1166,C1166))</f>
        <v/>
      </c>
    </row>
    <row r="1167" spans="2:2" x14ac:dyDescent="0.25">
      <c r="B1167" t="str">
        <f>IF(C1167="","",C1167&amp;COUNTIF(C$9:C1167,C1167))</f>
        <v/>
      </c>
    </row>
    <row r="1168" spans="2:2" x14ac:dyDescent="0.25">
      <c r="B1168" t="str">
        <f>IF(C1168="","",C1168&amp;COUNTIF(C$9:C1168,C1168))</f>
        <v/>
      </c>
    </row>
    <row r="1169" spans="2:2" x14ac:dyDescent="0.25">
      <c r="B1169" t="str">
        <f>IF(C1169="","",C1169&amp;COUNTIF(C$9:C1169,C1169))</f>
        <v/>
      </c>
    </row>
    <row r="1170" spans="2:2" x14ac:dyDescent="0.25">
      <c r="B1170" t="str">
        <f>IF(C1170="","",C1170&amp;COUNTIF(C$9:C1170,C1170))</f>
        <v/>
      </c>
    </row>
    <row r="1171" spans="2:2" x14ac:dyDescent="0.25">
      <c r="B1171" t="str">
        <f>IF(C1171="","",C1171&amp;COUNTIF(C$9:C1171,C1171))</f>
        <v/>
      </c>
    </row>
    <row r="1172" spans="2:2" x14ac:dyDescent="0.25">
      <c r="B1172" t="str">
        <f>IF(C1172="","",C1172&amp;COUNTIF(C$9:C1172,C1172))</f>
        <v/>
      </c>
    </row>
    <row r="1173" spans="2:2" x14ac:dyDescent="0.25">
      <c r="B1173" t="str">
        <f>IF(C1173="","",C1173&amp;COUNTIF(C$9:C1173,C1173))</f>
        <v/>
      </c>
    </row>
    <row r="1174" spans="2:2" x14ac:dyDescent="0.25">
      <c r="B1174" t="str">
        <f>IF(C1174="","",C1174&amp;COUNTIF(C$9:C1174,C1174))</f>
        <v/>
      </c>
    </row>
    <row r="1175" spans="2:2" x14ac:dyDescent="0.25">
      <c r="B1175" t="str">
        <f>IF(C1175="","",C1175&amp;COUNTIF(C$9:C1175,C1175))</f>
        <v/>
      </c>
    </row>
    <row r="1176" spans="2:2" x14ac:dyDescent="0.25">
      <c r="B1176" t="str">
        <f>IF(C1176="","",C1176&amp;COUNTIF(C$9:C1176,C1176))</f>
        <v/>
      </c>
    </row>
    <row r="1177" spans="2:2" x14ac:dyDescent="0.25">
      <c r="B1177" t="str">
        <f>IF(C1177="","",C1177&amp;COUNTIF(C$9:C1177,C1177))</f>
        <v/>
      </c>
    </row>
    <row r="1178" spans="2:2" x14ac:dyDescent="0.25">
      <c r="B1178" t="str">
        <f>IF(C1178="","",C1178&amp;COUNTIF(C$9:C1178,C1178))</f>
        <v/>
      </c>
    </row>
    <row r="1179" spans="2:2" x14ac:dyDescent="0.25">
      <c r="B1179" t="str">
        <f>IF(C1179="","",C1179&amp;COUNTIF(C$9:C1179,C1179))</f>
        <v/>
      </c>
    </row>
    <row r="1180" spans="2:2" x14ac:dyDescent="0.25">
      <c r="B1180" t="str">
        <f>IF(C1180="","",C1180&amp;COUNTIF(C$9:C1180,C1180))</f>
        <v/>
      </c>
    </row>
    <row r="1181" spans="2:2" x14ac:dyDescent="0.25">
      <c r="B1181" t="str">
        <f>IF(C1181="","",C1181&amp;COUNTIF(C$9:C1181,C1181))</f>
        <v/>
      </c>
    </row>
    <row r="1182" spans="2:2" x14ac:dyDescent="0.25">
      <c r="B1182" t="str">
        <f>IF(C1182="","",C1182&amp;COUNTIF(C$9:C1182,C1182))</f>
        <v/>
      </c>
    </row>
    <row r="1183" spans="2:2" x14ac:dyDescent="0.25">
      <c r="B1183" t="str">
        <f>IF(C1183="","",C1183&amp;COUNTIF(C$9:C1183,C1183))</f>
        <v/>
      </c>
    </row>
    <row r="1184" spans="2:2" x14ac:dyDescent="0.25">
      <c r="B1184" t="str">
        <f>IF(C1184="","",C1184&amp;COUNTIF(C$9:C1184,C1184))</f>
        <v/>
      </c>
    </row>
    <row r="1185" spans="2:2" x14ac:dyDescent="0.25">
      <c r="B1185" t="str">
        <f>IF(C1185="","",C1185&amp;COUNTIF(C$9:C1185,C1185))</f>
        <v/>
      </c>
    </row>
    <row r="1186" spans="2:2" x14ac:dyDescent="0.25">
      <c r="B1186" t="str">
        <f>IF(C1186="","",C1186&amp;COUNTIF(C$9:C1186,C1186))</f>
        <v/>
      </c>
    </row>
    <row r="1187" spans="2:2" x14ac:dyDescent="0.25">
      <c r="B1187" t="str">
        <f>IF(C1187="","",C1187&amp;COUNTIF(C$9:C1187,C1187))</f>
        <v/>
      </c>
    </row>
    <row r="1188" spans="2:2" x14ac:dyDescent="0.25">
      <c r="B1188" t="str">
        <f>IF(C1188="","",C1188&amp;COUNTIF(C$9:C1188,C1188))</f>
        <v/>
      </c>
    </row>
    <row r="1189" spans="2:2" x14ac:dyDescent="0.25">
      <c r="B1189" t="str">
        <f>IF(C1189="","",C1189&amp;COUNTIF(C$9:C1189,C1189))</f>
        <v/>
      </c>
    </row>
    <row r="1190" spans="2:2" x14ac:dyDescent="0.25">
      <c r="B1190" t="str">
        <f>IF(C1190="","",C1190&amp;COUNTIF(C$9:C1190,C1190))</f>
        <v/>
      </c>
    </row>
    <row r="1191" spans="2:2" x14ac:dyDescent="0.25">
      <c r="B1191" t="str">
        <f>IF(C1191="","",C1191&amp;COUNTIF(C$9:C1191,C1191))</f>
        <v/>
      </c>
    </row>
    <row r="1192" spans="2:2" x14ac:dyDescent="0.25">
      <c r="B1192" t="str">
        <f>IF(C1192="","",C1192&amp;COUNTIF(C$9:C1192,C1192))</f>
        <v/>
      </c>
    </row>
    <row r="1193" spans="2:2" x14ac:dyDescent="0.25">
      <c r="B1193" t="str">
        <f>IF(C1193="","",C1193&amp;COUNTIF(C$9:C1193,C1193))</f>
        <v/>
      </c>
    </row>
    <row r="1194" spans="2:2" x14ac:dyDescent="0.25">
      <c r="B1194" t="str">
        <f>IF(C1194="","",C1194&amp;COUNTIF(C$9:C1194,C1194))</f>
        <v/>
      </c>
    </row>
    <row r="1195" spans="2:2" x14ac:dyDescent="0.25">
      <c r="B1195" t="str">
        <f>IF(C1195="","",C1195&amp;COUNTIF(C$9:C1195,C1195))</f>
        <v/>
      </c>
    </row>
    <row r="1196" spans="2:2" x14ac:dyDescent="0.25">
      <c r="B1196" t="str">
        <f>IF(C1196="","",C1196&amp;COUNTIF(C$9:C1196,C1196))</f>
        <v/>
      </c>
    </row>
    <row r="1197" spans="2:2" x14ac:dyDescent="0.25">
      <c r="B1197" t="str">
        <f>IF(C1197="","",C1197&amp;COUNTIF(C$9:C1197,C1197))</f>
        <v/>
      </c>
    </row>
    <row r="1198" spans="2:2" x14ac:dyDescent="0.25">
      <c r="B1198" t="str">
        <f>IF(C1198="","",C1198&amp;COUNTIF(C$9:C1198,C1198))</f>
        <v/>
      </c>
    </row>
    <row r="1199" spans="2:2" x14ac:dyDescent="0.25">
      <c r="B1199" t="str">
        <f>IF(C1199="","",C1199&amp;COUNTIF(C$9:C1199,C1199))</f>
        <v/>
      </c>
    </row>
    <row r="1200" spans="2:2" x14ac:dyDescent="0.25">
      <c r="B1200" t="str">
        <f>IF(C1200="","",C1200&amp;COUNTIF(C$9:C1200,C1200))</f>
        <v/>
      </c>
    </row>
    <row r="1201" spans="2:2" x14ac:dyDescent="0.25">
      <c r="B1201" t="str">
        <f>IF(C1201="","",C1201&amp;COUNTIF(C$9:C1201,C1201))</f>
        <v/>
      </c>
    </row>
    <row r="1202" spans="2:2" x14ac:dyDescent="0.25">
      <c r="B1202" t="str">
        <f>IF(C1202="","",C1202&amp;COUNTIF(C$9:C1202,C1202))</f>
        <v/>
      </c>
    </row>
    <row r="1203" spans="2:2" x14ac:dyDescent="0.25">
      <c r="B1203" t="str">
        <f>IF(C1203="","",C1203&amp;COUNTIF(C$9:C1203,C1203))</f>
        <v/>
      </c>
    </row>
    <row r="1204" spans="2:2" x14ac:dyDescent="0.25">
      <c r="B1204" t="str">
        <f>IF(C1204="","",C1204&amp;COUNTIF(C$9:C1204,C1204))</f>
        <v/>
      </c>
    </row>
    <row r="1205" spans="2:2" x14ac:dyDescent="0.25">
      <c r="B1205" t="str">
        <f>IF(C1205="","",C1205&amp;COUNTIF(C$9:C1205,C1205))</f>
        <v/>
      </c>
    </row>
    <row r="1206" spans="2:2" x14ac:dyDescent="0.25">
      <c r="B1206" t="str">
        <f>IF(C1206="","",C1206&amp;COUNTIF(C$9:C1206,C1206))</f>
        <v/>
      </c>
    </row>
    <row r="1207" spans="2:2" x14ac:dyDescent="0.25">
      <c r="B1207" t="str">
        <f>IF(C1207="","",C1207&amp;COUNTIF(C$9:C1207,C1207))</f>
        <v/>
      </c>
    </row>
    <row r="1208" spans="2:2" x14ac:dyDescent="0.25">
      <c r="B1208" t="str">
        <f>IF(C1208="","",C1208&amp;COUNTIF(C$9:C1208,C1208))</f>
        <v/>
      </c>
    </row>
    <row r="1209" spans="2:2" x14ac:dyDescent="0.25">
      <c r="B1209" t="str">
        <f>IF(C1209="","",C1209&amp;COUNTIF(C$9:C1209,C1209))</f>
        <v/>
      </c>
    </row>
    <row r="1210" spans="2:2" x14ac:dyDescent="0.25">
      <c r="B1210" t="str">
        <f>IF(C1210="","",C1210&amp;COUNTIF(C$9:C1210,C1210))</f>
        <v/>
      </c>
    </row>
    <row r="1211" spans="2:2" x14ac:dyDescent="0.25">
      <c r="B1211" t="str">
        <f>IF(C1211="","",C1211&amp;COUNTIF(C$9:C1211,C1211))</f>
        <v/>
      </c>
    </row>
    <row r="1212" spans="2:2" x14ac:dyDescent="0.25">
      <c r="B1212" t="str">
        <f>IF(C1212="","",C1212&amp;COUNTIF(C$9:C1212,C1212))</f>
        <v/>
      </c>
    </row>
    <row r="1213" spans="2:2" x14ac:dyDescent="0.25">
      <c r="B1213" t="str">
        <f>IF(C1213="","",C1213&amp;COUNTIF(C$9:C1213,C1213))</f>
        <v/>
      </c>
    </row>
    <row r="1214" spans="2:2" x14ac:dyDescent="0.25">
      <c r="B1214" t="str">
        <f>IF(C1214="","",C1214&amp;COUNTIF(C$9:C1214,C1214))</f>
        <v/>
      </c>
    </row>
    <row r="1215" spans="2:2" x14ac:dyDescent="0.25">
      <c r="B1215" t="str">
        <f>IF(C1215="","",C1215&amp;COUNTIF(C$9:C1215,C1215))</f>
        <v/>
      </c>
    </row>
    <row r="1216" spans="2:2" x14ac:dyDescent="0.25">
      <c r="B1216" t="str">
        <f>IF(C1216="","",C1216&amp;COUNTIF(C$9:C1216,C1216))</f>
        <v/>
      </c>
    </row>
    <row r="1217" spans="2:2" x14ac:dyDescent="0.25">
      <c r="B1217" t="str">
        <f>IF(C1217="","",C1217&amp;COUNTIF(C$9:C1217,C1217))</f>
        <v/>
      </c>
    </row>
    <row r="1218" spans="2:2" x14ac:dyDescent="0.25">
      <c r="B1218" t="str">
        <f>IF(C1218="","",C1218&amp;COUNTIF(C$9:C1218,C1218))</f>
        <v/>
      </c>
    </row>
    <row r="1219" spans="2:2" x14ac:dyDescent="0.25">
      <c r="B1219" t="str">
        <f>IF(C1219="","",C1219&amp;COUNTIF(C$9:C1219,C1219))</f>
        <v/>
      </c>
    </row>
    <row r="1220" spans="2:2" x14ac:dyDescent="0.25">
      <c r="B1220" t="str">
        <f>IF(C1220="","",C1220&amp;COUNTIF(C$9:C1220,C1220))</f>
        <v/>
      </c>
    </row>
    <row r="1221" spans="2:2" x14ac:dyDescent="0.25">
      <c r="B1221" t="str">
        <f>IF(C1221="","",C1221&amp;COUNTIF(C$9:C1221,C1221))</f>
        <v/>
      </c>
    </row>
    <row r="1222" spans="2:2" x14ac:dyDescent="0.25">
      <c r="B1222" t="str">
        <f>IF(C1222="","",C1222&amp;COUNTIF(C$9:C1222,C1222))</f>
        <v/>
      </c>
    </row>
    <row r="1223" spans="2:2" x14ac:dyDescent="0.25">
      <c r="B1223" t="str">
        <f>IF(C1223="","",C1223&amp;COUNTIF(C$9:C1223,C1223))</f>
        <v/>
      </c>
    </row>
    <row r="1224" spans="2:2" x14ac:dyDescent="0.25">
      <c r="B1224" t="str">
        <f>IF(C1224="","",C1224&amp;COUNTIF(C$9:C1224,C1224))</f>
        <v/>
      </c>
    </row>
    <row r="1225" spans="2:2" x14ac:dyDescent="0.25">
      <c r="B1225" t="str">
        <f>IF(C1225="","",C1225&amp;COUNTIF(C$9:C1225,C1225))</f>
        <v/>
      </c>
    </row>
    <row r="1226" spans="2:2" x14ac:dyDescent="0.25">
      <c r="B1226" t="str">
        <f>IF(C1226="","",C1226&amp;COUNTIF(C$9:C1226,C1226))</f>
        <v/>
      </c>
    </row>
    <row r="1227" spans="2:2" x14ac:dyDescent="0.25">
      <c r="B1227" t="str">
        <f>IF(C1227="","",C1227&amp;COUNTIF(C$9:C1227,C1227))</f>
        <v/>
      </c>
    </row>
    <row r="1228" spans="2:2" x14ac:dyDescent="0.25">
      <c r="B1228" t="str">
        <f>IF(C1228="","",C1228&amp;COUNTIF(C$9:C1228,C1228))</f>
        <v/>
      </c>
    </row>
    <row r="1229" spans="2:2" x14ac:dyDescent="0.25">
      <c r="B1229" t="str">
        <f>IF(C1229="","",C1229&amp;COUNTIF(C$9:C1229,C1229))</f>
        <v/>
      </c>
    </row>
    <row r="1230" spans="2:2" x14ac:dyDescent="0.25">
      <c r="B1230" t="str">
        <f>IF(C1230="","",C1230&amp;COUNTIF(C$9:C1230,C1230))</f>
        <v/>
      </c>
    </row>
    <row r="1231" spans="2:2" x14ac:dyDescent="0.25">
      <c r="B1231" t="str">
        <f>IF(C1231="","",C1231&amp;COUNTIF(C$9:C1231,C1231))</f>
        <v/>
      </c>
    </row>
    <row r="1232" spans="2:2" x14ac:dyDescent="0.25">
      <c r="B1232" t="str">
        <f>IF(C1232="","",C1232&amp;COUNTIF(C$9:C1232,C1232))</f>
        <v/>
      </c>
    </row>
    <row r="1233" spans="2:2" x14ac:dyDescent="0.25">
      <c r="B1233" t="str">
        <f>IF(C1233="","",C1233&amp;COUNTIF(C$9:C1233,C1233))</f>
        <v/>
      </c>
    </row>
    <row r="1234" spans="2:2" x14ac:dyDescent="0.25">
      <c r="B1234" t="str">
        <f>IF(C1234="","",C1234&amp;COUNTIF(C$9:C1234,C1234))</f>
        <v/>
      </c>
    </row>
    <row r="1235" spans="2:2" x14ac:dyDescent="0.25">
      <c r="B1235" t="str">
        <f>IF(C1235="","",C1235&amp;COUNTIF(C$9:C1235,C1235))</f>
        <v/>
      </c>
    </row>
    <row r="1236" spans="2:2" x14ac:dyDescent="0.25">
      <c r="B1236" t="str">
        <f>IF(C1236="","",C1236&amp;COUNTIF(C$9:C1236,C1236))</f>
        <v/>
      </c>
    </row>
    <row r="1237" spans="2:2" x14ac:dyDescent="0.25">
      <c r="B1237" t="str">
        <f>IF(C1237="","",C1237&amp;COUNTIF(C$9:C1237,C1237))</f>
        <v/>
      </c>
    </row>
    <row r="1238" spans="2:2" x14ac:dyDescent="0.25">
      <c r="B1238" t="str">
        <f>IF(C1238="","",C1238&amp;COUNTIF(C$9:C1238,C1238))</f>
        <v/>
      </c>
    </row>
    <row r="1239" spans="2:2" x14ac:dyDescent="0.25">
      <c r="B1239" t="str">
        <f>IF(C1239="","",C1239&amp;COUNTIF(C$9:C1239,C1239))</f>
        <v/>
      </c>
    </row>
    <row r="1240" spans="2:2" x14ac:dyDescent="0.25">
      <c r="B1240" t="str">
        <f>IF(C1240="","",C1240&amp;COUNTIF(C$9:C1240,C1240))</f>
        <v/>
      </c>
    </row>
    <row r="1241" spans="2:2" x14ac:dyDescent="0.25">
      <c r="B1241" t="str">
        <f>IF(C1241="","",C1241&amp;COUNTIF(C$9:C1241,C1241))</f>
        <v/>
      </c>
    </row>
    <row r="1242" spans="2:2" x14ac:dyDescent="0.25">
      <c r="B1242" t="str">
        <f>IF(C1242="","",C1242&amp;COUNTIF(C$9:C1242,C1242))</f>
        <v/>
      </c>
    </row>
    <row r="1243" spans="2:2" x14ac:dyDescent="0.25">
      <c r="B1243" t="str">
        <f>IF(C1243="","",C1243&amp;COUNTIF(C$9:C1243,C1243))</f>
        <v/>
      </c>
    </row>
    <row r="1244" spans="2:2" x14ac:dyDescent="0.25">
      <c r="B1244" t="str">
        <f>IF(C1244="","",C1244&amp;COUNTIF(C$9:C1244,C1244))</f>
        <v/>
      </c>
    </row>
    <row r="1245" spans="2:2" x14ac:dyDescent="0.25">
      <c r="B1245" t="str">
        <f>IF(C1245="","",C1245&amp;COUNTIF(C$9:C1245,C1245))</f>
        <v/>
      </c>
    </row>
    <row r="1246" spans="2:2" x14ac:dyDescent="0.25">
      <c r="B1246" t="str">
        <f>IF(C1246="","",C1246&amp;COUNTIF(C$9:C1246,C1246))</f>
        <v/>
      </c>
    </row>
    <row r="1247" spans="2:2" x14ac:dyDescent="0.25">
      <c r="B1247" t="str">
        <f>IF(C1247="","",C1247&amp;COUNTIF(C$9:C1247,C1247))</f>
        <v/>
      </c>
    </row>
    <row r="1248" spans="2:2" x14ac:dyDescent="0.25">
      <c r="B1248" t="str">
        <f>IF(C1248="","",C1248&amp;COUNTIF(C$9:C1248,C1248))</f>
        <v/>
      </c>
    </row>
    <row r="1249" spans="2:2" x14ac:dyDescent="0.25">
      <c r="B1249" t="str">
        <f>IF(C1249="","",C1249&amp;COUNTIF(C$9:C1249,C1249))</f>
        <v/>
      </c>
    </row>
    <row r="1250" spans="2:2" x14ac:dyDescent="0.25">
      <c r="B1250" t="str">
        <f>IF(C1250="","",C1250&amp;COUNTIF(C$9:C1250,C1250))</f>
        <v/>
      </c>
    </row>
    <row r="1251" spans="2:2" x14ac:dyDescent="0.25">
      <c r="B1251" t="str">
        <f>IF(C1251="","",C1251&amp;COUNTIF(C$9:C1251,C1251))</f>
        <v/>
      </c>
    </row>
    <row r="1252" spans="2:2" x14ac:dyDescent="0.25">
      <c r="B1252" t="str">
        <f>IF(C1252="","",C1252&amp;COUNTIF(C$9:C1252,C1252))</f>
        <v/>
      </c>
    </row>
    <row r="1253" spans="2:2" x14ac:dyDescent="0.25">
      <c r="B1253" t="str">
        <f>IF(C1253="","",C1253&amp;COUNTIF(C$9:C1253,C1253))</f>
        <v/>
      </c>
    </row>
    <row r="1254" spans="2:2" x14ac:dyDescent="0.25">
      <c r="B1254" t="str">
        <f>IF(C1254="","",C1254&amp;COUNTIF(C$9:C1254,C1254))</f>
        <v/>
      </c>
    </row>
    <row r="1255" spans="2:2" x14ac:dyDescent="0.25">
      <c r="B1255" t="str">
        <f>IF(C1255="","",C1255&amp;COUNTIF(C$9:C1255,C1255))</f>
        <v/>
      </c>
    </row>
    <row r="1256" spans="2:2" x14ac:dyDescent="0.25">
      <c r="B1256" t="str">
        <f>IF(C1256="","",C1256&amp;COUNTIF(C$9:C1256,C1256))</f>
        <v/>
      </c>
    </row>
    <row r="1257" spans="2:2" x14ac:dyDescent="0.25">
      <c r="B1257" t="str">
        <f>IF(C1257="","",C1257&amp;COUNTIF(C$9:C1257,C1257))</f>
        <v/>
      </c>
    </row>
    <row r="1258" spans="2:2" x14ac:dyDescent="0.25">
      <c r="B1258" t="str">
        <f>IF(C1258="","",C1258&amp;COUNTIF(C$9:C1258,C1258))</f>
        <v/>
      </c>
    </row>
    <row r="1259" spans="2:2" x14ac:dyDescent="0.25">
      <c r="B1259" t="str">
        <f>IF(C1259="","",C1259&amp;COUNTIF(C$9:C1259,C1259))</f>
        <v/>
      </c>
    </row>
    <row r="1260" spans="2:2" x14ac:dyDescent="0.25">
      <c r="B1260" t="str">
        <f>IF(C1260="","",C1260&amp;COUNTIF(C$9:C1260,C1260))</f>
        <v/>
      </c>
    </row>
    <row r="1261" spans="2:2" x14ac:dyDescent="0.25">
      <c r="B1261" t="str">
        <f>IF(C1261="","",C1261&amp;COUNTIF(C$9:C1261,C1261))</f>
        <v/>
      </c>
    </row>
    <row r="1262" spans="2:2" x14ac:dyDescent="0.25">
      <c r="B1262" t="str">
        <f>IF(C1262="","",C1262&amp;COUNTIF(C$9:C1262,C1262))</f>
        <v/>
      </c>
    </row>
    <row r="1263" spans="2:2" x14ac:dyDescent="0.25">
      <c r="B1263" t="str">
        <f>IF(C1263="","",C1263&amp;COUNTIF(C$9:C1263,C1263))</f>
        <v/>
      </c>
    </row>
    <row r="1264" spans="2:2" x14ac:dyDescent="0.25">
      <c r="B1264" t="str">
        <f>IF(C1264="","",C1264&amp;COUNTIF(C$9:C1264,C1264))</f>
        <v/>
      </c>
    </row>
    <row r="1265" spans="2:2" x14ac:dyDescent="0.25">
      <c r="B1265" t="str">
        <f>IF(C1265="","",C1265&amp;COUNTIF(C$9:C1265,C1265))</f>
        <v/>
      </c>
    </row>
    <row r="1266" spans="2:2" x14ac:dyDescent="0.25">
      <c r="B1266" t="str">
        <f>IF(C1266="","",C1266&amp;COUNTIF(C$9:C1266,C1266))</f>
        <v/>
      </c>
    </row>
    <row r="1267" spans="2:2" x14ac:dyDescent="0.25">
      <c r="B1267" t="str">
        <f>IF(C1267="","",C1267&amp;COUNTIF(C$9:C1267,C1267))</f>
        <v/>
      </c>
    </row>
    <row r="1268" spans="2:2" x14ac:dyDescent="0.25">
      <c r="B1268" t="str">
        <f>IF(C1268="","",C1268&amp;COUNTIF(C$9:C1268,C1268))</f>
        <v/>
      </c>
    </row>
    <row r="1269" spans="2:2" x14ac:dyDescent="0.25">
      <c r="B1269" t="str">
        <f>IF(C1269="","",C1269&amp;COUNTIF(C$9:C1269,C1269))</f>
        <v/>
      </c>
    </row>
    <row r="1270" spans="2:2" x14ac:dyDescent="0.25">
      <c r="B1270" t="str">
        <f>IF(C1270="","",C1270&amp;COUNTIF(C$9:C1270,C1270))</f>
        <v/>
      </c>
    </row>
    <row r="1271" spans="2:2" x14ac:dyDescent="0.25">
      <c r="B1271" t="str">
        <f>IF(C1271="","",C1271&amp;COUNTIF(C$9:C1271,C1271))</f>
        <v/>
      </c>
    </row>
    <row r="1272" spans="2:2" x14ac:dyDescent="0.25">
      <c r="B1272" t="str">
        <f>IF(C1272="","",C1272&amp;COUNTIF(C$9:C1272,C1272))</f>
        <v/>
      </c>
    </row>
    <row r="1273" spans="2:2" x14ac:dyDescent="0.25">
      <c r="B1273" t="str">
        <f>IF(C1273="","",C1273&amp;COUNTIF(C$9:C1273,C1273))</f>
        <v/>
      </c>
    </row>
    <row r="1274" spans="2:2" x14ac:dyDescent="0.25">
      <c r="B1274" t="str">
        <f>IF(C1274="","",C1274&amp;COUNTIF(C$9:C1274,C1274))</f>
        <v/>
      </c>
    </row>
    <row r="1275" spans="2:2" x14ac:dyDescent="0.25">
      <c r="B1275" t="str">
        <f>IF(C1275="","",C1275&amp;COUNTIF(C$9:C1275,C1275))</f>
        <v/>
      </c>
    </row>
    <row r="1276" spans="2:2" x14ac:dyDescent="0.25">
      <c r="B1276" t="str">
        <f>IF(C1276="","",C1276&amp;COUNTIF(C$9:C1276,C1276))</f>
        <v/>
      </c>
    </row>
    <row r="1277" spans="2:2" x14ac:dyDescent="0.25">
      <c r="B1277" t="str">
        <f>IF(C1277="","",C1277&amp;COUNTIF(C$9:C1277,C1277))</f>
        <v/>
      </c>
    </row>
    <row r="1278" spans="2:2" x14ac:dyDescent="0.25">
      <c r="B1278" t="str">
        <f>IF(C1278="","",C1278&amp;COUNTIF(C$9:C1278,C1278))</f>
        <v/>
      </c>
    </row>
    <row r="1279" spans="2:2" x14ac:dyDescent="0.25">
      <c r="B1279" t="str">
        <f>IF(C1279="","",C1279&amp;COUNTIF(C$9:C1279,C1279))</f>
        <v/>
      </c>
    </row>
    <row r="1280" spans="2:2" x14ac:dyDescent="0.25">
      <c r="B1280" t="str">
        <f>IF(C1280="","",C1280&amp;COUNTIF(C$9:C1280,C1280))</f>
        <v/>
      </c>
    </row>
    <row r="1281" spans="2:2" x14ac:dyDescent="0.25">
      <c r="B1281" t="str">
        <f>IF(C1281="","",C1281&amp;COUNTIF(C$9:C1281,C1281))</f>
        <v/>
      </c>
    </row>
    <row r="1282" spans="2:2" x14ac:dyDescent="0.25">
      <c r="B1282" t="str">
        <f>IF(C1282="","",C1282&amp;COUNTIF(C$9:C1282,C1282))</f>
        <v/>
      </c>
    </row>
    <row r="1283" spans="2:2" x14ac:dyDescent="0.25">
      <c r="B1283" t="str">
        <f>IF(C1283="","",C1283&amp;COUNTIF(C$9:C1283,C1283))</f>
        <v/>
      </c>
    </row>
    <row r="1284" spans="2:2" x14ac:dyDescent="0.25">
      <c r="B1284" t="str">
        <f>IF(C1284="","",C1284&amp;COUNTIF(C$9:C1284,C1284))</f>
        <v/>
      </c>
    </row>
    <row r="1285" spans="2:2" x14ac:dyDescent="0.25">
      <c r="B1285" t="str">
        <f>IF(C1285="","",C1285&amp;COUNTIF(C$9:C1285,C1285))</f>
        <v/>
      </c>
    </row>
    <row r="1286" spans="2:2" x14ac:dyDescent="0.25">
      <c r="B1286" t="str">
        <f>IF(C1286="","",C1286&amp;COUNTIF(C$9:C1286,C1286))</f>
        <v/>
      </c>
    </row>
    <row r="1287" spans="2:2" x14ac:dyDescent="0.25">
      <c r="B1287" t="str">
        <f>IF(C1287="","",C1287&amp;COUNTIF(C$9:C1287,C1287))</f>
        <v/>
      </c>
    </row>
    <row r="1288" spans="2:2" x14ac:dyDescent="0.25">
      <c r="B1288" t="str">
        <f>IF(C1288="","",C1288&amp;COUNTIF(C$9:C1288,C1288))</f>
        <v/>
      </c>
    </row>
    <row r="1289" spans="2:2" x14ac:dyDescent="0.25">
      <c r="B1289" t="str">
        <f>IF(C1289="","",C1289&amp;COUNTIF(C$9:C1289,C1289))</f>
        <v/>
      </c>
    </row>
    <row r="1290" spans="2:2" x14ac:dyDescent="0.25">
      <c r="B1290" t="str">
        <f>IF(C1290="","",C1290&amp;COUNTIF(C$9:C1290,C1290))</f>
        <v/>
      </c>
    </row>
    <row r="1291" spans="2:2" x14ac:dyDescent="0.25">
      <c r="B1291" t="str">
        <f>IF(C1291="","",C1291&amp;COUNTIF(C$9:C1291,C1291))</f>
        <v/>
      </c>
    </row>
    <row r="1292" spans="2:2" x14ac:dyDescent="0.25">
      <c r="B1292" t="str">
        <f>IF(C1292="","",C1292&amp;COUNTIF(C$9:C1292,C1292))</f>
        <v/>
      </c>
    </row>
    <row r="1293" spans="2:2" x14ac:dyDescent="0.25">
      <c r="B1293" t="str">
        <f>IF(C1293="","",C1293&amp;COUNTIF(C$9:C1293,C1293))</f>
        <v/>
      </c>
    </row>
    <row r="1294" spans="2:2" x14ac:dyDescent="0.25">
      <c r="B1294" t="str">
        <f>IF(C1294="","",C1294&amp;COUNTIF(C$9:C1294,C1294))</f>
        <v/>
      </c>
    </row>
    <row r="1295" spans="2:2" x14ac:dyDescent="0.25">
      <c r="B1295" t="str">
        <f>IF(C1295="","",C1295&amp;COUNTIF(C$9:C1295,C1295))</f>
        <v/>
      </c>
    </row>
    <row r="1296" spans="2:2" x14ac:dyDescent="0.25">
      <c r="B1296" t="str">
        <f>IF(C1296="","",C1296&amp;COUNTIF(C$9:C1296,C1296))</f>
        <v/>
      </c>
    </row>
    <row r="1297" spans="2:2" x14ac:dyDescent="0.25">
      <c r="B1297" t="str">
        <f>IF(C1297="","",C1297&amp;COUNTIF(C$9:C1297,C1297))</f>
        <v/>
      </c>
    </row>
    <row r="1298" spans="2:2" x14ac:dyDescent="0.25">
      <c r="B1298" t="str">
        <f>IF(C1298="","",C1298&amp;COUNTIF(C$9:C1298,C1298))</f>
        <v/>
      </c>
    </row>
    <row r="1299" spans="2:2" x14ac:dyDescent="0.25">
      <c r="B1299" t="str">
        <f>IF(C1299="","",C1299&amp;COUNTIF(C$9:C1299,C1299))</f>
        <v/>
      </c>
    </row>
    <row r="1300" spans="2:2" x14ac:dyDescent="0.25">
      <c r="B1300" t="str">
        <f>IF(C1300="","",C1300&amp;COUNTIF(C$9:C1300,C1300))</f>
        <v/>
      </c>
    </row>
    <row r="1301" spans="2:2" x14ac:dyDescent="0.25">
      <c r="B1301" t="str">
        <f>IF(C1301="","",C1301&amp;COUNTIF(C$9:C1301,C1301))</f>
        <v/>
      </c>
    </row>
    <row r="1302" spans="2:2" x14ac:dyDescent="0.25">
      <c r="B1302" t="str">
        <f>IF(C1302="","",C1302&amp;COUNTIF(C$9:C1302,C1302))</f>
        <v/>
      </c>
    </row>
    <row r="1303" spans="2:2" x14ac:dyDescent="0.25">
      <c r="B1303" t="str">
        <f>IF(C1303="","",C1303&amp;COUNTIF(C$9:C1303,C1303))</f>
        <v/>
      </c>
    </row>
    <row r="1304" spans="2:2" x14ac:dyDescent="0.25">
      <c r="B1304" t="str">
        <f>IF(C1304="","",C1304&amp;COUNTIF(C$9:C1304,C1304))</f>
        <v/>
      </c>
    </row>
    <row r="1305" spans="2:2" x14ac:dyDescent="0.25">
      <c r="B1305" t="str">
        <f>IF(C1305="","",C1305&amp;COUNTIF(C$9:C1305,C1305))</f>
        <v/>
      </c>
    </row>
    <row r="1306" spans="2:2" x14ac:dyDescent="0.25">
      <c r="B1306" t="str">
        <f>IF(C1306="","",C1306&amp;COUNTIF(C$9:C1306,C1306))</f>
        <v/>
      </c>
    </row>
    <row r="1307" spans="2:2" x14ac:dyDescent="0.25">
      <c r="B1307" t="str">
        <f>IF(C1307="","",C1307&amp;COUNTIF(C$9:C1307,C1307))</f>
        <v/>
      </c>
    </row>
    <row r="1308" spans="2:2" x14ac:dyDescent="0.25">
      <c r="B1308" t="str">
        <f>IF(C1308="","",C1308&amp;COUNTIF(C$9:C1308,C1308))</f>
        <v/>
      </c>
    </row>
    <row r="1309" spans="2:2" x14ac:dyDescent="0.25">
      <c r="B1309" t="str">
        <f>IF(C1309="","",C1309&amp;COUNTIF(C$9:C1309,C1309))</f>
        <v/>
      </c>
    </row>
    <row r="1310" spans="2:2" x14ac:dyDescent="0.25">
      <c r="B1310" t="str">
        <f>IF(C1310="","",C1310&amp;COUNTIF(C$9:C1310,C1310))</f>
        <v/>
      </c>
    </row>
    <row r="1311" spans="2:2" x14ac:dyDescent="0.25">
      <c r="B1311" t="str">
        <f>IF(C1311="","",C1311&amp;COUNTIF(C$9:C1311,C1311))</f>
        <v/>
      </c>
    </row>
    <row r="1312" spans="2:2" x14ac:dyDescent="0.25">
      <c r="B1312" t="str">
        <f>IF(C1312="","",C1312&amp;COUNTIF(C$9:C1312,C1312))</f>
        <v/>
      </c>
    </row>
    <row r="1313" spans="2:2" x14ac:dyDescent="0.25">
      <c r="B1313" t="str">
        <f>IF(C1313="","",C1313&amp;COUNTIF(C$9:C1313,C1313))</f>
        <v/>
      </c>
    </row>
    <row r="1314" spans="2:2" x14ac:dyDescent="0.25">
      <c r="B1314" t="str">
        <f>IF(C1314="","",C1314&amp;COUNTIF(C$9:C1314,C1314))</f>
        <v/>
      </c>
    </row>
    <row r="1315" spans="2:2" x14ac:dyDescent="0.25">
      <c r="B1315" t="str">
        <f>IF(C1315="","",C1315&amp;COUNTIF(C$9:C1315,C1315))</f>
        <v/>
      </c>
    </row>
    <row r="1316" spans="2:2" x14ac:dyDescent="0.25">
      <c r="B1316" t="str">
        <f>IF(C1316="","",C1316&amp;COUNTIF(C$9:C1316,C1316))</f>
        <v/>
      </c>
    </row>
    <row r="1317" spans="2:2" x14ac:dyDescent="0.25">
      <c r="B1317" t="str">
        <f>IF(C1317="","",C1317&amp;COUNTIF(C$9:C1317,C1317))</f>
        <v/>
      </c>
    </row>
    <row r="1318" spans="2:2" x14ac:dyDescent="0.25">
      <c r="B1318" t="str">
        <f>IF(C1318="","",C1318&amp;COUNTIF(C$9:C1318,C1318))</f>
        <v/>
      </c>
    </row>
    <row r="1319" spans="2:2" x14ac:dyDescent="0.25">
      <c r="B1319" t="str">
        <f>IF(C1319="","",C1319&amp;COUNTIF(C$9:C1319,C1319))</f>
        <v/>
      </c>
    </row>
    <row r="1320" spans="2:2" x14ac:dyDescent="0.25">
      <c r="B1320" t="str">
        <f>IF(C1320="","",C1320&amp;COUNTIF(C$9:C1320,C1320))</f>
        <v/>
      </c>
    </row>
    <row r="1321" spans="2:2" x14ac:dyDescent="0.25">
      <c r="B1321" t="str">
        <f>IF(C1321="","",C1321&amp;COUNTIF(C$9:C1321,C1321))</f>
        <v/>
      </c>
    </row>
    <row r="1322" spans="2:2" x14ac:dyDescent="0.25">
      <c r="B1322" t="str">
        <f>IF(C1322="","",C1322&amp;COUNTIF(C$9:C1322,C1322))</f>
        <v/>
      </c>
    </row>
    <row r="1323" spans="2:2" x14ac:dyDescent="0.25">
      <c r="B1323" t="str">
        <f>IF(C1323="","",C1323&amp;COUNTIF(C$9:C1323,C1323))</f>
        <v/>
      </c>
    </row>
    <row r="1324" spans="2:2" x14ac:dyDescent="0.25">
      <c r="B1324" t="str">
        <f>IF(C1324="","",C1324&amp;COUNTIF(C$9:C1324,C1324))</f>
        <v/>
      </c>
    </row>
    <row r="1325" spans="2:2" x14ac:dyDescent="0.25">
      <c r="B1325" t="str">
        <f>IF(C1325="","",C1325&amp;COUNTIF(C$9:C1325,C1325))</f>
        <v/>
      </c>
    </row>
    <row r="1326" spans="2:2" x14ac:dyDescent="0.25">
      <c r="B1326" t="str">
        <f>IF(C1326="","",C1326&amp;COUNTIF(C$9:C1326,C1326))</f>
        <v/>
      </c>
    </row>
    <row r="1327" spans="2:2" x14ac:dyDescent="0.25">
      <c r="B1327" t="str">
        <f>IF(C1327="","",C1327&amp;COUNTIF(C$9:C1327,C1327))</f>
        <v/>
      </c>
    </row>
    <row r="1328" spans="2:2" x14ac:dyDescent="0.25">
      <c r="B1328" t="str">
        <f>IF(C1328="","",C1328&amp;COUNTIF(C$9:C1328,C1328))</f>
        <v/>
      </c>
    </row>
    <row r="1329" spans="2:2" x14ac:dyDescent="0.25">
      <c r="B1329" t="str">
        <f>IF(C1329="","",C1329&amp;COUNTIF(C$9:C1329,C1329))</f>
        <v/>
      </c>
    </row>
    <row r="1330" spans="2:2" x14ac:dyDescent="0.25">
      <c r="B1330" t="str">
        <f>IF(C1330="","",C1330&amp;COUNTIF(C$9:C1330,C1330))</f>
        <v/>
      </c>
    </row>
    <row r="1331" spans="2:2" x14ac:dyDescent="0.25">
      <c r="B1331" t="str">
        <f>IF(C1331="","",C1331&amp;COUNTIF(C$9:C1331,C1331))</f>
        <v/>
      </c>
    </row>
    <row r="1332" spans="2:2" x14ac:dyDescent="0.25">
      <c r="B1332" t="str">
        <f>IF(C1332="","",C1332&amp;COUNTIF(C$9:C1332,C1332))</f>
        <v/>
      </c>
    </row>
    <row r="1333" spans="2:2" x14ac:dyDescent="0.25">
      <c r="B1333" t="str">
        <f>IF(C1333="","",C1333&amp;COUNTIF(C$9:C1333,C1333))</f>
        <v/>
      </c>
    </row>
    <row r="1334" spans="2:2" x14ac:dyDescent="0.25">
      <c r="B1334" t="str">
        <f>IF(C1334="","",C1334&amp;COUNTIF(C$9:C1334,C1334))</f>
        <v/>
      </c>
    </row>
    <row r="1335" spans="2:2" x14ac:dyDescent="0.25">
      <c r="B1335" t="str">
        <f>IF(C1335="","",C1335&amp;COUNTIF(C$9:C1335,C1335))</f>
        <v/>
      </c>
    </row>
    <row r="1336" spans="2:2" x14ac:dyDescent="0.25">
      <c r="B1336" t="str">
        <f>IF(C1336="","",C1336&amp;COUNTIF(C$9:C1336,C1336))</f>
        <v/>
      </c>
    </row>
    <row r="1337" spans="2:2" x14ac:dyDescent="0.25">
      <c r="B1337" t="str">
        <f>IF(C1337="","",C1337&amp;COUNTIF(C$9:C1337,C1337))</f>
        <v/>
      </c>
    </row>
    <row r="1338" spans="2:2" x14ac:dyDescent="0.25">
      <c r="B1338" t="str">
        <f>IF(C1338="","",C1338&amp;COUNTIF(C$9:C1338,C1338))</f>
        <v/>
      </c>
    </row>
    <row r="1339" spans="2:2" x14ac:dyDescent="0.25">
      <c r="B1339" t="str">
        <f>IF(C1339="","",C1339&amp;COUNTIF(C$9:C1339,C1339))</f>
        <v/>
      </c>
    </row>
    <row r="1340" spans="2:2" x14ac:dyDescent="0.25">
      <c r="B1340" t="str">
        <f>IF(C1340="","",C1340&amp;COUNTIF(C$9:C1340,C1340))</f>
        <v/>
      </c>
    </row>
    <row r="1341" spans="2:2" x14ac:dyDescent="0.25">
      <c r="B1341" t="str">
        <f>IF(C1341="","",C1341&amp;COUNTIF(C$9:C1341,C1341))</f>
        <v/>
      </c>
    </row>
    <row r="1342" spans="2:2" x14ac:dyDescent="0.25">
      <c r="B1342" t="str">
        <f>IF(C1342="","",C1342&amp;COUNTIF(C$9:C1342,C1342))</f>
        <v/>
      </c>
    </row>
    <row r="1343" spans="2:2" x14ac:dyDescent="0.25">
      <c r="B1343" t="str">
        <f>IF(C1343="","",C1343&amp;COUNTIF(C$9:C1343,C1343))</f>
        <v/>
      </c>
    </row>
    <row r="1344" spans="2:2" x14ac:dyDescent="0.25">
      <c r="B1344" t="str">
        <f>IF(C1344="","",C1344&amp;COUNTIF(C$9:C1344,C1344))</f>
        <v/>
      </c>
    </row>
    <row r="1345" spans="2:2" x14ac:dyDescent="0.25">
      <c r="B1345" t="str">
        <f>IF(C1345="","",C1345&amp;COUNTIF(C$9:C1345,C1345))</f>
        <v/>
      </c>
    </row>
    <row r="1346" spans="2:2" x14ac:dyDescent="0.25">
      <c r="B1346" t="str">
        <f>IF(C1346="","",C1346&amp;COUNTIF(C$9:C1346,C1346))</f>
        <v/>
      </c>
    </row>
    <row r="1347" spans="2:2" x14ac:dyDescent="0.25">
      <c r="B1347" t="str">
        <f>IF(C1347="","",C1347&amp;COUNTIF(C$9:C1347,C1347))</f>
        <v/>
      </c>
    </row>
    <row r="1348" spans="2:2" x14ac:dyDescent="0.25">
      <c r="B1348" t="str">
        <f>IF(C1348="","",C1348&amp;COUNTIF(C$9:C1348,C1348))</f>
        <v/>
      </c>
    </row>
    <row r="1349" spans="2:2" x14ac:dyDescent="0.25">
      <c r="B1349" t="str">
        <f>IF(C1349="","",C1349&amp;COUNTIF(C$9:C1349,C1349))</f>
        <v/>
      </c>
    </row>
    <row r="1350" spans="2:2" x14ac:dyDescent="0.25">
      <c r="B1350" t="str">
        <f>IF(C1350="","",C1350&amp;COUNTIF(C$9:C1350,C1350))</f>
        <v/>
      </c>
    </row>
    <row r="1351" spans="2:2" x14ac:dyDescent="0.25">
      <c r="B1351" t="str">
        <f>IF(C1351="","",C1351&amp;COUNTIF(C$9:C1351,C1351))</f>
        <v/>
      </c>
    </row>
    <row r="1352" spans="2:2" x14ac:dyDescent="0.25">
      <c r="B1352" t="str">
        <f>IF(C1352="","",C1352&amp;COUNTIF(C$9:C1352,C1352))</f>
        <v/>
      </c>
    </row>
    <row r="1353" spans="2:2" x14ac:dyDescent="0.25">
      <c r="B1353" t="str">
        <f>IF(C1353="","",C1353&amp;COUNTIF(C$9:C1353,C1353))</f>
        <v/>
      </c>
    </row>
    <row r="1354" spans="2:2" x14ac:dyDescent="0.25">
      <c r="B1354" t="str">
        <f>IF(C1354="","",C1354&amp;COUNTIF(C$9:C1354,C1354))</f>
        <v/>
      </c>
    </row>
    <row r="1355" spans="2:2" x14ac:dyDescent="0.25">
      <c r="B1355" t="str">
        <f>IF(C1355="","",C1355&amp;COUNTIF(C$9:C1355,C1355))</f>
        <v/>
      </c>
    </row>
    <row r="1356" spans="2:2" x14ac:dyDescent="0.25">
      <c r="B1356" t="str">
        <f>IF(C1356="","",C1356&amp;COUNTIF(C$9:C1356,C1356))</f>
        <v/>
      </c>
    </row>
    <row r="1357" spans="2:2" x14ac:dyDescent="0.25">
      <c r="B1357" t="str">
        <f>IF(C1357="","",C1357&amp;COUNTIF(C$9:C1357,C1357))</f>
        <v/>
      </c>
    </row>
    <row r="1358" spans="2:2" x14ac:dyDescent="0.25">
      <c r="B1358" t="str">
        <f>IF(C1358="","",C1358&amp;COUNTIF(C$9:C1358,C1358))</f>
        <v/>
      </c>
    </row>
    <row r="1359" spans="2:2" x14ac:dyDescent="0.25">
      <c r="B1359" t="str">
        <f>IF(C1359="","",C1359&amp;COUNTIF(C$9:C1359,C1359))</f>
        <v/>
      </c>
    </row>
    <row r="1360" spans="2:2" x14ac:dyDescent="0.25">
      <c r="B1360" t="str">
        <f>IF(C1360="","",C1360&amp;COUNTIF(C$9:C1360,C1360))</f>
        <v/>
      </c>
    </row>
    <row r="1361" spans="2:2" x14ac:dyDescent="0.25">
      <c r="B1361" t="str">
        <f>IF(C1361="","",C1361&amp;COUNTIF(C$9:C1361,C1361))</f>
        <v/>
      </c>
    </row>
    <row r="1362" spans="2:2" x14ac:dyDescent="0.25">
      <c r="B1362" t="str">
        <f>IF(C1362="","",C1362&amp;COUNTIF(C$9:C1362,C1362))</f>
        <v/>
      </c>
    </row>
    <row r="1363" spans="2:2" x14ac:dyDescent="0.25">
      <c r="B1363" t="str">
        <f>IF(C1363="","",C1363&amp;COUNTIF(C$9:C1363,C1363))</f>
        <v/>
      </c>
    </row>
    <row r="1364" spans="2:2" x14ac:dyDescent="0.25">
      <c r="B1364" t="str">
        <f>IF(C1364="","",C1364&amp;COUNTIF(C$9:C1364,C1364))</f>
        <v/>
      </c>
    </row>
    <row r="1365" spans="2:2" x14ac:dyDescent="0.25">
      <c r="B1365" t="str">
        <f>IF(C1365="","",C1365&amp;COUNTIF(C$9:C1365,C1365))</f>
        <v/>
      </c>
    </row>
    <row r="1366" spans="2:2" x14ac:dyDescent="0.25">
      <c r="B1366" t="str">
        <f>IF(C1366="","",C1366&amp;COUNTIF(C$9:C1366,C1366))</f>
        <v/>
      </c>
    </row>
    <row r="1367" spans="2:2" x14ac:dyDescent="0.25">
      <c r="B1367" t="str">
        <f>IF(C1367="","",C1367&amp;COUNTIF(C$9:C1367,C1367))</f>
        <v/>
      </c>
    </row>
    <row r="1368" spans="2:2" x14ac:dyDescent="0.25">
      <c r="B1368" t="str">
        <f>IF(C1368="","",C1368&amp;COUNTIF(C$9:C1368,C1368))</f>
        <v/>
      </c>
    </row>
    <row r="1369" spans="2:2" x14ac:dyDescent="0.25">
      <c r="B1369" t="str">
        <f>IF(C1369="","",C1369&amp;COUNTIF(C$9:C1369,C1369))</f>
        <v/>
      </c>
    </row>
    <row r="1370" spans="2:2" x14ac:dyDescent="0.25">
      <c r="B1370" t="str">
        <f>IF(C1370="","",C1370&amp;COUNTIF(C$9:C1370,C1370))</f>
        <v/>
      </c>
    </row>
    <row r="1371" spans="2:2" x14ac:dyDescent="0.25">
      <c r="B1371" t="str">
        <f>IF(C1371="","",C1371&amp;COUNTIF(C$9:C1371,C1371))</f>
        <v/>
      </c>
    </row>
    <row r="1372" spans="2:2" x14ac:dyDescent="0.25">
      <c r="B1372" t="str">
        <f>IF(C1372="","",C1372&amp;COUNTIF(C$9:C1372,C1372))</f>
        <v/>
      </c>
    </row>
    <row r="1373" spans="2:2" x14ac:dyDescent="0.25">
      <c r="B1373" t="str">
        <f>IF(C1373="","",C1373&amp;COUNTIF(C$9:C1373,C1373))</f>
        <v/>
      </c>
    </row>
    <row r="1374" spans="2:2" x14ac:dyDescent="0.25">
      <c r="B1374" t="str">
        <f>IF(C1374="","",C1374&amp;COUNTIF(C$9:C1374,C1374))</f>
        <v/>
      </c>
    </row>
    <row r="1375" spans="2:2" x14ac:dyDescent="0.25">
      <c r="B1375" t="str">
        <f>IF(C1375="","",C1375&amp;COUNTIF(C$9:C1375,C1375))</f>
        <v/>
      </c>
    </row>
    <row r="1376" spans="2:2" x14ac:dyDescent="0.25">
      <c r="B1376" t="str">
        <f>IF(C1376="","",C1376&amp;COUNTIF(C$9:C1376,C1376))</f>
        <v/>
      </c>
    </row>
    <row r="1377" spans="2:2" x14ac:dyDescent="0.25">
      <c r="B1377" t="str">
        <f>IF(C1377="","",C1377&amp;COUNTIF(C$9:C1377,C1377))</f>
        <v/>
      </c>
    </row>
    <row r="1378" spans="2:2" x14ac:dyDescent="0.25">
      <c r="B1378" t="str">
        <f>IF(C1378="","",C1378&amp;COUNTIF(C$9:C1378,C1378))</f>
        <v/>
      </c>
    </row>
    <row r="1379" spans="2:2" x14ac:dyDescent="0.25">
      <c r="B1379" t="str">
        <f>IF(C1379="","",C1379&amp;COUNTIF(C$9:C1379,C1379))</f>
        <v/>
      </c>
    </row>
    <row r="1380" spans="2:2" x14ac:dyDescent="0.25">
      <c r="B1380" t="str">
        <f>IF(C1380="","",C1380&amp;COUNTIF(C$9:C1380,C1380))</f>
        <v/>
      </c>
    </row>
    <row r="1381" spans="2:2" x14ac:dyDescent="0.25">
      <c r="B1381" t="str">
        <f>IF(C1381="","",C1381&amp;COUNTIF(C$9:C1381,C1381))</f>
        <v/>
      </c>
    </row>
    <row r="1382" spans="2:2" x14ac:dyDescent="0.25">
      <c r="B1382" t="str">
        <f>IF(C1382="","",C1382&amp;COUNTIF(C$9:C1382,C1382))</f>
        <v/>
      </c>
    </row>
    <row r="1383" spans="2:2" x14ac:dyDescent="0.25">
      <c r="B1383" t="str">
        <f>IF(C1383="","",C1383&amp;COUNTIF(C$9:C1383,C1383))</f>
        <v/>
      </c>
    </row>
    <row r="1384" spans="2:2" x14ac:dyDescent="0.25">
      <c r="B1384" t="str">
        <f>IF(C1384="","",C1384&amp;COUNTIF(C$9:C1384,C1384))</f>
        <v/>
      </c>
    </row>
    <row r="1385" spans="2:2" x14ac:dyDescent="0.25">
      <c r="B1385" t="str">
        <f>IF(C1385="","",C1385&amp;COUNTIF(C$9:C1385,C1385))</f>
        <v/>
      </c>
    </row>
    <row r="1386" spans="2:2" x14ac:dyDescent="0.25">
      <c r="B1386" t="str">
        <f>IF(C1386="","",C1386&amp;COUNTIF(C$9:C1386,C1386))</f>
        <v/>
      </c>
    </row>
    <row r="1387" spans="2:2" x14ac:dyDescent="0.25">
      <c r="B1387" t="str">
        <f>IF(C1387="","",C1387&amp;COUNTIF(C$9:C1387,C1387))</f>
        <v/>
      </c>
    </row>
    <row r="1388" spans="2:2" x14ac:dyDescent="0.25">
      <c r="B1388" t="str">
        <f>IF(C1388="","",C1388&amp;COUNTIF(C$9:C1388,C1388))</f>
        <v/>
      </c>
    </row>
    <row r="1389" spans="2:2" x14ac:dyDescent="0.25">
      <c r="B1389" t="str">
        <f>IF(C1389="","",C1389&amp;COUNTIF(C$9:C1389,C1389))</f>
        <v/>
      </c>
    </row>
    <row r="1390" spans="2:2" x14ac:dyDescent="0.25">
      <c r="B1390" t="str">
        <f>IF(C1390="","",C1390&amp;COUNTIF(C$9:C1390,C1390))</f>
        <v/>
      </c>
    </row>
    <row r="1391" spans="2:2" x14ac:dyDescent="0.25">
      <c r="B1391" t="str">
        <f>IF(C1391="","",C1391&amp;COUNTIF(C$9:C1391,C1391))</f>
        <v/>
      </c>
    </row>
    <row r="1392" spans="2:2" x14ac:dyDescent="0.25">
      <c r="B1392" t="str">
        <f>IF(C1392="","",C1392&amp;COUNTIF(C$9:C1392,C1392))</f>
        <v/>
      </c>
    </row>
    <row r="1393" spans="2:2" x14ac:dyDescent="0.25">
      <c r="B1393" t="str">
        <f>IF(C1393="","",C1393&amp;COUNTIF(C$9:C1393,C1393))</f>
        <v/>
      </c>
    </row>
    <row r="1394" spans="2:2" x14ac:dyDescent="0.25">
      <c r="B1394" t="str">
        <f>IF(C1394="","",C1394&amp;COUNTIF(C$9:C1394,C1394))</f>
        <v/>
      </c>
    </row>
    <row r="1395" spans="2:2" x14ac:dyDescent="0.25">
      <c r="B1395" t="str">
        <f>IF(C1395="","",C1395&amp;COUNTIF(C$9:C1395,C1395))</f>
        <v/>
      </c>
    </row>
    <row r="1396" spans="2:2" x14ac:dyDescent="0.25">
      <c r="B1396" t="str">
        <f>IF(C1396="","",C1396&amp;COUNTIF(C$9:C1396,C1396))</f>
        <v/>
      </c>
    </row>
    <row r="1397" spans="2:2" x14ac:dyDescent="0.25">
      <c r="B1397" t="str">
        <f>IF(C1397="","",C1397&amp;COUNTIF(C$9:C1397,C1397))</f>
        <v/>
      </c>
    </row>
    <row r="1398" spans="2:2" x14ac:dyDescent="0.25">
      <c r="B1398" t="str">
        <f>IF(C1398="","",C1398&amp;COUNTIF(C$9:C1398,C1398))</f>
        <v/>
      </c>
    </row>
    <row r="1399" spans="2:2" x14ac:dyDescent="0.25">
      <c r="B1399" t="str">
        <f>IF(C1399="","",C1399&amp;COUNTIF(C$9:C1399,C1399))</f>
        <v/>
      </c>
    </row>
    <row r="1400" spans="2:2" x14ac:dyDescent="0.25">
      <c r="B1400" t="str">
        <f>IF(C1400="","",C1400&amp;COUNTIF(C$9:C1400,C1400))</f>
        <v/>
      </c>
    </row>
    <row r="1401" spans="2:2" x14ac:dyDescent="0.25">
      <c r="B1401" t="str">
        <f>IF(C1401="","",C1401&amp;COUNTIF(C$9:C1401,C1401))</f>
        <v/>
      </c>
    </row>
    <row r="1402" spans="2:2" x14ac:dyDescent="0.25">
      <c r="B1402" t="str">
        <f>IF(C1402="","",C1402&amp;COUNTIF(C$9:C1402,C1402))</f>
        <v/>
      </c>
    </row>
    <row r="1403" spans="2:2" x14ac:dyDescent="0.25">
      <c r="B1403" t="str">
        <f>IF(C1403="","",C1403&amp;COUNTIF(C$9:C1403,C1403))</f>
        <v/>
      </c>
    </row>
    <row r="1404" spans="2:2" x14ac:dyDescent="0.25">
      <c r="B1404" t="str">
        <f>IF(C1404="","",C1404&amp;COUNTIF(C$9:C1404,C1404))</f>
        <v/>
      </c>
    </row>
    <row r="1405" spans="2:2" x14ac:dyDescent="0.25">
      <c r="B1405" t="str">
        <f>IF(C1405="","",C1405&amp;COUNTIF(C$9:C1405,C1405))</f>
        <v/>
      </c>
    </row>
    <row r="1406" spans="2:2" x14ac:dyDescent="0.25">
      <c r="B1406" t="str">
        <f>IF(C1406="","",C1406&amp;COUNTIF(C$9:C1406,C1406))</f>
        <v/>
      </c>
    </row>
    <row r="1407" spans="2:2" x14ac:dyDescent="0.25">
      <c r="B1407" t="str">
        <f>IF(C1407="","",C1407&amp;COUNTIF(C$9:C1407,C1407))</f>
        <v/>
      </c>
    </row>
    <row r="1408" spans="2:2" x14ac:dyDescent="0.25">
      <c r="B1408" t="str">
        <f>IF(C1408="","",C1408&amp;COUNTIF(C$9:C1408,C1408))</f>
        <v/>
      </c>
    </row>
    <row r="1409" spans="2:2" x14ac:dyDescent="0.25">
      <c r="B1409" t="str">
        <f>IF(C1409="","",C1409&amp;COUNTIF(C$9:C1409,C1409))</f>
        <v/>
      </c>
    </row>
    <row r="1410" spans="2:2" x14ac:dyDescent="0.25">
      <c r="B1410" t="str">
        <f>IF(C1410="","",C1410&amp;COUNTIF(C$9:C1410,C1410))</f>
        <v/>
      </c>
    </row>
    <row r="1411" spans="2:2" x14ac:dyDescent="0.25">
      <c r="B1411" t="str">
        <f>IF(C1411="","",C1411&amp;COUNTIF(C$9:C1411,C1411))</f>
        <v/>
      </c>
    </row>
    <row r="1412" spans="2:2" x14ac:dyDescent="0.25">
      <c r="B1412" t="str">
        <f>IF(C1412="","",C1412&amp;COUNTIF(C$9:C1412,C1412))</f>
        <v/>
      </c>
    </row>
    <row r="1413" spans="2:2" x14ac:dyDescent="0.25">
      <c r="B1413" t="str">
        <f>IF(C1413="","",C1413&amp;COUNTIF(C$9:C1413,C1413))</f>
        <v/>
      </c>
    </row>
    <row r="1414" spans="2:2" x14ac:dyDescent="0.25">
      <c r="B1414" t="str">
        <f>IF(C1414="","",C1414&amp;COUNTIF(C$9:C1414,C1414))</f>
        <v/>
      </c>
    </row>
    <row r="1415" spans="2:2" x14ac:dyDescent="0.25">
      <c r="B1415" t="str">
        <f>IF(C1415="","",C1415&amp;COUNTIF(C$9:C1415,C1415))</f>
        <v/>
      </c>
    </row>
    <row r="1416" spans="2:2" x14ac:dyDescent="0.25">
      <c r="B1416" t="str">
        <f>IF(C1416="","",C1416&amp;COUNTIF(C$9:C1416,C1416))</f>
        <v/>
      </c>
    </row>
    <row r="1417" spans="2:2" x14ac:dyDescent="0.25">
      <c r="B1417" t="str">
        <f>IF(C1417="","",C1417&amp;COUNTIF(C$9:C1417,C1417))</f>
        <v/>
      </c>
    </row>
    <row r="1418" spans="2:2" x14ac:dyDescent="0.25">
      <c r="B1418" t="str">
        <f>IF(C1418="","",C1418&amp;COUNTIF(C$9:C1418,C1418))</f>
        <v/>
      </c>
    </row>
    <row r="1419" spans="2:2" x14ac:dyDescent="0.25">
      <c r="B1419" t="str">
        <f>IF(C1419="","",C1419&amp;COUNTIF(C$9:C1419,C1419))</f>
        <v/>
      </c>
    </row>
    <row r="1420" spans="2:2" x14ac:dyDescent="0.25">
      <c r="B1420" t="str">
        <f>IF(C1420="","",C1420&amp;COUNTIF(C$9:C1420,C1420))</f>
        <v/>
      </c>
    </row>
    <row r="1421" spans="2:2" x14ac:dyDescent="0.25">
      <c r="B1421" t="str">
        <f>IF(C1421="","",C1421&amp;COUNTIF(C$9:C1421,C1421))</f>
        <v/>
      </c>
    </row>
    <row r="1422" spans="2:2" x14ac:dyDescent="0.25">
      <c r="B1422" t="str">
        <f>IF(C1422="","",C1422&amp;COUNTIF(C$9:C1422,C1422))</f>
        <v/>
      </c>
    </row>
    <row r="1423" spans="2:2" x14ac:dyDescent="0.25">
      <c r="B1423" t="str">
        <f>IF(C1423="","",C1423&amp;COUNTIF(C$9:C1423,C1423))</f>
        <v/>
      </c>
    </row>
    <row r="1424" spans="2:2" x14ac:dyDescent="0.25">
      <c r="B1424" t="str">
        <f>IF(C1424="","",C1424&amp;COUNTIF(C$9:C1424,C1424))</f>
        <v/>
      </c>
    </row>
    <row r="1425" spans="2:2" x14ac:dyDescent="0.25">
      <c r="B1425" t="str">
        <f>IF(C1425="","",C1425&amp;COUNTIF(C$9:C1425,C1425))</f>
        <v/>
      </c>
    </row>
    <row r="1426" spans="2:2" x14ac:dyDescent="0.25">
      <c r="B1426" t="str">
        <f>IF(C1426="","",C1426&amp;COUNTIF(C$9:C1426,C1426))</f>
        <v/>
      </c>
    </row>
    <row r="1427" spans="2:2" x14ac:dyDescent="0.25">
      <c r="B1427" t="str">
        <f>IF(C1427="","",C1427&amp;COUNTIF(C$9:C1427,C1427))</f>
        <v/>
      </c>
    </row>
    <row r="1428" spans="2:2" x14ac:dyDescent="0.25">
      <c r="B1428" t="str">
        <f>IF(C1428="","",C1428&amp;COUNTIF(C$9:C1428,C1428))</f>
        <v/>
      </c>
    </row>
    <row r="1429" spans="2:2" x14ac:dyDescent="0.25">
      <c r="B1429" t="str">
        <f>IF(C1429="","",C1429&amp;COUNTIF(C$9:C1429,C1429))</f>
        <v/>
      </c>
    </row>
    <row r="1430" spans="2:2" x14ac:dyDescent="0.25">
      <c r="B1430" t="str">
        <f>IF(C1430="","",C1430&amp;COUNTIF(C$9:C1430,C1430))</f>
        <v/>
      </c>
    </row>
    <row r="1431" spans="2:2" x14ac:dyDescent="0.25">
      <c r="B1431" t="str">
        <f>IF(C1431="","",C1431&amp;COUNTIF(C$9:C1431,C1431))</f>
        <v/>
      </c>
    </row>
    <row r="1432" spans="2:2" x14ac:dyDescent="0.25">
      <c r="B1432" t="str">
        <f>IF(C1432="","",C1432&amp;COUNTIF(C$9:C1432,C1432))</f>
        <v/>
      </c>
    </row>
    <row r="1433" spans="2:2" x14ac:dyDescent="0.25">
      <c r="B1433" t="str">
        <f>IF(C1433="","",C1433&amp;COUNTIF(C$9:C1433,C1433))</f>
        <v/>
      </c>
    </row>
    <row r="1434" spans="2:2" x14ac:dyDescent="0.25">
      <c r="B1434" t="str">
        <f>IF(C1434="","",C1434&amp;COUNTIF(C$9:C1434,C1434))</f>
        <v/>
      </c>
    </row>
    <row r="1435" spans="2:2" x14ac:dyDescent="0.25">
      <c r="B1435" t="str">
        <f>IF(C1435="","",C1435&amp;COUNTIF(C$9:C1435,C1435))</f>
        <v/>
      </c>
    </row>
    <row r="1436" spans="2:2" x14ac:dyDescent="0.25">
      <c r="B1436" t="str">
        <f>IF(C1436="","",C1436&amp;COUNTIF(C$9:C1436,C1436))</f>
        <v/>
      </c>
    </row>
    <row r="1437" spans="2:2" x14ac:dyDescent="0.25">
      <c r="B1437" t="str">
        <f>IF(C1437="","",C1437&amp;COUNTIF(C$9:C1437,C1437))</f>
        <v/>
      </c>
    </row>
    <row r="1438" spans="2:2" x14ac:dyDescent="0.25">
      <c r="B1438" t="str">
        <f>IF(C1438="","",C1438&amp;COUNTIF(C$9:C1438,C1438))</f>
        <v/>
      </c>
    </row>
    <row r="1439" spans="2:2" x14ac:dyDescent="0.25">
      <c r="B1439" t="str">
        <f>IF(C1439="","",C1439&amp;COUNTIF(C$9:C1439,C1439))</f>
        <v/>
      </c>
    </row>
    <row r="1440" spans="2:2" x14ac:dyDescent="0.25">
      <c r="B1440" t="str">
        <f>IF(C1440="","",C1440&amp;COUNTIF(C$9:C1440,C1440))</f>
        <v/>
      </c>
    </row>
    <row r="1441" spans="2:2" x14ac:dyDescent="0.25">
      <c r="B1441" t="str">
        <f>IF(C1441="","",C1441&amp;COUNTIF(C$9:C1441,C1441))</f>
        <v/>
      </c>
    </row>
    <row r="1442" spans="2:2" x14ac:dyDescent="0.25">
      <c r="B1442" t="str">
        <f>IF(C1442="","",C1442&amp;COUNTIF(C$9:C1442,C1442))</f>
        <v/>
      </c>
    </row>
    <row r="1443" spans="2:2" x14ac:dyDescent="0.25">
      <c r="B1443" t="str">
        <f>IF(C1443="","",C1443&amp;COUNTIF(C$9:C1443,C1443))</f>
        <v/>
      </c>
    </row>
    <row r="1444" spans="2:2" x14ac:dyDescent="0.25">
      <c r="B1444" t="str">
        <f>IF(C1444="","",C1444&amp;COUNTIF(C$9:C1444,C1444))</f>
        <v/>
      </c>
    </row>
    <row r="1445" spans="2:2" x14ac:dyDescent="0.25">
      <c r="B1445" t="str">
        <f>IF(C1445="","",C1445&amp;COUNTIF(C$9:C1445,C1445))</f>
        <v/>
      </c>
    </row>
    <row r="1446" spans="2:2" x14ac:dyDescent="0.25">
      <c r="B1446" t="str">
        <f>IF(C1446="","",C1446&amp;COUNTIF(C$9:C1446,C1446))</f>
        <v/>
      </c>
    </row>
    <row r="1447" spans="2:2" x14ac:dyDescent="0.25">
      <c r="B1447" t="str">
        <f>IF(C1447="","",C1447&amp;COUNTIF(C$9:C1447,C1447))</f>
        <v/>
      </c>
    </row>
    <row r="1448" spans="2:2" x14ac:dyDescent="0.25">
      <c r="B1448" t="str">
        <f>IF(C1448="","",C1448&amp;COUNTIF(C$9:C1448,C1448))</f>
        <v/>
      </c>
    </row>
    <row r="1449" spans="2:2" x14ac:dyDescent="0.25">
      <c r="B1449" t="str">
        <f>IF(C1449="","",C1449&amp;COUNTIF(C$9:C1449,C1449))</f>
        <v/>
      </c>
    </row>
    <row r="1450" spans="2:2" x14ac:dyDescent="0.25">
      <c r="B1450" t="str">
        <f>IF(C1450="","",C1450&amp;COUNTIF(C$9:C1450,C1450))</f>
        <v/>
      </c>
    </row>
    <row r="1451" spans="2:2" x14ac:dyDescent="0.25">
      <c r="B1451" t="str">
        <f>IF(C1451="","",C1451&amp;COUNTIF(C$9:C1451,C1451))</f>
        <v/>
      </c>
    </row>
    <row r="1452" spans="2:2" x14ac:dyDescent="0.25">
      <c r="B1452" t="str">
        <f>IF(C1452="","",C1452&amp;COUNTIF(C$9:C1452,C1452))</f>
        <v/>
      </c>
    </row>
    <row r="1453" spans="2:2" x14ac:dyDescent="0.25">
      <c r="B1453" t="str">
        <f>IF(C1453="","",C1453&amp;COUNTIF(C$9:C1453,C1453))</f>
        <v/>
      </c>
    </row>
    <row r="1454" spans="2:2" x14ac:dyDescent="0.25">
      <c r="B1454" t="str">
        <f>IF(C1454="","",C1454&amp;COUNTIF(C$9:C1454,C1454))</f>
        <v/>
      </c>
    </row>
    <row r="1455" spans="2:2" x14ac:dyDescent="0.25">
      <c r="B1455" t="str">
        <f>IF(C1455="","",C1455&amp;COUNTIF(C$9:C1455,C1455))</f>
        <v/>
      </c>
    </row>
    <row r="1456" spans="2:2" x14ac:dyDescent="0.25">
      <c r="B1456" t="str">
        <f>IF(C1456="","",C1456&amp;COUNTIF(C$9:C1456,C1456))</f>
        <v/>
      </c>
    </row>
    <row r="1457" spans="2:2" x14ac:dyDescent="0.25">
      <c r="B1457" t="str">
        <f>IF(C1457="","",C1457&amp;COUNTIF(C$9:C1457,C1457))</f>
        <v/>
      </c>
    </row>
    <row r="1458" spans="2:2" x14ac:dyDescent="0.25">
      <c r="B1458" t="str">
        <f>IF(C1458="","",C1458&amp;COUNTIF(C$9:C1458,C1458))</f>
        <v/>
      </c>
    </row>
    <row r="1459" spans="2:2" x14ac:dyDescent="0.25">
      <c r="B1459" t="str">
        <f>IF(C1459="","",C1459&amp;COUNTIF(C$9:C1459,C1459))</f>
        <v/>
      </c>
    </row>
    <row r="1460" spans="2:2" x14ac:dyDescent="0.25">
      <c r="B1460" t="str">
        <f>IF(C1460="","",C1460&amp;COUNTIF(C$9:C1460,C1460))</f>
        <v/>
      </c>
    </row>
    <row r="1461" spans="2:2" x14ac:dyDescent="0.25">
      <c r="B1461" t="str">
        <f>IF(C1461="","",C1461&amp;COUNTIF(C$9:C1461,C1461))</f>
        <v/>
      </c>
    </row>
    <row r="1462" spans="2:2" x14ac:dyDescent="0.25">
      <c r="B1462" t="str">
        <f>IF(C1462="","",C1462&amp;COUNTIF(C$9:C1462,C1462))</f>
        <v/>
      </c>
    </row>
    <row r="1463" spans="2:2" x14ac:dyDescent="0.25">
      <c r="B1463" t="str">
        <f>IF(C1463="","",C1463&amp;COUNTIF(C$9:C1463,C1463))</f>
        <v/>
      </c>
    </row>
    <row r="1464" spans="2:2" x14ac:dyDescent="0.25">
      <c r="B1464" t="str">
        <f>IF(C1464="","",C1464&amp;COUNTIF(C$9:C1464,C1464))</f>
        <v/>
      </c>
    </row>
    <row r="1465" spans="2:2" x14ac:dyDescent="0.25">
      <c r="B1465" t="str">
        <f>IF(C1465="","",C1465&amp;COUNTIF(C$9:C1465,C1465))</f>
        <v/>
      </c>
    </row>
    <row r="1466" spans="2:2" x14ac:dyDescent="0.25">
      <c r="B1466" t="str">
        <f>IF(C1466="","",C1466&amp;COUNTIF(C$9:C1466,C1466))</f>
        <v/>
      </c>
    </row>
    <row r="1467" spans="2:2" x14ac:dyDescent="0.25">
      <c r="B1467" t="str">
        <f>IF(C1467="","",C1467&amp;COUNTIF(C$9:C1467,C1467))</f>
        <v/>
      </c>
    </row>
    <row r="1468" spans="2:2" x14ac:dyDescent="0.25">
      <c r="B1468" t="str">
        <f>IF(C1468="","",C1468&amp;COUNTIF(C$9:C1468,C1468))</f>
        <v/>
      </c>
    </row>
    <row r="1469" spans="2:2" x14ac:dyDescent="0.25">
      <c r="B1469" t="str">
        <f>IF(C1469="","",C1469&amp;COUNTIF(C$9:C1469,C1469))</f>
        <v/>
      </c>
    </row>
    <row r="1470" spans="2:2" x14ac:dyDescent="0.25">
      <c r="B1470" t="str">
        <f>IF(C1470="","",C1470&amp;COUNTIF(C$9:C1470,C1470))</f>
        <v/>
      </c>
    </row>
    <row r="1471" spans="2:2" x14ac:dyDescent="0.25">
      <c r="B1471" t="str">
        <f>IF(C1471="","",C1471&amp;COUNTIF(C$9:C1471,C1471))</f>
        <v/>
      </c>
    </row>
    <row r="1472" spans="2:2" x14ac:dyDescent="0.25">
      <c r="B1472" t="str">
        <f>IF(C1472="","",C1472&amp;COUNTIF(C$9:C1472,C1472))</f>
        <v/>
      </c>
    </row>
    <row r="1473" spans="2:2" x14ac:dyDescent="0.25">
      <c r="B1473" t="str">
        <f>IF(C1473="","",C1473&amp;COUNTIF(C$9:C1473,C1473))</f>
        <v/>
      </c>
    </row>
    <row r="1474" spans="2:2" x14ac:dyDescent="0.25">
      <c r="B1474" t="str">
        <f>IF(C1474="","",C1474&amp;COUNTIF(C$9:C1474,C1474))</f>
        <v/>
      </c>
    </row>
    <row r="1475" spans="2:2" x14ac:dyDescent="0.25">
      <c r="B1475" t="str">
        <f>IF(C1475="","",C1475&amp;COUNTIF(C$9:C1475,C1475))</f>
        <v/>
      </c>
    </row>
    <row r="1476" spans="2:2" x14ac:dyDescent="0.25">
      <c r="B1476" t="str">
        <f>IF(C1476="","",C1476&amp;COUNTIF(C$9:C1476,C1476))</f>
        <v/>
      </c>
    </row>
    <row r="1477" spans="2:2" x14ac:dyDescent="0.25">
      <c r="B1477" t="str">
        <f>IF(C1477="","",C1477&amp;COUNTIF(C$9:C1477,C1477))</f>
        <v/>
      </c>
    </row>
    <row r="1478" spans="2:2" x14ac:dyDescent="0.25">
      <c r="B1478" t="str">
        <f>IF(C1478="","",C1478&amp;COUNTIF(C$9:C1478,C1478))</f>
        <v/>
      </c>
    </row>
    <row r="1479" spans="2:2" x14ac:dyDescent="0.25">
      <c r="B1479" t="str">
        <f>IF(C1479="","",C1479&amp;COUNTIF(C$9:C1479,C1479))</f>
        <v/>
      </c>
    </row>
    <row r="1480" spans="2:2" x14ac:dyDescent="0.25">
      <c r="B1480" t="str">
        <f>IF(C1480="","",C1480&amp;COUNTIF(C$9:C1480,C1480))</f>
        <v/>
      </c>
    </row>
    <row r="1481" spans="2:2" x14ac:dyDescent="0.25">
      <c r="B1481" t="str">
        <f>IF(C1481="","",C1481&amp;COUNTIF(C$9:C1481,C1481))</f>
        <v/>
      </c>
    </row>
    <row r="1482" spans="2:2" x14ac:dyDescent="0.25">
      <c r="B1482" t="str">
        <f>IF(C1482="","",C1482&amp;COUNTIF(C$9:C1482,C1482))</f>
        <v/>
      </c>
    </row>
    <row r="1483" spans="2:2" x14ac:dyDescent="0.25">
      <c r="B1483" t="str">
        <f>IF(C1483="","",C1483&amp;COUNTIF(C$9:C1483,C1483))</f>
        <v/>
      </c>
    </row>
    <row r="1484" spans="2:2" x14ac:dyDescent="0.25">
      <c r="B1484" t="str">
        <f>IF(C1484="","",C1484&amp;COUNTIF(C$9:C1484,C1484))</f>
        <v/>
      </c>
    </row>
    <row r="1485" spans="2:2" x14ac:dyDescent="0.25">
      <c r="B1485" t="str">
        <f>IF(C1485="","",C1485&amp;COUNTIF(C$9:C1485,C1485))</f>
        <v/>
      </c>
    </row>
    <row r="1486" spans="2:2" x14ac:dyDescent="0.25">
      <c r="B1486" t="str">
        <f>IF(C1486="","",C1486&amp;COUNTIF(C$9:C1486,C1486))</f>
        <v/>
      </c>
    </row>
    <row r="1487" spans="2:2" x14ac:dyDescent="0.25">
      <c r="B1487" t="str">
        <f>IF(C1487="","",C1487&amp;COUNTIF(C$9:C1487,C1487))</f>
        <v/>
      </c>
    </row>
    <row r="1488" spans="2:2" x14ac:dyDescent="0.25">
      <c r="B1488" t="str">
        <f>IF(C1488="","",C1488&amp;COUNTIF(C$9:C1488,C1488))</f>
        <v/>
      </c>
    </row>
    <row r="1489" spans="2:2" x14ac:dyDescent="0.25">
      <c r="B1489" t="str">
        <f>IF(C1489="","",C1489&amp;COUNTIF(C$9:C1489,C1489))</f>
        <v/>
      </c>
    </row>
    <row r="1490" spans="2:2" x14ac:dyDescent="0.25">
      <c r="B1490" t="str">
        <f>IF(C1490="","",C1490&amp;COUNTIF(C$9:C1490,C1490))</f>
        <v/>
      </c>
    </row>
    <row r="1491" spans="2:2" x14ac:dyDescent="0.25">
      <c r="B1491" t="str">
        <f>IF(C1491="","",C1491&amp;COUNTIF(C$9:C1491,C1491))</f>
        <v/>
      </c>
    </row>
    <row r="1492" spans="2:2" x14ac:dyDescent="0.25">
      <c r="B1492" t="str">
        <f>IF(C1492="","",C1492&amp;COUNTIF(C$9:C1492,C1492))</f>
        <v/>
      </c>
    </row>
    <row r="1493" spans="2:2" x14ac:dyDescent="0.25">
      <c r="B1493" t="str">
        <f>IF(C1493="","",C1493&amp;COUNTIF(C$9:C1493,C1493))</f>
        <v/>
      </c>
    </row>
    <row r="1494" spans="2:2" x14ac:dyDescent="0.25">
      <c r="B1494" t="str">
        <f>IF(C1494="","",C1494&amp;COUNTIF(C$9:C1494,C1494))</f>
        <v/>
      </c>
    </row>
    <row r="1495" spans="2:2" x14ac:dyDescent="0.25">
      <c r="B1495" t="str">
        <f>IF(C1495="","",C1495&amp;COUNTIF(C$9:C1495,C1495))</f>
        <v/>
      </c>
    </row>
    <row r="1496" spans="2:2" x14ac:dyDescent="0.25">
      <c r="B1496" t="str">
        <f>IF(C1496="","",C1496&amp;COUNTIF(C$9:C1496,C1496))</f>
        <v/>
      </c>
    </row>
    <row r="1497" spans="2:2" x14ac:dyDescent="0.25">
      <c r="B1497" t="str">
        <f>IF(C1497="","",C1497&amp;COUNTIF(C$9:C1497,C1497))</f>
        <v/>
      </c>
    </row>
    <row r="1498" spans="2:2" x14ac:dyDescent="0.25">
      <c r="B1498" t="str">
        <f>IF(C1498="","",C1498&amp;COUNTIF(C$9:C1498,C1498))</f>
        <v/>
      </c>
    </row>
    <row r="1499" spans="2:2" x14ac:dyDescent="0.25">
      <c r="B1499" t="str">
        <f>IF(C1499="","",C1499&amp;COUNTIF(C$9:C1499,C1499))</f>
        <v/>
      </c>
    </row>
    <row r="1500" spans="2:2" x14ac:dyDescent="0.25">
      <c r="B1500" t="str">
        <f>IF(C1500="","",C1500&amp;COUNTIF(C$9:C1500,C1500))</f>
        <v/>
      </c>
    </row>
    <row r="1501" spans="2:2" x14ac:dyDescent="0.25">
      <c r="B1501" t="str">
        <f>IF(C1501="","",C1501&amp;COUNTIF(C$9:C1501,C1501))</f>
        <v/>
      </c>
    </row>
    <row r="1502" spans="2:2" x14ac:dyDescent="0.25">
      <c r="B1502" t="str">
        <f>IF(C1502="","",C1502&amp;COUNTIF(C$9:C1502,C1502))</f>
        <v/>
      </c>
    </row>
    <row r="1503" spans="2:2" x14ac:dyDescent="0.25">
      <c r="B1503" t="str">
        <f>IF(C1503="","",C1503&amp;COUNTIF(C$9:C1503,C1503))</f>
        <v/>
      </c>
    </row>
    <row r="1504" spans="2:2" x14ac:dyDescent="0.25">
      <c r="B1504" t="str">
        <f>IF(C1504="","",C1504&amp;COUNTIF(C$9:C1504,C1504))</f>
        <v/>
      </c>
    </row>
    <row r="1505" spans="2:2" x14ac:dyDescent="0.25">
      <c r="B1505" t="str">
        <f>IF(C1505="","",C1505&amp;COUNTIF(C$9:C1505,C1505))</f>
        <v/>
      </c>
    </row>
    <row r="1506" spans="2:2" x14ac:dyDescent="0.25">
      <c r="B1506" t="str">
        <f>IF(C1506="","",C1506&amp;COUNTIF(C$9:C1506,C1506))</f>
        <v/>
      </c>
    </row>
    <row r="1507" spans="2:2" x14ac:dyDescent="0.25">
      <c r="B1507" t="str">
        <f>IF(C1507="","",C1507&amp;COUNTIF(C$9:C1507,C1507))</f>
        <v/>
      </c>
    </row>
    <row r="1508" spans="2:2" x14ac:dyDescent="0.25">
      <c r="B1508" t="str">
        <f>IF(C1508="","",C1508&amp;COUNTIF(C$9:C1508,C1508))</f>
        <v/>
      </c>
    </row>
    <row r="1509" spans="2:2" x14ac:dyDescent="0.25">
      <c r="B1509" t="str">
        <f>IF(C1509="","",C1509&amp;COUNTIF(C$9:C1509,C1509))</f>
        <v/>
      </c>
    </row>
    <row r="1510" spans="2:2" x14ac:dyDescent="0.25">
      <c r="B1510" t="str">
        <f>IF(C1510="","",C1510&amp;COUNTIF(C$9:C1510,C1510))</f>
        <v/>
      </c>
    </row>
    <row r="1511" spans="2:2" x14ac:dyDescent="0.25">
      <c r="B1511" t="str">
        <f>IF(C1511="","",C1511&amp;COUNTIF(C$9:C1511,C1511))</f>
        <v/>
      </c>
    </row>
    <row r="1512" spans="2:2" x14ac:dyDescent="0.25">
      <c r="B1512" t="str">
        <f>IF(C1512="","",C1512&amp;COUNTIF(C$9:C1512,C1512))</f>
        <v/>
      </c>
    </row>
    <row r="1513" spans="2:2" x14ac:dyDescent="0.25">
      <c r="B1513" t="str">
        <f>IF(C1513="","",C1513&amp;COUNTIF(C$9:C1513,C1513))</f>
        <v/>
      </c>
    </row>
    <row r="1514" spans="2:2" x14ac:dyDescent="0.25">
      <c r="B1514" t="str">
        <f>IF(C1514="","",C1514&amp;COUNTIF(C$9:C1514,C1514))</f>
        <v/>
      </c>
    </row>
    <row r="1515" spans="2:2" x14ac:dyDescent="0.25">
      <c r="B1515" t="str">
        <f>IF(C1515="","",C1515&amp;COUNTIF(C$9:C1515,C1515))</f>
        <v/>
      </c>
    </row>
    <row r="1516" spans="2:2" x14ac:dyDescent="0.25">
      <c r="B1516" t="str">
        <f>IF(C1516="","",C1516&amp;COUNTIF(C$9:C1516,C1516))</f>
        <v/>
      </c>
    </row>
    <row r="1517" spans="2:2" x14ac:dyDescent="0.25">
      <c r="B1517" t="str">
        <f>IF(C1517="","",C1517&amp;COUNTIF(C$9:C1517,C1517))</f>
        <v/>
      </c>
    </row>
    <row r="1518" spans="2:2" x14ac:dyDescent="0.25">
      <c r="B1518" t="str">
        <f>IF(C1518="","",C1518&amp;COUNTIF(C$9:C1518,C1518))</f>
        <v/>
      </c>
    </row>
    <row r="1519" spans="2:2" x14ac:dyDescent="0.25">
      <c r="B1519" t="str">
        <f>IF(C1519="","",C1519&amp;COUNTIF(C$9:C1519,C1519))</f>
        <v/>
      </c>
    </row>
    <row r="1520" spans="2:2" x14ac:dyDescent="0.25">
      <c r="B1520" t="str">
        <f>IF(C1520="","",C1520&amp;COUNTIF(C$9:C1520,C1520))</f>
        <v/>
      </c>
    </row>
    <row r="1521" spans="2:2" x14ac:dyDescent="0.25">
      <c r="B1521" t="str">
        <f>IF(C1521="","",C1521&amp;COUNTIF(C$9:C1521,C1521))</f>
        <v/>
      </c>
    </row>
    <row r="1522" spans="2:2" x14ac:dyDescent="0.25">
      <c r="B1522" t="str">
        <f>IF(C1522="","",C1522&amp;COUNTIF(C$9:C1522,C1522))</f>
        <v/>
      </c>
    </row>
    <row r="1523" spans="2:2" x14ac:dyDescent="0.25">
      <c r="B1523" t="str">
        <f>IF(C1523="","",C1523&amp;COUNTIF(C$9:C1523,C1523))</f>
        <v/>
      </c>
    </row>
    <row r="1524" spans="2:2" x14ac:dyDescent="0.25">
      <c r="B1524" t="str">
        <f>IF(C1524="","",C1524&amp;COUNTIF(C$9:C1524,C1524))</f>
        <v/>
      </c>
    </row>
    <row r="1525" spans="2:2" x14ac:dyDescent="0.25">
      <c r="B1525" t="str">
        <f>IF(C1525="","",C1525&amp;COUNTIF(C$9:C1525,C1525))</f>
        <v/>
      </c>
    </row>
    <row r="1526" spans="2:2" x14ac:dyDescent="0.25">
      <c r="B1526" t="str">
        <f>IF(C1526="","",C1526&amp;COUNTIF(C$9:C1526,C1526))</f>
        <v/>
      </c>
    </row>
    <row r="1527" spans="2:2" x14ac:dyDescent="0.25">
      <c r="B1527" t="str">
        <f>IF(C1527="","",C1527&amp;COUNTIF(C$9:C1527,C1527))</f>
        <v/>
      </c>
    </row>
    <row r="1528" spans="2:2" x14ac:dyDescent="0.25">
      <c r="B1528" t="str">
        <f>IF(C1528="","",C1528&amp;COUNTIF(C$9:C1528,C1528))</f>
        <v/>
      </c>
    </row>
    <row r="1529" spans="2:2" x14ac:dyDescent="0.25">
      <c r="B1529" t="str">
        <f>IF(C1529="","",C1529&amp;COUNTIF(C$9:C1529,C1529))</f>
        <v/>
      </c>
    </row>
    <row r="1530" spans="2:2" x14ac:dyDescent="0.25">
      <c r="B1530" t="str">
        <f>IF(C1530="","",C1530&amp;COUNTIF(C$9:C1530,C1530))</f>
        <v/>
      </c>
    </row>
    <row r="1531" spans="2:2" x14ac:dyDescent="0.25">
      <c r="B1531" t="str">
        <f>IF(C1531="","",C1531&amp;COUNTIF(C$9:C1531,C1531))</f>
        <v/>
      </c>
    </row>
    <row r="1532" spans="2:2" x14ac:dyDescent="0.25">
      <c r="B1532" t="str">
        <f>IF(C1532="","",C1532&amp;COUNTIF(C$9:C1532,C1532))</f>
        <v/>
      </c>
    </row>
    <row r="1533" spans="2:2" x14ac:dyDescent="0.25">
      <c r="B1533" t="str">
        <f>IF(C1533="","",C1533&amp;COUNTIF(C$9:C1533,C1533))</f>
        <v/>
      </c>
    </row>
    <row r="1534" spans="2:2" x14ac:dyDescent="0.25">
      <c r="B1534" t="str">
        <f>IF(C1534="","",C1534&amp;COUNTIF(C$9:C1534,C1534))</f>
        <v/>
      </c>
    </row>
    <row r="1535" spans="2:2" x14ac:dyDescent="0.25">
      <c r="B1535" t="str">
        <f>IF(C1535="","",C1535&amp;COUNTIF(C$9:C1535,C1535))</f>
        <v/>
      </c>
    </row>
    <row r="1536" spans="2:2" x14ac:dyDescent="0.25">
      <c r="B1536" t="str">
        <f>IF(C1536="","",C1536&amp;COUNTIF(C$9:C1536,C1536))</f>
        <v/>
      </c>
    </row>
    <row r="1537" spans="2:2" x14ac:dyDescent="0.25">
      <c r="B1537" t="str">
        <f>IF(C1537="","",C1537&amp;COUNTIF(C$9:C1537,C1537))</f>
        <v/>
      </c>
    </row>
    <row r="1538" spans="2:2" x14ac:dyDescent="0.25">
      <c r="B1538" t="str">
        <f>IF(C1538="","",C1538&amp;COUNTIF(C$9:C1538,C1538))</f>
        <v/>
      </c>
    </row>
    <row r="1539" spans="2:2" x14ac:dyDescent="0.25">
      <c r="B1539" t="str">
        <f>IF(C1539="","",C1539&amp;COUNTIF(C$9:C1539,C1539))</f>
        <v/>
      </c>
    </row>
    <row r="1540" spans="2:2" x14ac:dyDescent="0.25">
      <c r="B1540" t="str">
        <f>IF(C1540="","",C1540&amp;COUNTIF(C$9:C1540,C1540))</f>
        <v/>
      </c>
    </row>
    <row r="1541" spans="2:2" x14ac:dyDescent="0.25">
      <c r="B1541" t="str">
        <f>IF(C1541="","",C1541&amp;COUNTIF(C$9:C1541,C1541))</f>
        <v/>
      </c>
    </row>
    <row r="1542" spans="2:2" x14ac:dyDescent="0.25">
      <c r="B1542" t="str">
        <f>IF(C1542="","",C1542&amp;COUNTIF(C$9:C1542,C1542))</f>
        <v/>
      </c>
    </row>
    <row r="1543" spans="2:2" x14ac:dyDescent="0.25">
      <c r="B1543" t="str">
        <f>IF(C1543="","",C1543&amp;COUNTIF(C$9:C1543,C1543))</f>
        <v/>
      </c>
    </row>
    <row r="1544" spans="2:2" x14ac:dyDescent="0.25">
      <c r="B1544" t="str">
        <f>IF(C1544="","",C1544&amp;COUNTIF(C$9:C1544,C1544))</f>
        <v/>
      </c>
    </row>
    <row r="1545" spans="2:2" x14ac:dyDescent="0.25">
      <c r="B1545" t="str">
        <f>IF(C1545="","",C1545&amp;COUNTIF(C$9:C1545,C1545))</f>
        <v/>
      </c>
    </row>
    <row r="1546" spans="2:2" x14ac:dyDescent="0.25">
      <c r="B1546" t="str">
        <f>IF(C1546="","",C1546&amp;COUNTIF(C$9:C1546,C1546))</f>
        <v/>
      </c>
    </row>
    <row r="1547" spans="2:2" x14ac:dyDescent="0.25">
      <c r="B1547" t="str">
        <f>IF(C1547="","",C1547&amp;COUNTIF(C$9:C1547,C1547))</f>
        <v/>
      </c>
    </row>
    <row r="1548" spans="2:2" x14ac:dyDescent="0.25">
      <c r="B1548" t="str">
        <f>IF(C1548="","",C1548&amp;COUNTIF(C$9:C1548,C1548))</f>
        <v/>
      </c>
    </row>
    <row r="1549" spans="2:2" x14ac:dyDescent="0.25">
      <c r="B1549" t="str">
        <f>IF(C1549="","",C1549&amp;COUNTIF(C$9:C1549,C1549))</f>
        <v/>
      </c>
    </row>
    <row r="1550" spans="2:2" x14ac:dyDescent="0.25">
      <c r="B1550" t="str">
        <f>IF(C1550="","",C1550&amp;COUNTIF(C$9:C1550,C1550))</f>
        <v/>
      </c>
    </row>
    <row r="1551" spans="2:2" x14ac:dyDescent="0.25">
      <c r="B1551" t="str">
        <f>IF(C1551="","",C1551&amp;COUNTIF(C$9:C1551,C1551))</f>
        <v/>
      </c>
    </row>
    <row r="1552" spans="2:2" x14ac:dyDescent="0.25">
      <c r="B1552" t="str">
        <f>IF(C1552="","",C1552&amp;COUNTIF(C$9:C1552,C1552))</f>
        <v/>
      </c>
    </row>
    <row r="1553" spans="2:2" x14ac:dyDescent="0.25">
      <c r="B1553" t="str">
        <f>IF(C1553="","",C1553&amp;COUNTIF(C$9:C1553,C1553))</f>
        <v/>
      </c>
    </row>
    <row r="1554" spans="2:2" x14ac:dyDescent="0.25">
      <c r="B1554" t="str">
        <f>IF(C1554="","",C1554&amp;COUNTIF(C$9:C1554,C1554))</f>
        <v/>
      </c>
    </row>
    <row r="1555" spans="2:2" x14ac:dyDescent="0.25">
      <c r="B1555" t="str">
        <f>IF(C1555="","",C1555&amp;COUNTIF(C$9:C1555,C1555))</f>
        <v/>
      </c>
    </row>
    <row r="1556" spans="2:2" x14ac:dyDescent="0.25">
      <c r="B1556" t="str">
        <f>IF(C1556="","",C1556&amp;COUNTIF(C$9:C1556,C1556))</f>
        <v/>
      </c>
    </row>
    <row r="1557" spans="2:2" x14ac:dyDescent="0.25">
      <c r="B1557" t="str">
        <f>IF(C1557="","",C1557&amp;COUNTIF(C$9:C1557,C1557))</f>
        <v/>
      </c>
    </row>
    <row r="1558" spans="2:2" x14ac:dyDescent="0.25">
      <c r="B1558" t="str">
        <f>IF(C1558="","",C1558&amp;COUNTIF(C$9:C1558,C1558))</f>
        <v/>
      </c>
    </row>
    <row r="1559" spans="2:2" x14ac:dyDescent="0.25">
      <c r="B1559" t="str">
        <f>IF(C1559="","",C1559&amp;COUNTIF(C$9:C1559,C1559))</f>
        <v/>
      </c>
    </row>
    <row r="1560" spans="2:2" x14ac:dyDescent="0.25">
      <c r="B1560" t="str">
        <f>IF(C1560="","",C1560&amp;COUNTIF(C$9:C1560,C1560))</f>
        <v/>
      </c>
    </row>
    <row r="1561" spans="2:2" x14ac:dyDescent="0.25">
      <c r="B1561" t="str">
        <f>IF(C1561="","",C1561&amp;COUNTIF(C$9:C1561,C1561))</f>
        <v/>
      </c>
    </row>
    <row r="1562" spans="2:2" x14ac:dyDescent="0.25">
      <c r="B1562" t="str">
        <f>IF(C1562="","",C1562&amp;COUNTIF(C$9:C1562,C1562))</f>
        <v/>
      </c>
    </row>
    <row r="1563" spans="2:2" x14ac:dyDescent="0.25">
      <c r="B1563" t="str">
        <f>IF(C1563="","",C1563&amp;COUNTIF(C$9:C1563,C1563))</f>
        <v/>
      </c>
    </row>
    <row r="1564" spans="2:2" x14ac:dyDescent="0.25">
      <c r="B1564" t="str">
        <f>IF(C1564="","",C1564&amp;COUNTIF(C$9:C1564,C1564))</f>
        <v/>
      </c>
    </row>
    <row r="1565" spans="2:2" x14ac:dyDescent="0.25">
      <c r="B1565" t="str">
        <f>IF(C1565="","",C1565&amp;COUNTIF(C$9:C1565,C1565))</f>
        <v/>
      </c>
    </row>
    <row r="1566" spans="2:2" x14ac:dyDescent="0.25">
      <c r="B1566" t="str">
        <f>IF(C1566="","",C1566&amp;COUNTIF(C$9:C1566,C1566))</f>
        <v/>
      </c>
    </row>
    <row r="1567" spans="2:2" x14ac:dyDescent="0.25">
      <c r="B1567" t="str">
        <f>IF(C1567="","",C1567&amp;COUNTIF(C$9:C1567,C1567))</f>
        <v/>
      </c>
    </row>
    <row r="1568" spans="2:2" x14ac:dyDescent="0.25">
      <c r="B1568" t="str">
        <f>IF(C1568="","",C1568&amp;COUNTIF(C$9:C1568,C1568))</f>
        <v/>
      </c>
    </row>
    <row r="1569" spans="2:2" x14ac:dyDescent="0.25">
      <c r="B1569" t="str">
        <f>IF(C1569="","",C1569&amp;COUNTIF(C$9:C1569,C1569))</f>
        <v/>
      </c>
    </row>
    <row r="1570" spans="2:2" x14ac:dyDescent="0.25">
      <c r="B1570" t="str">
        <f>IF(C1570="","",C1570&amp;COUNTIF(C$9:C1570,C1570))</f>
        <v/>
      </c>
    </row>
    <row r="1571" spans="2:2" x14ac:dyDescent="0.25">
      <c r="B1571" t="str">
        <f>IF(C1571="","",C1571&amp;COUNTIF(C$9:C1571,C1571))</f>
        <v/>
      </c>
    </row>
    <row r="1572" spans="2:2" x14ac:dyDescent="0.25">
      <c r="B1572" t="str">
        <f>IF(C1572="","",C1572&amp;COUNTIF(C$9:C1572,C1572))</f>
        <v/>
      </c>
    </row>
    <row r="1573" spans="2:2" x14ac:dyDescent="0.25">
      <c r="B1573" t="str">
        <f>IF(C1573="","",C1573&amp;COUNTIF(C$9:C1573,C1573))</f>
        <v/>
      </c>
    </row>
    <row r="1574" spans="2:2" x14ac:dyDescent="0.25">
      <c r="B1574" t="str">
        <f>IF(C1574="","",C1574&amp;COUNTIF(C$9:C1574,C1574))</f>
        <v/>
      </c>
    </row>
    <row r="1575" spans="2:2" x14ac:dyDescent="0.25">
      <c r="B1575" t="str">
        <f>IF(C1575="","",C1575&amp;COUNTIF(C$9:C1575,C1575))</f>
        <v/>
      </c>
    </row>
    <row r="1576" spans="2:2" x14ac:dyDescent="0.25">
      <c r="B1576" t="str">
        <f>IF(C1576="","",C1576&amp;COUNTIF(C$9:C1576,C1576))</f>
        <v/>
      </c>
    </row>
    <row r="1577" spans="2:2" x14ac:dyDescent="0.25">
      <c r="B1577" t="str">
        <f>IF(C1577="","",C1577&amp;COUNTIF(C$9:C1577,C1577))</f>
        <v/>
      </c>
    </row>
    <row r="1578" spans="2:2" x14ac:dyDescent="0.25">
      <c r="B1578" t="str">
        <f>IF(C1578="","",C1578&amp;COUNTIF(C$9:C1578,C1578))</f>
        <v/>
      </c>
    </row>
    <row r="1579" spans="2:2" x14ac:dyDescent="0.25">
      <c r="B1579" t="str">
        <f>IF(C1579="","",C1579&amp;COUNTIF(C$9:C1579,C1579))</f>
        <v/>
      </c>
    </row>
    <row r="1580" spans="2:2" x14ac:dyDescent="0.25">
      <c r="B1580" t="str">
        <f>IF(C1580="","",C1580&amp;COUNTIF(C$9:C1580,C1580))</f>
        <v/>
      </c>
    </row>
    <row r="1581" spans="2:2" x14ac:dyDescent="0.25">
      <c r="B1581" t="str">
        <f>IF(C1581="","",C1581&amp;COUNTIF(C$9:C1581,C1581))</f>
        <v/>
      </c>
    </row>
    <row r="1582" spans="2:2" x14ac:dyDescent="0.25">
      <c r="B1582" t="str">
        <f>IF(C1582="","",C1582&amp;COUNTIF(C$9:C1582,C1582))</f>
        <v/>
      </c>
    </row>
    <row r="1583" spans="2:2" x14ac:dyDescent="0.25">
      <c r="B1583" t="str">
        <f>IF(C1583="","",C1583&amp;COUNTIF(C$9:C1583,C1583))</f>
        <v/>
      </c>
    </row>
    <row r="1584" spans="2:2" x14ac:dyDescent="0.25">
      <c r="B1584" t="str">
        <f>IF(C1584="","",C1584&amp;COUNTIF(C$9:C1584,C1584))</f>
        <v/>
      </c>
    </row>
    <row r="1585" spans="2:2" x14ac:dyDescent="0.25">
      <c r="B1585" t="str">
        <f>IF(C1585="","",C1585&amp;COUNTIF(C$9:C1585,C1585))</f>
        <v/>
      </c>
    </row>
    <row r="1586" spans="2:2" x14ac:dyDescent="0.25">
      <c r="B1586" t="str">
        <f>IF(C1586="","",C1586&amp;COUNTIF(C$9:C1586,C1586))</f>
        <v/>
      </c>
    </row>
    <row r="1587" spans="2:2" x14ac:dyDescent="0.25">
      <c r="B1587" t="str">
        <f>IF(C1587="","",C1587&amp;COUNTIF(C$9:C1587,C1587))</f>
        <v/>
      </c>
    </row>
    <row r="1588" spans="2:2" x14ac:dyDescent="0.25">
      <c r="B1588" t="str">
        <f>IF(C1588="","",C1588&amp;COUNTIF(C$9:C1588,C1588))</f>
        <v/>
      </c>
    </row>
    <row r="1589" spans="2:2" x14ac:dyDescent="0.25">
      <c r="B1589" t="str">
        <f>IF(C1589="","",C1589&amp;COUNTIF(C$9:C1589,C1589))</f>
        <v/>
      </c>
    </row>
    <row r="1590" spans="2:2" x14ac:dyDescent="0.25">
      <c r="B1590" t="str">
        <f>IF(C1590="","",C1590&amp;COUNTIF(C$9:C1590,C1590))</f>
        <v/>
      </c>
    </row>
    <row r="1591" spans="2:2" x14ac:dyDescent="0.25">
      <c r="B1591" t="str">
        <f>IF(C1591="","",C1591&amp;COUNTIF(C$9:C1591,C1591))</f>
        <v/>
      </c>
    </row>
    <row r="1592" spans="2:2" x14ac:dyDescent="0.25">
      <c r="B1592" t="str">
        <f>IF(C1592="","",C1592&amp;COUNTIF(C$9:C1592,C1592))</f>
        <v/>
      </c>
    </row>
    <row r="1593" spans="2:2" x14ac:dyDescent="0.25">
      <c r="B1593" t="str">
        <f>IF(C1593="","",C1593&amp;COUNTIF(C$9:C1593,C1593))</f>
        <v/>
      </c>
    </row>
    <row r="1594" spans="2:2" x14ac:dyDescent="0.25">
      <c r="B1594" t="str">
        <f>IF(C1594="","",C1594&amp;COUNTIF(C$9:C1594,C1594))</f>
        <v/>
      </c>
    </row>
    <row r="1595" spans="2:2" x14ac:dyDescent="0.25">
      <c r="B1595" t="str">
        <f>IF(C1595="","",C1595&amp;COUNTIF(C$9:C1595,C1595))</f>
        <v/>
      </c>
    </row>
    <row r="1596" spans="2:2" x14ac:dyDescent="0.25">
      <c r="B1596" t="str">
        <f>IF(C1596="","",C1596&amp;COUNTIF(C$9:C1596,C1596))</f>
        <v/>
      </c>
    </row>
    <row r="1597" spans="2:2" x14ac:dyDescent="0.25">
      <c r="B1597" t="str">
        <f>IF(C1597="","",C1597&amp;COUNTIF(C$9:C1597,C1597))</f>
        <v/>
      </c>
    </row>
    <row r="1598" spans="2:2" x14ac:dyDescent="0.25">
      <c r="B1598" t="str">
        <f>IF(C1598="","",C1598&amp;COUNTIF(C$9:C1598,C1598))</f>
        <v/>
      </c>
    </row>
    <row r="1599" spans="2:2" x14ac:dyDescent="0.25">
      <c r="B1599" t="str">
        <f>IF(C1599="","",C1599&amp;COUNTIF(C$9:C1599,C1599))</f>
        <v/>
      </c>
    </row>
    <row r="1600" spans="2:2" x14ac:dyDescent="0.25">
      <c r="B1600" t="str">
        <f>IF(C1600="","",C1600&amp;COUNTIF(C$9:C1600,C1600))</f>
        <v/>
      </c>
    </row>
    <row r="1601" spans="2:2" x14ac:dyDescent="0.25">
      <c r="B1601" t="str">
        <f>IF(C1601="","",C1601&amp;COUNTIF(C$9:C1601,C1601))</f>
        <v/>
      </c>
    </row>
    <row r="1602" spans="2:2" x14ac:dyDescent="0.25">
      <c r="B1602" t="str">
        <f>IF(C1602="","",C1602&amp;COUNTIF(C$9:C1602,C1602))</f>
        <v/>
      </c>
    </row>
    <row r="1603" spans="2:2" x14ac:dyDescent="0.25">
      <c r="B1603" t="str">
        <f>IF(C1603="","",C1603&amp;COUNTIF(C$9:C1603,C1603))</f>
        <v/>
      </c>
    </row>
    <row r="1604" spans="2:2" x14ac:dyDescent="0.25">
      <c r="B1604" t="str">
        <f>IF(C1604="","",C1604&amp;COUNTIF(C$9:C1604,C1604))</f>
        <v/>
      </c>
    </row>
    <row r="1605" spans="2:2" x14ac:dyDescent="0.25">
      <c r="B1605" t="str">
        <f>IF(C1605="","",C1605&amp;COUNTIF(C$9:C1605,C1605))</f>
        <v/>
      </c>
    </row>
    <row r="1606" spans="2:2" x14ac:dyDescent="0.25">
      <c r="B1606" t="str">
        <f>IF(C1606="","",C1606&amp;COUNTIF(C$9:C1606,C1606))</f>
        <v/>
      </c>
    </row>
    <row r="1607" spans="2:2" x14ac:dyDescent="0.25">
      <c r="B1607" t="str">
        <f>IF(C1607="","",C1607&amp;COUNTIF(C$9:C1607,C1607))</f>
        <v/>
      </c>
    </row>
    <row r="1608" spans="2:2" x14ac:dyDescent="0.25">
      <c r="B1608" t="str">
        <f>IF(C1608="","",C1608&amp;COUNTIF(C$9:C1608,C1608))</f>
        <v/>
      </c>
    </row>
    <row r="1609" spans="2:2" x14ac:dyDescent="0.25">
      <c r="B1609" t="str">
        <f>IF(C1609="","",C1609&amp;COUNTIF(C$9:C1609,C1609))</f>
        <v/>
      </c>
    </row>
    <row r="1610" spans="2:2" x14ac:dyDescent="0.25">
      <c r="B1610" t="str">
        <f>IF(C1610="","",C1610&amp;COUNTIF(C$9:C1610,C1610))</f>
        <v/>
      </c>
    </row>
    <row r="1611" spans="2:2" x14ac:dyDescent="0.25">
      <c r="B1611" t="str">
        <f>IF(C1611="","",C1611&amp;COUNTIF(C$9:C1611,C1611))</f>
        <v/>
      </c>
    </row>
    <row r="1612" spans="2:2" x14ac:dyDescent="0.25">
      <c r="B1612" t="str">
        <f>IF(C1612="","",C1612&amp;COUNTIF(C$9:C1612,C1612))</f>
        <v/>
      </c>
    </row>
    <row r="1613" spans="2:2" x14ac:dyDescent="0.25">
      <c r="B1613" t="str">
        <f>IF(C1613="","",C1613&amp;COUNTIF(C$9:C1613,C1613))</f>
        <v/>
      </c>
    </row>
    <row r="1614" spans="2:2" x14ac:dyDescent="0.25">
      <c r="B1614" t="str">
        <f>IF(C1614="","",C1614&amp;COUNTIF(C$9:C1614,C1614))</f>
        <v/>
      </c>
    </row>
    <row r="1615" spans="2:2" x14ac:dyDescent="0.25">
      <c r="B1615" t="str">
        <f>IF(C1615="","",C1615&amp;COUNTIF(C$9:C1615,C1615))</f>
        <v/>
      </c>
    </row>
    <row r="1616" spans="2:2" x14ac:dyDescent="0.25">
      <c r="B1616" t="str">
        <f>IF(C1616="","",C1616&amp;COUNTIF(C$9:C1616,C1616))</f>
        <v/>
      </c>
    </row>
    <row r="1617" spans="2:2" x14ac:dyDescent="0.25">
      <c r="B1617" t="str">
        <f>IF(C1617="","",C1617&amp;COUNTIF(C$9:C1617,C1617))</f>
        <v/>
      </c>
    </row>
    <row r="1618" spans="2:2" x14ac:dyDescent="0.25">
      <c r="B1618" t="str">
        <f>IF(C1618="","",C1618&amp;COUNTIF(C$9:C1618,C1618))</f>
        <v/>
      </c>
    </row>
    <row r="1619" spans="2:2" x14ac:dyDescent="0.25">
      <c r="B1619" t="str">
        <f>IF(C1619="","",C1619&amp;COUNTIF(C$9:C1619,C1619))</f>
        <v/>
      </c>
    </row>
    <row r="1620" spans="2:2" x14ac:dyDescent="0.25">
      <c r="B1620" t="str">
        <f>IF(C1620="","",C1620&amp;COUNTIF(C$9:C1620,C1620))</f>
        <v/>
      </c>
    </row>
    <row r="1621" spans="2:2" x14ac:dyDescent="0.25">
      <c r="B1621" t="str">
        <f>IF(C1621="","",C1621&amp;COUNTIF(C$9:C1621,C1621))</f>
        <v/>
      </c>
    </row>
    <row r="1622" spans="2:2" x14ac:dyDescent="0.25">
      <c r="B1622" t="str">
        <f>IF(C1622="","",C1622&amp;COUNTIF(C$9:C1622,C1622))</f>
        <v/>
      </c>
    </row>
    <row r="1623" spans="2:2" x14ac:dyDescent="0.25">
      <c r="B1623" t="str">
        <f>IF(C1623="","",C1623&amp;COUNTIF(C$9:C1623,C1623))</f>
        <v/>
      </c>
    </row>
    <row r="1624" spans="2:2" x14ac:dyDescent="0.25">
      <c r="B1624" t="str">
        <f>IF(C1624="","",C1624&amp;COUNTIF(C$9:C1624,C1624))</f>
        <v/>
      </c>
    </row>
    <row r="1625" spans="2:2" x14ac:dyDescent="0.25">
      <c r="B1625" t="str">
        <f>IF(C1625="","",C1625&amp;COUNTIF(C$9:C1625,C1625))</f>
        <v/>
      </c>
    </row>
    <row r="1626" spans="2:2" x14ac:dyDescent="0.25">
      <c r="B1626" t="str">
        <f>IF(C1626="","",C1626&amp;COUNTIF(C$9:C1626,C1626))</f>
        <v/>
      </c>
    </row>
    <row r="1627" spans="2:2" x14ac:dyDescent="0.25">
      <c r="B1627" t="str">
        <f>IF(C1627="","",C1627&amp;COUNTIF(C$9:C1627,C1627))</f>
        <v/>
      </c>
    </row>
    <row r="1628" spans="2:2" x14ac:dyDescent="0.25">
      <c r="B1628" t="str">
        <f>IF(C1628="","",C1628&amp;COUNTIF(C$9:C1628,C1628))</f>
        <v/>
      </c>
    </row>
    <row r="1629" spans="2:2" x14ac:dyDescent="0.25">
      <c r="B1629" t="str">
        <f>IF(C1629="","",C1629&amp;COUNTIF(C$9:C1629,C1629))</f>
        <v/>
      </c>
    </row>
    <row r="1630" spans="2:2" x14ac:dyDescent="0.25">
      <c r="B1630" t="str">
        <f>IF(C1630="","",C1630&amp;COUNTIF(C$9:C1630,C1630))</f>
        <v/>
      </c>
    </row>
    <row r="1631" spans="2:2" x14ac:dyDescent="0.25">
      <c r="B1631" t="str">
        <f>IF(C1631="","",C1631&amp;COUNTIF(C$9:C1631,C1631))</f>
        <v/>
      </c>
    </row>
    <row r="1632" spans="2:2" x14ac:dyDescent="0.25">
      <c r="B1632" t="str">
        <f>IF(C1632="","",C1632&amp;COUNTIF(C$9:C1632,C1632))</f>
        <v/>
      </c>
    </row>
    <row r="1633" spans="2:2" x14ac:dyDescent="0.25">
      <c r="B1633" t="str">
        <f>IF(C1633="","",C1633&amp;COUNTIF(C$9:C1633,C1633))</f>
        <v/>
      </c>
    </row>
    <row r="1634" spans="2:2" x14ac:dyDescent="0.25">
      <c r="B1634" t="str">
        <f>IF(C1634="","",C1634&amp;COUNTIF(C$9:C1634,C1634))</f>
        <v/>
      </c>
    </row>
    <row r="1635" spans="2:2" x14ac:dyDescent="0.25">
      <c r="B1635" t="str">
        <f>IF(C1635="","",C1635&amp;COUNTIF(C$9:C1635,C1635))</f>
        <v/>
      </c>
    </row>
    <row r="1636" spans="2:2" x14ac:dyDescent="0.25">
      <c r="B1636" t="str">
        <f>IF(C1636="","",C1636&amp;COUNTIF(C$9:C1636,C1636))</f>
        <v/>
      </c>
    </row>
    <row r="1637" spans="2:2" x14ac:dyDescent="0.25">
      <c r="B1637" t="str">
        <f>IF(C1637="","",C1637&amp;COUNTIF(C$9:C1637,C1637))</f>
        <v/>
      </c>
    </row>
    <row r="1638" spans="2:2" x14ac:dyDescent="0.25">
      <c r="B1638" t="str">
        <f>IF(C1638="","",C1638&amp;COUNTIF(C$9:C1638,C1638))</f>
        <v/>
      </c>
    </row>
    <row r="1639" spans="2:2" x14ac:dyDescent="0.25">
      <c r="B1639" t="str">
        <f>IF(C1639="","",C1639&amp;COUNTIF(C$9:C1639,C1639))</f>
        <v/>
      </c>
    </row>
    <row r="1640" spans="2:2" x14ac:dyDescent="0.25">
      <c r="B1640" t="str">
        <f>IF(C1640="","",C1640&amp;COUNTIF(C$9:C1640,C1640))</f>
        <v/>
      </c>
    </row>
    <row r="1641" spans="2:2" x14ac:dyDescent="0.25">
      <c r="B1641" t="str">
        <f>IF(C1641="","",C1641&amp;COUNTIF(C$9:C1641,C1641))</f>
        <v/>
      </c>
    </row>
    <row r="1642" spans="2:2" x14ac:dyDescent="0.25">
      <c r="B1642" t="str">
        <f>IF(C1642="","",C1642&amp;COUNTIF(C$9:C1642,C1642))</f>
        <v/>
      </c>
    </row>
    <row r="1643" spans="2:2" x14ac:dyDescent="0.25">
      <c r="B1643" t="str">
        <f>IF(C1643="","",C1643&amp;COUNTIF(C$9:C1643,C1643))</f>
        <v/>
      </c>
    </row>
    <row r="1644" spans="2:2" x14ac:dyDescent="0.25">
      <c r="B1644" t="str">
        <f>IF(C1644="","",C1644&amp;COUNTIF(C$9:C1644,C1644))</f>
        <v/>
      </c>
    </row>
    <row r="1645" spans="2:2" x14ac:dyDescent="0.25">
      <c r="B1645" t="str">
        <f>IF(C1645="","",C1645&amp;COUNTIF(C$9:C1645,C1645))</f>
        <v/>
      </c>
    </row>
    <row r="1646" spans="2:2" x14ac:dyDescent="0.25">
      <c r="B1646" t="str">
        <f>IF(C1646="","",C1646&amp;COUNTIF(C$9:C1646,C1646))</f>
        <v/>
      </c>
    </row>
    <row r="1647" spans="2:2" x14ac:dyDescent="0.25">
      <c r="B1647" t="str">
        <f>IF(C1647="","",C1647&amp;COUNTIF(C$9:C1647,C1647))</f>
        <v/>
      </c>
    </row>
    <row r="1648" spans="2:2" x14ac:dyDescent="0.25">
      <c r="B1648" t="str">
        <f>IF(C1648="","",C1648&amp;COUNTIF(C$9:C1648,C1648))</f>
        <v/>
      </c>
    </row>
    <row r="1649" spans="2:2" x14ac:dyDescent="0.25">
      <c r="B1649" t="str">
        <f>IF(C1649="","",C1649&amp;COUNTIF(C$9:C1649,C1649))</f>
        <v/>
      </c>
    </row>
    <row r="1650" spans="2:2" x14ac:dyDescent="0.25">
      <c r="B1650" t="str">
        <f>IF(C1650="","",C1650&amp;COUNTIF(C$9:C1650,C1650))</f>
        <v/>
      </c>
    </row>
    <row r="1651" spans="2:2" x14ac:dyDescent="0.25">
      <c r="B1651" t="str">
        <f>IF(C1651="","",C1651&amp;COUNTIF(C$9:C1651,C1651))</f>
        <v/>
      </c>
    </row>
    <row r="1652" spans="2:2" x14ac:dyDescent="0.25">
      <c r="B1652" t="str">
        <f>IF(C1652="","",C1652&amp;COUNTIF(C$9:C1652,C1652))</f>
        <v/>
      </c>
    </row>
    <row r="1653" spans="2:2" x14ac:dyDescent="0.25">
      <c r="B1653" t="str">
        <f>IF(C1653="","",C1653&amp;COUNTIF(C$9:C1653,C1653))</f>
        <v/>
      </c>
    </row>
    <row r="1654" spans="2:2" x14ac:dyDescent="0.25">
      <c r="B1654" t="str">
        <f>IF(C1654="","",C1654&amp;COUNTIF(C$9:C1654,C1654))</f>
        <v/>
      </c>
    </row>
    <row r="1655" spans="2:2" x14ac:dyDescent="0.25">
      <c r="B1655" t="str">
        <f>IF(C1655="","",C1655&amp;COUNTIF(C$9:C1655,C1655))</f>
        <v/>
      </c>
    </row>
    <row r="1656" spans="2:2" x14ac:dyDescent="0.25">
      <c r="B1656" t="str">
        <f>IF(C1656="","",C1656&amp;COUNTIF(C$9:C1656,C1656))</f>
        <v/>
      </c>
    </row>
    <row r="1657" spans="2:2" x14ac:dyDescent="0.25">
      <c r="B1657" t="str">
        <f>IF(C1657="","",C1657&amp;COUNTIF(C$9:C1657,C1657))</f>
        <v/>
      </c>
    </row>
    <row r="1658" spans="2:2" x14ac:dyDescent="0.25">
      <c r="B1658" t="str">
        <f>IF(C1658="","",C1658&amp;COUNTIF(C$9:C1658,C1658))</f>
        <v/>
      </c>
    </row>
    <row r="1659" spans="2:2" x14ac:dyDescent="0.25">
      <c r="B1659" t="str">
        <f>IF(C1659="","",C1659&amp;COUNTIF(C$9:C1659,C1659))</f>
        <v/>
      </c>
    </row>
    <row r="1660" spans="2:2" x14ac:dyDescent="0.25">
      <c r="B1660" t="str">
        <f>IF(C1660="","",C1660&amp;COUNTIF(C$9:C1660,C1660))</f>
        <v/>
      </c>
    </row>
    <row r="1661" spans="2:2" x14ac:dyDescent="0.25">
      <c r="B1661" t="str">
        <f>IF(C1661="","",C1661&amp;COUNTIF(C$9:C1661,C1661))</f>
        <v/>
      </c>
    </row>
    <row r="1662" spans="2:2" x14ac:dyDescent="0.25">
      <c r="B1662" t="str">
        <f>IF(C1662="","",C1662&amp;COUNTIF(C$9:C1662,C1662))</f>
        <v/>
      </c>
    </row>
    <row r="1663" spans="2:2" x14ac:dyDescent="0.25">
      <c r="B1663" t="str">
        <f>IF(C1663="","",C1663&amp;COUNTIF(C$9:C1663,C1663))</f>
        <v/>
      </c>
    </row>
    <row r="1664" spans="2:2" x14ac:dyDescent="0.25">
      <c r="B1664" t="str">
        <f>IF(C1664="","",C1664&amp;COUNTIF(C$9:C1664,C1664))</f>
        <v/>
      </c>
    </row>
    <row r="1665" spans="2:2" x14ac:dyDescent="0.25">
      <c r="B1665" t="str">
        <f>IF(C1665="","",C1665&amp;COUNTIF(C$9:C1665,C1665))</f>
        <v/>
      </c>
    </row>
    <row r="1666" spans="2:2" x14ac:dyDescent="0.25">
      <c r="B1666" t="str">
        <f>IF(C1666="","",C1666&amp;COUNTIF(C$9:C1666,C1666))</f>
        <v/>
      </c>
    </row>
    <row r="1667" spans="2:2" x14ac:dyDescent="0.25">
      <c r="B1667" t="str">
        <f>IF(C1667="","",C1667&amp;COUNTIF(C$9:C1667,C1667))</f>
        <v/>
      </c>
    </row>
    <row r="1668" spans="2:2" x14ac:dyDescent="0.25">
      <c r="B1668" t="str">
        <f>IF(C1668="","",C1668&amp;COUNTIF(C$9:C1668,C1668))</f>
        <v/>
      </c>
    </row>
    <row r="1669" spans="2:2" x14ac:dyDescent="0.25">
      <c r="B1669" t="str">
        <f>IF(C1669="","",C1669&amp;COUNTIF(C$9:C1669,C1669))</f>
        <v/>
      </c>
    </row>
    <row r="1670" spans="2:2" x14ac:dyDescent="0.25">
      <c r="B1670" t="str">
        <f>IF(C1670="","",C1670&amp;COUNTIF(C$9:C1670,C1670))</f>
        <v/>
      </c>
    </row>
    <row r="1671" spans="2:2" x14ac:dyDescent="0.25">
      <c r="B1671" t="str">
        <f>IF(C1671="","",C1671&amp;COUNTIF(C$9:C1671,C1671))</f>
        <v/>
      </c>
    </row>
    <row r="1672" spans="2:2" x14ac:dyDescent="0.25">
      <c r="B1672" t="str">
        <f>IF(C1672="","",C1672&amp;COUNTIF(C$9:C1672,C1672))</f>
        <v/>
      </c>
    </row>
    <row r="1673" spans="2:2" x14ac:dyDescent="0.25">
      <c r="B1673" t="str">
        <f>IF(C1673="","",C1673&amp;COUNTIF(C$9:C1673,C1673))</f>
        <v/>
      </c>
    </row>
    <row r="1674" spans="2:2" x14ac:dyDescent="0.25">
      <c r="B1674" t="str">
        <f>IF(C1674="","",C1674&amp;COUNTIF(C$9:C1674,C1674))</f>
        <v/>
      </c>
    </row>
    <row r="1675" spans="2:2" x14ac:dyDescent="0.25">
      <c r="B1675" t="str">
        <f>IF(C1675="","",C1675&amp;COUNTIF(C$9:C1675,C1675))</f>
        <v/>
      </c>
    </row>
    <row r="1676" spans="2:2" x14ac:dyDescent="0.25">
      <c r="B1676" t="str">
        <f>IF(C1676="","",C1676&amp;COUNTIF(C$9:C1676,C1676))</f>
        <v/>
      </c>
    </row>
    <row r="1677" spans="2:2" x14ac:dyDescent="0.25">
      <c r="B1677" t="str">
        <f>IF(C1677="","",C1677&amp;COUNTIF(C$9:C1677,C1677))</f>
        <v/>
      </c>
    </row>
    <row r="1678" spans="2:2" x14ac:dyDescent="0.25">
      <c r="B1678" t="str">
        <f>IF(C1678="","",C1678&amp;COUNTIF(C$9:C1678,C1678))</f>
        <v/>
      </c>
    </row>
    <row r="1679" spans="2:2" x14ac:dyDescent="0.25">
      <c r="B1679" t="str">
        <f>IF(C1679="","",C1679&amp;COUNTIF(C$9:C1679,C1679))</f>
        <v/>
      </c>
    </row>
    <row r="1680" spans="2:2" x14ac:dyDescent="0.25">
      <c r="B1680" t="str">
        <f>IF(C1680="","",C1680&amp;COUNTIF(C$9:C1680,C1680))</f>
        <v/>
      </c>
    </row>
    <row r="1681" spans="2:2" x14ac:dyDescent="0.25">
      <c r="B1681" t="str">
        <f>IF(C1681="","",C1681&amp;COUNTIF(C$9:C1681,C1681))</f>
        <v/>
      </c>
    </row>
    <row r="1682" spans="2:2" x14ac:dyDescent="0.25">
      <c r="B1682" t="str">
        <f>IF(C1682="","",C1682&amp;COUNTIF(C$9:C1682,C1682))</f>
        <v/>
      </c>
    </row>
    <row r="1683" spans="2:2" x14ac:dyDescent="0.25">
      <c r="B1683" t="str">
        <f>IF(C1683="","",C1683&amp;COUNTIF(C$9:C1683,C1683))</f>
        <v/>
      </c>
    </row>
    <row r="1684" spans="2:2" x14ac:dyDescent="0.25">
      <c r="B1684" t="str">
        <f>IF(C1684="","",C1684&amp;COUNTIF(C$9:C1684,C1684))</f>
        <v/>
      </c>
    </row>
    <row r="1685" spans="2:2" x14ac:dyDescent="0.25">
      <c r="B1685" t="str">
        <f>IF(C1685="","",C1685&amp;COUNTIF(C$9:C1685,C1685))</f>
        <v/>
      </c>
    </row>
    <row r="1686" spans="2:2" x14ac:dyDescent="0.25">
      <c r="B1686" t="str">
        <f>IF(C1686="","",C1686&amp;COUNTIF(C$9:C1686,C1686))</f>
        <v/>
      </c>
    </row>
    <row r="1687" spans="2:2" x14ac:dyDescent="0.25">
      <c r="B1687" t="str">
        <f>IF(C1687="","",C1687&amp;COUNTIF(C$9:C1687,C1687))</f>
        <v/>
      </c>
    </row>
    <row r="1688" spans="2:2" x14ac:dyDescent="0.25">
      <c r="B1688" t="str">
        <f>IF(C1688="","",C1688&amp;COUNTIF(C$9:C1688,C1688))</f>
        <v/>
      </c>
    </row>
    <row r="1689" spans="2:2" x14ac:dyDescent="0.25">
      <c r="B1689" t="str">
        <f>IF(C1689="","",C1689&amp;COUNTIF(C$9:C1689,C1689))</f>
        <v/>
      </c>
    </row>
    <row r="1690" spans="2:2" x14ac:dyDescent="0.25">
      <c r="B1690" t="str">
        <f>IF(C1690="","",C1690&amp;COUNTIF(C$9:C1690,C1690))</f>
        <v/>
      </c>
    </row>
    <row r="1691" spans="2:2" x14ac:dyDescent="0.25">
      <c r="B1691" t="str">
        <f>IF(C1691="","",C1691&amp;COUNTIF(C$9:C1691,C1691))</f>
        <v/>
      </c>
    </row>
    <row r="1692" spans="2:2" x14ac:dyDescent="0.25">
      <c r="B1692" t="str">
        <f>IF(C1692="","",C1692&amp;COUNTIF(C$9:C1692,C1692))</f>
        <v/>
      </c>
    </row>
    <row r="1693" spans="2:2" x14ac:dyDescent="0.25">
      <c r="B1693" t="str">
        <f>IF(C1693="","",C1693&amp;COUNTIF(C$9:C1693,C1693))</f>
        <v/>
      </c>
    </row>
    <row r="1694" spans="2:2" x14ac:dyDescent="0.25">
      <c r="B1694" t="str">
        <f>IF(C1694="","",C1694&amp;COUNTIF(C$9:C1694,C1694))</f>
        <v/>
      </c>
    </row>
    <row r="1695" spans="2:2" x14ac:dyDescent="0.25">
      <c r="B1695" t="str">
        <f>IF(C1695="","",C1695&amp;COUNTIF(C$9:C1695,C1695))</f>
        <v/>
      </c>
    </row>
    <row r="1696" spans="2:2" x14ac:dyDescent="0.25">
      <c r="B1696" t="str">
        <f>IF(C1696="","",C1696&amp;COUNTIF(C$9:C1696,C1696))</f>
        <v/>
      </c>
    </row>
    <row r="1697" spans="2:2" x14ac:dyDescent="0.25">
      <c r="B1697" t="str">
        <f>IF(C1697="","",C1697&amp;COUNTIF(C$9:C1697,C1697))</f>
        <v/>
      </c>
    </row>
    <row r="1698" spans="2:2" x14ac:dyDescent="0.25">
      <c r="B1698" t="str">
        <f>IF(C1698="","",C1698&amp;COUNTIF(C$9:C1698,C1698))</f>
        <v/>
      </c>
    </row>
    <row r="1699" spans="2:2" x14ac:dyDescent="0.25">
      <c r="B1699" t="str">
        <f>IF(C1699="","",C1699&amp;COUNTIF(C$9:C1699,C1699))</f>
        <v/>
      </c>
    </row>
    <row r="1700" spans="2:2" x14ac:dyDescent="0.25">
      <c r="B1700" t="str">
        <f>IF(C1700="","",C1700&amp;COUNTIF(C$9:C1700,C1700))</f>
        <v/>
      </c>
    </row>
    <row r="1701" spans="2:2" x14ac:dyDescent="0.25">
      <c r="B1701" t="str">
        <f>IF(C1701="","",C1701&amp;COUNTIF(C$9:C1701,C1701))</f>
        <v/>
      </c>
    </row>
    <row r="1702" spans="2:2" x14ac:dyDescent="0.25">
      <c r="B1702" t="str">
        <f>IF(C1702="","",C1702&amp;COUNTIF(C$9:C1702,C1702))</f>
        <v/>
      </c>
    </row>
    <row r="1703" spans="2:2" x14ac:dyDescent="0.25">
      <c r="B1703" t="str">
        <f>IF(C1703="","",C1703&amp;COUNTIF(C$9:C1703,C1703))</f>
        <v/>
      </c>
    </row>
    <row r="1704" spans="2:2" x14ac:dyDescent="0.25">
      <c r="B1704" t="str">
        <f>IF(C1704="","",C1704&amp;COUNTIF(C$9:C1704,C1704))</f>
        <v/>
      </c>
    </row>
    <row r="1705" spans="2:2" x14ac:dyDescent="0.25">
      <c r="B1705" t="str">
        <f>IF(C1705="","",C1705&amp;COUNTIF(C$9:C1705,C1705))</f>
        <v/>
      </c>
    </row>
    <row r="1706" spans="2:2" x14ac:dyDescent="0.25">
      <c r="B1706" t="str">
        <f>IF(C1706="","",C1706&amp;COUNTIF(C$9:C1706,C1706))</f>
        <v/>
      </c>
    </row>
    <row r="1707" spans="2:2" x14ac:dyDescent="0.25">
      <c r="B1707" t="str">
        <f>IF(C1707="","",C1707&amp;COUNTIF(C$9:C1707,C1707))</f>
        <v/>
      </c>
    </row>
    <row r="1708" spans="2:2" x14ac:dyDescent="0.25">
      <c r="B1708" t="str">
        <f>IF(C1708="","",C1708&amp;COUNTIF(C$9:C1708,C1708))</f>
        <v/>
      </c>
    </row>
    <row r="1709" spans="2:2" x14ac:dyDescent="0.25">
      <c r="B1709" t="str">
        <f>IF(C1709="","",C1709&amp;COUNTIF(C$9:C1709,C1709))</f>
        <v/>
      </c>
    </row>
    <row r="1710" spans="2:2" x14ac:dyDescent="0.25">
      <c r="B1710" t="str">
        <f>IF(C1710="","",C1710&amp;COUNTIF(C$9:C1710,C1710))</f>
        <v/>
      </c>
    </row>
    <row r="1711" spans="2:2" x14ac:dyDescent="0.25">
      <c r="B1711" t="str">
        <f>IF(C1711="","",C1711&amp;COUNTIF(C$9:C1711,C1711))</f>
        <v/>
      </c>
    </row>
    <row r="1712" spans="2:2" x14ac:dyDescent="0.25">
      <c r="B1712" t="str">
        <f>IF(C1712="","",C1712&amp;COUNTIF(C$9:C1712,C1712))</f>
        <v/>
      </c>
    </row>
    <row r="1713" spans="2:2" x14ac:dyDescent="0.25">
      <c r="B1713" t="str">
        <f>IF(C1713="","",C1713&amp;COUNTIF(C$9:C1713,C1713))</f>
        <v/>
      </c>
    </row>
    <row r="1714" spans="2:2" x14ac:dyDescent="0.25">
      <c r="B1714" t="str">
        <f>IF(C1714="","",C1714&amp;COUNTIF(C$9:C1714,C1714))</f>
        <v/>
      </c>
    </row>
    <row r="1715" spans="2:2" x14ac:dyDescent="0.25">
      <c r="B1715" t="str">
        <f>IF(C1715="","",C1715&amp;COUNTIF(C$9:C1715,C1715))</f>
        <v/>
      </c>
    </row>
    <row r="1716" spans="2:2" x14ac:dyDescent="0.25">
      <c r="B1716" t="str">
        <f>IF(C1716="","",C1716&amp;COUNTIF(C$9:C1716,C1716))</f>
        <v/>
      </c>
    </row>
    <row r="1717" spans="2:2" x14ac:dyDescent="0.25">
      <c r="B1717" t="str">
        <f>IF(C1717="","",C1717&amp;COUNTIF(C$9:C1717,C1717))</f>
        <v/>
      </c>
    </row>
    <row r="1718" spans="2:2" x14ac:dyDescent="0.25">
      <c r="B1718" t="str">
        <f>IF(C1718="","",C1718&amp;COUNTIF(C$9:C1718,C1718))</f>
        <v/>
      </c>
    </row>
    <row r="1719" spans="2:2" x14ac:dyDescent="0.25">
      <c r="B1719" t="str">
        <f>IF(C1719="","",C1719&amp;COUNTIF(C$9:C1719,C1719))</f>
        <v/>
      </c>
    </row>
    <row r="1720" spans="2:2" x14ac:dyDescent="0.25">
      <c r="B1720" t="str">
        <f>IF(C1720="","",C1720&amp;COUNTIF(C$9:C1720,C1720))</f>
        <v/>
      </c>
    </row>
    <row r="1721" spans="2:2" x14ac:dyDescent="0.25">
      <c r="B1721" t="str">
        <f>IF(C1721="","",C1721&amp;COUNTIF(C$9:C1721,C1721))</f>
        <v/>
      </c>
    </row>
    <row r="1722" spans="2:2" x14ac:dyDescent="0.25">
      <c r="B1722" t="str">
        <f>IF(C1722="","",C1722&amp;COUNTIF(C$9:C1722,C1722))</f>
        <v/>
      </c>
    </row>
    <row r="1723" spans="2:2" x14ac:dyDescent="0.25">
      <c r="B1723" t="str">
        <f>IF(C1723="","",C1723&amp;COUNTIF(C$9:C1723,C1723))</f>
        <v/>
      </c>
    </row>
    <row r="1724" spans="2:2" x14ac:dyDescent="0.25">
      <c r="B1724" t="str">
        <f>IF(C1724="","",C1724&amp;COUNTIF(C$9:C1724,C1724))</f>
        <v/>
      </c>
    </row>
    <row r="1725" spans="2:2" x14ac:dyDescent="0.25">
      <c r="B1725" t="str">
        <f>IF(C1725="","",C1725&amp;COUNTIF(C$9:C1725,C1725))</f>
        <v/>
      </c>
    </row>
    <row r="1726" spans="2:2" x14ac:dyDescent="0.25">
      <c r="B1726" t="str">
        <f>IF(C1726="","",C1726&amp;COUNTIF(C$9:C1726,C1726))</f>
        <v/>
      </c>
    </row>
    <row r="1727" spans="2:2" x14ac:dyDescent="0.25">
      <c r="B1727" t="str">
        <f>IF(C1727="","",C1727&amp;COUNTIF(C$9:C1727,C1727))</f>
        <v/>
      </c>
    </row>
    <row r="1728" spans="2:2" x14ac:dyDescent="0.25">
      <c r="B1728" t="str">
        <f>IF(C1728="","",C1728&amp;COUNTIF(C$9:C1728,C1728))</f>
        <v/>
      </c>
    </row>
    <row r="1729" spans="2:2" x14ac:dyDescent="0.25">
      <c r="B1729" t="str">
        <f>IF(C1729="","",C1729&amp;COUNTIF(C$9:C1729,C1729))</f>
        <v/>
      </c>
    </row>
    <row r="1730" spans="2:2" x14ac:dyDescent="0.25">
      <c r="B1730" t="str">
        <f>IF(C1730="","",C1730&amp;COUNTIF(C$9:C1730,C1730))</f>
        <v/>
      </c>
    </row>
    <row r="1731" spans="2:2" x14ac:dyDescent="0.25">
      <c r="B1731" t="str">
        <f>IF(C1731="","",C1731&amp;COUNTIF(C$9:C1731,C1731))</f>
        <v/>
      </c>
    </row>
    <row r="1732" spans="2:2" x14ac:dyDescent="0.25">
      <c r="B1732" t="str">
        <f>IF(C1732="","",C1732&amp;COUNTIF(C$9:C1732,C1732))</f>
        <v/>
      </c>
    </row>
    <row r="1733" spans="2:2" x14ac:dyDescent="0.25">
      <c r="B1733" t="str">
        <f>IF(C1733="","",C1733&amp;COUNTIF(C$9:C1733,C1733))</f>
        <v/>
      </c>
    </row>
    <row r="1734" spans="2:2" x14ac:dyDescent="0.25">
      <c r="B1734" t="str">
        <f>IF(C1734="","",C1734&amp;COUNTIF(C$9:C1734,C1734))</f>
        <v/>
      </c>
    </row>
    <row r="1735" spans="2:2" x14ac:dyDescent="0.25">
      <c r="B1735" t="str">
        <f>IF(C1735="","",C1735&amp;COUNTIF(C$9:C1735,C1735))</f>
        <v/>
      </c>
    </row>
    <row r="1736" spans="2:2" x14ac:dyDescent="0.25">
      <c r="B1736" t="str">
        <f>IF(C1736="","",C1736&amp;COUNTIF(C$9:C1736,C1736))</f>
        <v/>
      </c>
    </row>
    <row r="1737" spans="2:2" x14ac:dyDescent="0.25">
      <c r="B1737" t="str">
        <f>IF(C1737="","",C1737&amp;COUNTIF(C$9:C1737,C1737))</f>
        <v/>
      </c>
    </row>
    <row r="1738" spans="2:2" x14ac:dyDescent="0.25">
      <c r="B1738" t="str">
        <f>IF(C1738="","",C1738&amp;COUNTIF(C$9:C1738,C1738))</f>
        <v/>
      </c>
    </row>
    <row r="1739" spans="2:2" x14ac:dyDescent="0.25">
      <c r="B1739" t="str">
        <f>IF(C1739="","",C1739&amp;COUNTIF(C$9:C1739,C1739))</f>
        <v/>
      </c>
    </row>
    <row r="1740" spans="2:2" x14ac:dyDescent="0.25">
      <c r="B1740" t="str">
        <f>IF(C1740="","",C1740&amp;COUNTIF(C$9:C1740,C1740))</f>
        <v/>
      </c>
    </row>
    <row r="1741" spans="2:2" x14ac:dyDescent="0.25">
      <c r="B1741" t="str">
        <f>IF(C1741="","",C1741&amp;COUNTIF(C$9:C1741,C1741))</f>
        <v/>
      </c>
    </row>
    <row r="1742" spans="2:2" x14ac:dyDescent="0.25">
      <c r="B1742" t="str">
        <f>IF(C1742="","",C1742&amp;COUNTIF(C$9:C1742,C1742))</f>
        <v/>
      </c>
    </row>
    <row r="1743" spans="2:2" x14ac:dyDescent="0.25">
      <c r="B1743" t="str">
        <f>IF(C1743="","",C1743&amp;COUNTIF(C$9:C1743,C1743))</f>
        <v/>
      </c>
    </row>
    <row r="1744" spans="2:2" x14ac:dyDescent="0.25">
      <c r="B1744" t="str">
        <f>IF(C1744="","",C1744&amp;COUNTIF(C$9:C1744,C1744))</f>
        <v/>
      </c>
    </row>
    <row r="1745" spans="2:2" x14ac:dyDescent="0.25">
      <c r="B1745" t="str">
        <f>IF(C1745="","",C1745&amp;COUNTIF(C$9:C1745,C1745))</f>
        <v/>
      </c>
    </row>
    <row r="1746" spans="2:2" x14ac:dyDescent="0.25">
      <c r="B1746" t="str">
        <f>IF(C1746="","",C1746&amp;COUNTIF(C$9:C1746,C1746))</f>
        <v/>
      </c>
    </row>
    <row r="1747" spans="2:2" x14ac:dyDescent="0.25">
      <c r="B1747" t="str">
        <f>IF(C1747="","",C1747&amp;COUNTIF(C$9:C1747,C1747))</f>
        <v/>
      </c>
    </row>
    <row r="1748" spans="2:2" x14ac:dyDescent="0.25">
      <c r="B1748" t="str">
        <f>IF(C1748="","",C1748&amp;COUNTIF(C$9:C1748,C1748))</f>
        <v/>
      </c>
    </row>
    <row r="1749" spans="2:2" x14ac:dyDescent="0.25">
      <c r="B1749" t="str">
        <f>IF(C1749="","",C1749&amp;COUNTIF(C$9:C1749,C1749))</f>
        <v/>
      </c>
    </row>
    <row r="1750" spans="2:2" x14ac:dyDescent="0.25">
      <c r="B1750" t="str">
        <f>IF(C1750="","",C1750&amp;COUNTIF(C$9:C1750,C1750))</f>
        <v/>
      </c>
    </row>
    <row r="1751" spans="2:2" x14ac:dyDescent="0.25">
      <c r="B1751" t="str">
        <f>IF(C1751="","",C1751&amp;COUNTIF(C$9:C1751,C1751))</f>
        <v/>
      </c>
    </row>
    <row r="1752" spans="2:2" x14ac:dyDescent="0.25">
      <c r="B1752" t="str">
        <f>IF(C1752="","",C1752&amp;COUNTIF(C$9:C1752,C1752))</f>
        <v/>
      </c>
    </row>
    <row r="1753" spans="2:2" x14ac:dyDescent="0.25">
      <c r="B1753" t="str">
        <f>IF(C1753="","",C1753&amp;COUNTIF(C$9:C1753,C1753))</f>
        <v/>
      </c>
    </row>
    <row r="1754" spans="2:2" x14ac:dyDescent="0.25">
      <c r="B1754" t="str">
        <f>IF(C1754="","",C1754&amp;COUNTIF(C$9:C1754,C1754))</f>
        <v/>
      </c>
    </row>
    <row r="1755" spans="2:2" x14ac:dyDescent="0.25">
      <c r="B1755" t="str">
        <f>IF(C1755="","",C1755&amp;COUNTIF(C$9:C1755,C1755))</f>
        <v/>
      </c>
    </row>
    <row r="1756" spans="2:2" x14ac:dyDescent="0.25">
      <c r="B1756" t="str">
        <f>IF(C1756="","",C1756&amp;COUNTIF(C$9:C1756,C1756))</f>
        <v/>
      </c>
    </row>
    <row r="1757" spans="2:2" x14ac:dyDescent="0.25">
      <c r="B1757" t="str">
        <f>IF(C1757="","",C1757&amp;COUNTIF(C$9:C1757,C1757))</f>
        <v/>
      </c>
    </row>
    <row r="1758" spans="2:2" x14ac:dyDescent="0.25">
      <c r="B1758" t="str">
        <f>IF(C1758="","",C1758&amp;COUNTIF(C$9:C1758,C1758))</f>
        <v/>
      </c>
    </row>
    <row r="1759" spans="2:2" x14ac:dyDescent="0.25">
      <c r="B1759" t="str">
        <f>IF(C1759="","",C1759&amp;COUNTIF(C$9:C1759,C1759))</f>
        <v/>
      </c>
    </row>
    <row r="1760" spans="2:2" x14ac:dyDescent="0.25">
      <c r="B1760" t="str">
        <f>IF(C1760="","",C1760&amp;COUNTIF(C$9:C1760,C1760))</f>
        <v/>
      </c>
    </row>
    <row r="1761" spans="2:2" x14ac:dyDescent="0.25">
      <c r="B1761" t="str">
        <f>IF(C1761="","",C1761&amp;COUNTIF(C$9:C1761,C1761))</f>
        <v/>
      </c>
    </row>
    <row r="1762" spans="2:2" x14ac:dyDescent="0.25">
      <c r="B1762" t="str">
        <f>IF(C1762="","",C1762&amp;COUNTIF(C$9:C1762,C1762))</f>
        <v/>
      </c>
    </row>
    <row r="1763" spans="2:2" x14ac:dyDescent="0.25">
      <c r="B1763" t="str">
        <f>IF(C1763="","",C1763&amp;COUNTIF(C$9:C1763,C1763))</f>
        <v/>
      </c>
    </row>
    <row r="1764" spans="2:2" x14ac:dyDescent="0.25">
      <c r="B1764" t="str">
        <f>IF(C1764="","",C1764&amp;COUNTIF(C$9:C1764,C1764))</f>
        <v/>
      </c>
    </row>
    <row r="1765" spans="2:2" x14ac:dyDescent="0.25">
      <c r="B1765" t="str">
        <f>IF(C1765="","",C1765&amp;COUNTIF(C$9:C1765,C1765))</f>
        <v/>
      </c>
    </row>
    <row r="1766" spans="2:2" x14ac:dyDescent="0.25">
      <c r="B1766" t="str">
        <f>IF(C1766="","",C1766&amp;COUNTIF(C$9:C1766,C1766))</f>
        <v/>
      </c>
    </row>
    <row r="1767" spans="2:2" x14ac:dyDescent="0.25">
      <c r="B1767" t="str">
        <f>IF(C1767="","",C1767&amp;COUNTIF(C$9:C1767,C1767))</f>
        <v/>
      </c>
    </row>
    <row r="1768" spans="2:2" x14ac:dyDescent="0.25">
      <c r="B1768" t="str">
        <f>IF(C1768="","",C1768&amp;COUNTIF(C$9:C1768,C1768))</f>
        <v/>
      </c>
    </row>
    <row r="1769" spans="2:2" x14ac:dyDescent="0.25">
      <c r="B1769" t="str">
        <f>IF(C1769="","",C1769&amp;COUNTIF(C$9:C1769,C1769))</f>
        <v/>
      </c>
    </row>
    <row r="1770" spans="2:2" x14ac:dyDescent="0.25">
      <c r="B1770" t="str">
        <f>IF(C1770="","",C1770&amp;COUNTIF(C$9:C1770,C1770))</f>
        <v/>
      </c>
    </row>
    <row r="1771" spans="2:2" x14ac:dyDescent="0.25">
      <c r="B1771" t="str">
        <f>IF(C1771="","",C1771&amp;COUNTIF(C$9:C1771,C1771))</f>
        <v/>
      </c>
    </row>
    <row r="1772" spans="2:2" x14ac:dyDescent="0.25">
      <c r="B1772" t="str">
        <f>IF(C1772="","",C1772&amp;COUNTIF(C$9:C1772,C1772))</f>
        <v/>
      </c>
    </row>
    <row r="1773" spans="2:2" x14ac:dyDescent="0.25">
      <c r="B1773" t="str">
        <f>IF(C1773="","",C1773&amp;COUNTIF(C$9:C1773,C1773))</f>
        <v/>
      </c>
    </row>
    <row r="1774" spans="2:2" x14ac:dyDescent="0.25">
      <c r="B1774" t="str">
        <f>IF(C1774="","",C1774&amp;COUNTIF(C$9:C1774,C1774))</f>
        <v/>
      </c>
    </row>
    <row r="1775" spans="2:2" x14ac:dyDescent="0.25">
      <c r="B1775" t="str">
        <f>IF(C1775="","",C1775&amp;COUNTIF(C$9:C1775,C1775))</f>
        <v/>
      </c>
    </row>
    <row r="1776" spans="2:2" x14ac:dyDescent="0.25">
      <c r="B1776" t="str">
        <f>IF(C1776="","",C1776&amp;COUNTIF(C$9:C1776,C1776))</f>
        <v/>
      </c>
    </row>
    <row r="1777" spans="2:2" x14ac:dyDescent="0.25">
      <c r="B1777" t="str">
        <f>IF(C1777="","",C1777&amp;COUNTIF(C$9:C1777,C1777))</f>
        <v/>
      </c>
    </row>
    <row r="1778" spans="2:2" x14ac:dyDescent="0.25">
      <c r="B1778" t="str">
        <f>IF(C1778="","",C1778&amp;COUNTIF(C$9:C1778,C1778))</f>
        <v/>
      </c>
    </row>
    <row r="1779" spans="2:2" x14ac:dyDescent="0.25">
      <c r="B1779" t="str">
        <f>IF(C1779="","",C1779&amp;COUNTIF(C$9:C1779,C1779))</f>
        <v/>
      </c>
    </row>
    <row r="1780" spans="2:2" x14ac:dyDescent="0.25">
      <c r="B1780" t="str">
        <f>IF(C1780="","",C1780&amp;COUNTIF(C$9:C1780,C1780))</f>
        <v/>
      </c>
    </row>
    <row r="1781" spans="2:2" x14ac:dyDescent="0.25">
      <c r="B1781" t="str">
        <f>IF(C1781="","",C1781&amp;COUNTIF(C$9:C1781,C1781))</f>
        <v/>
      </c>
    </row>
    <row r="1782" spans="2:2" x14ac:dyDescent="0.25">
      <c r="B1782" t="str">
        <f>IF(C1782="","",C1782&amp;COUNTIF(C$9:C1782,C1782))</f>
        <v/>
      </c>
    </row>
    <row r="1783" spans="2:2" x14ac:dyDescent="0.25">
      <c r="B1783" t="str">
        <f>IF(C1783="","",C1783&amp;COUNTIF(C$9:C1783,C1783))</f>
        <v/>
      </c>
    </row>
    <row r="1784" spans="2:2" x14ac:dyDescent="0.25">
      <c r="B1784" t="str">
        <f>IF(C1784="","",C1784&amp;COUNTIF(C$9:C1784,C1784))</f>
        <v/>
      </c>
    </row>
    <row r="1785" spans="2:2" x14ac:dyDescent="0.25">
      <c r="B1785" t="str">
        <f>IF(C1785="","",C1785&amp;COUNTIF(C$9:C1785,C1785))</f>
        <v/>
      </c>
    </row>
    <row r="1786" spans="2:2" x14ac:dyDescent="0.25">
      <c r="B1786" t="str">
        <f>IF(C1786="","",C1786&amp;COUNTIF(C$9:C1786,C1786))</f>
        <v/>
      </c>
    </row>
    <row r="1787" spans="2:2" x14ac:dyDescent="0.25">
      <c r="B1787" t="str">
        <f>IF(C1787="","",C1787&amp;COUNTIF(C$9:C1787,C1787))</f>
        <v/>
      </c>
    </row>
    <row r="1788" spans="2:2" x14ac:dyDescent="0.25">
      <c r="B1788" t="str">
        <f>IF(C1788="","",C1788&amp;COUNTIF(C$9:C1788,C1788))</f>
        <v/>
      </c>
    </row>
    <row r="1789" spans="2:2" x14ac:dyDescent="0.25">
      <c r="B1789" t="str">
        <f>IF(C1789="","",C1789&amp;COUNTIF(C$9:C1789,C1789))</f>
        <v/>
      </c>
    </row>
    <row r="1790" spans="2:2" x14ac:dyDescent="0.25">
      <c r="B1790" t="str">
        <f>IF(C1790="","",C1790&amp;COUNTIF(C$9:C1790,C1790))</f>
        <v/>
      </c>
    </row>
    <row r="1791" spans="2:2" x14ac:dyDescent="0.25">
      <c r="B1791" t="str">
        <f>IF(C1791="","",C1791&amp;COUNTIF(C$9:C1791,C1791))</f>
        <v/>
      </c>
    </row>
    <row r="1792" spans="2:2" x14ac:dyDescent="0.25">
      <c r="B1792" t="str">
        <f>IF(C1792="","",C1792&amp;COUNTIF(C$9:C1792,C1792))</f>
        <v/>
      </c>
    </row>
    <row r="1793" spans="2:2" x14ac:dyDescent="0.25">
      <c r="B1793" t="str">
        <f>IF(C1793="","",C1793&amp;COUNTIF(C$9:C1793,C1793))</f>
        <v/>
      </c>
    </row>
    <row r="1794" spans="2:2" x14ac:dyDescent="0.25">
      <c r="B1794" t="str">
        <f>IF(C1794="","",C1794&amp;COUNTIF(C$9:C1794,C1794))</f>
        <v/>
      </c>
    </row>
    <row r="1795" spans="2:2" x14ac:dyDescent="0.25">
      <c r="B1795" t="str">
        <f>IF(C1795="","",C1795&amp;COUNTIF(C$9:C1795,C1795))</f>
        <v/>
      </c>
    </row>
    <row r="1796" spans="2:2" x14ac:dyDescent="0.25">
      <c r="B1796" t="str">
        <f>IF(C1796="","",C1796&amp;COUNTIF(C$9:C1796,C1796))</f>
        <v/>
      </c>
    </row>
    <row r="1797" spans="2:2" x14ac:dyDescent="0.25">
      <c r="B1797" t="str">
        <f>IF(C1797="","",C1797&amp;COUNTIF(C$9:C1797,C1797))</f>
        <v/>
      </c>
    </row>
    <row r="1798" spans="2:2" x14ac:dyDescent="0.25">
      <c r="B1798" t="str">
        <f>IF(C1798="","",C1798&amp;COUNTIF(C$9:C1798,C1798))</f>
        <v/>
      </c>
    </row>
    <row r="1799" spans="2:2" x14ac:dyDescent="0.25">
      <c r="B1799" t="str">
        <f>IF(C1799="","",C1799&amp;COUNTIF(C$9:C1799,C1799))</f>
        <v/>
      </c>
    </row>
    <row r="1800" spans="2:2" x14ac:dyDescent="0.25">
      <c r="B1800" t="str">
        <f>IF(C1800="","",C1800&amp;COUNTIF(C$9:C1800,C1800))</f>
        <v/>
      </c>
    </row>
    <row r="1801" spans="2:2" x14ac:dyDescent="0.25">
      <c r="B1801" t="str">
        <f>IF(C1801="","",C1801&amp;COUNTIF(C$9:C1801,C1801))</f>
        <v/>
      </c>
    </row>
    <row r="1802" spans="2:2" x14ac:dyDescent="0.25">
      <c r="B1802" t="str">
        <f>IF(C1802="","",C1802&amp;COUNTIF(C$9:C1802,C1802))</f>
        <v/>
      </c>
    </row>
    <row r="1803" spans="2:2" x14ac:dyDescent="0.25">
      <c r="B1803" t="str">
        <f>IF(C1803="","",C1803&amp;COUNTIF(C$9:C1803,C1803))</f>
        <v/>
      </c>
    </row>
    <row r="1804" spans="2:2" x14ac:dyDescent="0.25">
      <c r="B1804" t="str">
        <f>IF(C1804="","",C1804&amp;COUNTIF(C$9:C1804,C1804))</f>
        <v/>
      </c>
    </row>
    <row r="1805" spans="2:2" x14ac:dyDescent="0.25">
      <c r="B1805" t="str">
        <f>IF(C1805="","",C1805&amp;COUNTIF(C$9:C1805,C1805))</f>
        <v/>
      </c>
    </row>
    <row r="1806" spans="2:2" x14ac:dyDescent="0.25">
      <c r="B1806" t="str">
        <f>IF(C1806="","",C1806&amp;COUNTIF(C$9:C1806,C1806))</f>
        <v/>
      </c>
    </row>
    <row r="1807" spans="2:2" x14ac:dyDescent="0.25">
      <c r="B1807" t="str">
        <f>IF(C1807="","",C1807&amp;COUNTIF(C$9:C1807,C1807))</f>
        <v/>
      </c>
    </row>
    <row r="1808" spans="2:2" x14ac:dyDescent="0.25">
      <c r="B1808" t="str">
        <f>IF(C1808="","",C1808&amp;COUNTIF(C$9:C1808,C1808))</f>
        <v/>
      </c>
    </row>
    <row r="1809" spans="2:2" x14ac:dyDescent="0.25">
      <c r="B1809" t="str">
        <f>IF(C1809="","",C1809&amp;COUNTIF(C$9:C1809,C1809))</f>
        <v/>
      </c>
    </row>
    <row r="1810" spans="2:2" x14ac:dyDescent="0.25">
      <c r="B1810" t="str">
        <f>IF(C1810="","",C1810&amp;COUNTIF(C$9:C1810,C1810))</f>
        <v/>
      </c>
    </row>
    <row r="1811" spans="2:2" x14ac:dyDescent="0.25">
      <c r="B1811" t="str">
        <f>IF(C1811="","",C1811&amp;COUNTIF(C$9:C1811,C1811))</f>
        <v/>
      </c>
    </row>
    <row r="1812" spans="2:2" x14ac:dyDescent="0.25">
      <c r="B1812" t="str">
        <f>IF(C1812="","",C1812&amp;COUNTIF(C$9:C1812,C1812))</f>
        <v/>
      </c>
    </row>
    <row r="1813" spans="2:2" x14ac:dyDescent="0.25">
      <c r="B1813" t="str">
        <f>IF(C1813="","",C1813&amp;COUNTIF(C$9:C1813,C1813))</f>
        <v/>
      </c>
    </row>
    <row r="1814" spans="2:2" x14ac:dyDescent="0.25">
      <c r="B1814" t="str">
        <f>IF(C1814="","",C1814&amp;COUNTIF(C$9:C1814,C1814))</f>
        <v/>
      </c>
    </row>
    <row r="1815" spans="2:2" x14ac:dyDescent="0.25">
      <c r="B1815" t="str">
        <f>IF(C1815="","",C1815&amp;COUNTIF(C$9:C1815,C1815))</f>
        <v/>
      </c>
    </row>
    <row r="1816" spans="2:2" x14ac:dyDescent="0.25">
      <c r="B1816" t="str">
        <f>IF(C1816="","",C1816&amp;COUNTIF(C$9:C1816,C1816))</f>
        <v/>
      </c>
    </row>
    <row r="1817" spans="2:2" x14ac:dyDescent="0.25">
      <c r="B1817" t="str">
        <f>IF(C1817="","",C1817&amp;COUNTIF(C$9:C1817,C1817))</f>
        <v/>
      </c>
    </row>
    <row r="1818" spans="2:2" x14ac:dyDescent="0.25">
      <c r="B1818" t="str">
        <f>IF(C1818="","",C1818&amp;COUNTIF(C$9:C1818,C1818))</f>
        <v/>
      </c>
    </row>
    <row r="1819" spans="2:2" x14ac:dyDescent="0.25">
      <c r="B1819" t="str">
        <f>IF(C1819="","",C1819&amp;COUNTIF(C$9:C1819,C1819))</f>
        <v/>
      </c>
    </row>
    <row r="1820" spans="2:2" x14ac:dyDescent="0.25">
      <c r="B1820" t="str">
        <f>IF(C1820="","",C1820&amp;COUNTIF(C$9:C1820,C1820))</f>
        <v/>
      </c>
    </row>
    <row r="1821" spans="2:2" x14ac:dyDescent="0.25">
      <c r="B1821" t="str">
        <f>IF(C1821="","",C1821&amp;COUNTIF(C$9:C1821,C1821))</f>
        <v/>
      </c>
    </row>
    <row r="1822" spans="2:2" x14ac:dyDescent="0.25">
      <c r="B1822" t="str">
        <f>IF(C1822="","",C1822&amp;COUNTIF(C$9:C1822,C1822))</f>
        <v/>
      </c>
    </row>
    <row r="1823" spans="2:2" x14ac:dyDescent="0.25">
      <c r="B1823" t="str">
        <f>IF(C1823="","",C1823&amp;COUNTIF(C$9:C1823,C1823))</f>
        <v/>
      </c>
    </row>
    <row r="1824" spans="2:2" x14ac:dyDescent="0.25">
      <c r="B1824" t="str">
        <f>IF(C1824="","",C1824&amp;COUNTIF(C$9:C1824,C1824))</f>
        <v/>
      </c>
    </row>
    <row r="1825" spans="2:2" x14ac:dyDescent="0.25">
      <c r="B1825" t="str">
        <f>IF(C1825="","",C1825&amp;COUNTIF(C$9:C1825,C1825))</f>
        <v/>
      </c>
    </row>
    <row r="1826" spans="2:2" x14ac:dyDescent="0.25">
      <c r="B1826" t="str">
        <f>IF(C1826="","",C1826&amp;COUNTIF(C$9:C1826,C1826))</f>
        <v/>
      </c>
    </row>
    <row r="1827" spans="2:2" x14ac:dyDescent="0.25">
      <c r="B1827" t="str">
        <f>IF(C1827="","",C1827&amp;COUNTIF(C$9:C1827,C1827))</f>
        <v/>
      </c>
    </row>
    <row r="1828" spans="2:2" x14ac:dyDescent="0.25">
      <c r="B1828" t="str">
        <f>IF(C1828="","",C1828&amp;COUNTIF(C$9:C1828,C1828))</f>
        <v/>
      </c>
    </row>
    <row r="1829" spans="2:2" x14ac:dyDescent="0.25">
      <c r="B1829" t="str">
        <f>IF(C1829="","",C1829&amp;COUNTIF(C$9:C1829,C1829))</f>
        <v/>
      </c>
    </row>
    <row r="1830" spans="2:2" x14ac:dyDescent="0.25">
      <c r="B1830" t="str">
        <f>IF(C1830="","",C1830&amp;COUNTIF(C$9:C1830,C1830))</f>
        <v/>
      </c>
    </row>
    <row r="1831" spans="2:2" x14ac:dyDescent="0.25">
      <c r="B1831" t="str">
        <f>IF(C1831="","",C1831&amp;COUNTIF(C$9:C1831,C1831))</f>
        <v/>
      </c>
    </row>
    <row r="1832" spans="2:2" x14ac:dyDescent="0.25">
      <c r="B1832" t="str">
        <f>IF(C1832="","",C1832&amp;COUNTIF(C$9:C1832,C1832))</f>
        <v/>
      </c>
    </row>
    <row r="1833" spans="2:2" x14ac:dyDescent="0.25">
      <c r="B1833" t="str">
        <f>IF(C1833="","",C1833&amp;COUNTIF(C$9:C1833,C1833))</f>
        <v/>
      </c>
    </row>
    <row r="1834" spans="2:2" x14ac:dyDescent="0.25">
      <c r="B1834" t="str">
        <f>IF(C1834="","",C1834&amp;COUNTIF(C$9:C1834,C1834))</f>
        <v/>
      </c>
    </row>
    <row r="1835" spans="2:2" x14ac:dyDescent="0.25">
      <c r="B1835" t="str">
        <f>IF(C1835="","",C1835&amp;COUNTIF(C$9:C1835,C1835))</f>
        <v/>
      </c>
    </row>
    <row r="1836" spans="2:2" x14ac:dyDescent="0.25">
      <c r="B1836" t="str">
        <f>IF(C1836="","",C1836&amp;COUNTIF(C$9:C1836,C1836))</f>
        <v/>
      </c>
    </row>
    <row r="1837" spans="2:2" x14ac:dyDescent="0.25">
      <c r="B1837" t="str">
        <f>IF(C1837="","",C1837&amp;COUNTIF(C$9:C1837,C1837))</f>
        <v/>
      </c>
    </row>
    <row r="1838" spans="2:2" x14ac:dyDescent="0.25">
      <c r="B1838" t="str">
        <f>IF(C1838="","",C1838&amp;COUNTIF(C$9:C1838,C1838))</f>
        <v/>
      </c>
    </row>
    <row r="1839" spans="2:2" x14ac:dyDescent="0.25">
      <c r="B1839" t="str">
        <f>IF(C1839="","",C1839&amp;COUNTIF(C$9:C1839,C1839))</f>
        <v/>
      </c>
    </row>
    <row r="1840" spans="2:2" x14ac:dyDescent="0.25">
      <c r="B1840" t="str">
        <f>IF(C1840="","",C1840&amp;COUNTIF(C$9:C1840,C1840))</f>
        <v/>
      </c>
    </row>
    <row r="1841" spans="2:2" x14ac:dyDescent="0.25">
      <c r="B1841" t="str">
        <f>IF(C1841="","",C1841&amp;COUNTIF(C$9:C1841,C1841))</f>
        <v/>
      </c>
    </row>
    <row r="1842" spans="2:2" x14ac:dyDescent="0.25">
      <c r="B1842" t="str">
        <f>IF(C1842="","",C1842&amp;COUNTIF(C$9:C1842,C1842))</f>
        <v/>
      </c>
    </row>
    <row r="1843" spans="2:2" x14ac:dyDescent="0.25">
      <c r="B1843" t="str">
        <f>IF(C1843="","",C1843&amp;COUNTIF(C$9:C1843,C1843))</f>
        <v/>
      </c>
    </row>
    <row r="1844" spans="2:2" x14ac:dyDescent="0.25">
      <c r="B1844" t="str">
        <f>IF(C1844="","",C1844&amp;COUNTIF(C$9:C1844,C1844))</f>
        <v/>
      </c>
    </row>
    <row r="1845" spans="2:2" x14ac:dyDescent="0.25">
      <c r="B1845" t="str">
        <f>IF(C1845="","",C1845&amp;COUNTIF(C$9:C1845,C1845))</f>
        <v/>
      </c>
    </row>
    <row r="1846" spans="2:2" x14ac:dyDescent="0.25">
      <c r="B1846" t="str">
        <f>IF(C1846="","",C1846&amp;COUNTIF(C$9:C1846,C1846))</f>
        <v/>
      </c>
    </row>
    <row r="1847" spans="2:2" x14ac:dyDescent="0.25">
      <c r="B1847" t="str">
        <f>IF(C1847="","",C1847&amp;COUNTIF(C$9:C1847,C1847))</f>
        <v/>
      </c>
    </row>
    <row r="1848" spans="2:2" x14ac:dyDescent="0.25">
      <c r="B1848" t="str">
        <f>IF(C1848="","",C1848&amp;COUNTIF(C$9:C1848,C1848))</f>
        <v/>
      </c>
    </row>
    <row r="1849" spans="2:2" x14ac:dyDescent="0.25">
      <c r="B1849" t="str">
        <f>IF(C1849="","",C1849&amp;COUNTIF(C$9:C1849,C1849))</f>
        <v/>
      </c>
    </row>
    <row r="1850" spans="2:2" x14ac:dyDescent="0.25">
      <c r="B1850" t="str">
        <f>IF(C1850="","",C1850&amp;COUNTIF(C$9:C1850,C1850))</f>
        <v/>
      </c>
    </row>
    <row r="1851" spans="2:2" x14ac:dyDescent="0.25">
      <c r="B1851" t="str">
        <f>IF(C1851="","",C1851&amp;COUNTIF(C$9:C1851,C1851))</f>
        <v/>
      </c>
    </row>
    <row r="1852" spans="2:2" x14ac:dyDescent="0.25">
      <c r="B1852" t="str">
        <f>IF(C1852="","",C1852&amp;COUNTIF(C$9:C1852,C1852))</f>
        <v/>
      </c>
    </row>
    <row r="1853" spans="2:2" x14ac:dyDescent="0.25">
      <c r="B1853" t="str">
        <f>IF(C1853="","",C1853&amp;COUNTIF(C$9:C1853,C1853))</f>
        <v/>
      </c>
    </row>
    <row r="1854" spans="2:2" x14ac:dyDescent="0.25">
      <c r="B1854" t="str">
        <f>IF(C1854="","",C1854&amp;COUNTIF(C$9:C1854,C1854))</f>
        <v/>
      </c>
    </row>
    <row r="1855" spans="2:2" x14ac:dyDescent="0.25">
      <c r="B1855" t="str">
        <f>IF(C1855="","",C1855&amp;COUNTIF(C$9:C1855,C1855))</f>
        <v/>
      </c>
    </row>
    <row r="1856" spans="2:2" x14ac:dyDescent="0.25">
      <c r="B1856" t="str">
        <f>IF(C1856="","",C1856&amp;COUNTIF(C$9:C1856,C1856))</f>
        <v/>
      </c>
    </row>
    <row r="1857" spans="2:2" x14ac:dyDescent="0.25">
      <c r="B1857" t="str">
        <f>IF(C1857="","",C1857&amp;COUNTIF(C$9:C1857,C1857))</f>
        <v/>
      </c>
    </row>
    <row r="1858" spans="2:2" x14ac:dyDescent="0.25">
      <c r="B1858" t="str">
        <f>IF(C1858="","",C1858&amp;COUNTIF(C$9:C1858,C1858))</f>
        <v/>
      </c>
    </row>
    <row r="1859" spans="2:2" x14ac:dyDescent="0.25">
      <c r="B1859" t="str">
        <f>IF(C1859="","",C1859&amp;COUNTIF(C$9:C1859,C1859))</f>
        <v/>
      </c>
    </row>
    <row r="1860" spans="2:2" x14ac:dyDescent="0.25">
      <c r="B1860" t="str">
        <f>IF(C1860="","",C1860&amp;COUNTIF(C$9:C1860,C1860))</f>
        <v/>
      </c>
    </row>
    <row r="1861" spans="2:2" x14ac:dyDescent="0.25">
      <c r="B1861" t="str">
        <f>IF(C1861="","",C1861&amp;COUNTIF(C$9:C1861,C1861))</f>
        <v/>
      </c>
    </row>
    <row r="1862" spans="2:2" x14ac:dyDescent="0.25">
      <c r="B1862" t="str">
        <f>IF(C1862="","",C1862&amp;COUNTIF(C$9:C1862,C1862))</f>
        <v/>
      </c>
    </row>
    <row r="1863" spans="2:2" x14ac:dyDescent="0.25">
      <c r="B1863" t="str">
        <f>IF(C1863="","",C1863&amp;COUNTIF(C$9:C1863,C1863))</f>
        <v/>
      </c>
    </row>
    <row r="1864" spans="2:2" x14ac:dyDescent="0.25">
      <c r="B1864" t="str">
        <f>IF(C1864="","",C1864&amp;COUNTIF(C$9:C1864,C1864))</f>
        <v/>
      </c>
    </row>
    <row r="1865" spans="2:2" x14ac:dyDescent="0.25">
      <c r="B1865" t="str">
        <f>IF(C1865="","",C1865&amp;COUNTIF(C$9:C1865,C1865))</f>
        <v/>
      </c>
    </row>
    <row r="1866" spans="2:2" x14ac:dyDescent="0.25">
      <c r="B1866" t="str">
        <f>IF(C1866="","",C1866&amp;COUNTIF(C$9:C1866,C1866))</f>
        <v/>
      </c>
    </row>
    <row r="1867" spans="2:2" x14ac:dyDescent="0.25">
      <c r="B1867" t="str">
        <f>IF(C1867="","",C1867&amp;COUNTIF(C$9:C1867,C1867))</f>
        <v/>
      </c>
    </row>
    <row r="1868" spans="2:2" x14ac:dyDescent="0.25">
      <c r="B1868" t="str">
        <f>IF(C1868="","",C1868&amp;COUNTIF(C$9:C1868,C1868))</f>
        <v/>
      </c>
    </row>
    <row r="1869" spans="2:2" x14ac:dyDescent="0.25">
      <c r="B1869" t="str">
        <f>IF(C1869="","",C1869&amp;COUNTIF(C$9:C1869,C1869))</f>
        <v/>
      </c>
    </row>
    <row r="1870" spans="2:2" x14ac:dyDescent="0.25">
      <c r="B1870" t="str">
        <f>IF(C1870="","",C1870&amp;COUNTIF(C$9:C1870,C1870))</f>
        <v/>
      </c>
    </row>
    <row r="1871" spans="2:2" x14ac:dyDescent="0.25">
      <c r="B1871" t="str">
        <f>IF(C1871="","",C1871&amp;COUNTIF(C$9:C1871,C1871))</f>
        <v/>
      </c>
    </row>
    <row r="1872" spans="2:2" x14ac:dyDescent="0.25">
      <c r="B1872" t="str">
        <f>IF(C1872="","",C1872&amp;COUNTIF(C$9:C1872,C1872))</f>
        <v/>
      </c>
    </row>
    <row r="1873" spans="2:2" x14ac:dyDescent="0.25">
      <c r="B1873" t="str">
        <f>IF(C1873="","",C1873&amp;COUNTIF(C$9:C1873,C1873))</f>
        <v/>
      </c>
    </row>
    <row r="1874" spans="2:2" x14ac:dyDescent="0.25">
      <c r="B1874" t="str">
        <f>IF(C1874="","",C1874&amp;COUNTIF(C$9:C1874,C1874))</f>
        <v/>
      </c>
    </row>
    <row r="1875" spans="2:2" x14ac:dyDescent="0.25">
      <c r="B1875" t="str">
        <f>IF(C1875="","",C1875&amp;COUNTIF(C$9:C1875,C1875))</f>
        <v/>
      </c>
    </row>
    <row r="1876" spans="2:2" x14ac:dyDescent="0.25">
      <c r="B1876" t="str">
        <f>IF(C1876="","",C1876&amp;COUNTIF(C$9:C1876,C1876))</f>
        <v/>
      </c>
    </row>
    <row r="1877" spans="2:2" x14ac:dyDescent="0.25">
      <c r="B1877" t="str">
        <f>IF(C1877="","",C1877&amp;COUNTIF(C$9:C1877,C1877))</f>
        <v/>
      </c>
    </row>
    <row r="1878" spans="2:2" x14ac:dyDescent="0.25">
      <c r="B1878" t="str">
        <f>IF(C1878="","",C1878&amp;COUNTIF(C$9:C1878,C1878))</f>
        <v/>
      </c>
    </row>
    <row r="1879" spans="2:2" x14ac:dyDescent="0.25">
      <c r="B1879" t="str">
        <f>IF(C1879="","",C1879&amp;COUNTIF(C$9:C1879,C1879))</f>
        <v/>
      </c>
    </row>
    <row r="1880" spans="2:2" x14ac:dyDescent="0.25">
      <c r="B1880" t="str">
        <f>IF(C1880="","",C1880&amp;COUNTIF(C$9:C1880,C1880))</f>
        <v/>
      </c>
    </row>
    <row r="1881" spans="2:2" x14ac:dyDescent="0.25">
      <c r="B1881" t="str">
        <f>IF(C1881="","",C1881&amp;COUNTIF(C$9:C1881,C1881))</f>
        <v/>
      </c>
    </row>
    <row r="1882" spans="2:2" x14ac:dyDescent="0.25">
      <c r="B1882" t="str">
        <f>IF(C1882="","",C1882&amp;COUNTIF(C$9:C1882,C1882))</f>
        <v/>
      </c>
    </row>
    <row r="1883" spans="2:2" x14ac:dyDescent="0.25">
      <c r="B1883" t="str">
        <f>IF(C1883="","",C1883&amp;COUNTIF(C$9:C1883,C1883))</f>
        <v/>
      </c>
    </row>
    <row r="1884" spans="2:2" x14ac:dyDescent="0.25">
      <c r="B1884" t="str">
        <f>IF(C1884="","",C1884&amp;COUNTIF(C$9:C1884,C1884))</f>
        <v/>
      </c>
    </row>
    <row r="1885" spans="2:2" x14ac:dyDescent="0.25">
      <c r="B1885" t="str">
        <f>IF(C1885="","",C1885&amp;COUNTIF(C$9:C1885,C1885))</f>
        <v/>
      </c>
    </row>
    <row r="1886" spans="2:2" x14ac:dyDescent="0.25">
      <c r="B1886" t="str">
        <f>IF(C1886="","",C1886&amp;COUNTIF(C$9:C1886,C1886))</f>
        <v/>
      </c>
    </row>
    <row r="1887" spans="2:2" x14ac:dyDescent="0.25">
      <c r="B1887" t="str">
        <f>IF(C1887="","",C1887&amp;COUNTIF(C$9:C1887,C1887))</f>
        <v/>
      </c>
    </row>
    <row r="1888" spans="2:2" x14ac:dyDescent="0.25">
      <c r="B1888" t="str">
        <f>IF(C1888="","",C1888&amp;COUNTIF(C$9:C1888,C1888))</f>
        <v/>
      </c>
    </row>
    <row r="1889" spans="2:2" x14ac:dyDescent="0.25">
      <c r="B1889" t="str">
        <f>IF(C1889="","",C1889&amp;COUNTIF(C$9:C1889,C1889))</f>
        <v/>
      </c>
    </row>
    <row r="1890" spans="2:2" x14ac:dyDescent="0.25">
      <c r="B1890" t="str">
        <f>IF(C1890="","",C1890&amp;COUNTIF(C$9:C1890,C1890))</f>
        <v/>
      </c>
    </row>
    <row r="1891" spans="2:2" x14ac:dyDescent="0.25">
      <c r="B1891" t="str">
        <f>IF(C1891="","",C1891&amp;COUNTIF(C$9:C1891,C1891))</f>
        <v/>
      </c>
    </row>
    <row r="1892" spans="2:2" x14ac:dyDescent="0.25">
      <c r="B1892" t="str">
        <f>IF(C1892="","",C1892&amp;COUNTIF(C$9:C1892,C1892))</f>
        <v/>
      </c>
    </row>
    <row r="1893" spans="2:2" x14ac:dyDescent="0.25">
      <c r="B1893" t="str">
        <f>IF(C1893="","",C1893&amp;COUNTIF(C$9:C1893,C1893))</f>
        <v/>
      </c>
    </row>
    <row r="1894" spans="2:2" x14ac:dyDescent="0.25">
      <c r="B1894" t="str">
        <f>IF(C1894="","",C1894&amp;COUNTIF(C$9:C1894,C1894))</f>
        <v/>
      </c>
    </row>
    <row r="1895" spans="2:2" x14ac:dyDescent="0.25">
      <c r="B1895" t="str">
        <f>IF(C1895="","",C1895&amp;COUNTIF(C$9:C1895,C1895))</f>
        <v/>
      </c>
    </row>
    <row r="1896" spans="2:2" x14ac:dyDescent="0.25">
      <c r="B1896" t="str">
        <f>IF(C1896="","",C1896&amp;COUNTIF(C$9:C1896,C1896))</f>
        <v/>
      </c>
    </row>
    <row r="1897" spans="2:2" x14ac:dyDescent="0.25">
      <c r="B1897" t="str">
        <f>IF(C1897="","",C1897&amp;COUNTIF(C$9:C1897,C1897))</f>
        <v/>
      </c>
    </row>
    <row r="1898" spans="2:2" x14ac:dyDescent="0.25">
      <c r="B1898" t="str">
        <f>IF(C1898="","",C1898&amp;COUNTIF(C$9:C1898,C1898))</f>
        <v/>
      </c>
    </row>
    <row r="1899" spans="2:2" x14ac:dyDescent="0.25">
      <c r="B1899" t="str">
        <f>IF(C1899="","",C1899&amp;COUNTIF(C$9:C1899,C1899))</f>
        <v/>
      </c>
    </row>
    <row r="1900" spans="2:2" x14ac:dyDescent="0.25">
      <c r="B1900" t="str">
        <f>IF(C1900="","",C1900&amp;COUNTIF(C$9:C1900,C1900))</f>
        <v/>
      </c>
    </row>
    <row r="1901" spans="2:2" x14ac:dyDescent="0.25">
      <c r="B1901" t="str">
        <f>IF(C1901="","",C1901&amp;COUNTIF(C$9:C1901,C1901))</f>
        <v/>
      </c>
    </row>
    <row r="1902" spans="2:2" x14ac:dyDescent="0.25">
      <c r="B1902" t="str">
        <f>IF(C1902="","",C1902&amp;COUNTIF(C$9:C1902,C1902))</f>
        <v/>
      </c>
    </row>
    <row r="1903" spans="2:2" x14ac:dyDescent="0.25">
      <c r="B1903" t="str">
        <f>IF(C1903="","",C1903&amp;COUNTIF(C$9:C1903,C1903))</f>
        <v/>
      </c>
    </row>
    <row r="1904" spans="2:2" x14ac:dyDescent="0.25">
      <c r="B1904" t="str">
        <f>IF(C1904="","",C1904&amp;COUNTIF(C$9:C1904,C1904))</f>
        <v/>
      </c>
    </row>
    <row r="1905" spans="2:2" x14ac:dyDescent="0.25">
      <c r="B1905" t="str">
        <f>IF(C1905="","",C1905&amp;COUNTIF(C$9:C1905,C1905))</f>
        <v/>
      </c>
    </row>
    <row r="1906" spans="2:2" x14ac:dyDescent="0.25">
      <c r="B1906" t="str">
        <f>IF(C1906="","",C1906&amp;COUNTIF(C$9:C1906,C1906))</f>
        <v/>
      </c>
    </row>
    <row r="1907" spans="2:2" x14ac:dyDescent="0.25">
      <c r="B1907" t="str">
        <f>IF(C1907="","",C1907&amp;COUNTIF(C$9:C1907,C1907))</f>
        <v/>
      </c>
    </row>
    <row r="1908" spans="2:2" x14ac:dyDescent="0.25">
      <c r="B1908" t="str">
        <f>IF(C1908="","",C1908&amp;COUNTIF(C$9:C1908,C1908))</f>
        <v/>
      </c>
    </row>
    <row r="1909" spans="2:2" x14ac:dyDescent="0.25">
      <c r="B1909" t="str">
        <f>IF(C1909="","",C1909&amp;COUNTIF(C$9:C1909,C1909))</f>
        <v/>
      </c>
    </row>
    <row r="1910" spans="2:2" x14ac:dyDescent="0.25">
      <c r="B1910" t="str">
        <f>IF(C1910="","",C1910&amp;COUNTIF(C$9:C1910,C1910))</f>
        <v/>
      </c>
    </row>
    <row r="1911" spans="2:2" x14ac:dyDescent="0.25">
      <c r="B1911" t="str">
        <f>IF(C1911="","",C1911&amp;COUNTIF(C$9:C1911,C1911))</f>
        <v/>
      </c>
    </row>
    <row r="1912" spans="2:2" x14ac:dyDescent="0.25">
      <c r="B1912" t="str">
        <f>IF(C1912="","",C1912&amp;COUNTIF(C$9:C1912,C1912))</f>
        <v/>
      </c>
    </row>
    <row r="1913" spans="2:2" x14ac:dyDescent="0.25">
      <c r="B1913" t="str">
        <f>IF(C1913="","",C1913&amp;COUNTIF(C$9:C1913,C1913))</f>
        <v/>
      </c>
    </row>
    <row r="1914" spans="2:2" x14ac:dyDescent="0.25">
      <c r="B1914" t="str">
        <f>IF(C1914="","",C1914&amp;COUNTIF(C$9:C1914,C1914))</f>
        <v/>
      </c>
    </row>
    <row r="1915" spans="2:2" x14ac:dyDescent="0.25">
      <c r="B1915" t="str">
        <f>IF(C1915="","",C1915&amp;COUNTIF(C$9:C1915,C1915))</f>
        <v/>
      </c>
    </row>
    <row r="1916" spans="2:2" x14ac:dyDescent="0.25">
      <c r="B1916" t="str">
        <f>IF(C1916="","",C1916&amp;COUNTIF(C$9:C1916,C1916))</f>
        <v/>
      </c>
    </row>
    <row r="1917" spans="2:2" x14ac:dyDescent="0.25">
      <c r="B1917" t="str">
        <f>IF(C1917="","",C1917&amp;COUNTIF(C$9:C1917,C1917))</f>
        <v/>
      </c>
    </row>
    <row r="1918" spans="2:2" x14ac:dyDescent="0.25">
      <c r="B1918" t="str">
        <f>IF(C1918="","",C1918&amp;COUNTIF(C$9:C1918,C1918))</f>
        <v/>
      </c>
    </row>
    <row r="1919" spans="2:2" x14ac:dyDescent="0.25">
      <c r="B1919" t="str">
        <f>IF(C1919="","",C1919&amp;COUNTIF(C$9:C1919,C1919))</f>
        <v/>
      </c>
    </row>
    <row r="1920" spans="2:2" x14ac:dyDescent="0.25">
      <c r="B1920" t="str">
        <f>IF(C1920="","",C1920&amp;COUNTIF(C$9:C1920,C1920))</f>
        <v/>
      </c>
    </row>
    <row r="1921" spans="2:2" x14ac:dyDescent="0.25">
      <c r="B1921" t="str">
        <f>IF(C1921="","",C1921&amp;COUNTIF(C$9:C1921,C1921))</f>
        <v/>
      </c>
    </row>
    <row r="1922" spans="2:2" x14ac:dyDescent="0.25">
      <c r="B1922" t="str">
        <f>IF(C1922="","",C1922&amp;COUNTIF(C$9:C1922,C1922))</f>
        <v/>
      </c>
    </row>
    <row r="1923" spans="2:2" x14ac:dyDescent="0.25">
      <c r="B1923" t="str">
        <f>IF(C1923="","",C1923&amp;COUNTIF(C$9:C1923,C1923))</f>
        <v/>
      </c>
    </row>
    <row r="1924" spans="2:2" x14ac:dyDescent="0.25">
      <c r="B1924" t="str">
        <f>IF(C1924="","",C1924&amp;COUNTIF(C$9:C1924,C1924))</f>
        <v/>
      </c>
    </row>
    <row r="1925" spans="2:2" x14ac:dyDescent="0.25">
      <c r="B1925" t="str">
        <f>IF(C1925="","",C1925&amp;COUNTIF(C$9:C1925,C1925))</f>
        <v/>
      </c>
    </row>
    <row r="1926" spans="2:2" x14ac:dyDescent="0.25">
      <c r="B1926" t="str">
        <f>IF(C1926="","",C1926&amp;COUNTIF(C$9:C1926,C1926))</f>
        <v/>
      </c>
    </row>
    <row r="1927" spans="2:2" x14ac:dyDescent="0.25">
      <c r="B1927" t="str">
        <f>IF(C1927="","",C1927&amp;COUNTIF(C$9:C1927,C1927))</f>
        <v/>
      </c>
    </row>
    <row r="1928" spans="2:2" x14ac:dyDescent="0.25">
      <c r="B1928" t="str">
        <f>IF(C1928="","",C1928&amp;COUNTIF(C$9:C1928,C1928))</f>
        <v/>
      </c>
    </row>
    <row r="1929" spans="2:2" x14ac:dyDescent="0.25">
      <c r="B1929" t="str">
        <f>IF(C1929="","",C1929&amp;COUNTIF(C$9:C1929,C1929))</f>
        <v/>
      </c>
    </row>
    <row r="1930" spans="2:2" x14ac:dyDescent="0.25">
      <c r="B1930" t="str">
        <f>IF(C1930="","",C1930&amp;COUNTIF(C$9:C1930,C1930))</f>
        <v/>
      </c>
    </row>
    <row r="1931" spans="2:2" x14ac:dyDescent="0.25">
      <c r="B1931" t="str">
        <f>IF(C1931="","",C1931&amp;COUNTIF(C$9:C1931,C1931))</f>
        <v/>
      </c>
    </row>
    <row r="1932" spans="2:2" x14ac:dyDescent="0.25">
      <c r="B1932" t="str">
        <f>IF(C1932="","",C1932&amp;COUNTIF(C$9:C1932,C1932))</f>
        <v/>
      </c>
    </row>
    <row r="1933" spans="2:2" x14ac:dyDescent="0.25">
      <c r="B1933" t="str">
        <f>IF(C1933="","",C1933&amp;COUNTIF(C$9:C1933,C1933))</f>
        <v/>
      </c>
    </row>
    <row r="1934" spans="2:2" x14ac:dyDescent="0.25">
      <c r="B1934" t="str">
        <f>IF(C1934="","",C1934&amp;COUNTIF(C$9:C1934,C1934))</f>
        <v/>
      </c>
    </row>
    <row r="1935" spans="2:2" x14ac:dyDescent="0.25">
      <c r="B1935" t="str">
        <f>IF(C1935="","",C1935&amp;COUNTIF(C$9:C1935,C1935))</f>
        <v/>
      </c>
    </row>
    <row r="1936" spans="2:2" x14ac:dyDescent="0.25">
      <c r="B1936" t="str">
        <f>IF(C1936="","",C1936&amp;COUNTIF(C$9:C1936,C1936))</f>
        <v/>
      </c>
    </row>
    <row r="1937" spans="2:2" x14ac:dyDescent="0.25">
      <c r="B1937" t="str">
        <f>IF(C1937="","",C1937&amp;COUNTIF(C$9:C1937,C1937))</f>
        <v/>
      </c>
    </row>
    <row r="1938" spans="2:2" x14ac:dyDescent="0.25">
      <c r="B1938" t="str">
        <f>IF(C1938="","",C1938&amp;COUNTIF(C$9:C1938,C1938))</f>
        <v/>
      </c>
    </row>
    <row r="1939" spans="2:2" x14ac:dyDescent="0.25">
      <c r="B1939" t="str">
        <f>IF(C1939="","",C1939&amp;COUNTIF(C$9:C1939,C1939))</f>
        <v/>
      </c>
    </row>
    <row r="1940" spans="2:2" x14ac:dyDescent="0.25">
      <c r="B1940" t="str">
        <f>IF(C1940="","",C1940&amp;COUNTIF(C$9:C1940,C1940))</f>
        <v/>
      </c>
    </row>
    <row r="1941" spans="2:2" x14ac:dyDescent="0.25">
      <c r="B1941" t="str">
        <f>IF(C1941="","",C1941&amp;COUNTIF(C$9:C1941,C1941))</f>
        <v/>
      </c>
    </row>
    <row r="1942" spans="2:2" x14ac:dyDescent="0.25">
      <c r="B1942" t="str">
        <f>IF(C1942="","",C1942&amp;COUNTIF(C$9:C1942,C1942))</f>
        <v/>
      </c>
    </row>
    <row r="1943" spans="2:2" x14ac:dyDescent="0.25">
      <c r="B1943" t="str">
        <f>IF(C1943="","",C1943&amp;COUNTIF(C$9:C1943,C1943))</f>
        <v/>
      </c>
    </row>
    <row r="1944" spans="2:2" x14ac:dyDescent="0.25">
      <c r="B1944" t="str">
        <f>IF(C1944="","",C1944&amp;COUNTIF(C$9:C1944,C1944))</f>
        <v/>
      </c>
    </row>
    <row r="1945" spans="2:2" x14ac:dyDescent="0.25">
      <c r="B1945" t="str">
        <f>IF(C1945="","",C1945&amp;COUNTIF(C$9:C1945,C1945))</f>
        <v/>
      </c>
    </row>
    <row r="1946" spans="2:2" x14ac:dyDescent="0.25">
      <c r="B1946" t="str">
        <f>IF(C1946="","",C1946&amp;COUNTIF(C$9:C1946,C1946))</f>
        <v/>
      </c>
    </row>
    <row r="1947" spans="2:2" x14ac:dyDescent="0.25">
      <c r="B1947" t="str">
        <f>IF(C1947="","",C1947&amp;COUNTIF(C$9:C1947,C1947))</f>
        <v/>
      </c>
    </row>
    <row r="1948" spans="2:2" x14ac:dyDescent="0.25">
      <c r="B1948" t="str">
        <f>IF(C1948="","",C1948&amp;COUNTIF(C$9:C1948,C1948))</f>
        <v/>
      </c>
    </row>
    <row r="1949" spans="2:2" x14ac:dyDescent="0.25">
      <c r="B1949" t="str">
        <f>IF(C1949="","",C1949&amp;COUNTIF(C$9:C1949,C1949))</f>
        <v/>
      </c>
    </row>
    <row r="1950" spans="2:2" x14ac:dyDescent="0.25">
      <c r="B1950" t="str">
        <f>IF(C1950="","",C1950&amp;COUNTIF(C$9:C1950,C1950))</f>
        <v/>
      </c>
    </row>
    <row r="1951" spans="2:2" x14ac:dyDescent="0.25">
      <c r="B1951" t="str">
        <f>IF(C1951="","",C1951&amp;COUNTIF(C$9:C1951,C1951))</f>
        <v/>
      </c>
    </row>
    <row r="1952" spans="2:2" x14ac:dyDescent="0.25">
      <c r="B1952" t="str">
        <f>IF(C1952="","",C1952&amp;COUNTIF(C$9:C1952,C1952))</f>
        <v/>
      </c>
    </row>
    <row r="1953" spans="2:2" x14ac:dyDescent="0.25">
      <c r="B1953" t="str">
        <f>IF(C1953="","",C1953&amp;COUNTIF(C$9:C1953,C1953))</f>
        <v/>
      </c>
    </row>
    <row r="1954" spans="2:2" x14ac:dyDescent="0.25">
      <c r="B1954" t="str">
        <f>IF(C1954="","",C1954&amp;COUNTIF(C$9:C1954,C1954))</f>
        <v/>
      </c>
    </row>
    <row r="1955" spans="2:2" x14ac:dyDescent="0.25">
      <c r="B1955" t="str">
        <f>IF(C1955="","",C1955&amp;COUNTIF(C$9:C1955,C1955))</f>
        <v/>
      </c>
    </row>
    <row r="1956" spans="2:2" x14ac:dyDescent="0.25">
      <c r="B1956" t="str">
        <f>IF(C1956="","",C1956&amp;COUNTIF(C$9:C1956,C1956))</f>
        <v/>
      </c>
    </row>
    <row r="1957" spans="2:2" x14ac:dyDescent="0.25">
      <c r="B1957" t="str">
        <f>IF(C1957="","",C1957&amp;COUNTIF(C$9:C1957,C1957))</f>
        <v/>
      </c>
    </row>
    <row r="1958" spans="2:2" x14ac:dyDescent="0.25">
      <c r="B1958" t="str">
        <f>IF(C1958="","",C1958&amp;COUNTIF(C$9:C1958,C1958))</f>
        <v/>
      </c>
    </row>
    <row r="1959" spans="2:2" x14ac:dyDescent="0.25">
      <c r="B1959" t="str">
        <f>IF(C1959="","",C1959&amp;COUNTIF(C$9:C1959,C1959))</f>
        <v/>
      </c>
    </row>
    <row r="1960" spans="2:2" x14ac:dyDescent="0.25">
      <c r="B1960" t="str">
        <f>IF(C1960="","",C1960&amp;COUNTIF(C$9:C1960,C1960))</f>
        <v/>
      </c>
    </row>
    <row r="1961" spans="2:2" x14ac:dyDescent="0.25">
      <c r="B1961" t="str">
        <f>IF(C1961="","",C1961&amp;COUNTIF(C$9:C1961,C1961))</f>
        <v/>
      </c>
    </row>
    <row r="1962" spans="2:2" x14ac:dyDescent="0.25">
      <c r="B1962" t="str">
        <f>IF(C1962="","",C1962&amp;COUNTIF(C$9:C1962,C1962))</f>
        <v/>
      </c>
    </row>
    <row r="1963" spans="2:2" x14ac:dyDescent="0.25">
      <c r="B1963" t="str">
        <f>IF(C1963="","",C1963&amp;COUNTIF(C$9:C1963,C1963))</f>
        <v/>
      </c>
    </row>
    <row r="1964" spans="2:2" x14ac:dyDescent="0.25">
      <c r="B1964" t="str">
        <f>IF(C1964="","",C1964&amp;COUNTIF(C$9:C1964,C1964))</f>
        <v/>
      </c>
    </row>
    <row r="1965" spans="2:2" x14ac:dyDescent="0.25">
      <c r="B1965" t="str">
        <f>IF(C1965="","",C1965&amp;COUNTIF(C$9:C1965,C1965))</f>
        <v/>
      </c>
    </row>
    <row r="1966" spans="2:2" x14ac:dyDescent="0.25">
      <c r="B1966" t="str">
        <f>IF(C1966="","",C1966&amp;COUNTIF(C$9:C1966,C1966))</f>
        <v/>
      </c>
    </row>
    <row r="1967" spans="2:2" x14ac:dyDescent="0.25">
      <c r="B1967" t="str">
        <f>IF(C1967="","",C1967&amp;COUNTIF(C$9:C1967,C1967))</f>
        <v/>
      </c>
    </row>
    <row r="1968" spans="2:2" x14ac:dyDescent="0.25">
      <c r="B1968" t="str">
        <f>IF(C1968="","",C1968&amp;COUNTIF(C$9:C1968,C1968))</f>
        <v/>
      </c>
    </row>
    <row r="1969" spans="2:2" x14ac:dyDescent="0.25">
      <c r="B1969" t="str">
        <f>IF(C1969="","",C1969&amp;COUNTIF(C$9:C1969,C1969))</f>
        <v/>
      </c>
    </row>
    <row r="1970" spans="2:2" x14ac:dyDescent="0.25">
      <c r="B1970" t="str">
        <f>IF(C1970="","",C1970&amp;COUNTIF(C$9:C1970,C1970))</f>
        <v/>
      </c>
    </row>
    <row r="1971" spans="2:2" x14ac:dyDescent="0.25">
      <c r="B1971" t="str">
        <f>IF(C1971="","",C1971&amp;COUNTIF(C$9:C1971,C1971))</f>
        <v/>
      </c>
    </row>
    <row r="1972" spans="2:2" x14ac:dyDescent="0.25">
      <c r="B1972" t="str">
        <f>IF(C1972="","",C1972&amp;COUNTIF(C$9:C1972,C1972))</f>
        <v/>
      </c>
    </row>
    <row r="1973" spans="2:2" x14ac:dyDescent="0.25">
      <c r="B1973" t="str">
        <f>IF(C1973="","",C1973&amp;COUNTIF(C$9:C1973,C1973))</f>
        <v/>
      </c>
    </row>
    <row r="1974" spans="2:2" x14ac:dyDescent="0.25">
      <c r="B1974" t="str">
        <f>IF(C1974="","",C1974&amp;COUNTIF(C$9:C1974,C1974))</f>
        <v/>
      </c>
    </row>
    <row r="1975" spans="2:2" x14ac:dyDescent="0.25">
      <c r="B1975" t="str">
        <f>IF(C1975="","",C1975&amp;COUNTIF(C$9:C1975,C1975))</f>
        <v/>
      </c>
    </row>
    <row r="1976" spans="2:2" x14ac:dyDescent="0.25">
      <c r="B1976" t="str">
        <f>IF(C1976="","",C1976&amp;COUNTIF(C$9:C1976,C1976))</f>
        <v/>
      </c>
    </row>
    <row r="1977" spans="2:2" x14ac:dyDescent="0.25">
      <c r="B1977" t="str">
        <f>IF(C1977="","",C1977&amp;COUNTIF(C$9:C1977,C1977))</f>
        <v/>
      </c>
    </row>
    <row r="1978" spans="2:2" x14ac:dyDescent="0.25">
      <c r="B1978" t="str">
        <f>IF(C1978="","",C1978&amp;COUNTIF(C$9:C1978,C1978))</f>
        <v/>
      </c>
    </row>
    <row r="1979" spans="2:2" x14ac:dyDescent="0.25">
      <c r="B1979" t="str">
        <f>IF(C1979="","",C1979&amp;COUNTIF(C$9:C1979,C1979))</f>
        <v/>
      </c>
    </row>
    <row r="1980" spans="2:2" x14ac:dyDescent="0.25">
      <c r="B1980" t="str">
        <f>IF(C1980="","",C1980&amp;COUNTIF(C$9:C1980,C1980))</f>
        <v/>
      </c>
    </row>
    <row r="1981" spans="2:2" x14ac:dyDescent="0.25">
      <c r="B1981" t="str">
        <f>IF(C1981="","",C1981&amp;COUNTIF(C$9:C1981,C1981))</f>
        <v/>
      </c>
    </row>
    <row r="1982" spans="2:2" x14ac:dyDescent="0.25">
      <c r="B1982" t="str">
        <f>IF(C1982="","",C1982&amp;COUNTIF(C$9:C1982,C1982))</f>
        <v/>
      </c>
    </row>
    <row r="1983" spans="2:2" x14ac:dyDescent="0.25">
      <c r="B1983" t="str">
        <f>IF(C1983="","",C1983&amp;COUNTIF(C$9:C1983,C1983))</f>
        <v/>
      </c>
    </row>
    <row r="1984" spans="2:2" x14ac:dyDescent="0.25">
      <c r="B1984" t="str">
        <f>IF(C1984="","",C1984&amp;COUNTIF(C$9:C1984,C1984))</f>
        <v/>
      </c>
    </row>
    <row r="1985" spans="2:2" x14ac:dyDescent="0.25">
      <c r="B1985" t="str">
        <f>IF(C1985="","",C1985&amp;COUNTIF(C$9:C1985,C1985))</f>
        <v/>
      </c>
    </row>
    <row r="1986" spans="2:2" x14ac:dyDescent="0.25">
      <c r="B1986" t="str">
        <f>IF(C1986="","",C1986&amp;COUNTIF(C$9:C1986,C1986))</f>
        <v/>
      </c>
    </row>
    <row r="1987" spans="2:2" x14ac:dyDescent="0.25">
      <c r="B1987" t="str">
        <f>IF(C1987="","",C1987&amp;COUNTIF(C$9:C1987,C1987))</f>
        <v/>
      </c>
    </row>
    <row r="1988" spans="2:2" x14ac:dyDescent="0.25">
      <c r="B1988" t="str">
        <f>IF(C1988="","",C1988&amp;COUNTIF(C$9:C1988,C1988))</f>
        <v/>
      </c>
    </row>
    <row r="1989" spans="2:2" x14ac:dyDescent="0.25">
      <c r="B1989" t="str">
        <f>IF(C1989="","",C1989&amp;COUNTIF(C$9:C1989,C1989))</f>
        <v/>
      </c>
    </row>
    <row r="1990" spans="2:2" x14ac:dyDescent="0.25">
      <c r="B1990" t="str">
        <f>IF(C1990="","",C1990&amp;COUNTIF(C$9:C1990,C1990))</f>
        <v/>
      </c>
    </row>
    <row r="1991" spans="2:2" x14ac:dyDescent="0.25">
      <c r="B1991" t="str">
        <f>IF(C1991="","",C1991&amp;COUNTIF(C$9:C1991,C1991))</f>
        <v/>
      </c>
    </row>
    <row r="1992" spans="2:2" x14ac:dyDescent="0.25">
      <c r="B1992" t="str">
        <f>IF(C1992="","",C1992&amp;COUNTIF(C$9:C1992,C1992))</f>
        <v/>
      </c>
    </row>
    <row r="1993" spans="2:2" x14ac:dyDescent="0.25">
      <c r="B1993" t="str">
        <f>IF(C1993="","",C1993&amp;COUNTIF(C$9:C1993,C1993))</f>
        <v/>
      </c>
    </row>
    <row r="1994" spans="2:2" x14ac:dyDescent="0.25">
      <c r="B1994" t="str">
        <f>IF(C1994="","",C1994&amp;COUNTIF(C$9:C1994,C1994))</f>
        <v/>
      </c>
    </row>
    <row r="1995" spans="2:2" x14ac:dyDescent="0.25">
      <c r="B1995" t="str">
        <f>IF(C1995="","",C1995&amp;COUNTIF(C$9:C1995,C1995))</f>
        <v/>
      </c>
    </row>
    <row r="1996" spans="2:2" x14ac:dyDescent="0.25">
      <c r="B1996" t="str">
        <f>IF(C1996="","",C1996&amp;COUNTIF(C$9:C1996,C1996))</f>
        <v/>
      </c>
    </row>
    <row r="1997" spans="2:2" x14ac:dyDescent="0.25">
      <c r="B1997" t="str">
        <f>IF(C1997="","",C1997&amp;COUNTIF(C$9:C1997,C1997))</f>
        <v/>
      </c>
    </row>
    <row r="1998" spans="2:2" x14ac:dyDescent="0.25">
      <c r="B1998" t="str">
        <f>IF(C1998="","",C1998&amp;COUNTIF(C$9:C1998,C1998))</f>
        <v/>
      </c>
    </row>
    <row r="1999" spans="2:2" x14ac:dyDescent="0.25">
      <c r="B1999" t="str">
        <f>IF(C1999="","",C1999&amp;COUNTIF(C$9:C1999,C1999))</f>
        <v/>
      </c>
    </row>
    <row r="2000" spans="2:2" x14ac:dyDescent="0.25">
      <c r="B2000" t="str">
        <f>IF(C2000="","",C2000&amp;COUNTIF(C$9:C2000,C2000))</f>
        <v/>
      </c>
    </row>
    <row r="2001" spans="2:2" x14ac:dyDescent="0.25">
      <c r="B2001" t="str">
        <f>IF(C2001="","",C2001&amp;COUNTIF(C$9:C2001,C2001))</f>
        <v/>
      </c>
    </row>
    <row r="2002" spans="2:2" x14ac:dyDescent="0.25">
      <c r="B2002" t="str">
        <f>IF(C2002="","",C2002&amp;COUNTIF(C$9:C2002,C2002))</f>
        <v/>
      </c>
    </row>
    <row r="2003" spans="2:2" x14ac:dyDescent="0.25">
      <c r="B2003" t="str">
        <f>IF(C2003="","",C2003&amp;COUNTIF(C$9:C2003,C2003))</f>
        <v/>
      </c>
    </row>
    <row r="2004" spans="2:2" x14ac:dyDescent="0.25">
      <c r="B2004" t="str">
        <f>IF(C2004="","",C2004&amp;COUNTIF(C$9:C2004,C2004))</f>
        <v/>
      </c>
    </row>
    <row r="2005" spans="2:2" x14ac:dyDescent="0.25">
      <c r="B2005" t="str">
        <f>IF(C2005="","",C2005&amp;COUNTIF(C$9:C2005,C2005))</f>
        <v/>
      </c>
    </row>
    <row r="2006" spans="2:2" x14ac:dyDescent="0.25">
      <c r="B2006" t="str">
        <f>IF(C2006="","",C2006&amp;COUNTIF(C$9:C2006,C2006))</f>
        <v/>
      </c>
    </row>
    <row r="2007" spans="2:2" x14ac:dyDescent="0.25">
      <c r="B2007" t="str">
        <f>IF(C2007="","",C2007&amp;COUNTIF(C$9:C2007,C2007))</f>
        <v/>
      </c>
    </row>
    <row r="2008" spans="2:2" x14ac:dyDescent="0.25">
      <c r="B2008" t="str">
        <f>IF(C2008="","",C2008&amp;COUNTIF(C$9:C2008,C2008))</f>
        <v/>
      </c>
    </row>
    <row r="2009" spans="2:2" x14ac:dyDescent="0.25">
      <c r="B2009" t="str">
        <f>IF(C2009="","",C2009&amp;COUNTIF(C$9:C2009,C2009))</f>
        <v/>
      </c>
    </row>
    <row r="2010" spans="2:2" x14ac:dyDescent="0.25">
      <c r="B2010" t="str">
        <f>IF(C2010="","",C2010&amp;COUNTIF(C$9:C2010,C2010))</f>
        <v/>
      </c>
    </row>
    <row r="2011" spans="2:2" x14ac:dyDescent="0.25">
      <c r="B2011" t="str">
        <f>IF(C2011="","",C2011&amp;COUNTIF(C$9:C2011,C2011))</f>
        <v/>
      </c>
    </row>
    <row r="2012" spans="2:2" x14ac:dyDescent="0.25">
      <c r="B2012" t="str">
        <f>IF(C2012="","",C2012&amp;COUNTIF(C$9:C2012,C2012))</f>
        <v/>
      </c>
    </row>
    <row r="2013" spans="2:2" x14ac:dyDescent="0.25">
      <c r="B2013" t="str">
        <f>IF(C2013="","",C2013&amp;COUNTIF(C$9:C2013,C2013))</f>
        <v/>
      </c>
    </row>
    <row r="2014" spans="2:2" x14ac:dyDescent="0.25">
      <c r="B2014" t="str">
        <f>IF(C2014="","",C2014&amp;COUNTIF(C$9:C2014,C2014))</f>
        <v/>
      </c>
    </row>
    <row r="2015" spans="2:2" x14ac:dyDescent="0.25">
      <c r="B2015" t="str">
        <f>IF(C2015="","",C2015&amp;COUNTIF(C$9:C2015,C2015))</f>
        <v/>
      </c>
    </row>
    <row r="2016" spans="2:2" x14ac:dyDescent="0.25">
      <c r="B2016" t="str">
        <f>IF(C2016="","",C2016&amp;COUNTIF(C$9:C2016,C2016))</f>
        <v/>
      </c>
    </row>
    <row r="2017" spans="2:2" x14ac:dyDescent="0.25">
      <c r="B2017" t="str">
        <f>IF(C2017="","",C2017&amp;COUNTIF(C$9:C2017,C2017))</f>
        <v/>
      </c>
    </row>
    <row r="2018" spans="2:2" x14ac:dyDescent="0.25">
      <c r="B2018" t="str">
        <f>IF(C2018="","",C2018&amp;COUNTIF(C$9:C2018,C2018))</f>
        <v/>
      </c>
    </row>
    <row r="2019" spans="2:2" x14ac:dyDescent="0.25">
      <c r="B2019" t="str">
        <f>IF(C2019="","",C2019&amp;COUNTIF(C$9:C2019,C2019))</f>
        <v/>
      </c>
    </row>
    <row r="2020" spans="2:2" x14ac:dyDescent="0.25">
      <c r="B2020" t="str">
        <f>IF(C2020="","",C2020&amp;COUNTIF(C$9:C2020,C2020))</f>
        <v/>
      </c>
    </row>
    <row r="2021" spans="2:2" x14ac:dyDescent="0.25">
      <c r="B2021" t="str">
        <f>IF(C2021="","",C2021&amp;COUNTIF(C$9:C2021,C2021))</f>
        <v/>
      </c>
    </row>
    <row r="2022" spans="2:2" x14ac:dyDescent="0.25">
      <c r="B2022" t="str">
        <f>IF(C2022="","",C2022&amp;COUNTIF(C$9:C2022,C2022))</f>
        <v/>
      </c>
    </row>
    <row r="2023" spans="2:2" x14ac:dyDescent="0.25">
      <c r="B2023" t="str">
        <f>IF(C2023="","",C2023&amp;COUNTIF(C$9:C2023,C2023))</f>
        <v/>
      </c>
    </row>
    <row r="2024" spans="2:2" x14ac:dyDescent="0.25">
      <c r="B2024" t="str">
        <f>IF(C2024="","",C2024&amp;COUNTIF(C$9:C2024,C2024))</f>
        <v/>
      </c>
    </row>
    <row r="2025" spans="2:2" x14ac:dyDescent="0.25">
      <c r="B2025" t="str">
        <f>IF(C2025="","",C2025&amp;COUNTIF(C$9:C2025,C2025))</f>
        <v/>
      </c>
    </row>
    <row r="2026" spans="2:2" x14ac:dyDescent="0.25">
      <c r="B2026" t="str">
        <f>IF(C2026="","",C2026&amp;COUNTIF(C$9:C2026,C2026))</f>
        <v/>
      </c>
    </row>
    <row r="2027" spans="2:2" x14ac:dyDescent="0.25">
      <c r="B2027" t="str">
        <f>IF(C2027="","",C2027&amp;COUNTIF(C$9:C2027,C2027))</f>
        <v/>
      </c>
    </row>
    <row r="2028" spans="2:2" x14ac:dyDescent="0.25">
      <c r="B2028" t="str">
        <f>IF(C2028="","",C2028&amp;COUNTIF(C$9:C2028,C2028))</f>
        <v/>
      </c>
    </row>
    <row r="2029" spans="2:2" x14ac:dyDescent="0.25">
      <c r="B2029" t="str">
        <f>IF(C2029="","",C2029&amp;COUNTIF(C$9:C2029,C2029))</f>
        <v/>
      </c>
    </row>
    <row r="2030" spans="2:2" x14ac:dyDescent="0.25">
      <c r="B2030" t="str">
        <f>IF(C2030="","",C2030&amp;COUNTIF(C$9:C2030,C2030))</f>
        <v/>
      </c>
    </row>
    <row r="2031" spans="2:2" x14ac:dyDescent="0.25">
      <c r="B2031" t="str">
        <f>IF(C2031="","",C2031&amp;COUNTIF(C$9:C2031,C2031))</f>
        <v/>
      </c>
    </row>
    <row r="2032" spans="2:2" x14ac:dyDescent="0.25">
      <c r="B2032" t="str">
        <f>IF(C2032="","",C2032&amp;COUNTIF(C$9:C2032,C2032))</f>
        <v/>
      </c>
    </row>
    <row r="2033" spans="2:2" x14ac:dyDescent="0.25">
      <c r="B2033" t="str">
        <f>IF(C2033="","",C2033&amp;COUNTIF(C$9:C2033,C2033))</f>
        <v/>
      </c>
    </row>
    <row r="2034" spans="2:2" x14ac:dyDescent="0.25">
      <c r="B2034" t="str">
        <f>IF(C2034="","",C2034&amp;COUNTIF(C$9:C2034,C2034))</f>
        <v/>
      </c>
    </row>
    <row r="2035" spans="2:2" x14ac:dyDescent="0.25">
      <c r="B2035" t="str">
        <f>IF(C2035="","",C2035&amp;COUNTIF(C$9:C2035,C2035))</f>
        <v/>
      </c>
    </row>
    <row r="2036" spans="2:2" x14ac:dyDescent="0.25">
      <c r="B2036" t="str">
        <f>IF(C2036="","",C2036&amp;COUNTIF(C$9:C2036,C2036))</f>
        <v/>
      </c>
    </row>
    <row r="2037" spans="2:2" x14ac:dyDescent="0.25">
      <c r="B2037" t="str">
        <f>IF(C2037="","",C2037&amp;COUNTIF(C$9:C2037,C2037))</f>
        <v/>
      </c>
    </row>
    <row r="2038" spans="2:2" x14ac:dyDescent="0.25">
      <c r="B2038" t="str">
        <f>IF(C2038="","",C2038&amp;COUNTIF(C$9:C2038,C2038))</f>
        <v/>
      </c>
    </row>
    <row r="2039" spans="2:2" x14ac:dyDescent="0.25">
      <c r="B2039" t="str">
        <f>IF(C2039="","",C2039&amp;COUNTIF(C$9:C2039,C2039))</f>
        <v/>
      </c>
    </row>
    <row r="2040" spans="2:2" x14ac:dyDescent="0.25">
      <c r="B2040" t="str">
        <f>IF(C2040="","",C2040&amp;COUNTIF(C$9:C2040,C2040))</f>
        <v/>
      </c>
    </row>
    <row r="2041" spans="2:2" x14ac:dyDescent="0.25">
      <c r="B2041" t="str">
        <f>IF(C2041="","",C2041&amp;COUNTIF(C$9:C2041,C2041))</f>
        <v/>
      </c>
    </row>
    <row r="2042" spans="2:2" x14ac:dyDescent="0.25">
      <c r="B2042" t="str">
        <f>IF(C2042="","",C2042&amp;COUNTIF(C$9:C2042,C2042))</f>
        <v/>
      </c>
    </row>
    <row r="2043" spans="2:2" x14ac:dyDescent="0.25">
      <c r="B2043" t="str">
        <f>IF(C2043="","",C2043&amp;COUNTIF(C$9:C2043,C2043))</f>
        <v/>
      </c>
    </row>
    <row r="2044" spans="2:2" x14ac:dyDescent="0.25">
      <c r="B2044" t="str">
        <f>IF(C2044="","",C2044&amp;COUNTIF(C$9:C2044,C2044))</f>
        <v/>
      </c>
    </row>
    <row r="2045" spans="2:2" x14ac:dyDescent="0.25">
      <c r="B2045" t="str">
        <f>IF(C2045="","",C2045&amp;COUNTIF(C$9:C2045,C2045))</f>
        <v/>
      </c>
    </row>
    <row r="2046" spans="2:2" x14ac:dyDescent="0.25">
      <c r="B2046" t="str">
        <f>IF(C2046="","",C2046&amp;COUNTIF(C$9:C2046,C2046))</f>
        <v/>
      </c>
    </row>
    <row r="2047" spans="2:2" x14ac:dyDescent="0.25">
      <c r="B2047" t="str">
        <f>IF(C2047="","",C2047&amp;COUNTIF(C$9:C2047,C2047))</f>
        <v/>
      </c>
    </row>
    <row r="2048" spans="2:2" x14ac:dyDescent="0.25">
      <c r="B2048" t="str">
        <f>IF(C2048="","",C2048&amp;COUNTIF(C$9:C2048,C2048))</f>
        <v/>
      </c>
    </row>
    <row r="2049" spans="2:2" x14ac:dyDescent="0.25">
      <c r="B2049" t="str">
        <f>IF(C2049="","",C2049&amp;COUNTIF(C$9:C2049,C2049))</f>
        <v/>
      </c>
    </row>
    <row r="2050" spans="2:2" x14ac:dyDescent="0.25">
      <c r="B2050" t="str">
        <f>IF(C2050="","",C2050&amp;COUNTIF(C$9:C2050,C2050))</f>
        <v/>
      </c>
    </row>
    <row r="2051" spans="2:2" x14ac:dyDescent="0.25">
      <c r="B2051" t="str">
        <f>IF(C2051="","",C2051&amp;COUNTIF(C$9:C2051,C2051))</f>
        <v/>
      </c>
    </row>
    <row r="2052" spans="2:2" x14ac:dyDescent="0.25">
      <c r="B2052" t="str">
        <f>IF(C2052="","",C2052&amp;COUNTIF(C$9:C2052,C2052))</f>
        <v/>
      </c>
    </row>
    <row r="2053" spans="2:2" x14ac:dyDescent="0.25">
      <c r="B2053" t="str">
        <f>IF(C2053="","",C2053&amp;COUNTIF(C$9:C2053,C2053))</f>
        <v/>
      </c>
    </row>
    <row r="2054" spans="2:2" x14ac:dyDescent="0.25">
      <c r="B2054" t="str">
        <f>IF(C2054="","",C2054&amp;COUNTIF(C$9:C2054,C2054))</f>
        <v/>
      </c>
    </row>
    <row r="2055" spans="2:2" x14ac:dyDescent="0.25">
      <c r="B2055" t="str">
        <f>IF(C2055="","",C2055&amp;COUNTIF(C$9:C2055,C2055))</f>
        <v/>
      </c>
    </row>
    <row r="2056" spans="2:2" x14ac:dyDescent="0.25">
      <c r="B2056" t="str">
        <f>IF(C2056="","",C2056&amp;COUNTIF(C$9:C2056,C2056))</f>
        <v/>
      </c>
    </row>
    <row r="2057" spans="2:2" x14ac:dyDescent="0.25">
      <c r="B2057" t="str">
        <f>IF(C2057="","",C2057&amp;COUNTIF(C$9:C2057,C2057))</f>
        <v/>
      </c>
    </row>
    <row r="2058" spans="2:2" x14ac:dyDescent="0.25">
      <c r="B2058" t="str">
        <f>IF(C2058="","",C2058&amp;COUNTIF(C$9:C2058,C2058))</f>
        <v/>
      </c>
    </row>
    <row r="2059" spans="2:2" x14ac:dyDescent="0.25">
      <c r="B2059" t="str">
        <f>IF(C2059="","",C2059&amp;COUNTIF(C$9:C2059,C2059))</f>
        <v/>
      </c>
    </row>
    <row r="2060" spans="2:2" x14ac:dyDescent="0.25">
      <c r="B2060" t="str">
        <f>IF(C2060="","",C2060&amp;COUNTIF(C$9:C2060,C2060))</f>
        <v/>
      </c>
    </row>
    <row r="2061" spans="2:2" x14ac:dyDescent="0.25">
      <c r="B2061" t="str">
        <f>IF(C2061="","",C2061&amp;COUNTIF(C$9:C2061,C2061))</f>
        <v/>
      </c>
    </row>
    <row r="2062" spans="2:2" x14ac:dyDescent="0.25">
      <c r="B2062" t="str">
        <f>IF(C2062="","",C2062&amp;COUNTIF(C$9:C2062,C2062))</f>
        <v/>
      </c>
    </row>
    <row r="2063" spans="2:2" x14ac:dyDescent="0.25">
      <c r="B2063" t="str">
        <f>IF(C2063="","",C2063&amp;COUNTIF(C$9:C2063,C2063))</f>
        <v/>
      </c>
    </row>
    <row r="2064" spans="2:2" x14ac:dyDescent="0.25">
      <c r="B2064" t="str">
        <f>IF(C2064="","",C2064&amp;COUNTIF(C$9:C2064,C2064))</f>
        <v/>
      </c>
    </row>
    <row r="2065" spans="2:2" x14ac:dyDescent="0.25">
      <c r="B2065" t="str">
        <f>IF(C2065="","",C2065&amp;COUNTIF(C$9:C2065,C2065))</f>
        <v/>
      </c>
    </row>
    <row r="2066" spans="2:2" x14ac:dyDescent="0.25">
      <c r="B2066" t="str">
        <f>IF(C2066="","",C2066&amp;COUNTIF(C$9:C2066,C2066))</f>
        <v/>
      </c>
    </row>
    <row r="2067" spans="2:2" x14ac:dyDescent="0.25">
      <c r="B2067" t="str">
        <f>IF(C2067="","",C2067&amp;COUNTIF(C$9:C2067,C2067))</f>
        <v/>
      </c>
    </row>
    <row r="2068" spans="2:2" x14ac:dyDescent="0.25">
      <c r="B2068" t="str">
        <f>IF(C2068="","",C2068&amp;COUNTIF(C$9:C2068,C2068))</f>
        <v/>
      </c>
    </row>
    <row r="2069" spans="2:2" x14ac:dyDescent="0.25">
      <c r="B2069" t="str">
        <f>IF(C2069="","",C2069&amp;COUNTIF(C$9:C2069,C2069))</f>
        <v/>
      </c>
    </row>
    <row r="2070" spans="2:2" x14ac:dyDescent="0.25">
      <c r="B2070" t="str">
        <f>IF(C2070="","",C2070&amp;COUNTIF(C$9:C2070,C2070))</f>
        <v/>
      </c>
    </row>
    <row r="2071" spans="2:2" x14ac:dyDescent="0.25">
      <c r="B2071" t="str">
        <f>IF(C2071="","",C2071&amp;COUNTIF(C$9:C2071,C2071))</f>
        <v/>
      </c>
    </row>
    <row r="2072" spans="2:2" x14ac:dyDescent="0.25">
      <c r="B2072" t="str">
        <f>IF(C2072="","",C2072&amp;COUNTIF(C$9:C2072,C2072))</f>
        <v/>
      </c>
    </row>
    <row r="2073" spans="2:2" x14ac:dyDescent="0.25">
      <c r="B2073" t="str">
        <f>IF(C2073="","",C2073&amp;COUNTIF(C$9:C2073,C2073))</f>
        <v/>
      </c>
    </row>
    <row r="2074" spans="2:2" x14ac:dyDescent="0.25">
      <c r="B2074" t="str">
        <f>IF(C2074="","",C2074&amp;COUNTIF(C$9:C2074,C2074))</f>
        <v/>
      </c>
    </row>
    <row r="2075" spans="2:2" x14ac:dyDescent="0.25">
      <c r="B2075" t="str">
        <f>IF(C2075="","",C2075&amp;COUNTIF(C$9:C2075,C2075))</f>
        <v/>
      </c>
    </row>
    <row r="2076" spans="2:2" x14ac:dyDescent="0.25">
      <c r="B2076" t="str">
        <f>IF(C2076="","",C2076&amp;COUNTIF(C$9:C2076,C2076))</f>
        <v/>
      </c>
    </row>
    <row r="2077" spans="2:2" x14ac:dyDescent="0.25">
      <c r="B2077" t="str">
        <f>IF(C2077="","",C2077&amp;COUNTIF(C$9:C2077,C2077))</f>
        <v/>
      </c>
    </row>
    <row r="2078" spans="2:2" x14ac:dyDescent="0.25">
      <c r="B2078" t="str">
        <f>IF(C2078="","",C2078&amp;COUNTIF(C$9:C2078,C2078))</f>
        <v/>
      </c>
    </row>
    <row r="2079" spans="2:2" x14ac:dyDescent="0.25">
      <c r="B2079" t="str">
        <f>IF(C2079="","",C2079&amp;COUNTIF(C$9:C2079,C2079))</f>
        <v/>
      </c>
    </row>
    <row r="2080" spans="2:2" x14ac:dyDescent="0.25">
      <c r="B2080" t="str">
        <f>IF(C2080="","",C2080&amp;COUNTIF(C$9:C2080,C2080))</f>
        <v/>
      </c>
    </row>
    <row r="2081" spans="2:2" x14ac:dyDescent="0.25">
      <c r="B2081" t="str">
        <f>IF(C2081="","",C2081&amp;COUNTIF(C$9:C2081,C2081))</f>
        <v/>
      </c>
    </row>
    <row r="2082" spans="2:2" x14ac:dyDescent="0.25">
      <c r="B2082" t="str">
        <f>IF(C2082="","",C2082&amp;COUNTIF(C$9:C2082,C2082))</f>
        <v/>
      </c>
    </row>
    <row r="2083" spans="2:2" x14ac:dyDescent="0.25">
      <c r="B2083" t="str">
        <f>IF(C2083="","",C2083&amp;COUNTIF(C$9:C2083,C2083))</f>
        <v/>
      </c>
    </row>
    <row r="2084" spans="2:2" x14ac:dyDescent="0.25">
      <c r="B2084" t="str">
        <f>IF(C2084="","",C2084&amp;COUNTIF(C$9:C2084,C2084))</f>
        <v/>
      </c>
    </row>
    <row r="2085" spans="2:2" x14ac:dyDescent="0.25">
      <c r="B2085" t="str">
        <f>IF(C2085="","",C2085&amp;COUNTIF(C$9:C2085,C2085))</f>
        <v/>
      </c>
    </row>
    <row r="2086" spans="2:2" x14ac:dyDescent="0.25">
      <c r="B2086" t="str">
        <f>IF(C2086="","",C2086&amp;COUNTIF(C$9:C2086,C2086))</f>
        <v/>
      </c>
    </row>
    <row r="2087" spans="2:2" x14ac:dyDescent="0.25">
      <c r="B2087" t="str">
        <f>IF(C2087="","",C2087&amp;COUNTIF(C$9:C2087,C2087))</f>
        <v/>
      </c>
    </row>
    <row r="2088" spans="2:2" x14ac:dyDescent="0.25">
      <c r="B2088" t="str">
        <f>IF(C2088="","",C2088&amp;COUNTIF(C$9:C2088,C2088))</f>
        <v/>
      </c>
    </row>
    <row r="2089" spans="2:2" x14ac:dyDescent="0.25">
      <c r="B2089" t="str">
        <f>IF(C2089="","",C2089&amp;COUNTIF(C$9:C2089,C2089))</f>
        <v/>
      </c>
    </row>
    <row r="2090" spans="2:2" x14ac:dyDescent="0.25">
      <c r="B2090" t="str">
        <f>IF(C2090="","",C2090&amp;COUNTIF(C$9:C2090,C2090))</f>
        <v/>
      </c>
    </row>
    <row r="2091" spans="2:2" x14ac:dyDescent="0.25">
      <c r="B2091" t="str">
        <f>IF(C2091="","",C2091&amp;COUNTIF(C$9:C2091,C2091))</f>
        <v/>
      </c>
    </row>
    <row r="2092" spans="2:2" x14ac:dyDescent="0.25">
      <c r="B2092" t="str">
        <f>IF(C2092="","",C2092&amp;COUNTIF(C$9:C2092,C2092))</f>
        <v/>
      </c>
    </row>
    <row r="2093" spans="2:2" x14ac:dyDescent="0.25">
      <c r="B2093" t="str">
        <f>IF(C2093="","",C2093&amp;COUNTIF(C$9:C2093,C2093))</f>
        <v/>
      </c>
    </row>
    <row r="2094" spans="2:2" x14ac:dyDescent="0.25">
      <c r="B2094" t="str">
        <f>IF(C2094="","",C2094&amp;COUNTIF(C$9:C2094,C2094))</f>
        <v/>
      </c>
    </row>
    <row r="2095" spans="2:2" x14ac:dyDescent="0.25">
      <c r="B2095" t="str">
        <f>IF(C2095="","",C2095&amp;COUNTIF(C$9:C2095,C2095))</f>
        <v/>
      </c>
    </row>
    <row r="2096" spans="2:2" x14ac:dyDescent="0.25">
      <c r="B2096" t="str">
        <f>IF(C2096="","",C2096&amp;COUNTIF(C$9:C2096,C2096))</f>
        <v/>
      </c>
    </row>
    <row r="2097" spans="2:2" x14ac:dyDescent="0.25">
      <c r="B2097" t="str">
        <f>IF(C2097="","",C2097&amp;COUNTIF(C$9:C2097,C2097))</f>
        <v/>
      </c>
    </row>
    <row r="2098" spans="2:2" x14ac:dyDescent="0.25">
      <c r="B2098" t="str">
        <f>IF(C2098="","",C2098&amp;COUNTIF(C$9:C2098,C2098))</f>
        <v/>
      </c>
    </row>
    <row r="2099" spans="2:2" x14ac:dyDescent="0.25">
      <c r="B2099" t="str">
        <f>IF(C2099="","",C2099&amp;COUNTIF(C$9:C2099,C2099))</f>
        <v/>
      </c>
    </row>
    <row r="2100" spans="2:2" x14ac:dyDescent="0.25">
      <c r="B2100" t="str">
        <f>IF(C2100="","",C2100&amp;COUNTIF(C$9:C2100,C2100))</f>
        <v/>
      </c>
    </row>
    <row r="2101" spans="2:2" x14ac:dyDescent="0.25">
      <c r="B2101" t="str">
        <f>IF(C2101="","",C2101&amp;COUNTIF(C$9:C2101,C2101))</f>
        <v/>
      </c>
    </row>
    <row r="2102" spans="2:2" x14ac:dyDescent="0.25">
      <c r="B2102" t="str">
        <f>IF(C2102="","",C2102&amp;COUNTIF(C$9:C2102,C2102))</f>
        <v/>
      </c>
    </row>
    <row r="2103" spans="2:2" x14ac:dyDescent="0.25">
      <c r="B2103" t="str">
        <f>IF(C2103="","",C2103&amp;COUNTIF(C$9:C2103,C2103))</f>
        <v/>
      </c>
    </row>
    <row r="2104" spans="2:2" x14ac:dyDescent="0.25">
      <c r="B2104" t="str">
        <f>IF(C2104="","",C2104&amp;COUNTIF(C$9:C2104,C2104))</f>
        <v/>
      </c>
    </row>
    <row r="2105" spans="2:2" x14ac:dyDescent="0.25">
      <c r="B2105" t="str">
        <f>IF(C2105="","",C2105&amp;COUNTIF(C$9:C2105,C2105))</f>
        <v/>
      </c>
    </row>
    <row r="2106" spans="2:2" x14ac:dyDescent="0.25">
      <c r="B2106" t="str">
        <f>IF(C2106="","",C2106&amp;COUNTIF(C$9:C2106,C2106))</f>
        <v/>
      </c>
    </row>
    <row r="2107" spans="2:2" x14ac:dyDescent="0.25">
      <c r="B2107" t="str">
        <f>IF(C2107="","",C2107&amp;COUNTIF(C$9:C2107,C2107))</f>
        <v/>
      </c>
    </row>
    <row r="2108" spans="2:2" x14ac:dyDescent="0.25">
      <c r="B2108" t="str">
        <f>IF(C2108="","",C2108&amp;COUNTIF(C$9:C2108,C2108))</f>
        <v/>
      </c>
    </row>
    <row r="2109" spans="2:2" x14ac:dyDescent="0.25">
      <c r="B2109" t="str">
        <f>IF(C2109="","",C2109&amp;COUNTIF(C$9:C2109,C2109))</f>
        <v/>
      </c>
    </row>
    <row r="2110" spans="2:2" x14ac:dyDescent="0.25">
      <c r="B2110" t="str">
        <f>IF(C2110="","",C2110&amp;COUNTIF(C$9:C2110,C2110))</f>
        <v/>
      </c>
    </row>
    <row r="2111" spans="2:2" x14ac:dyDescent="0.25">
      <c r="B2111" t="str">
        <f>IF(C2111="","",C2111&amp;COUNTIF(C$9:C2111,C2111))</f>
        <v/>
      </c>
    </row>
    <row r="2112" spans="2:2" x14ac:dyDescent="0.25">
      <c r="B2112" t="str">
        <f>IF(C2112="","",C2112&amp;COUNTIF(C$9:C2112,C2112))</f>
        <v/>
      </c>
    </row>
    <row r="2113" spans="2:2" x14ac:dyDescent="0.25">
      <c r="B2113" t="str">
        <f>IF(C2113="","",C2113&amp;COUNTIF(C$9:C2113,C2113))</f>
        <v/>
      </c>
    </row>
    <row r="2114" spans="2:2" x14ac:dyDescent="0.25">
      <c r="B2114" t="str">
        <f>IF(C2114="","",C2114&amp;COUNTIF(C$9:C2114,C2114))</f>
        <v/>
      </c>
    </row>
    <row r="2115" spans="2:2" x14ac:dyDescent="0.25">
      <c r="B2115" t="str">
        <f>IF(C2115="","",C2115&amp;COUNTIF(C$9:C2115,C2115))</f>
        <v/>
      </c>
    </row>
    <row r="2116" spans="2:2" x14ac:dyDescent="0.25">
      <c r="B2116" t="str">
        <f>IF(C2116="","",C2116&amp;COUNTIF(C$9:C2116,C2116))</f>
        <v/>
      </c>
    </row>
    <row r="2117" spans="2:2" x14ac:dyDescent="0.25">
      <c r="B2117" t="str">
        <f>IF(C2117="","",C2117&amp;COUNTIF(C$9:C2117,C2117))</f>
        <v/>
      </c>
    </row>
    <row r="2118" spans="2:2" x14ac:dyDescent="0.25">
      <c r="B2118" t="str">
        <f>IF(C2118="","",C2118&amp;COUNTIF(C$9:C2118,C2118))</f>
        <v/>
      </c>
    </row>
    <row r="2119" spans="2:2" x14ac:dyDescent="0.25">
      <c r="B2119" t="str">
        <f>IF(C2119="","",C2119&amp;COUNTIF(C$9:C2119,C2119))</f>
        <v/>
      </c>
    </row>
    <row r="2120" spans="2:2" x14ac:dyDescent="0.25">
      <c r="B2120" t="str">
        <f>IF(C2120="","",C2120&amp;COUNTIF(C$9:C2120,C2120))</f>
        <v/>
      </c>
    </row>
    <row r="2121" spans="2:2" x14ac:dyDescent="0.25">
      <c r="B2121" t="str">
        <f>IF(C2121="","",C2121&amp;COUNTIF(C$9:C2121,C2121))</f>
        <v/>
      </c>
    </row>
    <row r="2122" spans="2:2" x14ac:dyDescent="0.25">
      <c r="B2122" t="str">
        <f>IF(C2122="","",C2122&amp;COUNTIF(C$9:C2122,C2122))</f>
        <v/>
      </c>
    </row>
    <row r="2123" spans="2:2" x14ac:dyDescent="0.25">
      <c r="B2123" t="str">
        <f>IF(C2123="","",C2123&amp;COUNTIF(C$9:C2123,C2123))</f>
        <v/>
      </c>
    </row>
    <row r="2124" spans="2:2" x14ac:dyDescent="0.25">
      <c r="B2124" t="str">
        <f>IF(C2124="","",C2124&amp;COUNTIF(C$9:C2124,C2124))</f>
        <v/>
      </c>
    </row>
    <row r="2125" spans="2:2" x14ac:dyDescent="0.25">
      <c r="B2125" t="str">
        <f>IF(C2125="","",C2125&amp;COUNTIF(C$9:C2125,C2125))</f>
        <v/>
      </c>
    </row>
    <row r="2126" spans="2:2" x14ac:dyDescent="0.25">
      <c r="B2126" t="str">
        <f>IF(C2126="","",C2126&amp;COUNTIF(C$9:C2126,C2126))</f>
        <v/>
      </c>
    </row>
    <row r="2127" spans="2:2" x14ac:dyDescent="0.25">
      <c r="B2127" t="str">
        <f>IF(C2127="","",C2127&amp;COUNTIF(C$9:C2127,C2127))</f>
        <v/>
      </c>
    </row>
    <row r="2128" spans="2:2" x14ac:dyDescent="0.25">
      <c r="B2128" t="str">
        <f>IF(C2128="","",C2128&amp;COUNTIF(C$9:C2128,C2128))</f>
        <v/>
      </c>
    </row>
    <row r="2129" spans="2:2" x14ac:dyDescent="0.25">
      <c r="B2129" t="str">
        <f>IF(C2129="","",C2129&amp;COUNTIF(C$9:C2129,C2129))</f>
        <v/>
      </c>
    </row>
    <row r="2130" spans="2:2" x14ac:dyDescent="0.25">
      <c r="B2130" t="str">
        <f>IF(C2130="","",C2130&amp;COUNTIF(C$9:C2130,C2130))</f>
        <v/>
      </c>
    </row>
    <row r="2131" spans="2:2" x14ac:dyDescent="0.25">
      <c r="B2131" t="str">
        <f>IF(C2131="","",C2131&amp;COUNTIF(C$9:C2131,C2131))</f>
        <v/>
      </c>
    </row>
    <row r="2132" spans="2:2" x14ac:dyDescent="0.25">
      <c r="B2132" t="str">
        <f>IF(C2132="","",C2132&amp;COUNTIF(C$9:C2132,C2132))</f>
        <v/>
      </c>
    </row>
    <row r="2133" spans="2:2" x14ac:dyDescent="0.25">
      <c r="B2133" t="str">
        <f>IF(C2133="","",C2133&amp;COUNTIF(C$9:C2133,C2133))</f>
        <v/>
      </c>
    </row>
    <row r="2134" spans="2:2" x14ac:dyDescent="0.25">
      <c r="B2134" t="str">
        <f>IF(C2134="","",C2134&amp;COUNTIF(C$9:C2134,C2134))</f>
        <v/>
      </c>
    </row>
    <row r="2135" spans="2:2" x14ac:dyDescent="0.25">
      <c r="B2135" t="str">
        <f>IF(C2135="","",C2135&amp;COUNTIF(C$9:C2135,C2135))</f>
        <v/>
      </c>
    </row>
    <row r="2136" spans="2:2" x14ac:dyDescent="0.25">
      <c r="B2136" t="str">
        <f>IF(C2136="","",C2136&amp;COUNTIF(C$9:C2136,C2136))</f>
        <v/>
      </c>
    </row>
    <row r="2137" spans="2:2" x14ac:dyDescent="0.25">
      <c r="B2137" t="str">
        <f>IF(C2137="","",C2137&amp;COUNTIF(C$9:C2137,C2137))</f>
        <v/>
      </c>
    </row>
    <row r="2138" spans="2:2" x14ac:dyDescent="0.25">
      <c r="B2138" t="str">
        <f>IF(C2138="","",C2138&amp;COUNTIF(C$9:C2138,C2138))</f>
        <v/>
      </c>
    </row>
    <row r="2139" spans="2:2" x14ac:dyDescent="0.25">
      <c r="B2139" t="str">
        <f>IF(C2139="","",C2139&amp;COUNTIF(C$9:C2139,C2139))</f>
        <v/>
      </c>
    </row>
    <row r="2140" spans="2:2" x14ac:dyDescent="0.25">
      <c r="B2140" t="str">
        <f>IF(C2140="","",C2140&amp;COUNTIF(C$9:C2140,C2140))</f>
        <v/>
      </c>
    </row>
    <row r="2141" spans="2:2" x14ac:dyDescent="0.25">
      <c r="B2141" t="str">
        <f>IF(C2141="","",C2141&amp;COUNTIF(C$9:C2141,C2141))</f>
        <v/>
      </c>
    </row>
    <row r="2142" spans="2:2" x14ac:dyDescent="0.25">
      <c r="B2142" t="str">
        <f>IF(C2142="","",C2142&amp;COUNTIF(C$9:C2142,C2142))</f>
        <v/>
      </c>
    </row>
    <row r="2143" spans="2:2" x14ac:dyDescent="0.25">
      <c r="B2143" t="str">
        <f>IF(C2143="","",C2143&amp;COUNTIF(C$9:C2143,C2143))</f>
        <v/>
      </c>
    </row>
    <row r="2144" spans="2:2" x14ac:dyDescent="0.25">
      <c r="B2144" t="str">
        <f>IF(C2144="","",C2144&amp;COUNTIF(C$9:C2144,C2144))</f>
        <v/>
      </c>
    </row>
    <row r="2145" spans="2:2" x14ac:dyDescent="0.25">
      <c r="B2145" t="str">
        <f>IF(C2145="","",C2145&amp;COUNTIF(C$9:C2145,C2145))</f>
        <v/>
      </c>
    </row>
    <row r="2146" spans="2:2" x14ac:dyDescent="0.25">
      <c r="B2146" t="str">
        <f>IF(C2146="","",C2146&amp;COUNTIF(C$9:C2146,C2146))</f>
        <v/>
      </c>
    </row>
    <row r="2147" spans="2:2" x14ac:dyDescent="0.25">
      <c r="B2147" t="str">
        <f>IF(C2147="","",C2147&amp;COUNTIF(C$9:C2147,C2147))</f>
        <v/>
      </c>
    </row>
    <row r="2148" spans="2:2" x14ac:dyDescent="0.25">
      <c r="B2148" t="str">
        <f>IF(C2148="","",C2148&amp;COUNTIF(C$9:C2148,C2148))</f>
        <v/>
      </c>
    </row>
    <row r="2149" spans="2:2" x14ac:dyDescent="0.25">
      <c r="B2149" t="str">
        <f>IF(C2149="","",C2149&amp;COUNTIF(C$9:C2149,C2149))</f>
        <v/>
      </c>
    </row>
    <row r="2150" spans="2:2" x14ac:dyDescent="0.25">
      <c r="B2150" t="str">
        <f>IF(C2150="","",C2150&amp;COUNTIF(C$9:C2150,C2150))</f>
        <v/>
      </c>
    </row>
    <row r="2151" spans="2:2" x14ac:dyDescent="0.25">
      <c r="B2151" t="str">
        <f>IF(C2151="","",C2151&amp;COUNTIF(C$9:C2151,C2151))</f>
        <v/>
      </c>
    </row>
    <row r="2152" spans="2:2" x14ac:dyDescent="0.25">
      <c r="B2152" t="str">
        <f>IF(C2152="","",C2152&amp;COUNTIF(C$9:C2152,C2152))</f>
        <v/>
      </c>
    </row>
    <row r="2153" spans="2:2" x14ac:dyDescent="0.25">
      <c r="B2153" t="str">
        <f>IF(C2153="","",C2153&amp;COUNTIF(C$9:C2153,C2153))</f>
        <v/>
      </c>
    </row>
    <row r="2154" spans="2:2" x14ac:dyDescent="0.25">
      <c r="B2154" t="str">
        <f>IF(C2154="","",C2154&amp;COUNTIF(C$9:C2154,C2154))</f>
        <v/>
      </c>
    </row>
    <row r="2155" spans="2:2" x14ac:dyDescent="0.25">
      <c r="B2155" t="str">
        <f>IF(C2155="","",C2155&amp;COUNTIF(C$9:C2155,C2155))</f>
        <v/>
      </c>
    </row>
    <row r="2156" spans="2:2" x14ac:dyDescent="0.25">
      <c r="B2156" t="str">
        <f>IF(C2156="","",C2156&amp;COUNTIF(C$9:C2156,C2156))</f>
        <v/>
      </c>
    </row>
    <row r="2157" spans="2:2" x14ac:dyDescent="0.25">
      <c r="B2157" t="str">
        <f>IF(C2157="","",C2157&amp;COUNTIF(C$9:C2157,C2157))</f>
        <v/>
      </c>
    </row>
    <row r="2158" spans="2:2" x14ac:dyDescent="0.25">
      <c r="B2158" t="str">
        <f>IF(C2158="","",C2158&amp;COUNTIF(C$9:C2158,C2158))</f>
        <v/>
      </c>
    </row>
    <row r="2159" spans="2:2" x14ac:dyDescent="0.25">
      <c r="B2159" t="str">
        <f>IF(C2159="","",C2159&amp;COUNTIF(C$9:C2159,C2159))</f>
        <v/>
      </c>
    </row>
    <row r="2160" spans="2:2" x14ac:dyDescent="0.25">
      <c r="B2160" t="str">
        <f>IF(C2160="","",C2160&amp;COUNTIF(C$9:C2160,C2160))</f>
        <v/>
      </c>
    </row>
    <row r="2161" spans="2:2" x14ac:dyDescent="0.25">
      <c r="B2161" t="str">
        <f>IF(C2161="","",C2161&amp;COUNTIF(C$9:C2161,C2161))</f>
        <v/>
      </c>
    </row>
    <row r="2162" spans="2:2" x14ac:dyDescent="0.25">
      <c r="B2162" t="str">
        <f>IF(C2162="","",C2162&amp;COUNTIF(C$9:C2162,C2162))</f>
        <v/>
      </c>
    </row>
    <row r="2163" spans="2:2" x14ac:dyDescent="0.25">
      <c r="B2163" t="str">
        <f>IF(C2163="","",C2163&amp;COUNTIF(C$9:C2163,C2163))</f>
        <v/>
      </c>
    </row>
    <row r="2164" spans="2:2" x14ac:dyDescent="0.25">
      <c r="B2164" t="str">
        <f>IF(C2164="","",C2164&amp;COUNTIF(C$9:C2164,C2164))</f>
        <v/>
      </c>
    </row>
    <row r="2165" spans="2:2" x14ac:dyDescent="0.25">
      <c r="B2165" t="str">
        <f>IF(C2165="","",C2165&amp;COUNTIF(C$9:C2165,C2165))</f>
        <v/>
      </c>
    </row>
    <row r="2166" spans="2:2" x14ac:dyDescent="0.25">
      <c r="B2166" t="str">
        <f>IF(C2166="","",C2166&amp;COUNTIF(C$9:C2166,C2166))</f>
        <v/>
      </c>
    </row>
    <row r="2167" spans="2:2" x14ac:dyDescent="0.25">
      <c r="B2167" t="str">
        <f>IF(C2167="","",C2167&amp;COUNTIF(C$9:C2167,C2167))</f>
        <v/>
      </c>
    </row>
    <row r="2168" spans="2:2" x14ac:dyDescent="0.25">
      <c r="B2168" t="str">
        <f>IF(C2168="","",C2168&amp;COUNTIF(C$9:C2168,C2168))</f>
        <v/>
      </c>
    </row>
    <row r="2169" spans="2:2" x14ac:dyDescent="0.25">
      <c r="B2169" t="str">
        <f>IF(C2169="","",C2169&amp;COUNTIF(C$9:C2169,C2169))</f>
        <v/>
      </c>
    </row>
    <row r="2170" spans="2:2" x14ac:dyDescent="0.25">
      <c r="B2170" t="str">
        <f>IF(C2170="","",C2170&amp;COUNTIF(C$9:C2170,C2170))</f>
        <v/>
      </c>
    </row>
    <row r="2171" spans="2:2" x14ac:dyDescent="0.25">
      <c r="B2171" t="str">
        <f>IF(C2171="","",C2171&amp;COUNTIF(C$9:C2171,C2171))</f>
        <v/>
      </c>
    </row>
    <row r="2172" spans="2:2" x14ac:dyDescent="0.25">
      <c r="B2172" t="str">
        <f>IF(C2172="","",C2172&amp;COUNTIF(C$9:C2172,C2172))</f>
        <v/>
      </c>
    </row>
    <row r="2173" spans="2:2" x14ac:dyDescent="0.25">
      <c r="B2173" t="str">
        <f>IF(C2173="","",C2173&amp;COUNTIF(C$9:C2173,C2173))</f>
        <v/>
      </c>
    </row>
    <row r="2174" spans="2:2" x14ac:dyDescent="0.25">
      <c r="B2174" t="str">
        <f>IF(C2174="","",C2174&amp;COUNTIF(C$9:C2174,C2174))</f>
        <v/>
      </c>
    </row>
    <row r="2175" spans="2:2" x14ac:dyDescent="0.25">
      <c r="B2175" t="str">
        <f>IF(C2175="","",C2175&amp;COUNTIF(C$9:C2175,C2175))</f>
        <v/>
      </c>
    </row>
    <row r="2176" spans="2:2" x14ac:dyDescent="0.25">
      <c r="B2176" t="str">
        <f>IF(C2176="","",C2176&amp;COUNTIF(C$9:C2176,C2176))</f>
        <v/>
      </c>
    </row>
    <row r="2177" spans="2:2" x14ac:dyDescent="0.25">
      <c r="B2177" t="str">
        <f>IF(C2177="","",C2177&amp;COUNTIF(C$9:C2177,C2177))</f>
        <v/>
      </c>
    </row>
    <row r="2178" spans="2:2" x14ac:dyDescent="0.25">
      <c r="B2178" t="str">
        <f>IF(C2178="","",C2178&amp;COUNTIF(C$9:C2178,C2178))</f>
        <v/>
      </c>
    </row>
    <row r="2179" spans="2:2" x14ac:dyDescent="0.25">
      <c r="B2179" t="str">
        <f>IF(C2179="","",C2179&amp;COUNTIF(C$9:C2179,C2179))</f>
        <v/>
      </c>
    </row>
    <row r="2180" spans="2:2" x14ac:dyDescent="0.25">
      <c r="B2180" t="str">
        <f>IF(C2180="","",C2180&amp;COUNTIF(C$9:C2180,C2180))</f>
        <v/>
      </c>
    </row>
    <row r="2181" spans="2:2" x14ac:dyDescent="0.25">
      <c r="B2181" t="str">
        <f>IF(C2181="","",C2181&amp;COUNTIF(C$9:C2181,C2181))</f>
        <v/>
      </c>
    </row>
    <row r="2182" spans="2:2" x14ac:dyDescent="0.25">
      <c r="B2182" t="str">
        <f>IF(C2182="","",C2182&amp;COUNTIF(C$9:C2182,C2182))</f>
        <v/>
      </c>
    </row>
    <row r="2183" spans="2:2" x14ac:dyDescent="0.25">
      <c r="B2183" t="str">
        <f>IF(C2183="","",C2183&amp;COUNTIF(C$9:C2183,C2183))</f>
        <v/>
      </c>
    </row>
    <row r="2184" spans="2:2" x14ac:dyDescent="0.25">
      <c r="B2184" t="str">
        <f>IF(C2184="","",C2184&amp;COUNTIF(C$9:C2184,C2184))</f>
        <v/>
      </c>
    </row>
    <row r="2185" spans="2:2" x14ac:dyDescent="0.25">
      <c r="B2185" t="str">
        <f>IF(C2185="","",C2185&amp;COUNTIF(C$9:C2185,C2185))</f>
        <v/>
      </c>
    </row>
    <row r="2186" spans="2:2" x14ac:dyDescent="0.25">
      <c r="B2186" t="str">
        <f>IF(C2186="","",C2186&amp;COUNTIF(C$9:C2186,C2186))</f>
        <v/>
      </c>
    </row>
    <row r="2187" spans="2:2" x14ac:dyDescent="0.25">
      <c r="B2187" t="str">
        <f>IF(C2187="","",C2187&amp;COUNTIF(C$9:C2187,C2187))</f>
        <v/>
      </c>
    </row>
    <row r="2188" spans="2:2" x14ac:dyDescent="0.25">
      <c r="B2188" t="str">
        <f>IF(C2188="","",C2188&amp;COUNTIF(C$9:C2188,C2188))</f>
        <v/>
      </c>
    </row>
    <row r="2189" spans="2:2" x14ac:dyDescent="0.25">
      <c r="B2189" t="str">
        <f>IF(C2189="","",C2189&amp;COUNTIF(C$9:C2189,C2189))</f>
        <v/>
      </c>
    </row>
    <row r="2190" spans="2:2" x14ac:dyDescent="0.25">
      <c r="B2190" t="str">
        <f>IF(C2190="","",C2190&amp;COUNTIF(C$9:C2190,C2190))</f>
        <v/>
      </c>
    </row>
    <row r="2191" spans="2:2" x14ac:dyDescent="0.25">
      <c r="B2191" t="str">
        <f>IF(C2191="","",C2191&amp;COUNTIF(C$9:C2191,C2191))</f>
        <v/>
      </c>
    </row>
    <row r="2192" spans="2:2" x14ac:dyDescent="0.25">
      <c r="B2192" t="str">
        <f>IF(C2192="","",C2192&amp;COUNTIF(C$9:C2192,C2192))</f>
        <v/>
      </c>
    </row>
    <row r="2193" spans="2:2" x14ac:dyDescent="0.25">
      <c r="B2193" t="str">
        <f>IF(C2193="","",C2193&amp;COUNTIF(C$9:C2193,C2193))</f>
        <v/>
      </c>
    </row>
    <row r="2194" spans="2:2" x14ac:dyDescent="0.25">
      <c r="B2194" t="str">
        <f>IF(C2194="","",C2194&amp;COUNTIF(C$9:C2194,C2194))</f>
        <v/>
      </c>
    </row>
    <row r="2195" spans="2:2" x14ac:dyDescent="0.25">
      <c r="B2195" t="str">
        <f>IF(C2195="","",C2195&amp;COUNTIF(C$9:C2195,C2195))</f>
        <v/>
      </c>
    </row>
    <row r="2196" spans="2:2" x14ac:dyDescent="0.25">
      <c r="B2196" t="str">
        <f>IF(C2196="","",C2196&amp;COUNTIF(C$9:C2196,C2196))</f>
        <v/>
      </c>
    </row>
    <row r="2197" spans="2:2" x14ac:dyDescent="0.25">
      <c r="B2197" t="str">
        <f>IF(C2197="","",C2197&amp;COUNTIF(C$9:C2197,C2197))</f>
        <v/>
      </c>
    </row>
    <row r="2198" spans="2:2" x14ac:dyDescent="0.25">
      <c r="B2198" t="str">
        <f>IF(C2198="","",C2198&amp;COUNTIF(C$9:C2198,C2198))</f>
        <v/>
      </c>
    </row>
    <row r="2199" spans="2:2" x14ac:dyDescent="0.25">
      <c r="B2199" t="str">
        <f>IF(C2199="","",C2199&amp;COUNTIF(C$9:C2199,C2199))</f>
        <v/>
      </c>
    </row>
    <row r="2200" spans="2:2" x14ac:dyDescent="0.25">
      <c r="B2200" t="str">
        <f>IF(C2200="","",C2200&amp;COUNTIF(C$9:C2200,C2200))</f>
        <v/>
      </c>
    </row>
    <row r="2201" spans="2:2" x14ac:dyDescent="0.25">
      <c r="B2201" t="str">
        <f>IF(C2201="","",C2201&amp;COUNTIF(C$9:C2201,C2201))</f>
        <v/>
      </c>
    </row>
    <row r="2202" spans="2:2" x14ac:dyDescent="0.25">
      <c r="B2202" t="str">
        <f>IF(C2202="","",C2202&amp;COUNTIF(C$9:C2202,C2202))</f>
        <v/>
      </c>
    </row>
    <row r="2203" spans="2:2" x14ac:dyDescent="0.25">
      <c r="B2203" t="str">
        <f>IF(C2203="","",C2203&amp;COUNTIF(C$9:C2203,C2203))</f>
        <v/>
      </c>
    </row>
    <row r="2204" spans="2:2" x14ac:dyDescent="0.25">
      <c r="B2204" t="str">
        <f>IF(C2204="","",C2204&amp;COUNTIF(C$9:C2204,C2204))</f>
        <v/>
      </c>
    </row>
    <row r="2205" spans="2:2" x14ac:dyDescent="0.25">
      <c r="B2205" t="str">
        <f>IF(C2205="","",C2205&amp;COUNTIF(C$9:C2205,C2205))</f>
        <v/>
      </c>
    </row>
    <row r="2206" spans="2:2" x14ac:dyDescent="0.25">
      <c r="B2206" t="str">
        <f>IF(C2206="","",C2206&amp;COUNTIF(C$9:C2206,C2206))</f>
        <v/>
      </c>
    </row>
    <row r="2207" spans="2:2" x14ac:dyDescent="0.25">
      <c r="B2207" t="str">
        <f>IF(C2207="","",C2207&amp;COUNTIF(C$9:C2207,C2207))</f>
        <v/>
      </c>
    </row>
    <row r="2208" spans="2:2" x14ac:dyDescent="0.25">
      <c r="B2208" t="str">
        <f>IF(C2208="","",C2208&amp;COUNTIF(C$9:C2208,C2208))</f>
        <v/>
      </c>
    </row>
    <row r="2209" spans="2:2" x14ac:dyDescent="0.25">
      <c r="B2209" t="str">
        <f>IF(C2209="","",C2209&amp;COUNTIF(C$9:C2209,C2209))</f>
        <v/>
      </c>
    </row>
    <row r="2210" spans="2:2" x14ac:dyDescent="0.25">
      <c r="B2210" t="str">
        <f>IF(C2210="","",C2210&amp;COUNTIF(C$9:C2210,C2210))</f>
        <v/>
      </c>
    </row>
    <row r="2211" spans="2:2" x14ac:dyDescent="0.25">
      <c r="B2211" t="str">
        <f>IF(C2211="","",C2211&amp;COUNTIF(C$9:C2211,C2211))</f>
        <v/>
      </c>
    </row>
    <row r="2212" spans="2:2" x14ac:dyDescent="0.25">
      <c r="B2212" t="str">
        <f>IF(C2212="","",C2212&amp;COUNTIF(C$9:C2212,C2212))</f>
        <v/>
      </c>
    </row>
    <row r="2213" spans="2:2" x14ac:dyDescent="0.25">
      <c r="B2213" t="str">
        <f>IF(C2213="","",C2213&amp;COUNTIF(C$9:C2213,C2213))</f>
        <v/>
      </c>
    </row>
    <row r="2214" spans="2:2" x14ac:dyDescent="0.25">
      <c r="B2214" t="str">
        <f>IF(C2214="","",C2214&amp;COUNTIF(C$9:C2214,C2214))</f>
        <v/>
      </c>
    </row>
    <row r="2215" spans="2:2" x14ac:dyDescent="0.25">
      <c r="B2215" t="str">
        <f>IF(C2215="","",C2215&amp;COUNTIF(C$9:C2215,C2215))</f>
        <v/>
      </c>
    </row>
    <row r="2216" spans="2:2" x14ac:dyDescent="0.25">
      <c r="B2216" t="str">
        <f>IF(C2216="","",C2216&amp;COUNTIF(C$9:C2216,C2216))</f>
        <v/>
      </c>
    </row>
    <row r="2217" spans="2:2" x14ac:dyDescent="0.25">
      <c r="B2217" t="str">
        <f>IF(C2217="","",C2217&amp;COUNTIF(C$9:C2217,C2217))</f>
        <v/>
      </c>
    </row>
    <row r="2218" spans="2:2" x14ac:dyDescent="0.25">
      <c r="B2218" t="str">
        <f>IF(C2218="","",C2218&amp;COUNTIF(C$9:C2218,C2218))</f>
        <v/>
      </c>
    </row>
    <row r="2219" spans="2:2" x14ac:dyDescent="0.25">
      <c r="B2219" t="str">
        <f>IF(C2219="","",C2219&amp;COUNTIF(C$9:C2219,C2219))</f>
        <v/>
      </c>
    </row>
    <row r="2220" spans="2:2" x14ac:dyDescent="0.25">
      <c r="B2220" t="str">
        <f>IF(C2220="","",C2220&amp;COUNTIF(C$9:C2220,C2220))</f>
        <v/>
      </c>
    </row>
    <row r="2221" spans="2:2" x14ac:dyDescent="0.25">
      <c r="B2221" t="str">
        <f>IF(C2221="","",C2221&amp;COUNTIF(C$9:C2221,C2221))</f>
        <v/>
      </c>
    </row>
    <row r="2222" spans="2:2" x14ac:dyDescent="0.25">
      <c r="B2222" t="str">
        <f>IF(C2222="","",C2222&amp;COUNTIF(C$9:C2222,C2222))</f>
        <v/>
      </c>
    </row>
    <row r="2223" spans="2:2" x14ac:dyDescent="0.25">
      <c r="B2223" t="str">
        <f>IF(C2223="","",C2223&amp;COUNTIF(C$9:C2223,C2223))</f>
        <v/>
      </c>
    </row>
    <row r="2224" spans="2:2" x14ac:dyDescent="0.25">
      <c r="B2224" t="str">
        <f>IF(C2224="","",C2224&amp;COUNTIF(C$9:C2224,C2224))</f>
        <v/>
      </c>
    </row>
    <row r="2225" spans="2:2" x14ac:dyDescent="0.25">
      <c r="B2225" t="str">
        <f>IF(C2225="","",C2225&amp;COUNTIF(C$9:C2225,C2225))</f>
        <v/>
      </c>
    </row>
    <row r="2226" spans="2:2" x14ac:dyDescent="0.25">
      <c r="B2226" t="str">
        <f>IF(C2226="","",C2226&amp;COUNTIF(C$9:C2226,C2226))</f>
        <v/>
      </c>
    </row>
    <row r="2227" spans="2:2" x14ac:dyDescent="0.25">
      <c r="B2227" t="str">
        <f>IF(C2227="","",C2227&amp;COUNTIF(C$9:C2227,C2227))</f>
        <v/>
      </c>
    </row>
    <row r="2228" spans="2:2" x14ac:dyDescent="0.25">
      <c r="B2228" t="str">
        <f>IF(C2228="","",C2228&amp;COUNTIF(C$9:C2228,C2228))</f>
        <v/>
      </c>
    </row>
    <row r="2229" spans="2:2" x14ac:dyDescent="0.25">
      <c r="B2229" t="str">
        <f>IF(C2229="","",C2229&amp;COUNTIF(C$9:C2229,C2229))</f>
        <v/>
      </c>
    </row>
    <row r="2230" spans="2:2" x14ac:dyDescent="0.25">
      <c r="B2230" t="str">
        <f>IF(C2230="","",C2230&amp;COUNTIF(C$9:C2230,C2230))</f>
        <v/>
      </c>
    </row>
    <row r="2231" spans="2:2" x14ac:dyDescent="0.25">
      <c r="B2231" t="str">
        <f>IF(C2231="","",C2231&amp;COUNTIF(C$9:C2231,C2231))</f>
        <v/>
      </c>
    </row>
    <row r="2232" spans="2:2" x14ac:dyDescent="0.25">
      <c r="B2232" t="str">
        <f>IF(C2232="","",C2232&amp;COUNTIF(C$9:C2232,C2232))</f>
        <v/>
      </c>
    </row>
    <row r="2233" spans="2:2" x14ac:dyDescent="0.25">
      <c r="B2233" t="str">
        <f>IF(C2233="","",C2233&amp;COUNTIF(C$9:C2233,C2233))</f>
        <v/>
      </c>
    </row>
    <row r="2234" spans="2:2" x14ac:dyDescent="0.25">
      <c r="B2234" t="str">
        <f>IF(C2234="","",C2234&amp;COUNTIF(C$9:C2234,C2234))</f>
        <v/>
      </c>
    </row>
    <row r="2235" spans="2:2" x14ac:dyDescent="0.25">
      <c r="B2235" t="str">
        <f>IF(C2235="","",C2235&amp;COUNTIF(C$9:C2235,C2235))</f>
        <v/>
      </c>
    </row>
    <row r="2236" spans="2:2" x14ac:dyDescent="0.25">
      <c r="B2236" t="str">
        <f>IF(C2236="","",C2236&amp;COUNTIF(C$9:C2236,C2236))</f>
        <v/>
      </c>
    </row>
    <row r="2237" spans="2:2" x14ac:dyDescent="0.25">
      <c r="B2237" t="str">
        <f>IF(C2237="","",C2237&amp;COUNTIF(C$9:C2237,C2237))</f>
        <v/>
      </c>
    </row>
    <row r="2238" spans="2:2" x14ac:dyDescent="0.25">
      <c r="B2238" t="str">
        <f>IF(C2238="","",C2238&amp;COUNTIF(C$9:C2238,C2238))</f>
        <v/>
      </c>
    </row>
    <row r="2239" spans="2:2" x14ac:dyDescent="0.25">
      <c r="B2239" t="str">
        <f>IF(C2239="","",C2239&amp;COUNTIF(C$9:C2239,C2239))</f>
        <v/>
      </c>
    </row>
    <row r="2240" spans="2:2" x14ac:dyDescent="0.25">
      <c r="B2240" t="str">
        <f>IF(C2240="","",C2240&amp;COUNTIF(C$9:C2240,C2240))</f>
        <v/>
      </c>
    </row>
    <row r="2241" spans="2:2" x14ac:dyDescent="0.25">
      <c r="B2241" t="str">
        <f>IF(C2241="","",C2241&amp;COUNTIF(C$9:C2241,C2241))</f>
        <v/>
      </c>
    </row>
    <row r="2242" spans="2:2" x14ac:dyDescent="0.25">
      <c r="B2242" t="str">
        <f>IF(C2242="","",C2242&amp;COUNTIF(C$9:C2242,C2242))</f>
        <v/>
      </c>
    </row>
    <row r="2243" spans="2:2" x14ac:dyDescent="0.25">
      <c r="B2243" t="str">
        <f>IF(C2243="","",C2243&amp;COUNTIF(C$9:C2243,C2243))</f>
        <v/>
      </c>
    </row>
    <row r="2244" spans="2:2" x14ac:dyDescent="0.25">
      <c r="B2244" t="str">
        <f>IF(C2244="","",C2244&amp;COUNTIF(C$9:C2244,C2244))</f>
        <v/>
      </c>
    </row>
    <row r="2245" spans="2:2" x14ac:dyDescent="0.25">
      <c r="B2245" t="str">
        <f>IF(C2245="","",C2245&amp;COUNTIF(C$9:C2245,C2245))</f>
        <v/>
      </c>
    </row>
    <row r="2246" spans="2:2" x14ac:dyDescent="0.25">
      <c r="B2246" t="str">
        <f>IF(C2246="","",C2246&amp;COUNTIF(C$9:C2246,C2246))</f>
        <v/>
      </c>
    </row>
    <row r="2247" spans="2:2" x14ac:dyDescent="0.25">
      <c r="B2247" t="str">
        <f>IF(C2247="","",C2247&amp;COUNTIF(C$9:C2247,C2247))</f>
        <v/>
      </c>
    </row>
    <row r="2248" spans="2:2" x14ac:dyDescent="0.25">
      <c r="B2248" t="str">
        <f>IF(C2248="","",C2248&amp;COUNTIF(C$9:C2248,C2248))</f>
        <v/>
      </c>
    </row>
    <row r="2249" spans="2:2" x14ac:dyDescent="0.25">
      <c r="B2249" t="str">
        <f>IF(C2249="","",C2249&amp;COUNTIF(C$9:C2249,C2249))</f>
        <v/>
      </c>
    </row>
    <row r="2250" spans="2:2" x14ac:dyDescent="0.25">
      <c r="B2250" t="str">
        <f>IF(C2250="","",C2250&amp;COUNTIF(C$9:C2250,C2250))</f>
        <v/>
      </c>
    </row>
    <row r="2251" spans="2:2" x14ac:dyDescent="0.25">
      <c r="B2251" t="str">
        <f>IF(C2251="","",C2251&amp;COUNTIF(C$9:C2251,C2251))</f>
        <v/>
      </c>
    </row>
    <row r="2252" spans="2:2" x14ac:dyDescent="0.25">
      <c r="B2252" t="str">
        <f>IF(C2252="","",C2252&amp;COUNTIF(C$9:C2252,C2252))</f>
        <v/>
      </c>
    </row>
    <row r="2253" spans="2:2" x14ac:dyDescent="0.25">
      <c r="B2253" t="str">
        <f>IF(C2253="","",C2253&amp;COUNTIF(C$9:C2253,C2253))</f>
        <v/>
      </c>
    </row>
    <row r="2254" spans="2:2" x14ac:dyDescent="0.25">
      <c r="B2254" t="str">
        <f>IF(C2254="","",C2254&amp;COUNTIF(C$9:C2254,C2254))</f>
        <v/>
      </c>
    </row>
    <row r="2255" spans="2:2" x14ac:dyDescent="0.25">
      <c r="B2255" t="str">
        <f>IF(C2255="","",C2255&amp;COUNTIF(C$9:C2255,C2255))</f>
        <v/>
      </c>
    </row>
    <row r="2256" spans="2:2" x14ac:dyDescent="0.25">
      <c r="B2256" t="str">
        <f>IF(C2256="","",C2256&amp;COUNTIF(C$9:C2256,C2256))</f>
        <v/>
      </c>
    </row>
    <row r="2257" spans="2:2" x14ac:dyDescent="0.25">
      <c r="B2257" t="str">
        <f>IF(C2257="","",C2257&amp;COUNTIF(C$9:C2257,C2257))</f>
        <v/>
      </c>
    </row>
    <row r="2258" spans="2:2" x14ac:dyDescent="0.25">
      <c r="B2258" t="str">
        <f>IF(C2258="","",C2258&amp;COUNTIF(C$9:C2258,C2258))</f>
        <v/>
      </c>
    </row>
    <row r="2259" spans="2:2" x14ac:dyDescent="0.25">
      <c r="B2259" t="str">
        <f>IF(C2259="","",C2259&amp;COUNTIF(C$9:C2259,C2259))</f>
        <v/>
      </c>
    </row>
    <row r="2260" spans="2:2" x14ac:dyDescent="0.25">
      <c r="B2260" t="str">
        <f>IF(C2260="","",C2260&amp;COUNTIF(C$9:C2260,C2260))</f>
        <v/>
      </c>
    </row>
    <row r="2261" spans="2:2" x14ac:dyDescent="0.25">
      <c r="B2261" t="str">
        <f>IF(C2261="","",C2261&amp;COUNTIF(C$9:C2261,C2261))</f>
        <v/>
      </c>
    </row>
    <row r="2262" spans="2:2" x14ac:dyDescent="0.25">
      <c r="B2262" t="str">
        <f>IF(C2262="","",C2262&amp;COUNTIF(C$9:C2262,C2262))</f>
        <v/>
      </c>
    </row>
    <row r="2263" spans="2:2" x14ac:dyDescent="0.25">
      <c r="B2263" t="str">
        <f>IF(C2263="","",C2263&amp;COUNTIF(C$9:C2263,C2263))</f>
        <v/>
      </c>
    </row>
    <row r="2264" spans="2:2" x14ac:dyDescent="0.25">
      <c r="B2264" t="str">
        <f>IF(C2264="","",C2264&amp;COUNTIF(C$9:C2264,C2264))</f>
        <v/>
      </c>
    </row>
    <row r="2265" spans="2:2" x14ac:dyDescent="0.25">
      <c r="B2265" t="str">
        <f>IF(C2265="","",C2265&amp;COUNTIF(C$9:C2265,C2265))</f>
        <v/>
      </c>
    </row>
    <row r="2266" spans="2:2" x14ac:dyDescent="0.25">
      <c r="B2266" t="str">
        <f>IF(C2266="","",C2266&amp;COUNTIF(C$9:C2266,C2266))</f>
        <v/>
      </c>
    </row>
    <row r="2267" spans="2:2" x14ac:dyDescent="0.25">
      <c r="B2267" t="str">
        <f>IF(C2267="","",C2267&amp;COUNTIF(C$9:C2267,C2267))</f>
        <v/>
      </c>
    </row>
    <row r="2268" spans="2:2" x14ac:dyDescent="0.25">
      <c r="B2268" t="str">
        <f>IF(C2268="","",C2268&amp;COUNTIF(C$9:C2268,C2268))</f>
        <v/>
      </c>
    </row>
    <row r="2269" spans="2:2" x14ac:dyDescent="0.25">
      <c r="B2269" t="str">
        <f>IF(C2269="","",C2269&amp;COUNTIF(C$9:C2269,C2269))</f>
        <v/>
      </c>
    </row>
    <row r="2270" spans="2:2" x14ac:dyDescent="0.25">
      <c r="B2270" t="str">
        <f>IF(C2270="","",C2270&amp;COUNTIF(C$9:C2270,C2270))</f>
        <v/>
      </c>
    </row>
    <row r="2271" spans="2:2" x14ac:dyDescent="0.25">
      <c r="B2271" t="str">
        <f>IF(C2271="","",C2271&amp;COUNTIF(C$9:C2271,C2271))</f>
        <v/>
      </c>
    </row>
    <row r="2272" spans="2:2" x14ac:dyDescent="0.25">
      <c r="B2272" t="str">
        <f>IF(C2272="","",C2272&amp;COUNTIF(C$9:C2272,C2272))</f>
        <v/>
      </c>
    </row>
    <row r="2273" spans="2:2" x14ac:dyDescent="0.25">
      <c r="B2273" t="str">
        <f>IF(C2273="","",C2273&amp;COUNTIF(C$9:C2273,C2273))</f>
        <v/>
      </c>
    </row>
    <row r="2274" spans="2:2" x14ac:dyDescent="0.25">
      <c r="B2274" t="str">
        <f>IF(C2274="","",C2274&amp;COUNTIF(C$9:C2274,C2274))</f>
        <v/>
      </c>
    </row>
    <row r="2275" spans="2:2" x14ac:dyDescent="0.25">
      <c r="B2275" t="str">
        <f>IF(C2275="","",C2275&amp;COUNTIF(C$9:C2275,C2275))</f>
        <v/>
      </c>
    </row>
    <row r="2276" spans="2:2" x14ac:dyDescent="0.25">
      <c r="B2276" t="str">
        <f>IF(C2276="","",C2276&amp;COUNTIF(C$9:C2276,C2276))</f>
        <v/>
      </c>
    </row>
    <row r="2277" spans="2:2" x14ac:dyDescent="0.25">
      <c r="B2277" t="str">
        <f>IF(C2277="","",C2277&amp;COUNTIF(C$9:C2277,C2277))</f>
        <v/>
      </c>
    </row>
    <row r="2278" spans="2:2" x14ac:dyDescent="0.25">
      <c r="B2278" t="str">
        <f>IF(C2278="","",C2278&amp;COUNTIF(C$9:C2278,C2278))</f>
        <v/>
      </c>
    </row>
    <row r="2279" spans="2:2" x14ac:dyDescent="0.25">
      <c r="B2279" t="str">
        <f>IF(C2279="","",C2279&amp;COUNTIF(C$9:C2279,C2279))</f>
        <v/>
      </c>
    </row>
    <row r="2280" spans="2:2" x14ac:dyDescent="0.25">
      <c r="B2280" t="str">
        <f>IF(C2280="","",C2280&amp;COUNTIF(C$9:C2280,C2280))</f>
        <v/>
      </c>
    </row>
    <row r="2281" spans="2:2" x14ac:dyDescent="0.25">
      <c r="B2281" t="str">
        <f>IF(C2281="","",C2281&amp;COUNTIF(C$9:C2281,C2281))</f>
        <v/>
      </c>
    </row>
    <row r="2282" spans="2:2" x14ac:dyDescent="0.25">
      <c r="B2282" t="str">
        <f>IF(C2282="","",C2282&amp;COUNTIF(C$9:C2282,C2282))</f>
        <v/>
      </c>
    </row>
    <row r="2283" spans="2:2" x14ac:dyDescent="0.25">
      <c r="B2283" t="str">
        <f>IF(C2283="","",C2283&amp;COUNTIF(C$9:C2283,C2283))</f>
        <v/>
      </c>
    </row>
    <row r="2284" spans="2:2" x14ac:dyDescent="0.25">
      <c r="B2284" t="str">
        <f>IF(C2284="","",C2284&amp;COUNTIF(C$9:C2284,C2284))</f>
        <v/>
      </c>
    </row>
    <row r="2285" spans="2:2" x14ac:dyDescent="0.25">
      <c r="B2285" t="str">
        <f>IF(C2285="","",C2285&amp;COUNTIF(C$9:C2285,C2285))</f>
        <v/>
      </c>
    </row>
    <row r="2286" spans="2:2" x14ac:dyDescent="0.25">
      <c r="B2286" t="str">
        <f>IF(C2286="","",C2286&amp;COUNTIF(C$9:C2286,C2286))</f>
        <v/>
      </c>
    </row>
    <row r="2287" spans="2:2" x14ac:dyDescent="0.25">
      <c r="B2287" t="str">
        <f>IF(C2287="","",C2287&amp;COUNTIF(C$9:C2287,C2287))</f>
        <v/>
      </c>
    </row>
    <row r="2288" spans="2:2" x14ac:dyDescent="0.25">
      <c r="B2288" t="str">
        <f>IF(C2288="","",C2288&amp;COUNTIF(C$9:C2288,C2288))</f>
        <v/>
      </c>
    </row>
    <row r="2289" spans="2:2" x14ac:dyDescent="0.25">
      <c r="B2289" t="str">
        <f>IF(C2289="","",C2289&amp;COUNTIF(C$9:C2289,C2289))</f>
        <v/>
      </c>
    </row>
    <row r="2290" spans="2:2" x14ac:dyDescent="0.25">
      <c r="B2290" t="str">
        <f>IF(C2290="","",C2290&amp;COUNTIF(C$9:C2290,C2290))</f>
        <v/>
      </c>
    </row>
    <row r="2291" spans="2:2" x14ac:dyDescent="0.25">
      <c r="B2291" t="str">
        <f>IF(C2291="","",C2291&amp;COUNTIF(C$9:C2291,C2291))</f>
        <v/>
      </c>
    </row>
    <row r="2292" spans="2:2" x14ac:dyDescent="0.25">
      <c r="B2292" t="str">
        <f>IF(C2292="","",C2292&amp;COUNTIF(C$9:C2292,C2292))</f>
        <v/>
      </c>
    </row>
    <row r="2293" spans="2:2" x14ac:dyDescent="0.25">
      <c r="B2293" t="str">
        <f>IF(C2293="","",C2293&amp;COUNTIF(C$9:C2293,C2293))</f>
        <v/>
      </c>
    </row>
    <row r="2294" spans="2:2" x14ac:dyDescent="0.25">
      <c r="B2294" t="str">
        <f>IF(C2294="","",C2294&amp;COUNTIF(C$9:C2294,C2294))</f>
        <v/>
      </c>
    </row>
    <row r="2295" spans="2:2" x14ac:dyDescent="0.25">
      <c r="B2295" t="str">
        <f>IF(C2295="","",C2295&amp;COUNTIF(C$9:C2295,C2295))</f>
        <v/>
      </c>
    </row>
    <row r="2296" spans="2:2" x14ac:dyDescent="0.25">
      <c r="B2296" t="str">
        <f>IF(C2296="","",C2296&amp;COUNTIF(C$9:C2296,C2296))</f>
        <v/>
      </c>
    </row>
    <row r="2297" spans="2:2" x14ac:dyDescent="0.25">
      <c r="B2297" t="str">
        <f>IF(C2297="","",C2297&amp;COUNTIF(C$9:C2297,C2297))</f>
        <v/>
      </c>
    </row>
    <row r="2298" spans="2:2" x14ac:dyDescent="0.25">
      <c r="B2298" t="str">
        <f>IF(C2298="","",C2298&amp;COUNTIF(C$9:C2298,C2298))</f>
        <v/>
      </c>
    </row>
    <row r="2299" spans="2:2" x14ac:dyDescent="0.25">
      <c r="B2299" t="str">
        <f>IF(C2299="","",C2299&amp;COUNTIF(C$9:C2299,C2299))</f>
        <v/>
      </c>
    </row>
    <row r="2300" spans="2:2" x14ac:dyDescent="0.25">
      <c r="B2300" t="str">
        <f>IF(C2300="","",C2300&amp;COUNTIF(C$9:C2300,C2300))</f>
        <v/>
      </c>
    </row>
    <row r="2301" spans="2:2" x14ac:dyDescent="0.25">
      <c r="B2301" t="str">
        <f>IF(C2301="","",C2301&amp;COUNTIF(C$9:C2301,C2301))</f>
        <v/>
      </c>
    </row>
    <row r="2302" spans="2:2" x14ac:dyDescent="0.25">
      <c r="B2302" t="str">
        <f>IF(C2302="","",C2302&amp;COUNTIF(C$9:C2302,C2302))</f>
        <v/>
      </c>
    </row>
    <row r="2303" spans="2:2" x14ac:dyDescent="0.25">
      <c r="B2303" t="str">
        <f>IF(C2303="","",C2303&amp;COUNTIF(C$9:C2303,C2303))</f>
        <v/>
      </c>
    </row>
    <row r="2304" spans="2:2" x14ac:dyDescent="0.25">
      <c r="B2304" t="str">
        <f>IF(C2304="","",C2304&amp;COUNTIF(C$9:C2304,C2304))</f>
        <v/>
      </c>
    </row>
    <row r="2305" spans="2:2" x14ac:dyDescent="0.25">
      <c r="B2305" t="str">
        <f>IF(C2305="","",C2305&amp;COUNTIF(C$9:C2305,C2305))</f>
        <v/>
      </c>
    </row>
    <row r="2306" spans="2:2" x14ac:dyDescent="0.25">
      <c r="B2306" t="str">
        <f>IF(C2306="","",C2306&amp;COUNTIF(C$9:C2306,C2306))</f>
        <v/>
      </c>
    </row>
    <row r="2307" spans="2:2" x14ac:dyDescent="0.25">
      <c r="B2307" t="str">
        <f>IF(C2307="","",C2307&amp;COUNTIF(C$9:C2307,C2307))</f>
        <v/>
      </c>
    </row>
    <row r="2308" spans="2:2" x14ac:dyDescent="0.25">
      <c r="B2308" t="str">
        <f>IF(C2308="","",C2308&amp;COUNTIF(C$9:C2308,C2308))</f>
        <v/>
      </c>
    </row>
    <row r="2309" spans="2:2" x14ac:dyDescent="0.25">
      <c r="B2309" t="str">
        <f>IF(C2309="","",C2309&amp;COUNTIF(C$9:C2309,C2309))</f>
        <v/>
      </c>
    </row>
    <row r="2310" spans="2:2" x14ac:dyDescent="0.25">
      <c r="B2310" t="str">
        <f>IF(C2310="","",C2310&amp;COUNTIF(C$9:C2310,C2310))</f>
        <v/>
      </c>
    </row>
    <row r="2311" spans="2:2" x14ac:dyDescent="0.25">
      <c r="B2311" t="str">
        <f>IF(C2311="","",C2311&amp;COUNTIF(C$9:C2311,C2311))</f>
        <v/>
      </c>
    </row>
    <row r="2312" spans="2:2" x14ac:dyDescent="0.25">
      <c r="B2312" t="str">
        <f>IF(C2312="","",C2312&amp;COUNTIF(C$9:C2312,C2312))</f>
        <v/>
      </c>
    </row>
    <row r="2313" spans="2:2" x14ac:dyDescent="0.25">
      <c r="B2313" t="str">
        <f>IF(C2313="","",C2313&amp;COUNTIF(C$9:C2313,C2313))</f>
        <v/>
      </c>
    </row>
    <row r="2314" spans="2:2" x14ac:dyDescent="0.25">
      <c r="B2314" t="str">
        <f>IF(C2314="","",C2314&amp;COUNTIF(C$9:C2314,C2314))</f>
        <v/>
      </c>
    </row>
    <row r="2315" spans="2:2" x14ac:dyDescent="0.25">
      <c r="B2315" t="str">
        <f>IF(C2315="","",C2315&amp;COUNTIF(C$9:C2315,C2315))</f>
        <v/>
      </c>
    </row>
    <row r="2316" spans="2:2" x14ac:dyDescent="0.25">
      <c r="B2316" t="str">
        <f>IF(C2316="","",C2316&amp;COUNTIF(C$9:C2316,C2316))</f>
        <v/>
      </c>
    </row>
    <row r="2317" spans="2:2" x14ac:dyDescent="0.25">
      <c r="B2317" t="str">
        <f>IF(C2317="","",C2317&amp;COUNTIF(C$9:C2317,C2317))</f>
        <v/>
      </c>
    </row>
    <row r="2318" spans="2:2" x14ac:dyDescent="0.25">
      <c r="B2318" t="str">
        <f>IF(C2318="","",C2318&amp;COUNTIF(C$9:C2318,C2318))</f>
        <v/>
      </c>
    </row>
    <row r="2319" spans="2:2" x14ac:dyDescent="0.25">
      <c r="B2319" t="str">
        <f>IF(C2319="","",C2319&amp;COUNTIF(C$9:C2319,C2319))</f>
        <v/>
      </c>
    </row>
    <row r="2320" spans="2:2" x14ac:dyDescent="0.25">
      <c r="B2320" t="str">
        <f>IF(C2320="","",C2320&amp;COUNTIF(C$9:C2320,C2320))</f>
        <v/>
      </c>
    </row>
    <row r="2321" spans="2:2" x14ac:dyDescent="0.25">
      <c r="B2321" t="str">
        <f>IF(C2321="","",C2321&amp;COUNTIF(C$9:C2321,C2321))</f>
        <v/>
      </c>
    </row>
    <row r="2322" spans="2:2" x14ac:dyDescent="0.25">
      <c r="B2322" t="str">
        <f>IF(C2322="","",C2322&amp;COUNTIF(C$9:C2322,C2322))</f>
        <v/>
      </c>
    </row>
    <row r="2323" spans="2:2" x14ac:dyDescent="0.25">
      <c r="B2323" t="str">
        <f>IF(C2323="","",C2323&amp;COUNTIF(C$9:C2323,C2323))</f>
        <v/>
      </c>
    </row>
    <row r="2324" spans="2:2" x14ac:dyDescent="0.25">
      <c r="B2324" t="str">
        <f>IF(C2324="","",C2324&amp;COUNTIF(C$9:C2324,C2324))</f>
        <v/>
      </c>
    </row>
    <row r="2325" spans="2:2" x14ac:dyDescent="0.25">
      <c r="B2325" t="str">
        <f>IF(C2325="","",C2325&amp;COUNTIF(C$9:C2325,C2325))</f>
        <v/>
      </c>
    </row>
    <row r="2326" spans="2:2" x14ac:dyDescent="0.25">
      <c r="B2326" t="str">
        <f>IF(C2326="","",C2326&amp;COUNTIF(C$9:C2326,C2326))</f>
        <v/>
      </c>
    </row>
    <row r="2327" spans="2:2" x14ac:dyDescent="0.25">
      <c r="B2327" t="str">
        <f>IF(C2327="","",C2327&amp;COUNTIF(C$9:C2327,C2327))</f>
        <v/>
      </c>
    </row>
    <row r="2328" spans="2:2" x14ac:dyDescent="0.25">
      <c r="B2328" t="str">
        <f>IF(C2328="","",C2328&amp;COUNTIF(C$9:C2328,C2328))</f>
        <v/>
      </c>
    </row>
    <row r="2329" spans="2:2" x14ac:dyDescent="0.25">
      <c r="B2329" t="str">
        <f>IF(C2329="","",C2329&amp;COUNTIF(C$9:C2329,C2329))</f>
        <v/>
      </c>
    </row>
    <row r="2330" spans="2:2" x14ac:dyDescent="0.25">
      <c r="B2330" t="str">
        <f>IF(C2330="","",C2330&amp;COUNTIF(C$9:C2330,C2330))</f>
        <v/>
      </c>
    </row>
    <row r="2331" spans="2:2" x14ac:dyDescent="0.25">
      <c r="B2331" t="str">
        <f>IF(C2331="","",C2331&amp;COUNTIF(C$9:C2331,C2331))</f>
        <v/>
      </c>
    </row>
    <row r="2332" spans="2:2" x14ac:dyDescent="0.25">
      <c r="B2332" t="str">
        <f>IF(C2332="","",C2332&amp;COUNTIF(C$9:C2332,C2332))</f>
        <v/>
      </c>
    </row>
    <row r="2333" spans="2:2" x14ac:dyDescent="0.25">
      <c r="B2333" t="str">
        <f>IF(C2333="","",C2333&amp;COUNTIF(C$9:C2333,C2333))</f>
        <v/>
      </c>
    </row>
    <row r="2334" spans="2:2" x14ac:dyDescent="0.25">
      <c r="B2334" t="str">
        <f>IF(C2334="","",C2334&amp;COUNTIF(C$9:C2334,C2334))</f>
        <v/>
      </c>
    </row>
    <row r="2335" spans="2:2" x14ac:dyDescent="0.25">
      <c r="B2335" t="str">
        <f>IF(C2335="","",C2335&amp;COUNTIF(C$9:C2335,C2335))</f>
        <v/>
      </c>
    </row>
    <row r="2336" spans="2:2" x14ac:dyDescent="0.25">
      <c r="B2336" t="str">
        <f>IF(C2336="","",C2336&amp;COUNTIF(C$9:C2336,C2336))</f>
        <v/>
      </c>
    </row>
    <row r="2337" spans="2:2" x14ac:dyDescent="0.25">
      <c r="B2337" t="str">
        <f>IF(C2337="","",C2337&amp;COUNTIF(C$9:C2337,C2337))</f>
        <v/>
      </c>
    </row>
    <row r="2338" spans="2:2" x14ac:dyDescent="0.25">
      <c r="B2338" t="str">
        <f>IF(C2338="","",C2338&amp;COUNTIF(C$9:C2338,C2338))</f>
        <v/>
      </c>
    </row>
    <row r="2339" spans="2:2" x14ac:dyDescent="0.25">
      <c r="B2339" t="str">
        <f>IF(C2339="","",C2339&amp;COUNTIF(C$9:C2339,C2339))</f>
        <v/>
      </c>
    </row>
    <row r="2340" spans="2:2" x14ac:dyDescent="0.25">
      <c r="B2340" t="str">
        <f>IF(C2340="","",C2340&amp;COUNTIF(C$9:C2340,C2340))</f>
        <v/>
      </c>
    </row>
    <row r="2341" spans="2:2" x14ac:dyDescent="0.25">
      <c r="B2341" t="str">
        <f>IF(C2341="","",C2341&amp;COUNTIF(C$9:C2341,C2341))</f>
        <v/>
      </c>
    </row>
    <row r="2342" spans="2:2" x14ac:dyDescent="0.25">
      <c r="B2342" t="str">
        <f>IF(C2342="","",C2342&amp;COUNTIF(C$9:C2342,C2342))</f>
        <v/>
      </c>
    </row>
    <row r="2343" spans="2:2" x14ac:dyDescent="0.25">
      <c r="B2343" t="str">
        <f>IF(C2343="","",C2343&amp;COUNTIF(C$9:C2343,C2343))</f>
        <v/>
      </c>
    </row>
    <row r="2344" spans="2:2" x14ac:dyDescent="0.25">
      <c r="B2344" t="str">
        <f>IF(C2344="","",C2344&amp;COUNTIF(C$9:C2344,C2344))</f>
        <v/>
      </c>
    </row>
    <row r="2345" spans="2:2" x14ac:dyDescent="0.25">
      <c r="B2345" t="str">
        <f>IF(C2345="","",C2345&amp;COUNTIF(C$9:C2345,C2345))</f>
        <v/>
      </c>
    </row>
    <row r="2346" spans="2:2" x14ac:dyDescent="0.25">
      <c r="B2346" t="str">
        <f>IF(C2346="","",C2346&amp;COUNTIF(C$9:C2346,C2346))</f>
        <v/>
      </c>
    </row>
    <row r="2347" spans="2:2" x14ac:dyDescent="0.25">
      <c r="B2347" t="str">
        <f>IF(C2347="","",C2347&amp;COUNTIF(C$9:C2347,C2347))</f>
        <v/>
      </c>
    </row>
    <row r="2348" spans="2:2" x14ac:dyDescent="0.25">
      <c r="B2348" t="str">
        <f>IF(C2348="","",C2348&amp;COUNTIF(C$9:C2348,C2348))</f>
        <v/>
      </c>
    </row>
    <row r="2349" spans="2:2" x14ac:dyDescent="0.25">
      <c r="B2349" t="str">
        <f>IF(C2349="","",C2349&amp;COUNTIF(C$9:C2349,C2349))</f>
        <v/>
      </c>
    </row>
    <row r="2350" spans="2:2" x14ac:dyDescent="0.25">
      <c r="B2350" t="str">
        <f>IF(C2350="","",C2350&amp;COUNTIF(C$9:C2350,C2350))</f>
        <v/>
      </c>
    </row>
    <row r="2351" spans="2:2" x14ac:dyDescent="0.25">
      <c r="B2351" t="str">
        <f>IF(C2351="","",C2351&amp;COUNTIF(C$9:C2351,C2351))</f>
        <v/>
      </c>
    </row>
    <row r="2352" spans="2:2" x14ac:dyDescent="0.25">
      <c r="B2352" t="str">
        <f>IF(C2352="","",C2352&amp;COUNTIF(C$9:C2352,C2352))</f>
        <v/>
      </c>
    </row>
    <row r="2353" spans="2:2" x14ac:dyDescent="0.25">
      <c r="B2353" t="str">
        <f>IF(C2353="","",C2353&amp;COUNTIF(C$9:C2353,C2353))</f>
        <v/>
      </c>
    </row>
    <row r="2354" spans="2:2" x14ac:dyDescent="0.25">
      <c r="B2354" t="str">
        <f>IF(C2354="","",C2354&amp;COUNTIF(C$9:C2354,C2354))</f>
        <v/>
      </c>
    </row>
    <row r="2355" spans="2:2" x14ac:dyDescent="0.25">
      <c r="B2355" t="str">
        <f>IF(C2355="","",C2355&amp;COUNTIF(C$9:C2355,C2355))</f>
        <v/>
      </c>
    </row>
    <row r="2356" spans="2:2" x14ac:dyDescent="0.25">
      <c r="B2356" t="str">
        <f>IF(C2356="","",C2356&amp;COUNTIF(C$9:C2356,C2356))</f>
        <v/>
      </c>
    </row>
    <row r="2357" spans="2:2" x14ac:dyDescent="0.25">
      <c r="B2357" t="str">
        <f>IF(C2357="","",C2357&amp;COUNTIF(C$9:C2357,C2357))</f>
        <v/>
      </c>
    </row>
    <row r="2358" spans="2:2" x14ac:dyDescent="0.25">
      <c r="B2358" t="str">
        <f>IF(C2358="","",C2358&amp;COUNTIF(C$9:C2358,C2358))</f>
        <v/>
      </c>
    </row>
    <row r="2359" spans="2:2" x14ac:dyDescent="0.25">
      <c r="B2359" t="str">
        <f>IF(C2359="","",C2359&amp;COUNTIF(C$9:C2359,C2359))</f>
        <v/>
      </c>
    </row>
    <row r="2360" spans="2:2" x14ac:dyDescent="0.25">
      <c r="B2360" t="str">
        <f>IF(C2360="","",C2360&amp;COUNTIF(C$9:C2360,C2360))</f>
        <v/>
      </c>
    </row>
    <row r="2361" spans="2:2" x14ac:dyDescent="0.25">
      <c r="B2361" t="str">
        <f>IF(C2361="","",C2361&amp;COUNTIF(C$9:C2361,C2361))</f>
        <v/>
      </c>
    </row>
    <row r="2362" spans="2:2" x14ac:dyDescent="0.25">
      <c r="B2362" t="str">
        <f>IF(C2362="","",C2362&amp;COUNTIF(C$9:C2362,C2362))</f>
        <v/>
      </c>
    </row>
    <row r="2363" spans="2:2" x14ac:dyDescent="0.25">
      <c r="B2363" t="str">
        <f>IF(C2363="","",C2363&amp;COUNTIF(C$9:C2363,C2363))</f>
        <v/>
      </c>
    </row>
    <row r="2364" spans="2:2" x14ac:dyDescent="0.25">
      <c r="B2364" t="str">
        <f>IF(C2364="","",C2364&amp;COUNTIF(C$9:C2364,C2364))</f>
        <v/>
      </c>
    </row>
    <row r="2365" spans="2:2" x14ac:dyDescent="0.25">
      <c r="B2365" t="str">
        <f>IF(C2365="","",C2365&amp;COUNTIF(C$9:C2365,C2365))</f>
        <v/>
      </c>
    </row>
    <row r="2366" spans="2:2" x14ac:dyDescent="0.25">
      <c r="B2366" t="str">
        <f>IF(C2366="","",C2366&amp;COUNTIF(C$9:C2366,C2366))</f>
        <v/>
      </c>
    </row>
    <row r="2367" spans="2:2" x14ac:dyDescent="0.25">
      <c r="B2367" t="str">
        <f>IF(C2367="","",C2367&amp;COUNTIF(C$9:C2367,C2367))</f>
        <v/>
      </c>
    </row>
    <row r="2368" spans="2:2" x14ac:dyDescent="0.25">
      <c r="B2368" t="str">
        <f>IF(C2368="","",C2368&amp;COUNTIF(C$9:C2368,C2368))</f>
        <v/>
      </c>
    </row>
    <row r="2369" spans="2:2" x14ac:dyDescent="0.25">
      <c r="B2369" t="str">
        <f>IF(C2369="","",C2369&amp;COUNTIF(C$9:C2369,C2369))</f>
        <v/>
      </c>
    </row>
    <row r="2370" spans="2:2" x14ac:dyDescent="0.25">
      <c r="B2370" t="str">
        <f>IF(C2370="","",C2370&amp;COUNTIF(C$9:C2370,C2370))</f>
        <v/>
      </c>
    </row>
    <row r="2371" spans="2:2" x14ac:dyDescent="0.25">
      <c r="B2371" t="str">
        <f>IF(C2371="","",C2371&amp;COUNTIF(C$9:C2371,C2371))</f>
        <v/>
      </c>
    </row>
    <row r="2372" spans="2:2" x14ac:dyDescent="0.25">
      <c r="B2372" t="str">
        <f>IF(C2372="","",C2372&amp;COUNTIF(C$9:C2372,C2372))</f>
        <v/>
      </c>
    </row>
    <row r="2373" spans="2:2" x14ac:dyDescent="0.25">
      <c r="B2373" t="str">
        <f>IF(C2373="","",C2373&amp;COUNTIF(C$9:C2373,C2373))</f>
        <v/>
      </c>
    </row>
    <row r="2374" spans="2:2" x14ac:dyDescent="0.25">
      <c r="B2374" t="str">
        <f>IF(C2374="","",C2374&amp;COUNTIF(C$9:C2374,C2374))</f>
        <v/>
      </c>
    </row>
    <row r="2375" spans="2:2" x14ac:dyDescent="0.25">
      <c r="B2375" t="str">
        <f>IF(C2375="","",C2375&amp;COUNTIF(C$9:C2375,C2375))</f>
        <v/>
      </c>
    </row>
    <row r="2376" spans="2:2" x14ac:dyDescent="0.25">
      <c r="B2376" t="str">
        <f>IF(C2376="","",C2376&amp;COUNTIF(C$9:C2376,C2376))</f>
        <v/>
      </c>
    </row>
    <row r="2377" spans="2:2" x14ac:dyDescent="0.25">
      <c r="B2377" t="str">
        <f>IF(C2377="","",C2377&amp;COUNTIF(C$9:C2377,C2377))</f>
        <v/>
      </c>
    </row>
    <row r="2378" spans="2:2" x14ac:dyDescent="0.25">
      <c r="B2378" t="str">
        <f>IF(C2378="","",C2378&amp;COUNTIF(C$9:C2378,C2378))</f>
        <v/>
      </c>
    </row>
    <row r="2379" spans="2:2" x14ac:dyDescent="0.25">
      <c r="B2379" t="str">
        <f>IF(C2379="","",C2379&amp;COUNTIF(C$9:C2379,C2379))</f>
        <v/>
      </c>
    </row>
    <row r="2380" spans="2:2" x14ac:dyDescent="0.25">
      <c r="B2380" t="str">
        <f>IF(C2380="","",C2380&amp;COUNTIF(C$9:C2380,C2380))</f>
        <v/>
      </c>
    </row>
    <row r="2381" spans="2:2" x14ac:dyDescent="0.25">
      <c r="B2381" t="str">
        <f>IF(C2381="","",C2381&amp;COUNTIF(C$9:C2381,C2381))</f>
        <v/>
      </c>
    </row>
    <row r="2382" spans="2:2" x14ac:dyDescent="0.25">
      <c r="B2382" t="str">
        <f>IF(C2382="","",C2382&amp;COUNTIF(C$9:C2382,C2382))</f>
        <v/>
      </c>
    </row>
    <row r="2383" spans="2:2" x14ac:dyDescent="0.25">
      <c r="B2383" t="str">
        <f>IF(C2383="","",C2383&amp;COUNTIF(C$9:C2383,C2383))</f>
        <v/>
      </c>
    </row>
    <row r="2384" spans="2:2" x14ac:dyDescent="0.25">
      <c r="B2384" t="str">
        <f>IF(C2384="","",C2384&amp;COUNTIF(C$9:C2384,C2384))</f>
        <v/>
      </c>
    </row>
    <row r="2385" spans="2:2" x14ac:dyDescent="0.25">
      <c r="B2385" t="str">
        <f>IF(C2385="","",C2385&amp;COUNTIF(C$9:C2385,C2385))</f>
        <v/>
      </c>
    </row>
    <row r="2386" spans="2:2" x14ac:dyDescent="0.25">
      <c r="B2386" t="str">
        <f>IF(C2386="","",C2386&amp;COUNTIF(C$9:C2386,C2386))</f>
        <v/>
      </c>
    </row>
    <row r="2387" spans="2:2" x14ac:dyDescent="0.25">
      <c r="B2387" t="str">
        <f>IF(C2387="","",C2387&amp;COUNTIF(C$9:C2387,C2387))</f>
        <v/>
      </c>
    </row>
    <row r="2388" spans="2:2" x14ac:dyDescent="0.25">
      <c r="B2388" t="str">
        <f>IF(C2388="","",C2388&amp;COUNTIF(C$9:C2388,C2388))</f>
        <v/>
      </c>
    </row>
    <row r="2389" spans="2:2" x14ac:dyDescent="0.25">
      <c r="B2389" t="str">
        <f>IF(C2389="","",C2389&amp;COUNTIF(C$9:C2389,C2389))</f>
        <v/>
      </c>
    </row>
    <row r="2390" spans="2:2" x14ac:dyDescent="0.25">
      <c r="B2390" t="str">
        <f>IF(C2390="","",C2390&amp;COUNTIF(C$9:C2390,C2390))</f>
        <v/>
      </c>
    </row>
    <row r="2391" spans="2:2" x14ac:dyDescent="0.25">
      <c r="B2391" t="str">
        <f>IF(C2391="","",C2391&amp;COUNTIF(C$9:C2391,C2391))</f>
        <v/>
      </c>
    </row>
    <row r="2392" spans="2:2" x14ac:dyDescent="0.25">
      <c r="B2392" t="str">
        <f>IF(C2392="","",C2392&amp;COUNTIF(C$9:C2392,C2392))</f>
        <v/>
      </c>
    </row>
    <row r="2393" spans="2:2" x14ac:dyDescent="0.25">
      <c r="B2393" t="str">
        <f>IF(C2393="","",C2393&amp;COUNTIF(C$9:C2393,C2393))</f>
        <v/>
      </c>
    </row>
    <row r="2394" spans="2:2" x14ac:dyDescent="0.25">
      <c r="B2394" t="str">
        <f>IF(C2394="","",C2394&amp;COUNTIF(C$9:C2394,C2394))</f>
        <v/>
      </c>
    </row>
    <row r="2395" spans="2:2" x14ac:dyDescent="0.25">
      <c r="B2395" t="str">
        <f>IF(C2395="","",C2395&amp;COUNTIF(C$9:C2395,C2395))</f>
        <v/>
      </c>
    </row>
    <row r="2396" spans="2:2" x14ac:dyDescent="0.25">
      <c r="B2396" t="str">
        <f>IF(C2396="","",C2396&amp;COUNTIF(C$9:C2396,C2396))</f>
        <v/>
      </c>
    </row>
    <row r="2397" spans="2:2" x14ac:dyDescent="0.25">
      <c r="B2397" t="str">
        <f>IF(C2397="","",C2397&amp;COUNTIF(C$9:C2397,C2397))</f>
        <v/>
      </c>
    </row>
    <row r="2398" spans="2:2" x14ac:dyDescent="0.25">
      <c r="B2398" t="str">
        <f>IF(C2398="","",C2398&amp;COUNTIF(C$9:C2398,C2398))</f>
        <v/>
      </c>
    </row>
    <row r="2399" spans="2:2" x14ac:dyDescent="0.25">
      <c r="B2399" t="str">
        <f>IF(C2399="","",C2399&amp;COUNTIF(C$9:C2399,C2399))</f>
        <v/>
      </c>
    </row>
    <row r="2400" spans="2:2" x14ac:dyDescent="0.25">
      <c r="B2400" t="str">
        <f>IF(C2400="","",C2400&amp;COUNTIF(C$9:C2400,C2400))</f>
        <v/>
      </c>
    </row>
    <row r="2401" spans="2:2" x14ac:dyDescent="0.25">
      <c r="B2401" t="str">
        <f>IF(C2401="","",C2401&amp;COUNTIF(C$9:C2401,C2401))</f>
        <v/>
      </c>
    </row>
    <row r="2402" spans="2:2" x14ac:dyDescent="0.25">
      <c r="B2402" t="str">
        <f>IF(C2402="","",C2402&amp;COUNTIF(C$9:C2402,C2402))</f>
        <v/>
      </c>
    </row>
    <row r="2403" spans="2:2" x14ac:dyDescent="0.25">
      <c r="B2403" t="str">
        <f>IF(C2403="","",C2403&amp;COUNTIF(C$9:C2403,C2403))</f>
        <v/>
      </c>
    </row>
    <row r="2404" spans="2:2" x14ac:dyDescent="0.25">
      <c r="B2404" t="str">
        <f>IF(C2404="","",C2404&amp;COUNTIF(C$9:C2404,C2404))</f>
        <v/>
      </c>
    </row>
    <row r="2405" spans="2:2" x14ac:dyDescent="0.25">
      <c r="B2405" t="str">
        <f>IF(C2405="","",C2405&amp;COUNTIF(C$9:C2405,C2405))</f>
        <v/>
      </c>
    </row>
    <row r="2406" spans="2:2" x14ac:dyDescent="0.25">
      <c r="B2406" t="str">
        <f>IF(C2406="","",C2406&amp;COUNTIF(C$9:C2406,C2406))</f>
        <v/>
      </c>
    </row>
    <row r="2407" spans="2:2" x14ac:dyDescent="0.25">
      <c r="B2407" t="str">
        <f>IF(C2407="","",C2407&amp;COUNTIF(C$9:C2407,C2407))</f>
        <v/>
      </c>
    </row>
    <row r="2408" spans="2:2" x14ac:dyDescent="0.25">
      <c r="B2408" t="str">
        <f>IF(C2408="","",C2408&amp;COUNTIF(C$9:C2408,C2408))</f>
        <v/>
      </c>
    </row>
    <row r="2409" spans="2:2" x14ac:dyDescent="0.25">
      <c r="B2409" t="str">
        <f>IF(C2409="","",C2409&amp;COUNTIF(C$9:C2409,C2409))</f>
        <v/>
      </c>
    </row>
    <row r="2410" spans="2:2" x14ac:dyDescent="0.25">
      <c r="B2410" t="str">
        <f>IF(C2410="","",C2410&amp;COUNTIF(C$9:C2410,C2410))</f>
        <v/>
      </c>
    </row>
    <row r="2411" spans="2:2" x14ac:dyDescent="0.25">
      <c r="B2411" t="str">
        <f>IF(C2411="","",C2411&amp;COUNTIF(C$9:C2411,C2411))</f>
        <v/>
      </c>
    </row>
    <row r="2412" spans="2:2" x14ac:dyDescent="0.25">
      <c r="B2412" t="str">
        <f>IF(C2412="","",C2412&amp;COUNTIF(C$9:C2412,C2412))</f>
        <v/>
      </c>
    </row>
    <row r="2413" spans="2:2" x14ac:dyDescent="0.25">
      <c r="B2413" t="str">
        <f>IF(C2413="","",C2413&amp;COUNTIF(C$9:C2413,C2413))</f>
        <v/>
      </c>
    </row>
    <row r="2414" spans="2:2" x14ac:dyDescent="0.25">
      <c r="B2414" t="str">
        <f>IF(C2414="","",C2414&amp;COUNTIF(C$9:C2414,C2414))</f>
        <v/>
      </c>
    </row>
    <row r="2415" spans="2:2" x14ac:dyDescent="0.25">
      <c r="B2415" t="str">
        <f>IF(C2415="","",C2415&amp;COUNTIF(C$9:C2415,C2415))</f>
        <v/>
      </c>
    </row>
    <row r="2416" spans="2:2" x14ac:dyDescent="0.25">
      <c r="B2416" t="str">
        <f>IF(C2416="","",C2416&amp;COUNTIF(C$9:C2416,C2416))</f>
        <v/>
      </c>
    </row>
    <row r="2417" spans="2:2" x14ac:dyDescent="0.25">
      <c r="B2417" t="str">
        <f>IF(C2417="","",C2417&amp;COUNTIF(C$9:C2417,C2417))</f>
        <v/>
      </c>
    </row>
    <row r="2418" spans="2:2" x14ac:dyDescent="0.25">
      <c r="B2418" t="str">
        <f>IF(C2418="","",C2418&amp;COUNTIF(C$9:C2418,C2418))</f>
        <v/>
      </c>
    </row>
    <row r="2419" spans="2:2" x14ac:dyDescent="0.25">
      <c r="B2419" t="str">
        <f>IF(C2419="","",C2419&amp;COUNTIF(C$9:C2419,C2419))</f>
        <v/>
      </c>
    </row>
    <row r="2420" spans="2:2" x14ac:dyDescent="0.25">
      <c r="B2420" t="str">
        <f>IF(C2420="","",C2420&amp;COUNTIF(C$9:C2420,C2420))</f>
        <v/>
      </c>
    </row>
    <row r="2421" spans="2:2" x14ac:dyDescent="0.25">
      <c r="B2421" t="str">
        <f>IF(C2421="","",C2421&amp;COUNTIF(C$9:C2421,C2421))</f>
        <v/>
      </c>
    </row>
    <row r="2422" spans="2:2" x14ac:dyDescent="0.25">
      <c r="B2422" t="str">
        <f>IF(C2422="","",C2422&amp;COUNTIF(C$9:C2422,C2422))</f>
        <v/>
      </c>
    </row>
    <row r="2423" spans="2:2" x14ac:dyDescent="0.25">
      <c r="B2423" t="str">
        <f>IF(C2423="","",C2423&amp;COUNTIF(C$9:C2423,C2423))</f>
        <v/>
      </c>
    </row>
    <row r="2424" spans="2:2" x14ac:dyDescent="0.25">
      <c r="B2424" t="str">
        <f>IF(C2424="","",C2424&amp;COUNTIF(C$9:C2424,C2424))</f>
        <v/>
      </c>
    </row>
    <row r="2425" spans="2:2" x14ac:dyDescent="0.25">
      <c r="B2425" t="str">
        <f>IF(C2425="","",C2425&amp;COUNTIF(C$9:C2425,C2425))</f>
        <v/>
      </c>
    </row>
    <row r="2426" spans="2:2" x14ac:dyDescent="0.25">
      <c r="B2426" t="str">
        <f>IF(C2426="","",C2426&amp;COUNTIF(C$9:C2426,C2426))</f>
        <v/>
      </c>
    </row>
    <row r="2427" spans="2:2" x14ac:dyDescent="0.25">
      <c r="B2427" t="str">
        <f>IF(C2427="","",C2427&amp;COUNTIF(C$9:C2427,C2427))</f>
        <v/>
      </c>
    </row>
    <row r="2428" spans="2:2" x14ac:dyDescent="0.25">
      <c r="B2428" t="str">
        <f>IF(C2428="","",C2428&amp;COUNTIF(C$9:C2428,C2428))</f>
        <v/>
      </c>
    </row>
    <row r="2429" spans="2:2" x14ac:dyDescent="0.25">
      <c r="B2429" t="str">
        <f>IF(C2429="","",C2429&amp;COUNTIF(C$9:C2429,C2429))</f>
        <v/>
      </c>
    </row>
    <row r="2430" spans="2:2" x14ac:dyDescent="0.25">
      <c r="B2430" t="str">
        <f>IF(C2430="","",C2430&amp;COUNTIF(C$9:C2430,C2430))</f>
        <v/>
      </c>
    </row>
    <row r="2431" spans="2:2" x14ac:dyDescent="0.25">
      <c r="B2431" t="str">
        <f>IF(C2431="","",C2431&amp;COUNTIF(C$9:C2431,C2431))</f>
        <v/>
      </c>
    </row>
    <row r="2432" spans="2:2" x14ac:dyDescent="0.25">
      <c r="B2432" t="str">
        <f>IF(C2432="","",C2432&amp;COUNTIF(C$9:C2432,C2432))</f>
        <v/>
      </c>
    </row>
    <row r="2433" spans="2:2" x14ac:dyDescent="0.25">
      <c r="B2433" t="str">
        <f>IF(C2433="","",C2433&amp;COUNTIF(C$9:C2433,C2433))</f>
        <v/>
      </c>
    </row>
    <row r="2434" spans="2:2" x14ac:dyDescent="0.25">
      <c r="B2434" t="str">
        <f>IF(C2434="","",C2434&amp;COUNTIF(C$9:C2434,C2434))</f>
        <v/>
      </c>
    </row>
    <row r="2435" spans="2:2" x14ac:dyDescent="0.25">
      <c r="B2435" t="str">
        <f>IF(C2435="","",C2435&amp;COUNTIF(C$9:C2435,C2435))</f>
        <v/>
      </c>
    </row>
    <row r="2436" spans="2:2" x14ac:dyDescent="0.25">
      <c r="B2436" t="str">
        <f>IF(C2436="","",C2436&amp;COUNTIF(C$9:C2436,C2436))</f>
        <v/>
      </c>
    </row>
    <row r="2437" spans="2:2" x14ac:dyDescent="0.25">
      <c r="B2437" t="str">
        <f>IF(C2437="","",C2437&amp;COUNTIF(C$9:C2437,C2437))</f>
        <v/>
      </c>
    </row>
    <row r="2438" spans="2:2" x14ac:dyDescent="0.25">
      <c r="B2438" t="str">
        <f>IF(C2438="","",C2438&amp;COUNTIF(C$9:C2438,C2438))</f>
        <v/>
      </c>
    </row>
    <row r="2439" spans="2:2" x14ac:dyDescent="0.25">
      <c r="B2439" t="str">
        <f>IF(C2439="","",C2439&amp;COUNTIF(C$9:C2439,C2439))</f>
        <v/>
      </c>
    </row>
    <row r="2440" spans="2:2" x14ac:dyDescent="0.25">
      <c r="B2440" t="str">
        <f>IF(C2440="","",C2440&amp;COUNTIF(C$9:C2440,C2440))</f>
        <v/>
      </c>
    </row>
    <row r="2441" spans="2:2" x14ac:dyDescent="0.25">
      <c r="B2441" t="str">
        <f>IF(C2441="","",C2441&amp;COUNTIF(C$9:C2441,C2441))</f>
        <v/>
      </c>
    </row>
    <row r="2442" spans="2:2" x14ac:dyDescent="0.25">
      <c r="B2442" t="str">
        <f>IF(C2442="","",C2442&amp;COUNTIF(C$9:C2442,C2442))</f>
        <v/>
      </c>
    </row>
    <row r="2443" spans="2:2" x14ac:dyDescent="0.25">
      <c r="B2443" t="str">
        <f>IF(C2443="","",C2443&amp;COUNTIF(C$9:C2443,C2443))</f>
        <v/>
      </c>
    </row>
    <row r="2444" spans="2:2" x14ac:dyDescent="0.25">
      <c r="B2444" t="str">
        <f>IF(C2444="","",C2444&amp;COUNTIF(C$9:C2444,C2444))</f>
        <v/>
      </c>
    </row>
    <row r="2445" spans="2:2" x14ac:dyDescent="0.25">
      <c r="B2445" t="str">
        <f>IF(C2445="","",C2445&amp;COUNTIF(C$9:C2445,C2445))</f>
        <v/>
      </c>
    </row>
    <row r="2446" spans="2:2" x14ac:dyDescent="0.25">
      <c r="B2446" t="str">
        <f>IF(C2446="","",C2446&amp;COUNTIF(C$9:C2446,C2446))</f>
        <v/>
      </c>
    </row>
    <row r="2447" spans="2:2" x14ac:dyDescent="0.25">
      <c r="B2447" t="str">
        <f>IF(C2447="","",C2447&amp;COUNTIF(C$9:C2447,C2447))</f>
        <v/>
      </c>
    </row>
    <row r="2448" spans="2:2" x14ac:dyDescent="0.25">
      <c r="B2448" t="str">
        <f>IF(C2448="","",C2448&amp;COUNTIF(C$9:C2448,C2448))</f>
        <v/>
      </c>
    </row>
    <row r="2449" spans="2:2" x14ac:dyDescent="0.25">
      <c r="B2449" t="str">
        <f>IF(C2449="","",C2449&amp;COUNTIF(C$9:C2449,C2449))</f>
        <v/>
      </c>
    </row>
    <row r="2450" spans="2:2" x14ac:dyDescent="0.25">
      <c r="B2450" t="str">
        <f>IF(C2450="","",C2450&amp;COUNTIF(C$9:C2450,C2450))</f>
        <v/>
      </c>
    </row>
    <row r="2451" spans="2:2" x14ac:dyDescent="0.25">
      <c r="B2451" t="str">
        <f>IF(C2451="","",C2451&amp;COUNTIF(C$9:C2451,C2451))</f>
        <v/>
      </c>
    </row>
    <row r="2452" spans="2:2" x14ac:dyDescent="0.25">
      <c r="B2452" t="str">
        <f>IF(C2452="","",C2452&amp;COUNTIF(C$9:C2452,C2452))</f>
        <v/>
      </c>
    </row>
    <row r="2453" spans="2:2" x14ac:dyDescent="0.25">
      <c r="B2453" t="str">
        <f>IF(C2453="","",C2453&amp;COUNTIF(C$9:C2453,C2453))</f>
        <v/>
      </c>
    </row>
    <row r="2454" spans="2:2" x14ac:dyDescent="0.25">
      <c r="B2454" t="str">
        <f>IF(C2454="","",C2454&amp;COUNTIF(C$9:C2454,C2454))</f>
        <v/>
      </c>
    </row>
    <row r="2455" spans="2:2" x14ac:dyDescent="0.25">
      <c r="B2455" t="str">
        <f>IF(C2455="","",C2455&amp;COUNTIF(C$9:C2455,C2455))</f>
        <v/>
      </c>
    </row>
    <row r="2456" spans="2:2" x14ac:dyDescent="0.25">
      <c r="B2456" t="str">
        <f>IF(C2456="","",C2456&amp;COUNTIF(C$9:C2456,C2456))</f>
        <v/>
      </c>
    </row>
    <row r="2457" spans="2:2" x14ac:dyDescent="0.25">
      <c r="B2457" t="str">
        <f>IF(C2457="","",C2457&amp;COUNTIF(C$9:C2457,C2457))</f>
        <v/>
      </c>
    </row>
    <row r="2458" spans="2:2" x14ac:dyDescent="0.25">
      <c r="B2458" t="str">
        <f>IF(C2458="","",C2458&amp;COUNTIF(C$9:C2458,C2458))</f>
        <v/>
      </c>
    </row>
    <row r="2459" spans="2:2" x14ac:dyDescent="0.25">
      <c r="B2459" t="str">
        <f>IF(C2459="","",C2459&amp;COUNTIF(C$9:C2459,C2459))</f>
        <v/>
      </c>
    </row>
    <row r="2460" spans="2:2" x14ac:dyDescent="0.25">
      <c r="B2460" t="str">
        <f>IF(C2460="","",C2460&amp;COUNTIF(C$9:C2460,C2460))</f>
        <v/>
      </c>
    </row>
    <row r="2461" spans="2:2" x14ac:dyDescent="0.25">
      <c r="B2461" t="str">
        <f>IF(C2461="","",C2461&amp;COUNTIF(C$9:C2461,C2461))</f>
        <v/>
      </c>
    </row>
    <row r="2462" spans="2:2" x14ac:dyDescent="0.25">
      <c r="B2462" t="str">
        <f>IF(C2462="","",C2462&amp;COUNTIF(C$9:C2462,C2462))</f>
        <v/>
      </c>
    </row>
    <row r="2463" spans="2:2" x14ac:dyDescent="0.25">
      <c r="B2463" t="str">
        <f>IF(C2463="","",C2463&amp;COUNTIF(C$9:C2463,C2463))</f>
        <v/>
      </c>
    </row>
    <row r="2464" spans="2:2" x14ac:dyDescent="0.25">
      <c r="B2464" t="str">
        <f>IF(C2464="","",C2464&amp;COUNTIF(C$9:C2464,C2464))</f>
        <v/>
      </c>
    </row>
    <row r="2465" spans="2:2" x14ac:dyDescent="0.25">
      <c r="B2465" t="str">
        <f>IF(C2465="","",C2465&amp;COUNTIF(C$9:C2465,C2465))</f>
        <v/>
      </c>
    </row>
    <row r="2466" spans="2:2" x14ac:dyDescent="0.25">
      <c r="B2466" t="str">
        <f>IF(C2466="","",C2466&amp;COUNTIF(C$9:C2466,C2466))</f>
        <v/>
      </c>
    </row>
    <row r="2467" spans="2:2" x14ac:dyDescent="0.25">
      <c r="B2467" t="str">
        <f>IF(C2467="","",C2467&amp;COUNTIF(C$9:C2467,C2467))</f>
        <v/>
      </c>
    </row>
    <row r="2468" spans="2:2" x14ac:dyDescent="0.25">
      <c r="B2468" t="str">
        <f>IF(C2468="","",C2468&amp;COUNTIF(C$9:C2468,C2468))</f>
        <v/>
      </c>
    </row>
    <row r="2469" spans="2:2" x14ac:dyDescent="0.25">
      <c r="B2469" t="str">
        <f>IF(C2469="","",C2469&amp;COUNTIF(C$9:C2469,C2469))</f>
        <v/>
      </c>
    </row>
    <row r="2470" spans="2:2" x14ac:dyDescent="0.25">
      <c r="B2470" t="str">
        <f>IF(C2470="","",C2470&amp;COUNTIF(C$9:C2470,C2470))</f>
        <v/>
      </c>
    </row>
    <row r="2471" spans="2:2" x14ac:dyDescent="0.25">
      <c r="B2471" t="str">
        <f>IF(C2471="","",C2471&amp;COUNTIF(C$9:C2471,C2471))</f>
        <v/>
      </c>
    </row>
    <row r="2472" spans="2:2" x14ac:dyDescent="0.25">
      <c r="B2472" t="str">
        <f>IF(C2472="","",C2472&amp;COUNTIF(C$9:C2472,C2472))</f>
        <v/>
      </c>
    </row>
    <row r="2473" spans="2:2" x14ac:dyDescent="0.25">
      <c r="B2473" t="str">
        <f>IF(C2473="","",C2473&amp;COUNTIF(C$9:C2473,C2473))</f>
        <v/>
      </c>
    </row>
    <row r="2474" spans="2:2" x14ac:dyDescent="0.25">
      <c r="B2474" t="str">
        <f>IF(C2474="","",C2474&amp;COUNTIF(C$9:C2474,C2474))</f>
        <v/>
      </c>
    </row>
    <row r="2475" spans="2:2" x14ac:dyDescent="0.25">
      <c r="B2475" t="str">
        <f>IF(C2475="","",C2475&amp;COUNTIF(C$9:C2475,C2475))</f>
        <v/>
      </c>
    </row>
    <row r="2476" spans="2:2" x14ac:dyDescent="0.25">
      <c r="B2476" t="str">
        <f>IF(C2476="","",C2476&amp;COUNTIF(C$9:C2476,C2476))</f>
        <v/>
      </c>
    </row>
    <row r="2477" spans="2:2" x14ac:dyDescent="0.25">
      <c r="B2477" t="str">
        <f>IF(C2477="","",C2477&amp;COUNTIF(C$9:C2477,C2477))</f>
        <v/>
      </c>
    </row>
    <row r="2478" spans="2:2" x14ac:dyDescent="0.25">
      <c r="B2478" t="str">
        <f>IF(C2478="","",C2478&amp;COUNTIF(C$9:C2478,C2478))</f>
        <v/>
      </c>
    </row>
    <row r="2479" spans="2:2" x14ac:dyDescent="0.25">
      <c r="B2479" t="str">
        <f>IF(C2479="","",C2479&amp;COUNTIF(C$9:C2479,C2479))</f>
        <v/>
      </c>
    </row>
    <row r="2480" spans="2:2" x14ac:dyDescent="0.25">
      <c r="B2480" t="str">
        <f>IF(C2480="","",C2480&amp;COUNTIF(C$9:C2480,C2480))</f>
        <v/>
      </c>
    </row>
    <row r="2481" spans="2:2" x14ac:dyDescent="0.25">
      <c r="B2481" t="str">
        <f>IF(C2481="","",C2481&amp;COUNTIF(C$9:C2481,C2481))</f>
        <v/>
      </c>
    </row>
    <row r="2482" spans="2:2" x14ac:dyDescent="0.25">
      <c r="B2482" t="str">
        <f>IF(C2482="","",C2482&amp;COUNTIF(C$9:C2482,C2482))</f>
        <v/>
      </c>
    </row>
    <row r="2483" spans="2:2" x14ac:dyDescent="0.25">
      <c r="B2483" t="str">
        <f>IF(C2483="","",C2483&amp;COUNTIF(C$9:C2483,C2483))</f>
        <v/>
      </c>
    </row>
    <row r="2484" spans="2:2" x14ac:dyDescent="0.25">
      <c r="B2484" t="str">
        <f>IF(C2484="","",C2484&amp;COUNTIF(C$9:C2484,C2484))</f>
        <v/>
      </c>
    </row>
    <row r="2485" spans="2:2" x14ac:dyDescent="0.25">
      <c r="B2485" t="str">
        <f>IF(C2485="","",C2485&amp;COUNTIF(C$9:C2485,C2485))</f>
        <v/>
      </c>
    </row>
    <row r="2486" spans="2:2" x14ac:dyDescent="0.25">
      <c r="B2486" t="str">
        <f>IF(C2486="","",C2486&amp;COUNTIF(C$9:C2486,C2486))</f>
        <v/>
      </c>
    </row>
    <row r="2487" spans="2:2" x14ac:dyDescent="0.25">
      <c r="B2487" t="str">
        <f>IF(C2487="","",C2487&amp;COUNTIF(C$9:C2487,C2487))</f>
        <v/>
      </c>
    </row>
    <row r="2488" spans="2:2" x14ac:dyDescent="0.25">
      <c r="B2488" t="str">
        <f>IF(C2488="","",C2488&amp;COUNTIF(C$9:C2488,C2488))</f>
        <v/>
      </c>
    </row>
    <row r="2489" spans="2:2" x14ac:dyDescent="0.25">
      <c r="B2489" t="str">
        <f>IF(C2489="","",C2489&amp;COUNTIF(C$9:C2489,C2489))</f>
        <v/>
      </c>
    </row>
    <row r="2490" spans="2:2" x14ac:dyDescent="0.25">
      <c r="B2490" t="str">
        <f>IF(C2490="","",C2490&amp;COUNTIF(C$9:C2490,C2490))</f>
        <v/>
      </c>
    </row>
    <row r="2491" spans="2:2" x14ac:dyDescent="0.25">
      <c r="B2491" t="str">
        <f>IF(C2491="","",C2491&amp;COUNTIF(C$9:C2491,C2491))</f>
        <v/>
      </c>
    </row>
    <row r="2492" spans="2:2" x14ac:dyDescent="0.25">
      <c r="B2492" t="str">
        <f>IF(C2492="","",C2492&amp;COUNTIF(C$9:C2492,C2492))</f>
        <v/>
      </c>
    </row>
    <row r="2493" spans="2:2" x14ac:dyDescent="0.25">
      <c r="B2493" t="str">
        <f>IF(C2493="","",C2493&amp;COUNTIF(C$9:C2493,C2493))</f>
        <v/>
      </c>
    </row>
    <row r="2494" spans="2:2" x14ac:dyDescent="0.25">
      <c r="B2494" t="str">
        <f>IF(C2494="","",C2494&amp;COUNTIF(C$9:C2494,C2494))</f>
        <v/>
      </c>
    </row>
    <row r="2495" spans="2:2" x14ac:dyDescent="0.25">
      <c r="B2495" t="str">
        <f>IF(C2495="","",C2495&amp;COUNTIF(C$9:C2495,C2495))</f>
        <v/>
      </c>
    </row>
    <row r="2496" spans="2:2" x14ac:dyDescent="0.25">
      <c r="B2496" t="str">
        <f>IF(C2496="","",C2496&amp;COUNTIF(C$9:C2496,C2496))</f>
        <v/>
      </c>
    </row>
    <row r="2497" spans="2:2" x14ac:dyDescent="0.25">
      <c r="B2497" t="str">
        <f>IF(C2497="","",C2497&amp;COUNTIF(C$9:C2497,C2497))</f>
        <v/>
      </c>
    </row>
    <row r="2498" spans="2:2" x14ac:dyDescent="0.25">
      <c r="B2498" t="str">
        <f>IF(C2498="","",C2498&amp;COUNTIF(C$9:C2498,C2498))</f>
        <v/>
      </c>
    </row>
    <row r="2499" spans="2:2" x14ac:dyDescent="0.25">
      <c r="B2499" t="str">
        <f>IF(C2499="","",C2499&amp;COUNTIF(C$9:C2499,C2499))</f>
        <v/>
      </c>
    </row>
    <row r="2500" spans="2:2" x14ac:dyDescent="0.25">
      <c r="B2500" t="str">
        <f>IF(C2500="","",C2500&amp;COUNTIF(C$9:C2500,C2500))</f>
        <v/>
      </c>
    </row>
    <row r="2501" spans="2:2" x14ac:dyDescent="0.25">
      <c r="B2501" t="str">
        <f>IF(C2501="","",C2501&amp;COUNTIF(C$9:C2501,C2501))</f>
        <v/>
      </c>
    </row>
    <row r="2502" spans="2:2" x14ac:dyDescent="0.25">
      <c r="B2502" t="str">
        <f>IF(C2502="","",C2502&amp;COUNTIF(C$9:C2502,C2502))</f>
        <v/>
      </c>
    </row>
    <row r="2503" spans="2:2" x14ac:dyDescent="0.25">
      <c r="B2503" t="str">
        <f>IF(C2503="","",C2503&amp;COUNTIF(C$9:C2503,C2503))</f>
        <v/>
      </c>
    </row>
    <row r="2504" spans="2:2" x14ac:dyDescent="0.25">
      <c r="B2504" t="str">
        <f>IF(C2504="","",C2504&amp;COUNTIF(C$9:C2504,C2504))</f>
        <v/>
      </c>
    </row>
    <row r="2505" spans="2:2" x14ac:dyDescent="0.25">
      <c r="B2505" t="str">
        <f>IF(C2505="","",C2505&amp;COUNTIF(C$9:C2505,C2505))</f>
        <v/>
      </c>
    </row>
    <row r="2506" spans="2:2" x14ac:dyDescent="0.25">
      <c r="B2506" t="str">
        <f>IF(C2506="","",C2506&amp;COUNTIF(C$9:C2506,C2506))</f>
        <v/>
      </c>
    </row>
    <row r="2507" spans="2:2" x14ac:dyDescent="0.25">
      <c r="B2507" t="str">
        <f>IF(C2507="","",C2507&amp;COUNTIF(C$9:C2507,C2507))</f>
        <v/>
      </c>
    </row>
    <row r="2508" spans="2:2" x14ac:dyDescent="0.25">
      <c r="B2508" t="str">
        <f>IF(C2508="","",C2508&amp;COUNTIF(C$9:C2508,C2508))</f>
        <v/>
      </c>
    </row>
    <row r="2509" spans="2:2" x14ac:dyDescent="0.25">
      <c r="B2509" t="str">
        <f>IF(C2509="","",C2509&amp;COUNTIF(C$9:C2509,C2509))</f>
        <v/>
      </c>
    </row>
    <row r="2510" spans="2:2" x14ac:dyDescent="0.25">
      <c r="B2510" t="str">
        <f>IF(C2510="","",C2510&amp;COUNTIF(C$9:C2510,C2510))</f>
        <v/>
      </c>
    </row>
    <row r="2511" spans="2:2" x14ac:dyDescent="0.25">
      <c r="B2511" t="str">
        <f>IF(C2511="","",C2511&amp;COUNTIF(C$9:C2511,C2511))</f>
        <v/>
      </c>
    </row>
    <row r="2512" spans="2:2" x14ac:dyDescent="0.25">
      <c r="B2512" t="str">
        <f>IF(C2512="","",C2512&amp;COUNTIF(C$9:C2512,C2512))</f>
        <v/>
      </c>
    </row>
    <row r="2513" spans="2:2" x14ac:dyDescent="0.25">
      <c r="B2513" t="str">
        <f>IF(C2513="","",C2513&amp;COUNTIF(C$9:C2513,C2513))</f>
        <v/>
      </c>
    </row>
    <row r="2514" spans="2:2" x14ac:dyDescent="0.25">
      <c r="B2514" t="str">
        <f>IF(C2514="","",C2514&amp;COUNTIF(C$9:C2514,C2514))</f>
        <v/>
      </c>
    </row>
    <row r="2515" spans="2:2" x14ac:dyDescent="0.25">
      <c r="B2515" t="str">
        <f>IF(C2515="","",C2515&amp;COUNTIF(C$9:C2515,C2515))</f>
        <v/>
      </c>
    </row>
    <row r="2516" spans="2:2" x14ac:dyDescent="0.25">
      <c r="B2516" t="str">
        <f>IF(C2516="","",C2516&amp;COUNTIF(C$9:C2516,C2516))</f>
        <v/>
      </c>
    </row>
    <row r="2517" spans="2:2" x14ac:dyDescent="0.25">
      <c r="B2517" t="str">
        <f>IF(C2517="","",C2517&amp;COUNTIF(C$9:C2517,C2517))</f>
        <v/>
      </c>
    </row>
    <row r="2518" spans="2:2" x14ac:dyDescent="0.25">
      <c r="B2518" t="str">
        <f>IF(C2518="","",C2518&amp;COUNTIF(C$9:C2518,C2518))</f>
        <v/>
      </c>
    </row>
    <row r="2519" spans="2:2" x14ac:dyDescent="0.25">
      <c r="B2519" t="str">
        <f>IF(C2519="","",C2519&amp;COUNTIF(C$9:C2519,C2519))</f>
        <v/>
      </c>
    </row>
    <row r="2520" spans="2:2" x14ac:dyDescent="0.25">
      <c r="B2520" t="str">
        <f>IF(C2520="","",C2520&amp;COUNTIF(C$9:C2520,C2520))</f>
        <v/>
      </c>
    </row>
    <row r="2521" spans="2:2" x14ac:dyDescent="0.25">
      <c r="B2521" t="str">
        <f>IF(C2521="","",C2521&amp;COUNTIF(C$9:C2521,C2521))</f>
        <v/>
      </c>
    </row>
    <row r="2522" spans="2:2" x14ac:dyDescent="0.25">
      <c r="B2522" t="str">
        <f>IF(C2522="","",C2522&amp;COUNTIF(C$9:C2522,C2522))</f>
        <v/>
      </c>
    </row>
    <row r="2523" spans="2:2" x14ac:dyDescent="0.25">
      <c r="B2523" t="str">
        <f>IF(C2523="","",C2523&amp;COUNTIF(C$9:C2523,C2523))</f>
        <v/>
      </c>
    </row>
    <row r="2524" spans="2:2" x14ac:dyDescent="0.25">
      <c r="B2524" t="str">
        <f>IF(C2524="","",C2524&amp;COUNTIF(C$9:C2524,C2524))</f>
        <v/>
      </c>
    </row>
    <row r="2525" spans="2:2" x14ac:dyDescent="0.25">
      <c r="B2525" t="str">
        <f>IF(C2525="","",C2525&amp;COUNTIF(C$9:C2525,C2525))</f>
        <v/>
      </c>
    </row>
    <row r="2526" spans="2:2" x14ac:dyDescent="0.25">
      <c r="B2526" t="str">
        <f>IF(C2526="","",C2526&amp;COUNTIF(C$9:C2526,C2526))</f>
        <v/>
      </c>
    </row>
    <row r="2527" spans="2:2" x14ac:dyDescent="0.25">
      <c r="B2527" t="str">
        <f>IF(C2527="","",C2527&amp;COUNTIF(C$9:C2527,C2527))</f>
        <v/>
      </c>
    </row>
    <row r="2528" spans="2:2" x14ac:dyDescent="0.25">
      <c r="B2528" t="str">
        <f>IF(C2528="","",C2528&amp;COUNTIF(C$9:C2528,C2528))</f>
        <v/>
      </c>
    </row>
    <row r="2529" spans="2:2" x14ac:dyDescent="0.25">
      <c r="B2529" t="str">
        <f>IF(C2529="","",C2529&amp;COUNTIF(C$9:C2529,C2529))</f>
        <v/>
      </c>
    </row>
    <row r="2530" spans="2:2" x14ac:dyDescent="0.25">
      <c r="B2530" t="str">
        <f>IF(C2530="","",C2530&amp;COUNTIF(C$9:C2530,C2530))</f>
        <v/>
      </c>
    </row>
    <row r="2531" spans="2:2" x14ac:dyDescent="0.25">
      <c r="B2531" t="str">
        <f>IF(C2531="","",C2531&amp;COUNTIF(C$9:C2531,C2531))</f>
        <v/>
      </c>
    </row>
    <row r="2532" spans="2:2" x14ac:dyDescent="0.25">
      <c r="B2532" t="str">
        <f>IF(C2532="","",C2532&amp;COUNTIF(C$9:C2532,C2532))</f>
        <v/>
      </c>
    </row>
    <row r="2533" spans="2:2" x14ac:dyDescent="0.25">
      <c r="B2533" t="str">
        <f>IF(C2533="","",C2533&amp;COUNTIF(C$9:C2533,C2533))</f>
        <v/>
      </c>
    </row>
    <row r="2534" spans="2:2" x14ac:dyDescent="0.25">
      <c r="B2534" t="str">
        <f>IF(C2534="","",C2534&amp;COUNTIF(C$9:C2534,C2534))</f>
        <v/>
      </c>
    </row>
    <row r="2535" spans="2:2" x14ac:dyDescent="0.25">
      <c r="B2535" t="str">
        <f>IF(C2535="","",C2535&amp;COUNTIF(C$9:C2535,C2535))</f>
        <v/>
      </c>
    </row>
    <row r="2536" spans="2:2" x14ac:dyDescent="0.25">
      <c r="B2536" t="str">
        <f>IF(C2536="","",C2536&amp;COUNTIF(C$9:C2536,C2536))</f>
        <v/>
      </c>
    </row>
    <row r="2537" spans="2:2" x14ac:dyDescent="0.25">
      <c r="B2537" t="str">
        <f>IF(C2537="","",C2537&amp;COUNTIF(C$9:C2537,C2537))</f>
        <v/>
      </c>
    </row>
    <row r="2538" spans="2:2" x14ac:dyDescent="0.25">
      <c r="B2538" t="str">
        <f>IF(C2538="","",C2538&amp;COUNTIF(C$9:C2538,C2538))</f>
        <v/>
      </c>
    </row>
    <row r="2539" spans="2:2" x14ac:dyDescent="0.25">
      <c r="B2539" t="str">
        <f>IF(C2539="","",C2539&amp;COUNTIF(C$9:C2539,C2539))</f>
        <v/>
      </c>
    </row>
    <row r="2540" spans="2:2" x14ac:dyDescent="0.25">
      <c r="B2540" t="str">
        <f>IF(C2540="","",C2540&amp;COUNTIF(C$9:C2540,C2540))</f>
        <v/>
      </c>
    </row>
    <row r="2541" spans="2:2" x14ac:dyDescent="0.25">
      <c r="B2541" t="str">
        <f>IF(C2541="","",C2541&amp;COUNTIF(C$9:C2541,C2541))</f>
        <v/>
      </c>
    </row>
    <row r="2542" spans="2:2" x14ac:dyDescent="0.25">
      <c r="B2542" t="str">
        <f>IF(C2542="","",C2542&amp;COUNTIF(C$9:C2542,C2542))</f>
        <v/>
      </c>
    </row>
    <row r="2543" spans="2:2" x14ac:dyDescent="0.25">
      <c r="B2543" t="str">
        <f>IF(C2543="","",C2543&amp;COUNTIF(C$9:C2543,C2543))</f>
        <v/>
      </c>
    </row>
    <row r="2544" spans="2:2" x14ac:dyDescent="0.25">
      <c r="B2544" t="str">
        <f>IF(C2544="","",C2544&amp;COUNTIF(C$9:C2544,C2544))</f>
        <v/>
      </c>
    </row>
    <row r="2545" spans="2:2" x14ac:dyDescent="0.25">
      <c r="B2545" t="str">
        <f>IF(C2545="","",C2545&amp;COUNTIF(C$9:C2545,C2545))</f>
        <v/>
      </c>
    </row>
    <row r="2546" spans="2:2" x14ac:dyDescent="0.25">
      <c r="B2546" t="str">
        <f>IF(C2546="","",C2546&amp;COUNTIF(C$9:C2546,C2546))</f>
        <v/>
      </c>
    </row>
    <row r="2547" spans="2:2" x14ac:dyDescent="0.25">
      <c r="B2547" t="str">
        <f>IF(C2547="","",C2547&amp;COUNTIF(C$9:C2547,C2547))</f>
        <v/>
      </c>
    </row>
    <row r="2548" spans="2:2" x14ac:dyDescent="0.25">
      <c r="B2548" t="str">
        <f>IF(C2548="","",C2548&amp;COUNTIF(C$9:C2548,C2548))</f>
        <v/>
      </c>
    </row>
    <row r="2549" spans="2:2" x14ac:dyDescent="0.25">
      <c r="B2549" t="str">
        <f>IF(C2549="","",C2549&amp;COUNTIF(C$9:C2549,C2549))</f>
        <v/>
      </c>
    </row>
    <row r="2550" spans="2:2" x14ac:dyDescent="0.25">
      <c r="B2550" t="str">
        <f>IF(C2550="","",C2550&amp;COUNTIF(C$9:C2550,C2550))</f>
        <v/>
      </c>
    </row>
    <row r="2551" spans="2:2" x14ac:dyDescent="0.25">
      <c r="B2551" t="str">
        <f>IF(C2551="","",C2551&amp;COUNTIF(C$9:C2551,C2551))</f>
        <v/>
      </c>
    </row>
    <row r="2552" spans="2:2" x14ac:dyDescent="0.25">
      <c r="B2552" t="str">
        <f>IF(C2552="","",C2552&amp;COUNTIF(C$9:C2552,C2552))</f>
        <v/>
      </c>
    </row>
    <row r="2553" spans="2:2" x14ac:dyDescent="0.25">
      <c r="B2553" t="str">
        <f>IF(C2553="","",C2553&amp;COUNTIF(C$9:C2553,C2553))</f>
        <v/>
      </c>
    </row>
    <row r="2554" spans="2:2" x14ac:dyDescent="0.25">
      <c r="B2554" t="str">
        <f>IF(C2554="","",C2554&amp;COUNTIF(C$9:C2554,C2554))</f>
        <v/>
      </c>
    </row>
    <row r="2555" spans="2:2" x14ac:dyDescent="0.25">
      <c r="B2555" t="str">
        <f>IF(C2555="","",C2555&amp;COUNTIF(C$9:C2555,C2555))</f>
        <v/>
      </c>
    </row>
    <row r="2556" spans="2:2" x14ac:dyDescent="0.25">
      <c r="B2556" t="str">
        <f>IF(C2556="","",C2556&amp;COUNTIF(C$9:C2556,C2556))</f>
        <v/>
      </c>
    </row>
    <row r="2557" spans="2:2" x14ac:dyDescent="0.25">
      <c r="B2557" t="str">
        <f>IF(C2557="","",C2557&amp;COUNTIF(C$9:C2557,C2557))</f>
        <v/>
      </c>
    </row>
    <row r="2558" spans="2:2" x14ac:dyDescent="0.25">
      <c r="B2558" t="str">
        <f>IF(C2558="","",C2558&amp;COUNTIF(C$9:C2558,C2558))</f>
        <v/>
      </c>
    </row>
    <row r="2559" spans="2:2" x14ac:dyDescent="0.25">
      <c r="B2559" t="str">
        <f>IF(C2559="","",C2559&amp;COUNTIF(C$9:C2559,C2559))</f>
        <v/>
      </c>
    </row>
    <row r="2560" spans="2:2" x14ac:dyDescent="0.25">
      <c r="B2560" t="str">
        <f>IF(C2560="","",C2560&amp;COUNTIF(C$9:C2560,C2560))</f>
        <v/>
      </c>
    </row>
    <row r="2561" spans="2:2" x14ac:dyDescent="0.25">
      <c r="B2561" t="str">
        <f>IF(C2561="","",C2561&amp;COUNTIF(C$9:C2561,C2561))</f>
        <v/>
      </c>
    </row>
    <row r="2562" spans="2:2" x14ac:dyDescent="0.25">
      <c r="B2562" t="str">
        <f>IF(C2562="","",C2562&amp;COUNTIF(C$9:C2562,C2562))</f>
        <v/>
      </c>
    </row>
    <row r="2563" spans="2:2" x14ac:dyDescent="0.25">
      <c r="B2563" t="str">
        <f>IF(C2563="","",C2563&amp;COUNTIF(C$9:C2563,C2563))</f>
        <v/>
      </c>
    </row>
    <row r="2564" spans="2:2" x14ac:dyDescent="0.25">
      <c r="B2564" t="str">
        <f>IF(C2564="","",C2564&amp;COUNTIF(C$9:C2564,C2564))</f>
        <v/>
      </c>
    </row>
    <row r="2565" spans="2:2" x14ac:dyDescent="0.25">
      <c r="B2565" t="str">
        <f>IF(C2565="","",C2565&amp;COUNTIF(C$9:C2565,C2565))</f>
        <v/>
      </c>
    </row>
    <row r="2566" spans="2:2" x14ac:dyDescent="0.25">
      <c r="B2566" t="str">
        <f>IF(C2566="","",C2566&amp;COUNTIF(C$9:C2566,C2566))</f>
        <v/>
      </c>
    </row>
    <row r="2567" spans="2:2" x14ac:dyDescent="0.25">
      <c r="B2567" t="str">
        <f>IF(C2567="","",C2567&amp;COUNTIF(C$9:C2567,C2567))</f>
        <v/>
      </c>
    </row>
    <row r="2568" spans="2:2" x14ac:dyDescent="0.25">
      <c r="B2568" t="str">
        <f>IF(C2568="","",C2568&amp;COUNTIF(C$9:C2568,C2568))</f>
        <v/>
      </c>
    </row>
    <row r="2569" spans="2:2" x14ac:dyDescent="0.25">
      <c r="B2569" t="str">
        <f>IF(C2569="","",C2569&amp;COUNTIF(C$9:C2569,C2569))</f>
        <v/>
      </c>
    </row>
    <row r="2570" spans="2:2" x14ac:dyDescent="0.25">
      <c r="B2570" t="str">
        <f>IF(C2570="","",C2570&amp;COUNTIF(C$9:C2570,C2570))</f>
        <v/>
      </c>
    </row>
    <row r="2571" spans="2:2" x14ac:dyDescent="0.25">
      <c r="B2571" t="str">
        <f>IF(C2571="","",C2571&amp;COUNTIF(C$9:C2571,C2571))</f>
        <v/>
      </c>
    </row>
    <row r="2572" spans="2:2" x14ac:dyDescent="0.25">
      <c r="B2572" t="str">
        <f>IF(C2572="","",C2572&amp;COUNTIF(C$9:C2572,C2572))</f>
        <v/>
      </c>
    </row>
    <row r="2573" spans="2:2" x14ac:dyDescent="0.25">
      <c r="B2573" t="str">
        <f>IF(C2573="","",C2573&amp;COUNTIF(C$9:C2573,C2573))</f>
        <v/>
      </c>
    </row>
    <row r="2574" spans="2:2" x14ac:dyDescent="0.25">
      <c r="B2574" t="str">
        <f>IF(C2574="","",C2574&amp;COUNTIF(C$9:C2574,C2574))</f>
        <v/>
      </c>
    </row>
    <row r="2575" spans="2:2" x14ac:dyDescent="0.25">
      <c r="B2575" t="str">
        <f>IF(C2575="","",C2575&amp;COUNTIF(C$9:C2575,C2575))</f>
        <v/>
      </c>
    </row>
    <row r="2576" spans="2:2" x14ac:dyDescent="0.25">
      <c r="B2576" t="str">
        <f>IF(C2576="","",C2576&amp;COUNTIF(C$9:C2576,C2576))</f>
        <v/>
      </c>
    </row>
    <row r="2577" spans="2:2" x14ac:dyDescent="0.25">
      <c r="B2577" t="str">
        <f>IF(C2577="","",C2577&amp;COUNTIF(C$9:C2577,C2577))</f>
        <v/>
      </c>
    </row>
    <row r="2578" spans="2:2" x14ac:dyDescent="0.25">
      <c r="B2578" t="str">
        <f>IF(C2578="","",C2578&amp;COUNTIF(C$9:C2578,C2578))</f>
        <v/>
      </c>
    </row>
    <row r="2579" spans="2:2" x14ac:dyDescent="0.25">
      <c r="B2579" t="str">
        <f>IF(C2579="","",C2579&amp;COUNTIF(C$9:C2579,C2579))</f>
        <v/>
      </c>
    </row>
    <row r="2580" spans="2:2" x14ac:dyDescent="0.25">
      <c r="B2580" t="str">
        <f>IF(C2580="","",C2580&amp;COUNTIF(C$9:C2580,C2580))</f>
        <v/>
      </c>
    </row>
    <row r="2581" spans="2:2" x14ac:dyDescent="0.25">
      <c r="B2581" t="str">
        <f>IF(C2581="","",C2581&amp;COUNTIF(C$9:C2581,C2581))</f>
        <v/>
      </c>
    </row>
    <row r="2582" spans="2:2" x14ac:dyDescent="0.25">
      <c r="B2582" t="str">
        <f>IF(C2582="","",C2582&amp;COUNTIF(C$9:C2582,C2582))</f>
        <v/>
      </c>
    </row>
    <row r="2583" spans="2:2" x14ac:dyDescent="0.25">
      <c r="B2583" t="str">
        <f>IF(C2583="","",C2583&amp;COUNTIF(C$9:C2583,C2583))</f>
        <v/>
      </c>
    </row>
    <row r="2584" spans="2:2" x14ac:dyDescent="0.25">
      <c r="B2584" t="str">
        <f>IF(C2584="","",C2584&amp;COUNTIF(C$9:C2584,C2584))</f>
        <v/>
      </c>
    </row>
    <row r="2585" spans="2:2" x14ac:dyDescent="0.25">
      <c r="B2585" t="str">
        <f>IF(C2585="","",C2585&amp;COUNTIF(C$9:C2585,C2585))</f>
        <v/>
      </c>
    </row>
    <row r="2586" spans="2:2" x14ac:dyDescent="0.25">
      <c r="B2586" t="str">
        <f>IF(C2586="","",C2586&amp;COUNTIF(C$9:C2586,C2586))</f>
        <v/>
      </c>
    </row>
    <row r="2587" spans="2:2" x14ac:dyDescent="0.25">
      <c r="B2587" t="str">
        <f>IF(C2587="","",C2587&amp;COUNTIF(C$9:C2587,C2587))</f>
        <v/>
      </c>
    </row>
    <row r="2588" spans="2:2" x14ac:dyDescent="0.25">
      <c r="B2588" t="str">
        <f>IF(C2588="","",C2588&amp;COUNTIF(C$9:C2588,C2588))</f>
        <v/>
      </c>
    </row>
    <row r="2589" spans="2:2" x14ac:dyDescent="0.25">
      <c r="B2589" t="str">
        <f>IF(C2589="","",C2589&amp;COUNTIF(C$9:C2589,C2589))</f>
        <v/>
      </c>
    </row>
    <row r="2590" spans="2:2" x14ac:dyDescent="0.25">
      <c r="B2590" t="str">
        <f>IF(C2590="","",C2590&amp;COUNTIF(C$9:C2590,C2590))</f>
        <v/>
      </c>
    </row>
    <row r="2591" spans="2:2" x14ac:dyDescent="0.25">
      <c r="B2591" t="str">
        <f>IF(C2591="","",C2591&amp;COUNTIF(C$9:C2591,C2591))</f>
        <v/>
      </c>
    </row>
    <row r="2592" spans="2:2" x14ac:dyDescent="0.25">
      <c r="B2592" t="str">
        <f>IF(C2592="","",C2592&amp;COUNTIF(C$9:C2592,C2592))</f>
        <v/>
      </c>
    </row>
    <row r="2593" spans="2:2" x14ac:dyDescent="0.25">
      <c r="B2593" t="str">
        <f>IF(C2593="","",C2593&amp;COUNTIF(C$9:C2593,C2593))</f>
        <v/>
      </c>
    </row>
    <row r="2594" spans="2:2" x14ac:dyDescent="0.25">
      <c r="B2594" t="str">
        <f>IF(C2594="","",C2594&amp;COUNTIF(C$9:C2594,C2594))</f>
        <v/>
      </c>
    </row>
    <row r="2595" spans="2:2" x14ac:dyDescent="0.25">
      <c r="B2595" t="str">
        <f>IF(C2595="","",C2595&amp;COUNTIF(C$9:C2595,C2595))</f>
        <v/>
      </c>
    </row>
    <row r="2596" spans="2:2" x14ac:dyDescent="0.25">
      <c r="B2596" t="str">
        <f>IF(C2596="","",C2596&amp;COUNTIF(C$9:C2596,C2596))</f>
        <v/>
      </c>
    </row>
    <row r="2597" spans="2:2" x14ac:dyDescent="0.25">
      <c r="B2597" t="str">
        <f>IF(C2597="","",C2597&amp;COUNTIF(C$9:C2597,C2597))</f>
        <v/>
      </c>
    </row>
    <row r="2598" spans="2:2" x14ac:dyDescent="0.25">
      <c r="B2598" t="str">
        <f>IF(C2598="","",C2598&amp;COUNTIF(C$9:C2598,C2598))</f>
        <v/>
      </c>
    </row>
    <row r="2599" spans="2:2" x14ac:dyDescent="0.25">
      <c r="B2599" t="str">
        <f>IF(C2599="","",C2599&amp;COUNTIF(C$9:C2599,C2599))</f>
        <v/>
      </c>
    </row>
    <row r="2600" spans="2:2" x14ac:dyDescent="0.25">
      <c r="B2600" t="str">
        <f>IF(C2600="","",C2600&amp;COUNTIF(C$9:C2600,C2600))</f>
        <v/>
      </c>
    </row>
    <row r="2601" spans="2:2" x14ac:dyDescent="0.25">
      <c r="B2601" t="str">
        <f>IF(C2601="","",C2601&amp;COUNTIF(C$9:C2601,C2601))</f>
        <v/>
      </c>
    </row>
    <row r="2602" spans="2:2" x14ac:dyDescent="0.25">
      <c r="B2602" t="str">
        <f>IF(C2602="","",C2602&amp;COUNTIF(C$9:C2602,C2602))</f>
        <v/>
      </c>
    </row>
    <row r="2603" spans="2:2" x14ac:dyDescent="0.25">
      <c r="B2603" t="str">
        <f>IF(C2603="","",C2603&amp;COUNTIF(C$9:C2603,C2603))</f>
        <v/>
      </c>
    </row>
    <row r="2604" spans="2:2" x14ac:dyDescent="0.25">
      <c r="B2604" t="str">
        <f>IF(C2604="","",C2604&amp;COUNTIF(C$9:C2604,C2604))</f>
        <v/>
      </c>
    </row>
    <row r="2605" spans="2:2" x14ac:dyDescent="0.25">
      <c r="B2605" t="str">
        <f>IF(C2605="","",C2605&amp;COUNTIF(C$9:C2605,C2605))</f>
        <v/>
      </c>
    </row>
    <row r="2606" spans="2:2" x14ac:dyDescent="0.25">
      <c r="B2606" t="str">
        <f>IF(C2606="","",C2606&amp;COUNTIF(C$9:C2606,C2606))</f>
        <v/>
      </c>
    </row>
    <row r="2607" spans="2:2" x14ac:dyDescent="0.25">
      <c r="B2607" t="str">
        <f>IF(C2607="","",C2607&amp;COUNTIF(C$9:C2607,C2607))</f>
        <v/>
      </c>
    </row>
    <row r="2608" spans="2:2" x14ac:dyDescent="0.25">
      <c r="B2608" t="str">
        <f>IF(C2608="","",C2608&amp;COUNTIF(C$9:C2608,C2608))</f>
        <v/>
      </c>
    </row>
    <row r="2609" spans="2:2" x14ac:dyDescent="0.25">
      <c r="B2609" t="str">
        <f>IF(C2609="","",C2609&amp;COUNTIF(C$9:C2609,C2609))</f>
        <v/>
      </c>
    </row>
    <row r="2610" spans="2:2" x14ac:dyDescent="0.25">
      <c r="B2610" t="str">
        <f>IF(C2610="","",C2610&amp;COUNTIF(C$9:C2610,C2610))</f>
        <v/>
      </c>
    </row>
    <row r="2611" spans="2:2" x14ac:dyDescent="0.25">
      <c r="B2611" t="str">
        <f>IF(C2611="","",C2611&amp;COUNTIF(C$9:C2611,C2611))</f>
        <v/>
      </c>
    </row>
    <row r="2612" spans="2:2" x14ac:dyDescent="0.25">
      <c r="B2612" t="str">
        <f>IF(C2612="","",C2612&amp;COUNTIF(C$9:C2612,C2612))</f>
        <v/>
      </c>
    </row>
    <row r="2613" spans="2:2" x14ac:dyDescent="0.25">
      <c r="B2613" t="str">
        <f>IF(C2613="","",C2613&amp;COUNTIF(C$9:C2613,C2613))</f>
        <v/>
      </c>
    </row>
    <row r="2614" spans="2:2" x14ac:dyDescent="0.25">
      <c r="B2614" t="str">
        <f>IF(C2614="","",C2614&amp;COUNTIF(C$9:C2614,C2614))</f>
        <v/>
      </c>
    </row>
    <row r="2615" spans="2:2" x14ac:dyDescent="0.25">
      <c r="B2615" t="str">
        <f>IF(C2615="","",C2615&amp;COUNTIF(C$9:C2615,C2615))</f>
        <v/>
      </c>
    </row>
    <row r="2616" spans="2:2" x14ac:dyDescent="0.25">
      <c r="B2616" t="str">
        <f>IF(C2616="","",C2616&amp;COUNTIF(C$9:C2616,C2616))</f>
        <v/>
      </c>
    </row>
    <row r="2617" spans="2:2" x14ac:dyDescent="0.25">
      <c r="B2617" t="str">
        <f>IF(C2617="","",C2617&amp;COUNTIF(C$9:C2617,C2617))</f>
        <v/>
      </c>
    </row>
    <row r="2618" spans="2:2" x14ac:dyDescent="0.25">
      <c r="B2618" t="str">
        <f>IF(C2618="","",C2618&amp;COUNTIF(C$9:C2618,C2618))</f>
        <v/>
      </c>
    </row>
    <row r="2619" spans="2:2" x14ac:dyDescent="0.25">
      <c r="B2619" t="str">
        <f>IF(C2619="","",C2619&amp;COUNTIF(C$9:C2619,C2619))</f>
        <v/>
      </c>
    </row>
    <row r="2620" spans="2:2" x14ac:dyDescent="0.25">
      <c r="B2620" t="str">
        <f>IF(C2620="","",C2620&amp;COUNTIF(C$9:C2620,C2620))</f>
        <v/>
      </c>
    </row>
    <row r="2621" spans="2:2" x14ac:dyDescent="0.25">
      <c r="B2621" t="str">
        <f>IF(C2621="","",C2621&amp;COUNTIF(C$9:C2621,C2621))</f>
        <v/>
      </c>
    </row>
    <row r="2622" spans="2:2" x14ac:dyDescent="0.25">
      <c r="B2622" t="str">
        <f>IF(C2622="","",C2622&amp;COUNTIF(C$9:C2622,C2622))</f>
        <v/>
      </c>
    </row>
    <row r="2623" spans="2:2" x14ac:dyDescent="0.25">
      <c r="B2623" t="str">
        <f>IF(C2623="","",C2623&amp;COUNTIF(C$9:C2623,C2623))</f>
        <v/>
      </c>
    </row>
    <row r="2624" spans="2:2" x14ac:dyDescent="0.25">
      <c r="B2624" t="str">
        <f>IF(C2624="","",C2624&amp;COUNTIF(C$9:C2624,C2624))</f>
        <v/>
      </c>
    </row>
    <row r="2625" spans="2:2" x14ac:dyDescent="0.25">
      <c r="B2625" t="str">
        <f>IF(C2625="","",C2625&amp;COUNTIF(C$9:C2625,C2625))</f>
        <v/>
      </c>
    </row>
    <row r="2626" spans="2:2" x14ac:dyDescent="0.25">
      <c r="B2626" t="str">
        <f>IF(C2626="","",C2626&amp;COUNTIF(C$9:C2626,C2626))</f>
        <v/>
      </c>
    </row>
    <row r="2627" spans="2:2" x14ac:dyDescent="0.25">
      <c r="B2627" t="str">
        <f>IF(C2627="","",C2627&amp;COUNTIF(C$9:C2627,C2627))</f>
        <v/>
      </c>
    </row>
    <row r="2628" spans="2:2" x14ac:dyDescent="0.25">
      <c r="B2628" t="str">
        <f>IF(C2628="","",C2628&amp;COUNTIF(C$9:C2628,C2628))</f>
        <v/>
      </c>
    </row>
    <row r="2629" spans="2:2" x14ac:dyDescent="0.25">
      <c r="B2629" t="str">
        <f>IF(C2629="","",C2629&amp;COUNTIF(C$9:C2629,C2629))</f>
        <v/>
      </c>
    </row>
    <row r="2630" spans="2:2" x14ac:dyDescent="0.25">
      <c r="B2630" t="str">
        <f>IF(C2630="","",C2630&amp;COUNTIF(C$9:C2630,C2630))</f>
        <v/>
      </c>
    </row>
    <row r="2631" spans="2:2" x14ac:dyDescent="0.25">
      <c r="B2631" t="str">
        <f>IF(C2631="","",C2631&amp;COUNTIF(C$9:C2631,C2631))</f>
        <v/>
      </c>
    </row>
    <row r="2632" spans="2:2" x14ac:dyDescent="0.25">
      <c r="B2632" t="str">
        <f>IF(C2632="","",C2632&amp;COUNTIF(C$9:C2632,C2632))</f>
        <v/>
      </c>
    </row>
    <row r="2633" spans="2:2" x14ac:dyDescent="0.25">
      <c r="B2633" t="str">
        <f>IF(C2633="","",C2633&amp;COUNTIF(C$9:C2633,C2633))</f>
        <v/>
      </c>
    </row>
    <row r="2634" spans="2:2" x14ac:dyDescent="0.25">
      <c r="B2634" t="str">
        <f>IF(C2634="","",C2634&amp;COUNTIF(C$9:C2634,C2634))</f>
        <v/>
      </c>
    </row>
    <row r="2635" spans="2:2" x14ac:dyDescent="0.25">
      <c r="B2635" t="str">
        <f>IF(C2635="","",C2635&amp;COUNTIF(C$9:C2635,C2635))</f>
        <v/>
      </c>
    </row>
    <row r="2636" spans="2:2" x14ac:dyDescent="0.25">
      <c r="B2636" t="str">
        <f>IF(C2636="","",C2636&amp;COUNTIF(C$9:C2636,C2636))</f>
        <v/>
      </c>
    </row>
    <row r="2637" spans="2:2" x14ac:dyDescent="0.25">
      <c r="B2637" t="str">
        <f>IF(C2637="","",C2637&amp;COUNTIF(C$9:C2637,C2637))</f>
        <v/>
      </c>
    </row>
    <row r="2638" spans="2:2" x14ac:dyDescent="0.25">
      <c r="B2638" t="str">
        <f>IF(C2638="","",C2638&amp;COUNTIF(C$9:C2638,C2638))</f>
        <v/>
      </c>
    </row>
    <row r="2639" spans="2:2" x14ac:dyDescent="0.25">
      <c r="B2639" t="str">
        <f>IF(C2639="","",C2639&amp;COUNTIF(C$9:C2639,C2639))</f>
        <v/>
      </c>
    </row>
    <row r="2640" spans="2:2" x14ac:dyDescent="0.25">
      <c r="B2640" t="str">
        <f>IF(C2640="","",C2640&amp;COUNTIF(C$9:C2640,C2640))</f>
        <v/>
      </c>
    </row>
    <row r="2641" spans="2:2" x14ac:dyDescent="0.25">
      <c r="B2641" t="str">
        <f>IF(C2641="","",C2641&amp;COUNTIF(C$9:C2641,C2641))</f>
        <v/>
      </c>
    </row>
    <row r="2642" spans="2:2" x14ac:dyDescent="0.25">
      <c r="B2642" t="str">
        <f>IF(C2642="","",C2642&amp;COUNTIF(C$9:C2642,C2642))</f>
        <v/>
      </c>
    </row>
    <row r="2643" spans="2:2" x14ac:dyDescent="0.25">
      <c r="B2643" t="str">
        <f>IF(C2643="","",C2643&amp;COUNTIF(C$9:C2643,C2643))</f>
        <v/>
      </c>
    </row>
    <row r="2644" spans="2:2" x14ac:dyDescent="0.25">
      <c r="B2644" t="str">
        <f>IF(C2644="","",C2644&amp;COUNTIF(C$9:C2644,C2644))</f>
        <v/>
      </c>
    </row>
    <row r="2645" spans="2:2" x14ac:dyDescent="0.25">
      <c r="B2645" t="str">
        <f>IF(C2645="","",C2645&amp;COUNTIF(C$9:C2645,C2645))</f>
        <v/>
      </c>
    </row>
    <row r="2646" spans="2:2" x14ac:dyDescent="0.25">
      <c r="B2646" t="str">
        <f>IF(C2646="","",C2646&amp;COUNTIF(C$9:C2646,C2646))</f>
        <v/>
      </c>
    </row>
    <row r="2647" spans="2:2" x14ac:dyDescent="0.25">
      <c r="B2647" t="str">
        <f>IF(C2647="","",C2647&amp;COUNTIF(C$9:C2647,C2647))</f>
        <v/>
      </c>
    </row>
    <row r="2648" spans="2:2" x14ac:dyDescent="0.25">
      <c r="B2648" t="str">
        <f>IF(C2648="","",C2648&amp;COUNTIF(C$9:C2648,C2648))</f>
        <v/>
      </c>
    </row>
    <row r="2649" spans="2:2" x14ac:dyDescent="0.25">
      <c r="B2649" t="str">
        <f>IF(C2649="","",C2649&amp;COUNTIF(C$9:C2649,C2649))</f>
        <v/>
      </c>
    </row>
    <row r="2650" spans="2:2" x14ac:dyDescent="0.25">
      <c r="B2650" t="str">
        <f>IF(C2650="","",C2650&amp;COUNTIF(C$9:C2650,C2650))</f>
        <v/>
      </c>
    </row>
    <row r="2651" spans="2:2" x14ac:dyDescent="0.25">
      <c r="B2651" t="str">
        <f>IF(C2651="","",C2651&amp;COUNTIF(C$9:C2651,C2651))</f>
        <v/>
      </c>
    </row>
    <row r="2652" spans="2:2" x14ac:dyDescent="0.25">
      <c r="B2652" t="str">
        <f>IF(C2652="","",C2652&amp;COUNTIF(C$9:C2652,C2652))</f>
        <v/>
      </c>
    </row>
    <row r="2653" spans="2:2" x14ac:dyDescent="0.25">
      <c r="B2653" t="str">
        <f>IF(C2653="","",C2653&amp;COUNTIF(C$9:C2653,C2653))</f>
        <v/>
      </c>
    </row>
    <row r="2654" spans="2:2" x14ac:dyDescent="0.25">
      <c r="B2654" t="str">
        <f>IF(C2654="","",C2654&amp;COUNTIF(C$9:C2654,C2654))</f>
        <v/>
      </c>
    </row>
    <row r="2655" spans="2:2" x14ac:dyDescent="0.25">
      <c r="B2655" t="str">
        <f>IF(C2655="","",C2655&amp;COUNTIF(C$9:C2655,C2655))</f>
        <v/>
      </c>
    </row>
    <row r="2656" spans="2:2" x14ac:dyDescent="0.25">
      <c r="B2656" t="str">
        <f>IF(C2656="","",C2656&amp;COUNTIF(C$9:C2656,C2656))</f>
        <v/>
      </c>
    </row>
    <row r="2657" spans="2:2" x14ac:dyDescent="0.25">
      <c r="B2657" t="str">
        <f>IF(C2657="","",C2657&amp;COUNTIF(C$9:C2657,C2657))</f>
        <v/>
      </c>
    </row>
    <row r="2658" spans="2:2" x14ac:dyDescent="0.25">
      <c r="B2658" t="str">
        <f>IF(C2658="","",C2658&amp;COUNTIF(C$9:C2658,C2658))</f>
        <v/>
      </c>
    </row>
    <row r="2659" spans="2:2" x14ac:dyDescent="0.25">
      <c r="B2659" t="str">
        <f>IF(C2659="","",C2659&amp;COUNTIF(C$9:C2659,C2659))</f>
        <v/>
      </c>
    </row>
    <row r="2660" spans="2:2" x14ac:dyDescent="0.25">
      <c r="B2660" t="str">
        <f>IF(C2660="","",C2660&amp;COUNTIF(C$9:C2660,C2660))</f>
        <v/>
      </c>
    </row>
    <row r="2661" spans="2:2" x14ac:dyDescent="0.25">
      <c r="B2661" t="str">
        <f>IF(C2661="","",C2661&amp;COUNTIF(C$9:C2661,C2661))</f>
        <v/>
      </c>
    </row>
    <row r="2662" spans="2:2" x14ac:dyDescent="0.25">
      <c r="B2662" t="str">
        <f>IF(C2662="","",C2662&amp;COUNTIF(C$9:C2662,C2662))</f>
        <v/>
      </c>
    </row>
    <row r="2663" spans="2:2" x14ac:dyDescent="0.25">
      <c r="B2663" t="str">
        <f>IF(C2663="","",C2663&amp;COUNTIF(C$9:C2663,C2663))</f>
        <v/>
      </c>
    </row>
    <row r="2664" spans="2:2" x14ac:dyDescent="0.25">
      <c r="B2664" t="str">
        <f>IF(C2664="","",C2664&amp;COUNTIF(C$9:C2664,C2664))</f>
        <v/>
      </c>
    </row>
    <row r="2665" spans="2:2" x14ac:dyDescent="0.25">
      <c r="B2665" t="str">
        <f>IF(C2665="","",C2665&amp;COUNTIF(C$9:C2665,C2665))</f>
        <v/>
      </c>
    </row>
    <row r="2666" spans="2:2" x14ac:dyDescent="0.25">
      <c r="B2666" t="str">
        <f>IF(C2666="","",C2666&amp;COUNTIF(C$9:C2666,C2666))</f>
        <v/>
      </c>
    </row>
    <row r="2667" spans="2:2" x14ac:dyDescent="0.25">
      <c r="B2667" t="str">
        <f>IF(C2667="","",C2667&amp;COUNTIF(C$9:C2667,C2667))</f>
        <v/>
      </c>
    </row>
    <row r="2668" spans="2:2" x14ac:dyDescent="0.25">
      <c r="B2668" t="str">
        <f>IF(C2668="","",C2668&amp;COUNTIF(C$9:C2668,C2668))</f>
        <v/>
      </c>
    </row>
    <row r="2669" spans="2:2" x14ac:dyDescent="0.25">
      <c r="B2669" t="str">
        <f>IF(C2669="","",C2669&amp;COUNTIF(C$9:C2669,C2669))</f>
        <v/>
      </c>
    </row>
    <row r="2670" spans="2:2" x14ac:dyDescent="0.25">
      <c r="B2670" t="str">
        <f>IF(C2670="","",C2670&amp;COUNTIF(C$9:C2670,C2670))</f>
        <v/>
      </c>
    </row>
    <row r="2671" spans="2:2" x14ac:dyDescent="0.25">
      <c r="B2671" t="str">
        <f>IF(C2671="","",C2671&amp;COUNTIF(C$9:C2671,C2671))</f>
        <v/>
      </c>
    </row>
    <row r="2672" spans="2:2" x14ac:dyDescent="0.25">
      <c r="B2672" t="str">
        <f>IF(C2672="","",C2672&amp;COUNTIF(C$9:C2672,C2672))</f>
        <v/>
      </c>
    </row>
    <row r="2673" spans="2:2" x14ac:dyDescent="0.25">
      <c r="B2673" t="str">
        <f>IF(C2673="","",C2673&amp;COUNTIF(C$9:C2673,C2673))</f>
        <v/>
      </c>
    </row>
    <row r="2674" spans="2:2" x14ac:dyDescent="0.25">
      <c r="B2674" t="str">
        <f>IF(C2674="","",C2674&amp;COUNTIF(C$9:C2674,C2674))</f>
        <v/>
      </c>
    </row>
    <row r="2675" spans="2:2" x14ac:dyDescent="0.25">
      <c r="B2675" t="str">
        <f>IF(C2675="","",C2675&amp;COUNTIF(C$9:C2675,C2675))</f>
        <v/>
      </c>
    </row>
    <row r="2676" spans="2:2" x14ac:dyDescent="0.25">
      <c r="B2676" t="str">
        <f>IF(C2676="","",C2676&amp;COUNTIF(C$9:C2676,C2676))</f>
        <v/>
      </c>
    </row>
    <row r="2677" spans="2:2" x14ac:dyDescent="0.25">
      <c r="B2677" t="str">
        <f>IF(C2677="","",C2677&amp;COUNTIF(C$9:C2677,C2677))</f>
        <v/>
      </c>
    </row>
    <row r="2678" spans="2:2" x14ac:dyDescent="0.25">
      <c r="B2678" t="str">
        <f>IF(C2678="","",C2678&amp;COUNTIF(C$9:C2678,C2678))</f>
        <v/>
      </c>
    </row>
    <row r="2679" spans="2:2" x14ac:dyDescent="0.25">
      <c r="B2679" t="str">
        <f>IF(C2679="","",C2679&amp;COUNTIF(C$9:C2679,C2679))</f>
        <v/>
      </c>
    </row>
    <row r="2680" spans="2:2" x14ac:dyDescent="0.25">
      <c r="B2680" t="str">
        <f>IF(C2680="","",C2680&amp;COUNTIF(C$9:C2680,C2680))</f>
        <v/>
      </c>
    </row>
    <row r="2681" spans="2:2" x14ac:dyDescent="0.25">
      <c r="B2681" t="str">
        <f>IF(C2681="","",C2681&amp;COUNTIF(C$9:C2681,C2681))</f>
        <v/>
      </c>
    </row>
    <row r="2682" spans="2:2" x14ac:dyDescent="0.25">
      <c r="B2682" t="str">
        <f>IF(C2682="","",C2682&amp;COUNTIF(C$9:C2682,C2682))</f>
        <v/>
      </c>
    </row>
    <row r="2683" spans="2:2" x14ac:dyDescent="0.25">
      <c r="B2683" t="str">
        <f>IF(C2683="","",C2683&amp;COUNTIF(C$9:C2683,C2683))</f>
        <v/>
      </c>
    </row>
    <row r="2684" spans="2:2" x14ac:dyDescent="0.25">
      <c r="B2684" t="str">
        <f>IF(C2684="","",C2684&amp;COUNTIF(C$9:C2684,C2684))</f>
        <v/>
      </c>
    </row>
    <row r="2685" spans="2:2" x14ac:dyDescent="0.25">
      <c r="B2685" t="str">
        <f>IF(C2685="","",C2685&amp;COUNTIF(C$9:C2685,C2685))</f>
        <v/>
      </c>
    </row>
    <row r="2686" spans="2:2" x14ac:dyDescent="0.25">
      <c r="B2686" t="str">
        <f>IF(C2686="","",C2686&amp;COUNTIF(C$9:C2686,C2686))</f>
        <v/>
      </c>
    </row>
    <row r="2687" spans="2:2" x14ac:dyDescent="0.25">
      <c r="B2687" t="str">
        <f>IF(C2687="","",C2687&amp;COUNTIF(C$9:C2687,C2687))</f>
        <v/>
      </c>
    </row>
    <row r="2688" spans="2:2" x14ac:dyDescent="0.25">
      <c r="B2688" t="str">
        <f>IF(C2688="","",C2688&amp;COUNTIF(C$9:C2688,C2688))</f>
        <v/>
      </c>
    </row>
    <row r="2689" spans="2:2" x14ac:dyDescent="0.25">
      <c r="B2689" t="str">
        <f>IF(C2689="","",C2689&amp;COUNTIF(C$9:C2689,C2689))</f>
        <v/>
      </c>
    </row>
    <row r="2690" spans="2:2" x14ac:dyDescent="0.25">
      <c r="B2690" t="str">
        <f>IF(C2690="","",C2690&amp;COUNTIF(C$9:C2690,C2690))</f>
        <v/>
      </c>
    </row>
    <row r="2691" spans="2:2" x14ac:dyDescent="0.25">
      <c r="B2691" t="str">
        <f>IF(C2691="","",C2691&amp;COUNTIF(C$9:C2691,C2691))</f>
        <v/>
      </c>
    </row>
    <row r="2692" spans="2:2" x14ac:dyDescent="0.25">
      <c r="B2692" t="str">
        <f>IF(C2692="","",C2692&amp;COUNTIF(C$9:C2692,C2692))</f>
        <v/>
      </c>
    </row>
    <row r="2693" spans="2:2" x14ac:dyDescent="0.25">
      <c r="B2693" t="str">
        <f>IF(C2693="","",C2693&amp;COUNTIF(C$9:C2693,C2693))</f>
        <v/>
      </c>
    </row>
    <row r="2694" spans="2:2" x14ac:dyDescent="0.25">
      <c r="B2694" t="str">
        <f>IF(C2694="","",C2694&amp;COUNTIF(C$9:C2694,C2694))</f>
        <v/>
      </c>
    </row>
    <row r="2695" spans="2:2" x14ac:dyDescent="0.25">
      <c r="B2695" t="str">
        <f>IF(C2695="","",C2695&amp;COUNTIF(C$9:C2695,C2695))</f>
        <v/>
      </c>
    </row>
    <row r="2696" spans="2:2" x14ac:dyDescent="0.25">
      <c r="B2696" t="str">
        <f>IF(C2696="","",C2696&amp;COUNTIF(C$9:C2696,C2696))</f>
        <v/>
      </c>
    </row>
    <row r="2697" spans="2:2" x14ac:dyDescent="0.25">
      <c r="B2697" t="str">
        <f>IF(C2697="","",C2697&amp;COUNTIF(C$9:C2697,C2697))</f>
        <v/>
      </c>
    </row>
    <row r="2698" spans="2:2" x14ac:dyDescent="0.25">
      <c r="B2698" t="str">
        <f>IF(C2698="","",C2698&amp;COUNTIF(C$9:C2698,C2698))</f>
        <v/>
      </c>
    </row>
    <row r="2699" spans="2:2" x14ac:dyDescent="0.25">
      <c r="B2699" t="str">
        <f>IF(C2699="","",C2699&amp;COUNTIF(C$9:C2699,C2699))</f>
        <v/>
      </c>
    </row>
    <row r="2700" spans="2:2" x14ac:dyDescent="0.25">
      <c r="B2700" t="str">
        <f>IF(C2700="","",C2700&amp;COUNTIF(C$9:C2700,C2700))</f>
        <v/>
      </c>
    </row>
    <row r="2701" spans="2:2" x14ac:dyDescent="0.25">
      <c r="B2701" t="str">
        <f>IF(C2701="","",C2701&amp;COUNTIF(C$9:C2701,C2701))</f>
        <v/>
      </c>
    </row>
    <row r="2702" spans="2:2" x14ac:dyDescent="0.25">
      <c r="B2702" t="str">
        <f>IF(C2702="","",C2702&amp;COUNTIF(C$9:C2702,C2702))</f>
        <v/>
      </c>
    </row>
    <row r="2703" spans="2:2" x14ac:dyDescent="0.25">
      <c r="B2703" t="str">
        <f>IF(C2703="","",C2703&amp;COUNTIF(C$9:C2703,C2703))</f>
        <v/>
      </c>
    </row>
    <row r="2704" spans="2:2" x14ac:dyDescent="0.25">
      <c r="B2704" t="str">
        <f>IF(C2704="","",C2704&amp;COUNTIF(C$9:C2704,C2704))</f>
        <v/>
      </c>
    </row>
    <row r="2705" spans="2:2" x14ac:dyDescent="0.25">
      <c r="B2705" t="str">
        <f>IF(C2705="","",C2705&amp;COUNTIF(C$9:C2705,C2705))</f>
        <v/>
      </c>
    </row>
    <row r="2706" spans="2:2" x14ac:dyDescent="0.25">
      <c r="B2706" t="str">
        <f>IF(C2706="","",C2706&amp;COUNTIF(C$9:C2706,C2706))</f>
        <v/>
      </c>
    </row>
    <row r="2707" spans="2:2" x14ac:dyDescent="0.25">
      <c r="B2707" t="str">
        <f>IF(C2707="","",C2707&amp;COUNTIF(C$9:C2707,C2707))</f>
        <v/>
      </c>
    </row>
    <row r="2708" spans="2:2" x14ac:dyDescent="0.25">
      <c r="B2708" t="str">
        <f>IF(C2708="","",C2708&amp;COUNTIF(C$9:C2708,C2708))</f>
        <v/>
      </c>
    </row>
    <row r="2709" spans="2:2" x14ac:dyDescent="0.25">
      <c r="B2709" t="str">
        <f>IF(C2709="","",C2709&amp;COUNTIF(C$9:C2709,C2709))</f>
        <v/>
      </c>
    </row>
    <row r="2710" spans="2:2" x14ac:dyDescent="0.25">
      <c r="B2710" t="str">
        <f>IF(C2710="","",C2710&amp;COUNTIF(C$9:C2710,C2710))</f>
        <v/>
      </c>
    </row>
    <row r="2711" spans="2:2" x14ac:dyDescent="0.25">
      <c r="B2711" t="str">
        <f>IF(C2711="","",C2711&amp;COUNTIF(C$9:C2711,C2711))</f>
        <v/>
      </c>
    </row>
    <row r="2712" spans="2:2" x14ac:dyDescent="0.25">
      <c r="B2712" t="str">
        <f>IF(C2712="","",C2712&amp;COUNTIF(C$9:C2712,C2712))</f>
        <v/>
      </c>
    </row>
    <row r="2713" spans="2:2" x14ac:dyDescent="0.25">
      <c r="B2713" t="str">
        <f>IF(C2713="","",C2713&amp;COUNTIF(C$9:C2713,C2713))</f>
        <v/>
      </c>
    </row>
    <row r="2714" spans="2:2" x14ac:dyDescent="0.25">
      <c r="B2714" t="str">
        <f>IF(C2714="","",C2714&amp;COUNTIF(C$9:C2714,C2714))</f>
        <v/>
      </c>
    </row>
    <row r="2715" spans="2:2" x14ac:dyDescent="0.25">
      <c r="B2715" t="str">
        <f>IF(C2715="","",C2715&amp;COUNTIF(C$9:C2715,C2715))</f>
        <v/>
      </c>
    </row>
    <row r="2716" spans="2:2" x14ac:dyDescent="0.25">
      <c r="B2716" t="str">
        <f>IF(C2716="","",C2716&amp;COUNTIF(C$9:C2716,C2716))</f>
        <v/>
      </c>
    </row>
    <row r="2717" spans="2:2" x14ac:dyDescent="0.25">
      <c r="B2717" t="str">
        <f>IF(C2717="","",C2717&amp;COUNTIF(C$9:C2717,C2717))</f>
        <v/>
      </c>
    </row>
    <row r="2718" spans="2:2" x14ac:dyDescent="0.25">
      <c r="B2718" t="str">
        <f>IF(C2718="","",C2718&amp;COUNTIF(C$9:C2718,C2718))</f>
        <v/>
      </c>
    </row>
    <row r="2719" spans="2:2" x14ac:dyDescent="0.25">
      <c r="B2719" t="str">
        <f>IF(C2719="","",C2719&amp;COUNTIF(C$9:C2719,C2719))</f>
        <v/>
      </c>
    </row>
    <row r="2720" spans="2:2" x14ac:dyDescent="0.25">
      <c r="B2720" t="str">
        <f>IF(C2720="","",C2720&amp;COUNTIF(C$9:C2720,C2720))</f>
        <v/>
      </c>
    </row>
    <row r="2721" spans="2:2" x14ac:dyDescent="0.25">
      <c r="B2721" t="str">
        <f>IF(C2721="","",C2721&amp;COUNTIF(C$9:C2721,C2721))</f>
        <v/>
      </c>
    </row>
    <row r="2722" spans="2:2" x14ac:dyDescent="0.25">
      <c r="B2722" t="str">
        <f>IF(C2722="","",C2722&amp;COUNTIF(C$9:C2722,C2722))</f>
        <v/>
      </c>
    </row>
    <row r="2723" spans="2:2" x14ac:dyDescent="0.25">
      <c r="B2723" t="str">
        <f>IF(C2723="","",C2723&amp;COUNTIF(C$9:C2723,C2723))</f>
        <v/>
      </c>
    </row>
    <row r="2724" spans="2:2" x14ac:dyDescent="0.25">
      <c r="B2724" t="str">
        <f>IF(C2724="","",C2724&amp;COUNTIF(C$9:C2724,C2724))</f>
        <v/>
      </c>
    </row>
    <row r="2725" spans="2:2" x14ac:dyDescent="0.25">
      <c r="B2725" t="str">
        <f>IF(C2725="","",C2725&amp;COUNTIF(C$9:C2725,C2725))</f>
        <v/>
      </c>
    </row>
    <row r="2726" spans="2:2" x14ac:dyDescent="0.25">
      <c r="B2726" t="str">
        <f>IF(C2726="","",C2726&amp;COUNTIF(C$9:C2726,C2726))</f>
        <v/>
      </c>
    </row>
    <row r="2727" spans="2:2" x14ac:dyDescent="0.25">
      <c r="B2727" t="str">
        <f>IF(C2727="","",C2727&amp;COUNTIF(C$9:C2727,C2727))</f>
        <v/>
      </c>
    </row>
    <row r="2728" spans="2:2" x14ac:dyDescent="0.25">
      <c r="B2728" t="str">
        <f>IF(C2728="","",C2728&amp;COUNTIF(C$9:C2728,C2728))</f>
        <v/>
      </c>
    </row>
    <row r="2729" spans="2:2" x14ac:dyDescent="0.25">
      <c r="B2729" t="str">
        <f>IF(C2729="","",C2729&amp;COUNTIF(C$9:C2729,C2729))</f>
        <v/>
      </c>
    </row>
    <row r="2730" spans="2:2" x14ac:dyDescent="0.25">
      <c r="B2730" t="str">
        <f>IF(C2730="","",C2730&amp;COUNTIF(C$9:C2730,C2730))</f>
        <v/>
      </c>
    </row>
    <row r="2731" spans="2:2" x14ac:dyDescent="0.25">
      <c r="B2731" t="str">
        <f>IF(C2731="","",C2731&amp;COUNTIF(C$9:C2731,C2731))</f>
        <v/>
      </c>
    </row>
    <row r="2732" spans="2:2" x14ac:dyDescent="0.25">
      <c r="B2732" t="str">
        <f>IF(C2732="","",C2732&amp;COUNTIF(C$9:C2732,C2732))</f>
        <v/>
      </c>
    </row>
    <row r="2733" spans="2:2" x14ac:dyDescent="0.25">
      <c r="B2733" t="str">
        <f>IF(C2733="","",C2733&amp;COUNTIF(C$9:C2733,C2733))</f>
        <v/>
      </c>
    </row>
    <row r="2734" spans="2:2" x14ac:dyDescent="0.25">
      <c r="B2734" t="str">
        <f>IF(C2734="","",C2734&amp;COUNTIF(C$9:C2734,C2734))</f>
        <v/>
      </c>
    </row>
    <row r="2735" spans="2:2" x14ac:dyDescent="0.25">
      <c r="B2735" t="str">
        <f>IF(C2735="","",C2735&amp;COUNTIF(C$9:C2735,C2735))</f>
        <v/>
      </c>
    </row>
    <row r="2736" spans="2:2" x14ac:dyDescent="0.25">
      <c r="B2736" t="str">
        <f>IF(C2736="","",C2736&amp;COUNTIF(C$9:C2736,C2736))</f>
        <v/>
      </c>
    </row>
    <row r="2737" spans="2:2" x14ac:dyDescent="0.25">
      <c r="B2737" t="str">
        <f>IF(C2737="","",C2737&amp;COUNTIF(C$9:C2737,C2737))</f>
        <v/>
      </c>
    </row>
    <row r="2738" spans="2:2" x14ac:dyDescent="0.25">
      <c r="B2738" t="str">
        <f>IF(C2738="","",C2738&amp;COUNTIF(C$9:C2738,C2738))</f>
        <v/>
      </c>
    </row>
    <row r="2739" spans="2:2" x14ac:dyDescent="0.25">
      <c r="B2739" t="str">
        <f>IF(C2739="","",C2739&amp;COUNTIF(C$9:C2739,C2739))</f>
        <v/>
      </c>
    </row>
    <row r="2740" spans="2:2" x14ac:dyDescent="0.25">
      <c r="B2740" t="str">
        <f>IF(C2740="","",C2740&amp;COUNTIF(C$9:C2740,C2740))</f>
        <v/>
      </c>
    </row>
    <row r="2741" spans="2:2" x14ac:dyDescent="0.25">
      <c r="B2741" t="str">
        <f>IF(C2741="","",C2741&amp;COUNTIF(C$9:C2741,C2741))</f>
        <v/>
      </c>
    </row>
    <row r="2742" spans="2:2" x14ac:dyDescent="0.25">
      <c r="B2742" t="str">
        <f>IF(C2742="","",C2742&amp;COUNTIF(C$9:C2742,C2742))</f>
        <v/>
      </c>
    </row>
    <row r="2743" spans="2:2" x14ac:dyDescent="0.25">
      <c r="B2743" t="str">
        <f>IF(C2743="","",C2743&amp;COUNTIF(C$9:C2743,C2743))</f>
        <v/>
      </c>
    </row>
    <row r="2744" spans="2:2" x14ac:dyDescent="0.25">
      <c r="B2744" t="str">
        <f>IF(C2744="","",C2744&amp;COUNTIF(C$9:C2744,C2744))</f>
        <v/>
      </c>
    </row>
    <row r="2745" spans="2:2" x14ac:dyDescent="0.25">
      <c r="B2745" t="str">
        <f>IF(C2745="","",C2745&amp;COUNTIF(C$9:C2745,C2745))</f>
        <v/>
      </c>
    </row>
    <row r="2746" spans="2:2" x14ac:dyDescent="0.25">
      <c r="B2746" t="str">
        <f>IF(C2746="","",C2746&amp;COUNTIF(C$9:C2746,C2746))</f>
        <v/>
      </c>
    </row>
    <row r="2747" spans="2:2" x14ac:dyDescent="0.25">
      <c r="B2747" t="str">
        <f>IF(C2747="","",C2747&amp;COUNTIF(C$9:C2747,C2747))</f>
        <v/>
      </c>
    </row>
    <row r="2748" spans="2:2" x14ac:dyDescent="0.25">
      <c r="B2748" t="str">
        <f>IF(C2748="","",C2748&amp;COUNTIF(C$9:C2748,C2748))</f>
        <v/>
      </c>
    </row>
    <row r="2749" spans="2:2" x14ac:dyDescent="0.25">
      <c r="B2749" t="str">
        <f>IF(C2749="","",C2749&amp;COUNTIF(C$9:C2749,C2749))</f>
        <v/>
      </c>
    </row>
    <row r="2750" spans="2:2" x14ac:dyDescent="0.25">
      <c r="B2750" t="str">
        <f>IF(C2750="","",C2750&amp;COUNTIF(C$9:C2750,C2750))</f>
        <v/>
      </c>
    </row>
    <row r="2751" spans="2:2" x14ac:dyDescent="0.25">
      <c r="B2751" t="str">
        <f>IF(C2751="","",C2751&amp;COUNTIF(C$9:C2751,C2751))</f>
        <v/>
      </c>
    </row>
    <row r="2752" spans="2:2" x14ac:dyDescent="0.25">
      <c r="B2752" t="str">
        <f>IF(C2752="","",C2752&amp;COUNTIF(C$9:C2752,C2752))</f>
        <v/>
      </c>
    </row>
    <row r="2753" spans="2:2" x14ac:dyDescent="0.25">
      <c r="B2753" t="str">
        <f>IF(C2753="","",C2753&amp;COUNTIF(C$9:C2753,C2753))</f>
        <v/>
      </c>
    </row>
    <row r="2754" spans="2:2" x14ac:dyDescent="0.25">
      <c r="B2754" t="str">
        <f>IF(C2754="","",C2754&amp;COUNTIF(C$9:C2754,C2754))</f>
        <v/>
      </c>
    </row>
    <row r="2755" spans="2:2" x14ac:dyDescent="0.25">
      <c r="B2755" t="str">
        <f>IF(C2755="","",C2755&amp;COUNTIF(C$9:C2755,C2755))</f>
        <v/>
      </c>
    </row>
    <row r="2756" spans="2:2" x14ac:dyDescent="0.25">
      <c r="B2756" t="str">
        <f>IF(C2756="","",C2756&amp;COUNTIF(C$9:C2756,C2756))</f>
        <v/>
      </c>
    </row>
    <row r="2757" spans="2:2" x14ac:dyDescent="0.25">
      <c r="B2757" t="str">
        <f>IF(C2757="","",C2757&amp;COUNTIF(C$9:C2757,C2757))</f>
        <v/>
      </c>
    </row>
    <row r="2758" spans="2:2" x14ac:dyDescent="0.25">
      <c r="B2758" t="str">
        <f>IF(C2758="","",C2758&amp;COUNTIF(C$9:C2758,C2758))</f>
        <v/>
      </c>
    </row>
    <row r="2759" spans="2:2" x14ac:dyDescent="0.25">
      <c r="B2759" t="str">
        <f>IF(C2759="","",C2759&amp;COUNTIF(C$9:C2759,C2759))</f>
        <v/>
      </c>
    </row>
    <row r="2760" spans="2:2" x14ac:dyDescent="0.25">
      <c r="B2760" t="str">
        <f>IF(C2760="","",C2760&amp;COUNTIF(C$9:C2760,C2760))</f>
        <v/>
      </c>
    </row>
    <row r="2761" spans="2:2" x14ac:dyDescent="0.25">
      <c r="B2761" t="str">
        <f>IF(C2761="","",C2761&amp;COUNTIF(C$9:C2761,C2761))</f>
        <v/>
      </c>
    </row>
    <row r="2762" spans="2:2" x14ac:dyDescent="0.25">
      <c r="B2762" t="str">
        <f>IF(C2762="","",C2762&amp;COUNTIF(C$9:C2762,C2762))</f>
        <v/>
      </c>
    </row>
    <row r="2763" spans="2:2" x14ac:dyDescent="0.25">
      <c r="B2763" t="str">
        <f>IF(C2763="","",C2763&amp;COUNTIF(C$9:C2763,C2763))</f>
        <v/>
      </c>
    </row>
    <row r="2764" spans="2:2" x14ac:dyDescent="0.25">
      <c r="B2764" t="str">
        <f>IF(C2764="","",C2764&amp;COUNTIF(C$9:C2764,C2764))</f>
        <v/>
      </c>
    </row>
    <row r="2765" spans="2:2" x14ac:dyDescent="0.25">
      <c r="B2765" t="str">
        <f>IF(C2765="","",C2765&amp;COUNTIF(C$9:C2765,C2765))</f>
        <v/>
      </c>
    </row>
    <row r="2766" spans="2:2" x14ac:dyDescent="0.25">
      <c r="B2766" t="str">
        <f>IF(C2766="","",C2766&amp;COUNTIF(C$9:C2766,C2766))</f>
        <v/>
      </c>
    </row>
    <row r="2767" spans="2:2" x14ac:dyDescent="0.25">
      <c r="B2767" t="str">
        <f>IF(C2767="","",C2767&amp;COUNTIF(C$9:C2767,C2767))</f>
        <v/>
      </c>
    </row>
    <row r="2768" spans="2:2" x14ac:dyDescent="0.25">
      <c r="B2768" t="str">
        <f>IF(C2768="","",C2768&amp;COUNTIF(C$9:C2768,C2768))</f>
        <v/>
      </c>
    </row>
    <row r="2769" spans="2:2" x14ac:dyDescent="0.25">
      <c r="B2769" t="str">
        <f>IF(C2769="","",C2769&amp;COUNTIF(C$9:C2769,C2769))</f>
        <v/>
      </c>
    </row>
    <row r="2770" spans="2:2" x14ac:dyDescent="0.25">
      <c r="B2770" t="str">
        <f>IF(C2770="","",C2770&amp;COUNTIF(C$9:C2770,C2770))</f>
        <v/>
      </c>
    </row>
    <row r="2771" spans="2:2" x14ac:dyDescent="0.25">
      <c r="B2771" t="str">
        <f>IF(C2771="","",C2771&amp;COUNTIF(C$9:C2771,C2771))</f>
        <v/>
      </c>
    </row>
    <row r="2772" spans="2:2" x14ac:dyDescent="0.25">
      <c r="B2772" t="str">
        <f>IF(C2772="","",C2772&amp;COUNTIF(C$9:C2772,C2772))</f>
        <v/>
      </c>
    </row>
    <row r="2773" spans="2:2" x14ac:dyDescent="0.25">
      <c r="B2773" t="str">
        <f>IF(C2773="","",C2773&amp;COUNTIF(C$9:C2773,C2773))</f>
        <v/>
      </c>
    </row>
    <row r="2774" spans="2:2" x14ac:dyDescent="0.25">
      <c r="B2774" t="str">
        <f>IF(C2774="","",C2774&amp;COUNTIF(C$9:C2774,C2774))</f>
        <v/>
      </c>
    </row>
    <row r="2775" spans="2:2" x14ac:dyDescent="0.25">
      <c r="B2775" t="str">
        <f>IF(C2775="","",C2775&amp;COUNTIF(C$9:C2775,C2775))</f>
        <v/>
      </c>
    </row>
    <row r="2776" spans="2:2" x14ac:dyDescent="0.25">
      <c r="B2776" t="str">
        <f>IF(C2776="","",C2776&amp;COUNTIF(C$9:C2776,C2776))</f>
        <v/>
      </c>
    </row>
    <row r="2777" spans="2:2" x14ac:dyDescent="0.25">
      <c r="B2777" t="str">
        <f>IF(C2777="","",C2777&amp;COUNTIF(C$9:C2777,C2777))</f>
        <v/>
      </c>
    </row>
    <row r="2778" spans="2:2" x14ac:dyDescent="0.25">
      <c r="B2778" t="str">
        <f>IF(C2778="","",C2778&amp;COUNTIF(C$9:C2778,C2778))</f>
        <v/>
      </c>
    </row>
    <row r="2779" spans="2:2" x14ac:dyDescent="0.25">
      <c r="B2779" t="str">
        <f>IF(C2779="","",C2779&amp;COUNTIF(C$9:C2779,C2779))</f>
        <v/>
      </c>
    </row>
    <row r="2780" spans="2:2" x14ac:dyDescent="0.25">
      <c r="B2780" t="str">
        <f>IF(C2780="","",C2780&amp;COUNTIF(C$9:C2780,C2780))</f>
        <v/>
      </c>
    </row>
    <row r="2781" spans="2:2" x14ac:dyDescent="0.25">
      <c r="B2781" t="str">
        <f>IF(C2781="","",C2781&amp;COUNTIF(C$9:C2781,C2781))</f>
        <v/>
      </c>
    </row>
    <row r="2782" spans="2:2" x14ac:dyDescent="0.25">
      <c r="B2782" t="str">
        <f>IF(C2782="","",C2782&amp;COUNTIF(C$9:C2782,C2782))</f>
        <v/>
      </c>
    </row>
    <row r="2783" spans="2:2" x14ac:dyDescent="0.25">
      <c r="B2783" t="str">
        <f>IF(C2783="","",C2783&amp;COUNTIF(C$9:C2783,C2783))</f>
        <v/>
      </c>
    </row>
    <row r="2784" spans="2:2" x14ac:dyDescent="0.25">
      <c r="B2784" t="str">
        <f>IF(C2784="","",C2784&amp;COUNTIF(C$9:C2784,C2784))</f>
        <v/>
      </c>
    </row>
    <row r="2785" spans="2:2" x14ac:dyDescent="0.25">
      <c r="B2785" t="str">
        <f>IF(C2785="","",C2785&amp;COUNTIF(C$9:C2785,C2785))</f>
        <v/>
      </c>
    </row>
    <row r="2786" spans="2:2" x14ac:dyDescent="0.25">
      <c r="B2786" t="str">
        <f>IF(C2786="","",C2786&amp;COUNTIF(C$9:C2786,C2786))</f>
        <v/>
      </c>
    </row>
    <row r="2787" spans="2:2" x14ac:dyDescent="0.25">
      <c r="B2787" t="str">
        <f>IF(C2787="","",C2787&amp;COUNTIF(C$9:C2787,C2787))</f>
        <v/>
      </c>
    </row>
    <row r="2788" spans="2:2" x14ac:dyDescent="0.25">
      <c r="B2788" t="str">
        <f>IF(C2788="","",C2788&amp;COUNTIF(C$9:C2788,C2788))</f>
        <v/>
      </c>
    </row>
    <row r="2789" spans="2:2" x14ac:dyDescent="0.25">
      <c r="B2789" t="str">
        <f>IF(C2789="","",C2789&amp;COUNTIF(C$9:C2789,C2789))</f>
        <v/>
      </c>
    </row>
    <row r="2790" spans="2:2" x14ac:dyDescent="0.25">
      <c r="B2790" t="str">
        <f>IF(C2790="","",C2790&amp;COUNTIF(C$9:C2790,C2790))</f>
        <v/>
      </c>
    </row>
    <row r="2791" spans="2:2" x14ac:dyDescent="0.25">
      <c r="B2791" t="str">
        <f>IF(C2791="","",C2791&amp;COUNTIF(C$9:C2791,C2791))</f>
        <v/>
      </c>
    </row>
    <row r="2792" spans="2:2" x14ac:dyDescent="0.25">
      <c r="B2792" t="str">
        <f>IF(C2792="","",C2792&amp;COUNTIF(C$9:C2792,C2792))</f>
        <v/>
      </c>
    </row>
    <row r="2793" spans="2:2" x14ac:dyDescent="0.25">
      <c r="B2793" t="str">
        <f>IF(C2793="","",C2793&amp;COUNTIF(C$9:C2793,C2793))</f>
        <v/>
      </c>
    </row>
    <row r="2794" spans="2:2" x14ac:dyDescent="0.25">
      <c r="B2794" t="str">
        <f>IF(C2794="","",C2794&amp;COUNTIF(C$9:C2794,C2794))</f>
        <v/>
      </c>
    </row>
    <row r="2795" spans="2:2" x14ac:dyDescent="0.25">
      <c r="B2795" t="str">
        <f>IF(C2795="","",C2795&amp;COUNTIF(C$9:C2795,C2795))</f>
        <v/>
      </c>
    </row>
    <row r="2796" spans="2:2" x14ac:dyDescent="0.25">
      <c r="B2796" t="str">
        <f>IF(C2796="","",C2796&amp;COUNTIF(C$9:C2796,C2796))</f>
        <v/>
      </c>
    </row>
    <row r="2797" spans="2:2" x14ac:dyDescent="0.25">
      <c r="B2797" t="str">
        <f>IF(C2797="","",C2797&amp;COUNTIF(C$9:C2797,C2797))</f>
        <v/>
      </c>
    </row>
    <row r="2798" spans="2:2" x14ac:dyDescent="0.25">
      <c r="B2798" t="str">
        <f>IF(C2798="","",C2798&amp;COUNTIF(C$9:C2798,C2798))</f>
        <v/>
      </c>
    </row>
    <row r="2799" spans="2:2" x14ac:dyDescent="0.25">
      <c r="B2799" t="str">
        <f>IF(C2799="","",C2799&amp;COUNTIF(C$9:C2799,C2799))</f>
        <v/>
      </c>
    </row>
    <row r="2800" spans="2:2" x14ac:dyDescent="0.25">
      <c r="B2800" t="str">
        <f>IF(C2800="","",C2800&amp;COUNTIF(C$9:C2800,C2800))</f>
        <v/>
      </c>
    </row>
    <row r="2801" spans="2:2" x14ac:dyDescent="0.25">
      <c r="B2801" t="str">
        <f>IF(C2801="","",C2801&amp;COUNTIF(C$9:C2801,C2801))</f>
        <v/>
      </c>
    </row>
    <row r="2802" spans="2:2" x14ac:dyDescent="0.25">
      <c r="B2802" t="str">
        <f>IF(C2802="","",C2802&amp;COUNTIF(C$9:C2802,C2802))</f>
        <v/>
      </c>
    </row>
    <row r="2803" spans="2:2" x14ac:dyDescent="0.25">
      <c r="B2803" t="str">
        <f>IF(C2803="","",C2803&amp;COUNTIF(C$9:C2803,C2803))</f>
        <v/>
      </c>
    </row>
    <row r="2804" spans="2:2" x14ac:dyDescent="0.25">
      <c r="B2804" t="str">
        <f>IF(C2804="","",C2804&amp;COUNTIF(C$9:C2804,C2804))</f>
        <v/>
      </c>
    </row>
    <row r="2805" spans="2:2" x14ac:dyDescent="0.25">
      <c r="B2805" t="str">
        <f>IF(C2805="","",C2805&amp;COUNTIF(C$9:C2805,C2805))</f>
        <v/>
      </c>
    </row>
    <row r="2806" spans="2:2" x14ac:dyDescent="0.25">
      <c r="B2806" t="str">
        <f>IF(C2806="","",C2806&amp;COUNTIF(C$9:C2806,C2806))</f>
        <v/>
      </c>
    </row>
    <row r="2807" spans="2:2" x14ac:dyDescent="0.25">
      <c r="B2807" t="str">
        <f>IF(C2807="","",C2807&amp;COUNTIF(C$9:C2807,C2807))</f>
        <v/>
      </c>
    </row>
    <row r="2808" spans="2:2" x14ac:dyDescent="0.25">
      <c r="B2808" t="str">
        <f>IF(C2808="","",C2808&amp;COUNTIF(C$9:C2808,C2808))</f>
        <v/>
      </c>
    </row>
    <row r="2809" spans="2:2" x14ac:dyDescent="0.25">
      <c r="B2809" t="str">
        <f>IF(C2809="","",C2809&amp;COUNTIF(C$9:C2809,C2809))</f>
        <v/>
      </c>
    </row>
    <row r="2810" spans="2:2" x14ac:dyDescent="0.25">
      <c r="B2810" t="str">
        <f>IF(C2810="","",C2810&amp;COUNTIF(C$9:C2810,C2810))</f>
        <v/>
      </c>
    </row>
    <row r="2811" spans="2:2" x14ac:dyDescent="0.25">
      <c r="B2811" t="str">
        <f>IF(C2811="","",C2811&amp;COUNTIF(C$9:C2811,C2811))</f>
        <v/>
      </c>
    </row>
    <row r="2812" spans="2:2" x14ac:dyDescent="0.25">
      <c r="B2812" t="str">
        <f>IF(C2812="","",C2812&amp;COUNTIF(C$9:C2812,C2812))</f>
        <v/>
      </c>
    </row>
    <row r="2813" spans="2:2" x14ac:dyDescent="0.25">
      <c r="B2813" t="str">
        <f>IF(C2813="","",C2813&amp;COUNTIF(C$9:C2813,C2813))</f>
        <v/>
      </c>
    </row>
    <row r="2814" spans="2:2" x14ac:dyDescent="0.25">
      <c r="B2814" t="str">
        <f>IF(C2814="","",C2814&amp;COUNTIF(C$9:C2814,C2814))</f>
        <v/>
      </c>
    </row>
    <row r="2815" spans="2:2" x14ac:dyDescent="0.25">
      <c r="B2815" t="str">
        <f>IF(C2815="","",C2815&amp;COUNTIF(C$9:C2815,C2815))</f>
        <v/>
      </c>
    </row>
    <row r="2816" spans="2:2" x14ac:dyDescent="0.25">
      <c r="B2816" t="str">
        <f>IF(C2816="","",C2816&amp;COUNTIF(C$9:C2816,C2816))</f>
        <v/>
      </c>
    </row>
    <row r="2817" spans="2:2" x14ac:dyDescent="0.25">
      <c r="B2817" t="str">
        <f>IF(C2817="","",C2817&amp;COUNTIF(C$9:C2817,C2817))</f>
        <v/>
      </c>
    </row>
    <row r="2818" spans="2:2" x14ac:dyDescent="0.25">
      <c r="B2818" t="str">
        <f>IF(C2818="","",C2818&amp;COUNTIF(C$9:C2818,C2818))</f>
        <v/>
      </c>
    </row>
    <row r="2819" spans="2:2" x14ac:dyDescent="0.25">
      <c r="B2819" t="str">
        <f>IF(C2819="","",C2819&amp;COUNTIF(C$9:C2819,C2819))</f>
        <v/>
      </c>
    </row>
    <row r="2820" spans="2:2" x14ac:dyDescent="0.25">
      <c r="B2820" t="str">
        <f>IF(C2820="","",C2820&amp;COUNTIF(C$9:C2820,C2820))</f>
        <v/>
      </c>
    </row>
    <row r="2821" spans="2:2" x14ac:dyDescent="0.25">
      <c r="B2821" t="str">
        <f>IF(C2821="","",C2821&amp;COUNTIF(C$9:C2821,C2821))</f>
        <v/>
      </c>
    </row>
    <row r="2822" spans="2:2" x14ac:dyDescent="0.25">
      <c r="B2822" t="str">
        <f>IF(C2822="","",C2822&amp;COUNTIF(C$9:C2822,C2822))</f>
        <v/>
      </c>
    </row>
    <row r="2823" spans="2:2" x14ac:dyDescent="0.25">
      <c r="B2823" t="str">
        <f>IF(C2823="","",C2823&amp;COUNTIF(C$9:C2823,C2823))</f>
        <v/>
      </c>
    </row>
    <row r="2824" spans="2:2" x14ac:dyDescent="0.25">
      <c r="B2824" t="str">
        <f>IF(C2824="","",C2824&amp;COUNTIF(C$9:C2824,C2824))</f>
        <v/>
      </c>
    </row>
    <row r="2825" spans="2:2" x14ac:dyDescent="0.25">
      <c r="B2825" t="str">
        <f>IF(C2825="","",C2825&amp;COUNTIF(C$9:C2825,C2825))</f>
        <v/>
      </c>
    </row>
    <row r="2826" spans="2:2" x14ac:dyDescent="0.25">
      <c r="B2826" t="str">
        <f>IF(C2826="","",C2826&amp;COUNTIF(C$9:C2826,C2826))</f>
        <v/>
      </c>
    </row>
    <row r="2827" spans="2:2" x14ac:dyDescent="0.25">
      <c r="B2827" t="str">
        <f>IF(C2827="","",C2827&amp;COUNTIF(C$9:C2827,C2827))</f>
        <v/>
      </c>
    </row>
    <row r="2828" spans="2:2" x14ac:dyDescent="0.25">
      <c r="B2828" t="str">
        <f>IF(C2828="","",C2828&amp;COUNTIF(C$9:C2828,C2828))</f>
        <v/>
      </c>
    </row>
    <row r="2829" spans="2:2" x14ac:dyDescent="0.25">
      <c r="B2829" t="str">
        <f>IF(C2829="","",C2829&amp;COUNTIF(C$9:C2829,C2829))</f>
        <v/>
      </c>
    </row>
    <row r="2830" spans="2:2" x14ac:dyDescent="0.25">
      <c r="B2830" t="str">
        <f>IF(C2830="","",C2830&amp;COUNTIF(C$9:C2830,C2830))</f>
        <v/>
      </c>
    </row>
    <row r="2831" spans="2:2" x14ac:dyDescent="0.25">
      <c r="B2831" t="str">
        <f>IF(C2831="","",C2831&amp;COUNTIF(C$9:C2831,C2831))</f>
        <v/>
      </c>
    </row>
    <row r="2832" spans="2:2" x14ac:dyDescent="0.25">
      <c r="B2832" t="str">
        <f>IF(C2832="","",C2832&amp;COUNTIF(C$9:C2832,C2832))</f>
        <v/>
      </c>
    </row>
    <row r="2833" spans="2:2" x14ac:dyDescent="0.25">
      <c r="B2833" t="str">
        <f>IF(C2833="","",C2833&amp;COUNTIF(C$9:C2833,C2833))</f>
        <v/>
      </c>
    </row>
    <row r="2834" spans="2:2" x14ac:dyDescent="0.25">
      <c r="B2834" t="str">
        <f>IF(C2834="","",C2834&amp;COUNTIF(C$9:C2834,C2834))</f>
        <v/>
      </c>
    </row>
    <row r="2835" spans="2:2" x14ac:dyDescent="0.25">
      <c r="B2835" t="str">
        <f>IF(C2835="","",C2835&amp;COUNTIF(C$9:C2835,C2835))</f>
        <v/>
      </c>
    </row>
    <row r="2836" spans="2:2" x14ac:dyDescent="0.25">
      <c r="B2836" t="str">
        <f>IF(C2836="","",C2836&amp;COUNTIF(C$9:C2836,C2836))</f>
        <v/>
      </c>
    </row>
    <row r="2837" spans="2:2" x14ac:dyDescent="0.25">
      <c r="B2837" t="str">
        <f>IF(C2837="","",C2837&amp;COUNTIF(C$9:C2837,C2837))</f>
        <v/>
      </c>
    </row>
    <row r="2838" spans="2:2" x14ac:dyDescent="0.25">
      <c r="B2838" t="str">
        <f>IF(C2838="","",C2838&amp;COUNTIF(C$9:C2838,C2838))</f>
        <v/>
      </c>
    </row>
    <row r="2839" spans="2:2" x14ac:dyDescent="0.25">
      <c r="B2839" t="str">
        <f>IF(C2839="","",C2839&amp;COUNTIF(C$9:C2839,C2839))</f>
        <v/>
      </c>
    </row>
    <row r="2840" spans="2:2" x14ac:dyDescent="0.25">
      <c r="B2840" t="str">
        <f>IF(C2840="","",C2840&amp;COUNTIF(C$9:C2840,C2840))</f>
        <v/>
      </c>
    </row>
    <row r="2841" spans="2:2" x14ac:dyDescent="0.25">
      <c r="B2841" t="str">
        <f>IF(C2841="","",C2841&amp;COUNTIF(C$9:C2841,C2841))</f>
        <v/>
      </c>
    </row>
    <row r="2842" spans="2:2" x14ac:dyDescent="0.25">
      <c r="B2842" t="str">
        <f>IF(C2842="","",C2842&amp;COUNTIF(C$9:C2842,C2842))</f>
        <v/>
      </c>
    </row>
    <row r="2843" spans="2:2" x14ac:dyDescent="0.25">
      <c r="B2843" t="str">
        <f>IF(C2843="","",C2843&amp;COUNTIF(C$9:C2843,C2843))</f>
        <v/>
      </c>
    </row>
    <row r="2844" spans="2:2" x14ac:dyDescent="0.25">
      <c r="B2844" t="str">
        <f>IF(C2844="","",C2844&amp;COUNTIF(C$9:C2844,C2844))</f>
        <v/>
      </c>
    </row>
    <row r="2845" spans="2:2" x14ac:dyDescent="0.25">
      <c r="B2845" t="str">
        <f>IF(C2845="","",C2845&amp;COUNTIF(C$9:C2845,C2845))</f>
        <v/>
      </c>
    </row>
    <row r="2846" spans="2:2" x14ac:dyDescent="0.25">
      <c r="B2846" t="str">
        <f>IF(C2846="","",C2846&amp;COUNTIF(C$9:C2846,C2846))</f>
        <v/>
      </c>
    </row>
    <row r="2847" spans="2:2" x14ac:dyDescent="0.25">
      <c r="B2847" t="str">
        <f>IF(C2847="","",C2847&amp;COUNTIF(C$9:C2847,C2847))</f>
        <v/>
      </c>
    </row>
    <row r="2848" spans="2:2" x14ac:dyDescent="0.25">
      <c r="B2848" t="str">
        <f>IF(C2848="","",C2848&amp;COUNTIF(C$9:C2848,C2848))</f>
        <v/>
      </c>
    </row>
    <row r="2849" spans="2:2" x14ac:dyDescent="0.25">
      <c r="B2849" t="str">
        <f>IF(C2849="","",C2849&amp;COUNTIF(C$9:C2849,C2849))</f>
        <v/>
      </c>
    </row>
    <row r="2850" spans="2:2" x14ac:dyDescent="0.25">
      <c r="B2850" t="str">
        <f>IF(C2850="","",C2850&amp;COUNTIF(C$9:C2850,C2850))</f>
        <v/>
      </c>
    </row>
    <row r="2851" spans="2:2" x14ac:dyDescent="0.25">
      <c r="B2851" t="str">
        <f>IF(C2851="","",C2851&amp;COUNTIF(C$9:C2851,C2851))</f>
        <v/>
      </c>
    </row>
    <row r="2852" spans="2:2" x14ac:dyDescent="0.25">
      <c r="B2852" t="str">
        <f>IF(C2852="","",C2852&amp;COUNTIF(C$9:C2852,C2852))</f>
        <v/>
      </c>
    </row>
    <row r="2853" spans="2:2" x14ac:dyDescent="0.25">
      <c r="B2853" t="str">
        <f>IF(C2853="","",C2853&amp;COUNTIF(C$9:C2853,C2853))</f>
        <v/>
      </c>
    </row>
    <row r="2854" spans="2:2" x14ac:dyDescent="0.25">
      <c r="B2854" t="str">
        <f>IF(C2854="","",C2854&amp;COUNTIF(C$9:C2854,C2854))</f>
        <v/>
      </c>
    </row>
    <row r="2855" spans="2:2" x14ac:dyDescent="0.25">
      <c r="B2855" t="str">
        <f>IF(C2855="","",C2855&amp;COUNTIF(C$9:C2855,C2855))</f>
        <v/>
      </c>
    </row>
    <row r="2856" spans="2:2" x14ac:dyDescent="0.25">
      <c r="B2856" t="str">
        <f>IF(C2856="","",C2856&amp;COUNTIF(C$9:C2856,C2856))</f>
        <v/>
      </c>
    </row>
    <row r="2857" spans="2:2" x14ac:dyDescent="0.25">
      <c r="B2857" t="str">
        <f>IF(C2857="","",C2857&amp;COUNTIF(C$9:C2857,C2857))</f>
        <v/>
      </c>
    </row>
    <row r="2858" spans="2:2" x14ac:dyDescent="0.25">
      <c r="B2858" t="str">
        <f>IF(C2858="","",C2858&amp;COUNTIF(C$9:C2858,C2858))</f>
        <v/>
      </c>
    </row>
    <row r="2859" spans="2:2" x14ac:dyDescent="0.25">
      <c r="B2859" t="str">
        <f>IF(C2859="","",C2859&amp;COUNTIF(C$9:C2859,C2859))</f>
        <v/>
      </c>
    </row>
    <row r="2860" spans="2:2" x14ac:dyDescent="0.25">
      <c r="B2860" t="str">
        <f>IF(C2860="","",C2860&amp;COUNTIF(C$9:C2860,C2860))</f>
        <v/>
      </c>
    </row>
    <row r="2861" spans="2:2" x14ac:dyDescent="0.25">
      <c r="B2861" t="str">
        <f>IF(C2861="","",C2861&amp;COUNTIF(C$9:C2861,C2861))</f>
        <v/>
      </c>
    </row>
    <row r="2862" spans="2:2" x14ac:dyDescent="0.25">
      <c r="B2862" t="str">
        <f>IF(C2862="","",C2862&amp;COUNTIF(C$9:C2862,C2862))</f>
        <v/>
      </c>
    </row>
    <row r="2863" spans="2:2" x14ac:dyDescent="0.25">
      <c r="B2863" t="str">
        <f>IF(C2863="","",C2863&amp;COUNTIF(C$9:C2863,C2863))</f>
        <v/>
      </c>
    </row>
    <row r="2864" spans="2:2" x14ac:dyDescent="0.25">
      <c r="B2864" t="str">
        <f>IF(C2864="","",C2864&amp;COUNTIF(C$9:C2864,C2864))</f>
        <v/>
      </c>
    </row>
    <row r="2865" spans="2:2" x14ac:dyDescent="0.25">
      <c r="B2865" t="str">
        <f>IF(C2865="","",C2865&amp;COUNTIF(C$9:C2865,C2865))</f>
        <v/>
      </c>
    </row>
    <row r="2866" spans="2:2" x14ac:dyDescent="0.25">
      <c r="B2866" t="str">
        <f>IF(C2866="","",C2866&amp;COUNTIF(C$9:C2866,C2866))</f>
        <v/>
      </c>
    </row>
    <row r="2867" spans="2:2" x14ac:dyDescent="0.25">
      <c r="B2867" t="str">
        <f>IF(C2867="","",C2867&amp;COUNTIF(C$9:C2867,C2867))</f>
        <v/>
      </c>
    </row>
    <row r="2868" spans="2:2" x14ac:dyDescent="0.25">
      <c r="B2868" t="str">
        <f>IF(C2868="","",C2868&amp;COUNTIF(C$9:C2868,C2868))</f>
        <v/>
      </c>
    </row>
    <row r="2869" spans="2:2" x14ac:dyDescent="0.25">
      <c r="B2869" t="str">
        <f>IF(C2869="","",C2869&amp;COUNTIF(C$9:C2869,C2869))</f>
        <v/>
      </c>
    </row>
    <row r="2870" spans="2:2" x14ac:dyDescent="0.25">
      <c r="B2870" t="str">
        <f>IF(C2870="","",C2870&amp;COUNTIF(C$9:C2870,C2870))</f>
        <v/>
      </c>
    </row>
    <row r="2871" spans="2:2" x14ac:dyDescent="0.25">
      <c r="B2871" t="str">
        <f>IF(C2871="","",C2871&amp;COUNTIF(C$9:C2871,C2871))</f>
        <v/>
      </c>
    </row>
    <row r="2872" spans="2:2" x14ac:dyDescent="0.25">
      <c r="B2872" t="str">
        <f>IF(C2872="","",C2872&amp;COUNTIF(C$9:C2872,C2872))</f>
        <v/>
      </c>
    </row>
    <row r="2873" spans="2:2" x14ac:dyDescent="0.25">
      <c r="B2873" t="str">
        <f>IF(C2873="","",C2873&amp;COUNTIF(C$9:C2873,C2873))</f>
        <v/>
      </c>
    </row>
    <row r="2874" spans="2:2" x14ac:dyDescent="0.25">
      <c r="B2874" t="str">
        <f>IF(C2874="","",C2874&amp;COUNTIF(C$9:C2874,C2874))</f>
        <v/>
      </c>
    </row>
    <row r="2875" spans="2:2" x14ac:dyDescent="0.25">
      <c r="B2875" t="str">
        <f>IF(C2875="","",C2875&amp;COUNTIF(C$9:C2875,C2875))</f>
        <v/>
      </c>
    </row>
    <row r="2876" spans="2:2" x14ac:dyDescent="0.25">
      <c r="B2876" t="str">
        <f>IF(C2876="","",C2876&amp;COUNTIF(C$9:C2876,C2876))</f>
        <v/>
      </c>
    </row>
    <row r="2877" spans="2:2" x14ac:dyDescent="0.25">
      <c r="B2877" t="str">
        <f>IF(C2877="","",C2877&amp;COUNTIF(C$9:C2877,C2877))</f>
        <v/>
      </c>
    </row>
    <row r="2878" spans="2:2" x14ac:dyDescent="0.25">
      <c r="B2878" t="str">
        <f>IF(C2878="","",C2878&amp;COUNTIF(C$9:C2878,C2878))</f>
        <v/>
      </c>
    </row>
    <row r="2879" spans="2:2" x14ac:dyDescent="0.25">
      <c r="B2879" t="str">
        <f>IF(C2879="","",C2879&amp;COUNTIF(C$9:C2879,C2879))</f>
        <v/>
      </c>
    </row>
    <row r="2880" spans="2:2" x14ac:dyDescent="0.25">
      <c r="B2880" t="str">
        <f>IF(C2880="","",C2880&amp;COUNTIF(C$9:C2880,C2880))</f>
        <v/>
      </c>
    </row>
    <row r="2881" spans="2:2" x14ac:dyDescent="0.25">
      <c r="B2881" t="str">
        <f>IF(C2881="","",C2881&amp;COUNTIF(C$9:C2881,C2881))</f>
        <v/>
      </c>
    </row>
    <row r="2882" spans="2:2" x14ac:dyDescent="0.25">
      <c r="B2882" t="str">
        <f>IF(C2882="","",C2882&amp;COUNTIF(C$9:C2882,C2882))</f>
        <v/>
      </c>
    </row>
    <row r="2883" spans="2:2" x14ac:dyDescent="0.25">
      <c r="B2883" t="str">
        <f>IF(C2883="","",C2883&amp;COUNTIF(C$9:C2883,C2883))</f>
        <v/>
      </c>
    </row>
    <row r="2884" spans="2:2" x14ac:dyDescent="0.25">
      <c r="B2884" t="str">
        <f>IF(C2884="","",C2884&amp;COUNTIF(C$9:C2884,C2884))</f>
        <v/>
      </c>
    </row>
    <row r="2885" spans="2:2" x14ac:dyDescent="0.25">
      <c r="B2885" t="str">
        <f>IF(C2885="","",C2885&amp;COUNTIF(C$9:C2885,C2885))</f>
        <v/>
      </c>
    </row>
    <row r="2886" spans="2:2" x14ac:dyDescent="0.25">
      <c r="B2886" t="str">
        <f>IF(C2886="","",C2886&amp;COUNTIF(C$9:C2886,C2886))</f>
        <v/>
      </c>
    </row>
    <row r="2887" spans="2:2" x14ac:dyDescent="0.25">
      <c r="B2887" t="str">
        <f>IF(C2887="","",C2887&amp;COUNTIF(C$9:C2887,C2887))</f>
        <v/>
      </c>
    </row>
    <row r="2888" spans="2:2" x14ac:dyDescent="0.25">
      <c r="B2888" t="str">
        <f>IF(C2888="","",C2888&amp;COUNTIF(C$9:C2888,C2888))</f>
        <v/>
      </c>
    </row>
    <row r="2889" spans="2:2" x14ac:dyDescent="0.25">
      <c r="B2889" t="str">
        <f>IF(C2889="","",C2889&amp;COUNTIF(C$9:C2889,C2889))</f>
        <v/>
      </c>
    </row>
    <row r="2890" spans="2:2" x14ac:dyDescent="0.25">
      <c r="B2890" t="str">
        <f>IF(C2890="","",C2890&amp;COUNTIF(C$9:C2890,C2890))</f>
        <v/>
      </c>
    </row>
    <row r="2891" spans="2:2" x14ac:dyDescent="0.25">
      <c r="B2891" t="str">
        <f>IF(C2891="","",C2891&amp;COUNTIF(C$9:C2891,C2891))</f>
        <v/>
      </c>
    </row>
    <row r="2892" spans="2:2" x14ac:dyDescent="0.25">
      <c r="B2892" t="str">
        <f>IF(C2892="","",C2892&amp;COUNTIF(C$9:C2892,C2892))</f>
        <v/>
      </c>
    </row>
    <row r="2893" spans="2:2" x14ac:dyDescent="0.25">
      <c r="B2893" t="str">
        <f>IF(C2893="","",C2893&amp;COUNTIF(C$9:C2893,C2893))</f>
        <v/>
      </c>
    </row>
    <row r="2894" spans="2:2" x14ac:dyDescent="0.25">
      <c r="B2894" t="str">
        <f>IF(C2894="","",C2894&amp;COUNTIF(C$9:C2894,C2894))</f>
        <v/>
      </c>
    </row>
    <row r="2895" spans="2:2" x14ac:dyDescent="0.25">
      <c r="B2895" t="str">
        <f>IF(C2895="","",C2895&amp;COUNTIF(C$9:C2895,C2895))</f>
        <v/>
      </c>
    </row>
    <row r="2896" spans="2:2" x14ac:dyDescent="0.25">
      <c r="B2896" t="str">
        <f>IF(C2896="","",C2896&amp;COUNTIF(C$9:C2896,C2896))</f>
        <v/>
      </c>
    </row>
    <row r="2897" spans="2:2" x14ac:dyDescent="0.25">
      <c r="B2897" t="str">
        <f>IF(C2897="","",C2897&amp;COUNTIF(C$9:C2897,C2897))</f>
        <v/>
      </c>
    </row>
    <row r="2898" spans="2:2" x14ac:dyDescent="0.25">
      <c r="B2898" t="str">
        <f>IF(C2898="","",C2898&amp;COUNTIF(C$9:C2898,C2898))</f>
        <v/>
      </c>
    </row>
    <row r="2899" spans="2:2" x14ac:dyDescent="0.25">
      <c r="B2899" t="str">
        <f>IF(C2899="","",C2899&amp;COUNTIF(C$9:C2899,C2899))</f>
        <v/>
      </c>
    </row>
    <row r="2900" spans="2:2" x14ac:dyDescent="0.25">
      <c r="B2900" t="str">
        <f>IF(C2900="","",C2900&amp;COUNTIF(C$9:C2900,C2900))</f>
        <v/>
      </c>
    </row>
    <row r="2901" spans="2:2" x14ac:dyDescent="0.25">
      <c r="B2901" t="str">
        <f>IF(C2901="","",C2901&amp;COUNTIF(C$9:C2901,C2901))</f>
        <v/>
      </c>
    </row>
    <row r="2902" spans="2:2" x14ac:dyDescent="0.25">
      <c r="B2902" t="str">
        <f>IF(C2902="","",C2902&amp;COUNTIF(C$9:C2902,C2902))</f>
        <v/>
      </c>
    </row>
    <row r="2903" spans="2:2" x14ac:dyDescent="0.25">
      <c r="B2903" t="str">
        <f>IF(C2903="","",C2903&amp;COUNTIF(C$9:C2903,C2903))</f>
        <v/>
      </c>
    </row>
    <row r="2904" spans="2:2" x14ac:dyDescent="0.25">
      <c r="B2904" t="str">
        <f>IF(C2904="","",C2904&amp;COUNTIF(C$9:C2904,C2904))</f>
        <v/>
      </c>
    </row>
    <row r="2905" spans="2:2" x14ac:dyDescent="0.25">
      <c r="B2905" t="str">
        <f>IF(C2905="","",C2905&amp;COUNTIF(C$9:C2905,C2905))</f>
        <v/>
      </c>
    </row>
    <row r="2906" spans="2:2" x14ac:dyDescent="0.25">
      <c r="B2906" t="str">
        <f>IF(C2906="","",C2906&amp;COUNTIF(C$9:C2906,C2906))</f>
        <v/>
      </c>
    </row>
    <row r="2907" spans="2:2" x14ac:dyDescent="0.25">
      <c r="B2907" t="str">
        <f>IF(C2907="","",C2907&amp;COUNTIF(C$9:C2907,C2907))</f>
        <v/>
      </c>
    </row>
    <row r="2908" spans="2:2" x14ac:dyDescent="0.25">
      <c r="B2908" t="str">
        <f>IF(C2908="","",C2908&amp;COUNTIF(C$9:C2908,C2908))</f>
        <v/>
      </c>
    </row>
    <row r="2909" spans="2:2" x14ac:dyDescent="0.25">
      <c r="B2909" t="str">
        <f>IF(C2909="","",C2909&amp;COUNTIF(C$9:C2909,C2909))</f>
        <v/>
      </c>
    </row>
    <row r="2910" spans="2:2" x14ac:dyDescent="0.25">
      <c r="B2910" t="str">
        <f>IF(C2910="","",C2910&amp;COUNTIF(C$9:C2910,C2910))</f>
        <v/>
      </c>
    </row>
    <row r="2911" spans="2:2" x14ac:dyDescent="0.25">
      <c r="B2911" t="str">
        <f>IF(C2911="","",C2911&amp;COUNTIF(C$9:C2911,C2911))</f>
        <v/>
      </c>
    </row>
    <row r="2912" spans="2:2" x14ac:dyDescent="0.25">
      <c r="B2912" t="str">
        <f>IF(C2912="","",C2912&amp;COUNTIF(C$9:C2912,C2912))</f>
        <v/>
      </c>
    </row>
    <row r="2913" spans="2:2" x14ac:dyDescent="0.25">
      <c r="B2913" t="str">
        <f>IF(C2913="","",C2913&amp;COUNTIF(C$9:C2913,C2913))</f>
        <v/>
      </c>
    </row>
    <row r="2914" spans="2:2" x14ac:dyDescent="0.25">
      <c r="B2914" t="str">
        <f>IF(C2914="","",C2914&amp;COUNTIF(C$9:C2914,C2914))</f>
        <v/>
      </c>
    </row>
    <row r="2915" spans="2:2" x14ac:dyDescent="0.25">
      <c r="B2915" t="str">
        <f>IF(C2915="","",C2915&amp;COUNTIF(C$9:C2915,C2915))</f>
        <v/>
      </c>
    </row>
    <row r="2916" spans="2:2" x14ac:dyDescent="0.25">
      <c r="B2916" t="str">
        <f>IF(C2916="","",C2916&amp;COUNTIF(C$9:C2916,C2916))</f>
        <v/>
      </c>
    </row>
    <row r="2917" spans="2:2" x14ac:dyDescent="0.25">
      <c r="B2917" t="str">
        <f>IF(C2917="","",C2917&amp;COUNTIF(C$9:C2917,C2917))</f>
        <v/>
      </c>
    </row>
    <row r="2918" spans="2:2" x14ac:dyDescent="0.25">
      <c r="B2918" t="str">
        <f>IF(C2918="","",C2918&amp;COUNTIF(C$9:C2918,C2918))</f>
        <v/>
      </c>
    </row>
    <row r="2919" spans="2:2" x14ac:dyDescent="0.25">
      <c r="B2919" t="str">
        <f>IF(C2919="","",C2919&amp;COUNTIF(C$9:C2919,C2919))</f>
        <v/>
      </c>
    </row>
    <row r="2920" spans="2:2" x14ac:dyDescent="0.25">
      <c r="B2920" t="str">
        <f>IF(C2920="","",C2920&amp;COUNTIF(C$9:C2920,C2920))</f>
        <v/>
      </c>
    </row>
    <row r="2921" spans="2:2" x14ac:dyDescent="0.25">
      <c r="B2921" t="str">
        <f>IF(C2921="","",C2921&amp;COUNTIF(C$9:C2921,C2921))</f>
        <v/>
      </c>
    </row>
    <row r="2922" spans="2:2" x14ac:dyDescent="0.25">
      <c r="B2922" t="str">
        <f>IF(C2922="","",C2922&amp;COUNTIF(C$9:C2922,C2922))</f>
        <v/>
      </c>
    </row>
    <row r="2923" spans="2:2" x14ac:dyDescent="0.25">
      <c r="B2923" t="str">
        <f>IF(C2923="","",C2923&amp;COUNTIF(C$9:C2923,C2923))</f>
        <v/>
      </c>
    </row>
    <row r="2924" spans="2:2" x14ac:dyDescent="0.25">
      <c r="B2924" t="str">
        <f>IF(C2924="","",C2924&amp;COUNTIF(C$9:C2924,C2924))</f>
        <v/>
      </c>
    </row>
    <row r="2925" spans="2:2" x14ac:dyDescent="0.25">
      <c r="B2925" t="str">
        <f>IF(C2925="","",C2925&amp;COUNTIF(C$9:C2925,C2925))</f>
        <v/>
      </c>
    </row>
    <row r="2926" spans="2:2" x14ac:dyDescent="0.25">
      <c r="B2926" t="str">
        <f>IF(C2926="","",C2926&amp;COUNTIF(C$9:C2926,C2926))</f>
        <v/>
      </c>
    </row>
    <row r="2927" spans="2:2" x14ac:dyDescent="0.25">
      <c r="B2927" t="str">
        <f>IF(C2927="","",C2927&amp;COUNTIF(C$9:C2927,C2927))</f>
        <v/>
      </c>
    </row>
    <row r="2928" spans="2:2" x14ac:dyDescent="0.25">
      <c r="B2928" t="str">
        <f>IF(C2928="","",C2928&amp;COUNTIF(C$9:C2928,C2928))</f>
        <v/>
      </c>
    </row>
    <row r="2929" spans="2:2" x14ac:dyDescent="0.25">
      <c r="B2929" t="str">
        <f>IF(C2929="","",C2929&amp;COUNTIF(C$9:C2929,C2929))</f>
        <v/>
      </c>
    </row>
    <row r="2930" spans="2:2" x14ac:dyDescent="0.25">
      <c r="B2930" t="str">
        <f>IF(C2930="","",C2930&amp;COUNTIF(C$9:C2930,C2930))</f>
        <v/>
      </c>
    </row>
    <row r="2931" spans="2:2" x14ac:dyDescent="0.25">
      <c r="B2931" t="str">
        <f>IF(C2931="","",C2931&amp;COUNTIF(C$9:C2931,C2931))</f>
        <v/>
      </c>
    </row>
    <row r="2932" spans="2:2" x14ac:dyDescent="0.25">
      <c r="B2932" t="str">
        <f>IF(C2932="","",C2932&amp;COUNTIF(C$9:C2932,C2932))</f>
        <v/>
      </c>
    </row>
    <row r="2933" spans="2:2" x14ac:dyDescent="0.25">
      <c r="B2933" t="str">
        <f>IF(C2933="","",C2933&amp;COUNTIF(C$9:C2933,C2933))</f>
        <v/>
      </c>
    </row>
    <row r="2934" spans="2:2" x14ac:dyDescent="0.25">
      <c r="B2934" t="str">
        <f>IF(C2934="","",C2934&amp;COUNTIF(C$9:C2934,C2934))</f>
        <v/>
      </c>
    </row>
    <row r="2935" spans="2:2" x14ac:dyDescent="0.25">
      <c r="B2935" t="str">
        <f>IF(C2935="","",C2935&amp;COUNTIF(C$9:C2935,C2935))</f>
        <v/>
      </c>
    </row>
    <row r="2936" spans="2:2" x14ac:dyDescent="0.25">
      <c r="B2936" t="str">
        <f>IF(C2936="","",C2936&amp;COUNTIF(C$9:C2936,C2936))</f>
        <v/>
      </c>
    </row>
    <row r="2937" spans="2:2" x14ac:dyDescent="0.25">
      <c r="B2937" t="str">
        <f>IF(C2937="","",C2937&amp;COUNTIF(C$9:C2937,C2937))</f>
        <v/>
      </c>
    </row>
    <row r="2938" spans="2:2" x14ac:dyDescent="0.25">
      <c r="B2938" t="str">
        <f>IF(C2938="","",C2938&amp;COUNTIF(C$9:C2938,C2938))</f>
        <v/>
      </c>
    </row>
    <row r="2939" spans="2:2" x14ac:dyDescent="0.25">
      <c r="B2939" t="str">
        <f>IF(C2939="","",C2939&amp;COUNTIF(C$9:C2939,C2939))</f>
        <v/>
      </c>
    </row>
    <row r="2940" spans="2:2" x14ac:dyDescent="0.25">
      <c r="B2940" t="str">
        <f>IF(C2940="","",C2940&amp;COUNTIF(C$9:C2940,C2940))</f>
        <v/>
      </c>
    </row>
    <row r="2941" spans="2:2" x14ac:dyDescent="0.25">
      <c r="B2941" t="str">
        <f>IF(C2941="","",C2941&amp;COUNTIF(C$9:C2941,C2941))</f>
        <v/>
      </c>
    </row>
    <row r="2942" spans="2:2" x14ac:dyDescent="0.25">
      <c r="B2942" t="str">
        <f>IF(C2942="","",C2942&amp;COUNTIF(C$9:C2942,C2942))</f>
        <v/>
      </c>
    </row>
    <row r="2943" spans="2:2" x14ac:dyDescent="0.25">
      <c r="B2943" t="str">
        <f>IF(C2943="","",C2943&amp;COUNTIF(C$9:C2943,C2943))</f>
        <v/>
      </c>
    </row>
    <row r="2944" spans="2:2" x14ac:dyDescent="0.25">
      <c r="B2944" t="str">
        <f>IF(C2944="","",C2944&amp;COUNTIF(C$9:C2944,C2944))</f>
        <v/>
      </c>
    </row>
    <row r="2945" spans="2:2" x14ac:dyDescent="0.25">
      <c r="B2945" t="str">
        <f>IF(C2945="","",C2945&amp;COUNTIF(C$9:C2945,C2945))</f>
        <v/>
      </c>
    </row>
    <row r="2946" spans="2:2" x14ac:dyDescent="0.25">
      <c r="B2946" t="str">
        <f>IF(C2946="","",C2946&amp;COUNTIF(C$9:C2946,C2946))</f>
        <v/>
      </c>
    </row>
    <row r="2947" spans="2:2" x14ac:dyDescent="0.25">
      <c r="B2947" t="str">
        <f>IF(C2947="","",C2947&amp;COUNTIF(C$9:C2947,C2947))</f>
        <v/>
      </c>
    </row>
    <row r="2948" spans="2:2" x14ac:dyDescent="0.25">
      <c r="B2948" t="str">
        <f>IF(C2948="","",C2948&amp;COUNTIF(C$9:C2948,C2948))</f>
        <v/>
      </c>
    </row>
    <row r="2949" spans="2:2" x14ac:dyDescent="0.25">
      <c r="B2949" t="str">
        <f>IF(C2949="","",C2949&amp;COUNTIF(C$9:C2949,C2949))</f>
        <v/>
      </c>
    </row>
    <row r="2950" spans="2:2" x14ac:dyDescent="0.25">
      <c r="B2950" t="str">
        <f>IF(C2950="","",C2950&amp;COUNTIF(C$9:C2950,C2950))</f>
        <v/>
      </c>
    </row>
    <row r="2951" spans="2:2" x14ac:dyDescent="0.25">
      <c r="B2951" t="str">
        <f>IF(C2951="","",C2951&amp;COUNTIF(C$9:C2951,C2951))</f>
        <v/>
      </c>
    </row>
    <row r="2952" spans="2:2" x14ac:dyDescent="0.25">
      <c r="B2952" t="str">
        <f>IF(C2952="","",C2952&amp;COUNTIF(C$9:C2952,C2952))</f>
        <v/>
      </c>
    </row>
    <row r="2953" spans="2:2" x14ac:dyDescent="0.25">
      <c r="B2953" t="str">
        <f>IF(C2953="","",C2953&amp;COUNTIF(C$9:C2953,C2953))</f>
        <v/>
      </c>
    </row>
    <row r="2954" spans="2:2" x14ac:dyDescent="0.25">
      <c r="B2954" t="str">
        <f>IF(C2954="","",C2954&amp;COUNTIF(C$9:C2954,C2954))</f>
        <v/>
      </c>
    </row>
    <row r="2955" spans="2:2" x14ac:dyDescent="0.25">
      <c r="B2955" t="str">
        <f>IF(C2955="","",C2955&amp;COUNTIF(C$9:C2955,C2955))</f>
        <v/>
      </c>
    </row>
    <row r="2956" spans="2:2" x14ac:dyDescent="0.25">
      <c r="B2956" t="str">
        <f>IF(C2956="","",C2956&amp;COUNTIF(C$9:C2956,C2956))</f>
        <v/>
      </c>
    </row>
    <row r="2957" spans="2:2" x14ac:dyDescent="0.25">
      <c r="B2957" t="str">
        <f>IF(C2957="","",C2957&amp;COUNTIF(C$9:C2957,C2957))</f>
        <v/>
      </c>
    </row>
    <row r="2958" spans="2:2" x14ac:dyDescent="0.25">
      <c r="B2958" t="str">
        <f>IF(C2958="","",C2958&amp;COUNTIF(C$9:C2958,C2958))</f>
        <v/>
      </c>
    </row>
    <row r="2959" spans="2:2" x14ac:dyDescent="0.25">
      <c r="B2959" t="str">
        <f>IF(C2959="","",C2959&amp;COUNTIF(C$9:C2959,C2959))</f>
        <v/>
      </c>
    </row>
    <row r="2960" spans="2:2" x14ac:dyDescent="0.25">
      <c r="B2960" t="str">
        <f>IF(C2960="","",C2960&amp;COUNTIF(C$9:C2960,C2960))</f>
        <v/>
      </c>
    </row>
    <row r="2961" spans="2:2" x14ac:dyDescent="0.25">
      <c r="B2961" t="str">
        <f>IF(C2961="","",C2961&amp;COUNTIF(C$9:C2961,C2961))</f>
        <v/>
      </c>
    </row>
    <row r="2962" spans="2:2" x14ac:dyDescent="0.25">
      <c r="B2962" t="str">
        <f>IF(C2962="","",C2962&amp;COUNTIF(C$9:C2962,C2962))</f>
        <v/>
      </c>
    </row>
    <row r="2963" spans="2:2" x14ac:dyDescent="0.25">
      <c r="B2963" t="str">
        <f>IF(C2963="","",C2963&amp;COUNTIF(C$9:C2963,C2963))</f>
        <v/>
      </c>
    </row>
    <row r="2964" spans="2:2" x14ac:dyDescent="0.25">
      <c r="B2964" t="str">
        <f>IF(C2964="","",C2964&amp;COUNTIF(C$9:C2964,C2964))</f>
        <v/>
      </c>
    </row>
    <row r="2965" spans="2:2" x14ac:dyDescent="0.25">
      <c r="B2965" t="str">
        <f>IF(C2965="","",C2965&amp;COUNTIF(C$9:C2965,C2965))</f>
        <v/>
      </c>
    </row>
    <row r="2966" spans="2:2" x14ac:dyDescent="0.25">
      <c r="B2966" t="str">
        <f>IF(C2966="","",C2966&amp;COUNTIF(C$9:C2966,C2966))</f>
        <v/>
      </c>
    </row>
    <row r="2967" spans="2:2" x14ac:dyDescent="0.25">
      <c r="B2967" t="str">
        <f>IF(C2967="","",C2967&amp;COUNTIF(C$9:C2967,C2967))</f>
        <v/>
      </c>
    </row>
    <row r="2968" spans="2:2" x14ac:dyDescent="0.25">
      <c r="B2968" t="str">
        <f>IF(C2968="","",C2968&amp;COUNTIF(C$9:C2968,C2968))</f>
        <v/>
      </c>
    </row>
    <row r="2969" spans="2:2" x14ac:dyDescent="0.25">
      <c r="B2969" t="str">
        <f>IF(C2969="","",C2969&amp;COUNTIF(C$9:C2969,C2969))</f>
        <v/>
      </c>
    </row>
    <row r="2970" spans="2:2" x14ac:dyDescent="0.25">
      <c r="B2970" t="str">
        <f>IF(C2970="","",C2970&amp;COUNTIF(C$9:C2970,C2970))</f>
        <v/>
      </c>
    </row>
    <row r="2971" spans="2:2" x14ac:dyDescent="0.25">
      <c r="B2971" t="str">
        <f>IF(C2971="","",C2971&amp;COUNTIF(C$9:C2971,C2971))</f>
        <v/>
      </c>
    </row>
    <row r="2972" spans="2:2" x14ac:dyDescent="0.25">
      <c r="B2972" t="str">
        <f>IF(C2972="","",C2972&amp;COUNTIF(C$9:C2972,C2972))</f>
        <v/>
      </c>
    </row>
    <row r="2973" spans="2:2" x14ac:dyDescent="0.25">
      <c r="B2973" t="str">
        <f>IF(C2973="","",C2973&amp;COUNTIF(C$9:C2973,C2973))</f>
        <v/>
      </c>
    </row>
    <row r="2974" spans="2:2" x14ac:dyDescent="0.25">
      <c r="B2974" t="str">
        <f>IF(C2974="","",C2974&amp;COUNTIF(C$9:C2974,C2974))</f>
        <v/>
      </c>
    </row>
    <row r="2975" spans="2:2" x14ac:dyDescent="0.25">
      <c r="B2975" t="str">
        <f>IF(C2975="","",C2975&amp;COUNTIF(C$9:C2975,C2975))</f>
        <v/>
      </c>
    </row>
    <row r="2976" spans="2:2" x14ac:dyDescent="0.25">
      <c r="B2976" t="str">
        <f>IF(C2976="","",C2976&amp;COUNTIF(C$9:C2976,C2976))</f>
        <v/>
      </c>
    </row>
    <row r="2977" spans="2:2" x14ac:dyDescent="0.25">
      <c r="B2977" t="str">
        <f>IF(C2977="","",C2977&amp;COUNTIF(C$9:C2977,C2977))</f>
        <v/>
      </c>
    </row>
    <row r="2978" spans="2:2" x14ac:dyDescent="0.25">
      <c r="B2978" t="str">
        <f>IF(C2978="","",C2978&amp;COUNTIF(C$9:C2978,C2978))</f>
        <v/>
      </c>
    </row>
    <row r="2979" spans="2:2" x14ac:dyDescent="0.25">
      <c r="B2979" t="str">
        <f>IF(C2979="","",C2979&amp;COUNTIF(C$9:C2979,C2979))</f>
        <v/>
      </c>
    </row>
    <row r="2980" spans="2:2" x14ac:dyDescent="0.25">
      <c r="B2980" t="str">
        <f>IF(C2980="","",C2980&amp;COUNTIF(C$9:C2980,C2980))</f>
        <v/>
      </c>
    </row>
    <row r="2981" spans="2:2" x14ac:dyDescent="0.25">
      <c r="B2981" t="str">
        <f>IF(C2981="","",C2981&amp;COUNTIF(C$9:C2981,C2981))</f>
        <v/>
      </c>
    </row>
    <row r="2982" spans="2:2" x14ac:dyDescent="0.25">
      <c r="B2982" t="str">
        <f>IF(C2982="","",C2982&amp;COUNTIF(C$9:C2982,C2982))</f>
        <v/>
      </c>
    </row>
    <row r="2983" spans="2:2" x14ac:dyDescent="0.25">
      <c r="B2983" t="str">
        <f>IF(C2983="","",C2983&amp;COUNTIF(C$9:C2983,C2983))</f>
        <v/>
      </c>
    </row>
    <row r="2984" spans="2:2" x14ac:dyDescent="0.25">
      <c r="B2984" t="str">
        <f>IF(C2984="","",C2984&amp;COUNTIF(C$9:C2984,C2984))</f>
        <v/>
      </c>
    </row>
    <row r="2985" spans="2:2" x14ac:dyDescent="0.25">
      <c r="B2985" t="str">
        <f>IF(C2985="","",C2985&amp;COUNTIF(C$9:C2985,C2985))</f>
        <v/>
      </c>
    </row>
    <row r="2986" spans="2:2" x14ac:dyDescent="0.25">
      <c r="B2986" t="str">
        <f>IF(C2986="","",C2986&amp;COUNTIF(C$9:C2986,C2986))</f>
        <v/>
      </c>
    </row>
    <row r="2987" spans="2:2" x14ac:dyDescent="0.25">
      <c r="B2987" t="str">
        <f>IF(C2987="","",C2987&amp;COUNTIF(C$9:C2987,C2987))</f>
        <v/>
      </c>
    </row>
    <row r="2988" spans="2:2" x14ac:dyDescent="0.25">
      <c r="B2988" t="str">
        <f>IF(C2988="","",C2988&amp;COUNTIF(C$9:C2988,C2988))</f>
        <v/>
      </c>
    </row>
    <row r="2989" spans="2:2" x14ac:dyDescent="0.25">
      <c r="B2989" t="str">
        <f>IF(C2989="","",C2989&amp;COUNTIF(C$9:C2989,C2989))</f>
        <v/>
      </c>
    </row>
    <row r="2990" spans="2:2" x14ac:dyDescent="0.25">
      <c r="B2990" t="str">
        <f>IF(C2990="","",C2990&amp;COUNTIF(C$9:C2990,C2990))</f>
        <v/>
      </c>
    </row>
    <row r="2991" spans="2:2" x14ac:dyDescent="0.25">
      <c r="B2991" t="str">
        <f>IF(C2991="","",C2991&amp;COUNTIF(C$9:C2991,C2991))</f>
        <v/>
      </c>
    </row>
    <row r="2992" spans="2:2" x14ac:dyDescent="0.25">
      <c r="B2992" t="str">
        <f>IF(C2992="","",C2992&amp;COUNTIF(C$9:C2992,C2992))</f>
        <v/>
      </c>
    </row>
    <row r="2993" spans="2:2" x14ac:dyDescent="0.25">
      <c r="B2993" t="str">
        <f>IF(C2993="","",C2993&amp;COUNTIF(C$9:C2993,C2993))</f>
        <v/>
      </c>
    </row>
    <row r="2994" spans="2:2" x14ac:dyDescent="0.25">
      <c r="B2994" t="str">
        <f>IF(C2994="","",C2994&amp;COUNTIF(C$9:C2994,C2994))</f>
        <v/>
      </c>
    </row>
    <row r="2995" spans="2:2" x14ac:dyDescent="0.25">
      <c r="B2995" t="str">
        <f>IF(C2995="","",C2995&amp;COUNTIF(C$9:C2995,C2995))</f>
        <v/>
      </c>
    </row>
    <row r="2996" spans="2:2" x14ac:dyDescent="0.25">
      <c r="B2996" t="str">
        <f>IF(C2996="","",C2996&amp;COUNTIF(C$9:C2996,C2996))</f>
        <v/>
      </c>
    </row>
    <row r="2997" spans="2:2" x14ac:dyDescent="0.25">
      <c r="B2997" t="str">
        <f>IF(C2997="","",C2997&amp;COUNTIF(C$9:C2997,C2997))</f>
        <v/>
      </c>
    </row>
    <row r="2998" spans="2:2" x14ac:dyDescent="0.25">
      <c r="B2998" t="str">
        <f>IF(C2998="","",C2998&amp;COUNTIF(C$9:C2998,C2998))</f>
        <v/>
      </c>
    </row>
    <row r="2999" spans="2:2" x14ac:dyDescent="0.25">
      <c r="B2999" t="str">
        <f>IF(C2999="","",C2999&amp;COUNTIF(C$9:C2999,C2999))</f>
        <v/>
      </c>
    </row>
    <row r="3000" spans="2:2" x14ac:dyDescent="0.25">
      <c r="B3000" t="str">
        <f>IF(C3000="","",C3000&amp;COUNTIF(C$9:C3000,C3000))</f>
        <v/>
      </c>
    </row>
    <row r="3001" spans="2:2" x14ac:dyDescent="0.25">
      <c r="B3001" t="str">
        <f>IF(C3001="","",C3001&amp;COUNTIF(C$9:C3001,C3001))</f>
        <v/>
      </c>
    </row>
    <row r="3002" spans="2:2" x14ac:dyDescent="0.25">
      <c r="B3002" t="str">
        <f>IF(C3002="","",C3002&amp;COUNTIF(C$9:C3002,C3002))</f>
        <v/>
      </c>
    </row>
    <row r="3003" spans="2:2" x14ac:dyDescent="0.25">
      <c r="B3003" t="str">
        <f>IF(C3003="","",C3003&amp;COUNTIF(C$9:C3003,C3003))</f>
        <v/>
      </c>
    </row>
    <row r="3004" spans="2:2" x14ac:dyDescent="0.25">
      <c r="B3004" t="str">
        <f>IF(C3004="","",C3004&amp;COUNTIF(C$9:C3004,C3004))</f>
        <v/>
      </c>
    </row>
    <row r="3005" spans="2:2" x14ac:dyDescent="0.25">
      <c r="B3005" t="str">
        <f>IF(C3005="","",C3005&amp;COUNTIF(C$9:C3005,C3005))</f>
        <v/>
      </c>
    </row>
    <row r="3006" spans="2:2" x14ac:dyDescent="0.25">
      <c r="B3006" t="str">
        <f>IF(C3006="","",C3006&amp;COUNTIF(C$9:C3006,C3006))</f>
        <v/>
      </c>
    </row>
    <row r="3007" spans="2:2" x14ac:dyDescent="0.25">
      <c r="B3007" t="str">
        <f>IF(C3007="","",C3007&amp;COUNTIF(C$9:C3007,C3007))</f>
        <v/>
      </c>
    </row>
    <row r="3008" spans="2:2" x14ac:dyDescent="0.25">
      <c r="B3008" t="str">
        <f>IF(C3008="","",C3008&amp;COUNTIF(C$9:C3008,C3008))</f>
        <v/>
      </c>
    </row>
    <row r="3009" spans="2:2" x14ac:dyDescent="0.25">
      <c r="B3009" t="str">
        <f>IF(C3009="","",C3009&amp;COUNTIF(C$9:C3009,C3009))</f>
        <v/>
      </c>
    </row>
    <row r="3010" spans="2:2" x14ac:dyDescent="0.25">
      <c r="B3010" t="str">
        <f>IF(C3010="","",C3010&amp;COUNTIF(C$9:C3010,C3010))</f>
        <v/>
      </c>
    </row>
    <row r="3011" spans="2:2" x14ac:dyDescent="0.25">
      <c r="B3011" t="str">
        <f>IF(C3011="","",C3011&amp;COUNTIF(C$9:C3011,C3011))</f>
        <v/>
      </c>
    </row>
    <row r="3012" spans="2:2" x14ac:dyDescent="0.25">
      <c r="B3012" t="str">
        <f>IF(C3012="","",C3012&amp;COUNTIF(C$9:C3012,C3012))</f>
        <v/>
      </c>
    </row>
    <row r="3013" spans="2:2" x14ac:dyDescent="0.25">
      <c r="B3013" t="str">
        <f>IF(C3013="","",C3013&amp;COUNTIF(C$9:C3013,C3013))</f>
        <v/>
      </c>
    </row>
    <row r="3014" spans="2:2" x14ac:dyDescent="0.25">
      <c r="B3014" t="str">
        <f>IF(C3014="","",C3014&amp;COUNTIF(C$9:C3014,C3014))</f>
        <v/>
      </c>
    </row>
    <row r="3015" spans="2:2" x14ac:dyDescent="0.25">
      <c r="B3015" t="str">
        <f>IF(C3015="","",C3015&amp;COUNTIF(C$9:C3015,C3015))</f>
        <v/>
      </c>
    </row>
    <row r="3016" spans="2:2" x14ac:dyDescent="0.25">
      <c r="B3016" t="str">
        <f>IF(C3016="","",C3016&amp;COUNTIF(C$9:C3016,C3016))</f>
        <v/>
      </c>
    </row>
    <row r="3017" spans="2:2" x14ac:dyDescent="0.25">
      <c r="B3017" t="str">
        <f>IF(C3017="","",C3017&amp;COUNTIF(C$9:C3017,C3017))</f>
        <v/>
      </c>
    </row>
    <row r="3018" spans="2:2" x14ac:dyDescent="0.25">
      <c r="B3018" t="str">
        <f>IF(C3018="","",C3018&amp;COUNTIF(C$9:C3018,C3018))</f>
        <v/>
      </c>
    </row>
    <row r="3019" spans="2:2" x14ac:dyDescent="0.25">
      <c r="B3019" t="str">
        <f>IF(C3019="","",C3019&amp;COUNTIF(C$9:C3019,C3019))</f>
        <v/>
      </c>
    </row>
    <row r="3020" spans="2:2" x14ac:dyDescent="0.25">
      <c r="B3020" t="str">
        <f>IF(C3020="","",C3020&amp;COUNTIF(C$9:C3020,C3020))</f>
        <v/>
      </c>
    </row>
    <row r="3021" spans="2:2" x14ac:dyDescent="0.25">
      <c r="B3021" t="str">
        <f>IF(C3021="","",C3021&amp;COUNTIF(C$9:C3021,C3021))</f>
        <v/>
      </c>
    </row>
    <row r="3022" spans="2:2" x14ac:dyDescent="0.25">
      <c r="B3022" t="str">
        <f>IF(C3022="","",C3022&amp;COUNTIF(C$9:C3022,C3022))</f>
        <v/>
      </c>
    </row>
    <row r="3023" spans="2:2" x14ac:dyDescent="0.25">
      <c r="B3023" t="str">
        <f>IF(C3023="","",C3023&amp;COUNTIF(C$9:C3023,C3023))</f>
        <v/>
      </c>
    </row>
    <row r="3024" spans="2:2" x14ac:dyDescent="0.25">
      <c r="B3024" t="str">
        <f>IF(C3024="","",C3024&amp;COUNTIF(C$9:C3024,C3024))</f>
        <v/>
      </c>
    </row>
    <row r="3025" spans="2:2" x14ac:dyDescent="0.25">
      <c r="B3025" t="str">
        <f>IF(C3025="","",C3025&amp;COUNTIF(C$9:C3025,C3025))</f>
        <v/>
      </c>
    </row>
    <row r="3026" spans="2:2" x14ac:dyDescent="0.25">
      <c r="B3026" t="str">
        <f>IF(C3026="","",C3026&amp;COUNTIF(C$9:C3026,C3026))</f>
        <v/>
      </c>
    </row>
    <row r="3027" spans="2:2" x14ac:dyDescent="0.25">
      <c r="B3027" t="str">
        <f>IF(C3027="","",C3027&amp;COUNTIF(C$9:C3027,C3027))</f>
        <v/>
      </c>
    </row>
    <row r="3028" spans="2:2" x14ac:dyDescent="0.25">
      <c r="B3028" t="str">
        <f>IF(C3028="","",C3028&amp;COUNTIF(C$9:C3028,C3028))</f>
        <v/>
      </c>
    </row>
    <row r="3029" spans="2:2" x14ac:dyDescent="0.25">
      <c r="B3029" t="str">
        <f>IF(C3029="","",C3029&amp;COUNTIF(C$9:C3029,C3029))</f>
        <v/>
      </c>
    </row>
    <row r="3030" spans="2:2" x14ac:dyDescent="0.25">
      <c r="B3030" t="str">
        <f>IF(C3030="","",C3030&amp;COUNTIF(C$9:C3030,C3030))</f>
        <v/>
      </c>
    </row>
    <row r="3031" spans="2:2" x14ac:dyDescent="0.25">
      <c r="B3031" t="str">
        <f>IF(C3031="","",C3031&amp;COUNTIF(C$9:C3031,C3031))</f>
        <v/>
      </c>
    </row>
    <row r="3032" spans="2:2" x14ac:dyDescent="0.25">
      <c r="B3032" t="str">
        <f>IF(C3032="","",C3032&amp;COUNTIF(C$9:C3032,C3032))</f>
        <v/>
      </c>
    </row>
    <row r="3033" spans="2:2" x14ac:dyDescent="0.25">
      <c r="B3033" t="str">
        <f>IF(C3033="","",C3033&amp;COUNTIF(C$9:C3033,C3033))</f>
        <v/>
      </c>
    </row>
    <row r="3034" spans="2:2" x14ac:dyDescent="0.25">
      <c r="B3034" t="str">
        <f>IF(C3034="","",C3034&amp;COUNTIF(C$9:C3034,C3034))</f>
        <v/>
      </c>
    </row>
    <row r="3035" spans="2:2" x14ac:dyDescent="0.25">
      <c r="B3035" t="str">
        <f>IF(C3035="","",C3035&amp;COUNTIF(C$9:C3035,C3035))</f>
        <v/>
      </c>
    </row>
    <row r="3036" spans="2:2" x14ac:dyDescent="0.25">
      <c r="B3036" t="str">
        <f>IF(C3036="","",C3036&amp;COUNTIF(C$9:C3036,C3036))</f>
        <v/>
      </c>
    </row>
    <row r="3037" spans="2:2" x14ac:dyDescent="0.25">
      <c r="B3037" t="str">
        <f>IF(C3037="","",C3037&amp;COUNTIF(C$9:C3037,C3037))</f>
        <v/>
      </c>
    </row>
    <row r="3038" spans="2:2" x14ac:dyDescent="0.25">
      <c r="B3038" t="str">
        <f>IF(C3038="","",C3038&amp;COUNTIF(C$9:C3038,C3038))</f>
        <v/>
      </c>
    </row>
    <row r="3039" spans="2:2" x14ac:dyDescent="0.25">
      <c r="B3039" t="str">
        <f>IF(C3039="","",C3039&amp;COUNTIF(C$9:C3039,C3039))</f>
        <v/>
      </c>
    </row>
    <row r="3040" spans="2:2" x14ac:dyDescent="0.25">
      <c r="B3040" t="str">
        <f>IF(C3040="","",C3040&amp;COUNTIF(C$9:C3040,C3040))</f>
        <v/>
      </c>
    </row>
    <row r="3041" spans="2:2" x14ac:dyDescent="0.25">
      <c r="B3041" t="str">
        <f>IF(C3041="","",C3041&amp;COUNTIF(C$9:C3041,C3041))</f>
        <v/>
      </c>
    </row>
    <row r="3042" spans="2:2" x14ac:dyDescent="0.25">
      <c r="B3042" t="str">
        <f>IF(C3042="","",C3042&amp;COUNTIF(C$9:C3042,C3042))</f>
        <v/>
      </c>
    </row>
    <row r="3043" spans="2:2" x14ac:dyDescent="0.25">
      <c r="B3043" t="str">
        <f>IF(C3043="","",C3043&amp;COUNTIF(C$9:C3043,C3043))</f>
        <v/>
      </c>
    </row>
    <row r="3044" spans="2:2" x14ac:dyDescent="0.25">
      <c r="B3044" t="str">
        <f>IF(C3044="","",C3044&amp;COUNTIF(C$9:C3044,C3044))</f>
        <v/>
      </c>
    </row>
    <row r="3045" spans="2:2" x14ac:dyDescent="0.25">
      <c r="B3045" t="str">
        <f>IF(C3045="","",C3045&amp;COUNTIF(C$9:C3045,C3045))</f>
        <v/>
      </c>
    </row>
    <row r="3046" spans="2:2" x14ac:dyDescent="0.25">
      <c r="B3046" t="str">
        <f>IF(C3046="","",C3046&amp;COUNTIF(C$9:C3046,C3046))</f>
        <v/>
      </c>
    </row>
    <row r="3047" spans="2:2" x14ac:dyDescent="0.25">
      <c r="B3047" t="str">
        <f>IF(C3047="","",C3047&amp;COUNTIF(C$9:C3047,C3047))</f>
        <v/>
      </c>
    </row>
    <row r="3048" spans="2:2" x14ac:dyDescent="0.25">
      <c r="B3048" t="str">
        <f>IF(C3048="","",C3048&amp;COUNTIF(C$9:C3048,C3048))</f>
        <v/>
      </c>
    </row>
    <row r="3049" spans="2:2" x14ac:dyDescent="0.25">
      <c r="B3049" t="str">
        <f>IF(C3049="","",C3049&amp;COUNTIF(C$9:C3049,C3049))</f>
        <v/>
      </c>
    </row>
    <row r="3050" spans="2:2" x14ac:dyDescent="0.25">
      <c r="B3050" t="str">
        <f>IF(C3050="","",C3050&amp;COUNTIF(C$9:C3050,C3050))</f>
        <v/>
      </c>
    </row>
    <row r="3051" spans="2:2" x14ac:dyDescent="0.25">
      <c r="B3051" t="str">
        <f>IF(C3051="","",C3051&amp;COUNTIF(C$9:C3051,C3051))</f>
        <v/>
      </c>
    </row>
    <row r="3052" spans="2:2" x14ac:dyDescent="0.25">
      <c r="B3052" t="str">
        <f>IF(C3052="","",C3052&amp;COUNTIF(C$9:C3052,C3052))</f>
        <v/>
      </c>
    </row>
    <row r="3053" spans="2:2" x14ac:dyDescent="0.25">
      <c r="B3053" t="str">
        <f>IF(C3053="","",C3053&amp;COUNTIF(C$9:C3053,C3053))</f>
        <v/>
      </c>
    </row>
    <row r="3054" spans="2:2" x14ac:dyDescent="0.25">
      <c r="B3054" t="str">
        <f>IF(C3054="","",C3054&amp;COUNTIF(C$9:C3054,C3054))</f>
        <v/>
      </c>
    </row>
    <row r="3055" spans="2:2" x14ac:dyDescent="0.25">
      <c r="B3055" t="str">
        <f>IF(C3055="","",C3055&amp;COUNTIF(C$9:C3055,C3055))</f>
        <v/>
      </c>
    </row>
    <row r="3056" spans="2:2" x14ac:dyDescent="0.25">
      <c r="B3056" t="str">
        <f>IF(C3056="","",C3056&amp;COUNTIF(C$9:C3056,C3056))</f>
        <v/>
      </c>
    </row>
    <row r="3057" spans="2:2" x14ac:dyDescent="0.25">
      <c r="B3057" t="str">
        <f>IF(C3057="","",C3057&amp;COUNTIF(C$9:C3057,C3057))</f>
        <v/>
      </c>
    </row>
    <row r="3058" spans="2:2" x14ac:dyDescent="0.25">
      <c r="B3058" t="str">
        <f>IF(C3058="","",C3058&amp;COUNTIF(C$9:C3058,C3058))</f>
        <v/>
      </c>
    </row>
    <row r="3059" spans="2:2" x14ac:dyDescent="0.25">
      <c r="B3059" t="str">
        <f>IF(C3059="","",C3059&amp;COUNTIF(C$9:C3059,C3059))</f>
        <v/>
      </c>
    </row>
    <row r="3060" spans="2:2" x14ac:dyDescent="0.25">
      <c r="B3060" t="str">
        <f>IF(C3060="","",C3060&amp;COUNTIF(C$9:C3060,C3060))</f>
        <v/>
      </c>
    </row>
    <row r="3061" spans="2:2" x14ac:dyDescent="0.25">
      <c r="B3061" t="str">
        <f>IF(C3061="","",C3061&amp;COUNTIF(C$9:C3061,C3061))</f>
        <v/>
      </c>
    </row>
    <row r="3062" spans="2:2" x14ac:dyDescent="0.25">
      <c r="B3062" t="str">
        <f>IF(C3062="","",C3062&amp;COUNTIF(C$9:C3062,C3062))</f>
        <v/>
      </c>
    </row>
    <row r="3063" spans="2:2" x14ac:dyDescent="0.25">
      <c r="B3063" t="str">
        <f>IF(C3063="","",C3063&amp;COUNTIF(C$9:C3063,C3063))</f>
        <v/>
      </c>
    </row>
    <row r="3064" spans="2:2" x14ac:dyDescent="0.25">
      <c r="B3064" t="str">
        <f>IF(C3064="","",C3064&amp;COUNTIF(C$9:C3064,C3064))</f>
        <v/>
      </c>
    </row>
    <row r="3065" spans="2:2" x14ac:dyDescent="0.25">
      <c r="B3065" t="str">
        <f>IF(C3065="","",C3065&amp;COUNTIF(C$9:C3065,C3065))</f>
        <v/>
      </c>
    </row>
    <row r="3066" spans="2:2" x14ac:dyDescent="0.25">
      <c r="B3066" t="str">
        <f>IF(C3066="","",C3066&amp;COUNTIF(C$9:C3066,C3066))</f>
        <v/>
      </c>
    </row>
    <row r="3067" spans="2:2" x14ac:dyDescent="0.25">
      <c r="B3067" t="str">
        <f>IF(C3067="","",C3067&amp;COUNTIF(C$9:C3067,C3067))</f>
        <v/>
      </c>
    </row>
    <row r="3068" spans="2:2" x14ac:dyDescent="0.25">
      <c r="B3068" t="str">
        <f>IF(C3068="","",C3068&amp;COUNTIF(C$9:C3068,C3068))</f>
        <v/>
      </c>
    </row>
    <row r="3069" spans="2:2" x14ac:dyDescent="0.25">
      <c r="B3069" t="str">
        <f>IF(C3069="","",C3069&amp;COUNTIF(C$9:C3069,C3069))</f>
        <v/>
      </c>
    </row>
    <row r="3070" spans="2:2" x14ac:dyDescent="0.25">
      <c r="B3070" t="str">
        <f>IF(C3070="","",C3070&amp;COUNTIF(C$9:C3070,C3070))</f>
        <v/>
      </c>
    </row>
    <row r="3071" spans="2:2" x14ac:dyDescent="0.25">
      <c r="B3071" t="str">
        <f>IF(C3071="","",C3071&amp;COUNTIF(C$9:C3071,C3071))</f>
        <v/>
      </c>
    </row>
    <row r="3072" spans="2:2" x14ac:dyDescent="0.25">
      <c r="B3072" t="str">
        <f>IF(C3072="","",C3072&amp;COUNTIF(C$9:C3072,C3072))</f>
        <v/>
      </c>
    </row>
    <row r="3073" spans="2:2" x14ac:dyDescent="0.25">
      <c r="B3073" t="str">
        <f>IF(C3073="","",C3073&amp;COUNTIF(C$9:C3073,C3073))</f>
        <v/>
      </c>
    </row>
    <row r="3074" spans="2:2" x14ac:dyDescent="0.25">
      <c r="B3074" t="str">
        <f>IF(C3074="","",C3074&amp;COUNTIF(C$9:C3074,C3074))</f>
        <v/>
      </c>
    </row>
    <row r="3075" spans="2:2" x14ac:dyDescent="0.25">
      <c r="B3075" t="str">
        <f>IF(C3075="","",C3075&amp;COUNTIF(C$9:C3075,C3075))</f>
        <v/>
      </c>
    </row>
    <row r="3076" spans="2:2" x14ac:dyDescent="0.25">
      <c r="B3076" t="str">
        <f>IF(C3076="","",C3076&amp;COUNTIF(C$9:C3076,C3076))</f>
        <v/>
      </c>
    </row>
    <row r="3077" spans="2:2" x14ac:dyDescent="0.25">
      <c r="B3077" t="str">
        <f>IF(C3077="","",C3077&amp;COUNTIF(C$9:C3077,C3077))</f>
        <v/>
      </c>
    </row>
    <row r="3078" spans="2:2" x14ac:dyDescent="0.25">
      <c r="B3078" t="str">
        <f>IF(C3078="","",C3078&amp;COUNTIF(C$9:C3078,C3078))</f>
        <v/>
      </c>
    </row>
    <row r="3079" spans="2:2" x14ac:dyDescent="0.25">
      <c r="B3079" t="str">
        <f>IF(C3079="","",C3079&amp;COUNTIF(C$9:C3079,C3079))</f>
        <v/>
      </c>
    </row>
    <row r="3080" spans="2:2" x14ac:dyDescent="0.25">
      <c r="B3080" t="str">
        <f>IF(C3080="","",C3080&amp;COUNTIF(C$9:C3080,C3080))</f>
        <v/>
      </c>
    </row>
    <row r="3081" spans="2:2" x14ac:dyDescent="0.25">
      <c r="B3081" t="str">
        <f>IF(C3081="","",C3081&amp;COUNTIF(C$9:C3081,C3081))</f>
        <v/>
      </c>
    </row>
    <row r="3082" spans="2:2" x14ac:dyDescent="0.25">
      <c r="B3082" t="str">
        <f>IF(C3082="","",C3082&amp;COUNTIF(C$9:C3082,C3082))</f>
        <v/>
      </c>
    </row>
    <row r="3083" spans="2:2" x14ac:dyDescent="0.25">
      <c r="B3083" t="str">
        <f>IF(C3083="","",C3083&amp;COUNTIF(C$9:C3083,C3083))</f>
        <v/>
      </c>
    </row>
    <row r="3084" spans="2:2" x14ac:dyDescent="0.25">
      <c r="B3084" t="str">
        <f>IF(C3084="","",C3084&amp;COUNTIF(C$9:C3084,C3084))</f>
        <v/>
      </c>
    </row>
    <row r="3085" spans="2:2" x14ac:dyDescent="0.25">
      <c r="B3085" t="str">
        <f>IF(C3085="","",C3085&amp;COUNTIF(C$9:C3085,C3085))</f>
        <v/>
      </c>
    </row>
    <row r="3086" spans="2:2" x14ac:dyDescent="0.25">
      <c r="B3086" t="str">
        <f>IF(C3086="","",C3086&amp;COUNTIF(C$9:C3086,C3086))</f>
        <v/>
      </c>
    </row>
    <row r="3087" spans="2:2" x14ac:dyDescent="0.25">
      <c r="B3087" t="str">
        <f>IF(C3087="","",C3087&amp;COUNTIF(C$9:C3087,C3087))</f>
        <v/>
      </c>
    </row>
    <row r="3088" spans="2:2" x14ac:dyDescent="0.25">
      <c r="B3088" t="str">
        <f>IF(C3088="","",C3088&amp;COUNTIF(C$9:C3088,C3088))</f>
        <v/>
      </c>
    </row>
    <row r="3089" spans="2:2" x14ac:dyDescent="0.25">
      <c r="B3089" t="str">
        <f>IF(C3089="","",C3089&amp;COUNTIF(C$9:C3089,C3089))</f>
        <v/>
      </c>
    </row>
    <row r="3090" spans="2:2" x14ac:dyDescent="0.25">
      <c r="B3090" t="str">
        <f>IF(C3090="","",C3090&amp;COUNTIF(C$9:C3090,C3090))</f>
        <v/>
      </c>
    </row>
    <row r="3091" spans="2:2" x14ac:dyDescent="0.25">
      <c r="B3091" t="str">
        <f>IF(C3091="","",C3091&amp;COUNTIF(C$9:C3091,C3091))</f>
        <v/>
      </c>
    </row>
    <row r="3092" spans="2:2" x14ac:dyDescent="0.25">
      <c r="B3092" t="str">
        <f>IF(C3092="","",C3092&amp;COUNTIF(C$9:C3092,C3092))</f>
        <v/>
      </c>
    </row>
    <row r="3093" spans="2:2" x14ac:dyDescent="0.25">
      <c r="B3093" t="str">
        <f>IF(C3093="","",C3093&amp;COUNTIF(C$9:C3093,C3093))</f>
        <v/>
      </c>
    </row>
    <row r="3094" spans="2:2" x14ac:dyDescent="0.25">
      <c r="B3094" t="str">
        <f>IF(C3094="","",C3094&amp;COUNTIF(C$9:C3094,C3094))</f>
        <v/>
      </c>
    </row>
    <row r="3095" spans="2:2" x14ac:dyDescent="0.25">
      <c r="B3095" t="str">
        <f>IF(C3095="","",C3095&amp;COUNTIF(C$9:C3095,C3095))</f>
        <v/>
      </c>
    </row>
    <row r="3096" spans="2:2" x14ac:dyDescent="0.25">
      <c r="B3096" t="str">
        <f>IF(C3096="","",C3096&amp;COUNTIF(C$9:C3096,C3096))</f>
        <v/>
      </c>
    </row>
    <row r="3097" spans="2:2" x14ac:dyDescent="0.25">
      <c r="B3097" t="str">
        <f>IF(C3097="","",C3097&amp;COUNTIF(C$9:C3097,C3097))</f>
        <v/>
      </c>
    </row>
    <row r="3098" spans="2:2" x14ac:dyDescent="0.25">
      <c r="B3098" t="str">
        <f>IF(C3098="","",C3098&amp;COUNTIF(C$9:C3098,C3098))</f>
        <v/>
      </c>
    </row>
    <row r="3099" spans="2:2" x14ac:dyDescent="0.25">
      <c r="B3099" t="str">
        <f>IF(C3099="","",C3099&amp;COUNTIF(C$9:C3099,C3099))</f>
        <v/>
      </c>
    </row>
    <row r="3100" spans="2:2" x14ac:dyDescent="0.25">
      <c r="B3100" t="str">
        <f>IF(C3100="","",C3100&amp;COUNTIF(C$9:C3100,C3100))</f>
        <v/>
      </c>
    </row>
    <row r="3101" spans="2:2" x14ac:dyDescent="0.25">
      <c r="B3101" t="str">
        <f>IF(C3101="","",C3101&amp;COUNTIF(C$9:C3101,C3101))</f>
        <v/>
      </c>
    </row>
    <row r="3102" spans="2:2" x14ac:dyDescent="0.25">
      <c r="B3102" t="str">
        <f>IF(C3102="","",C3102&amp;COUNTIF(C$9:C3102,C3102))</f>
        <v/>
      </c>
    </row>
    <row r="3103" spans="2:2" x14ac:dyDescent="0.25">
      <c r="B3103" t="str">
        <f>IF(C3103="","",C3103&amp;COUNTIF(C$9:C3103,C3103))</f>
        <v/>
      </c>
    </row>
    <row r="3104" spans="2:2" x14ac:dyDescent="0.25">
      <c r="B3104" t="str">
        <f>IF(C3104="","",C3104&amp;COUNTIF(C$9:C3104,C3104))</f>
        <v/>
      </c>
    </row>
    <row r="3105" spans="2:2" x14ac:dyDescent="0.25">
      <c r="B3105" t="str">
        <f>IF(C3105="","",C3105&amp;COUNTIF(C$9:C3105,C3105))</f>
        <v/>
      </c>
    </row>
    <row r="3106" spans="2:2" x14ac:dyDescent="0.25">
      <c r="B3106" t="str">
        <f>IF(C3106="","",C3106&amp;COUNTIF(C$9:C3106,C3106))</f>
        <v/>
      </c>
    </row>
    <row r="3107" spans="2:2" x14ac:dyDescent="0.25">
      <c r="B3107" t="str">
        <f>IF(C3107="","",C3107&amp;COUNTIF(C$9:C3107,C3107))</f>
        <v/>
      </c>
    </row>
    <row r="3108" spans="2:2" x14ac:dyDescent="0.25">
      <c r="B3108" t="str">
        <f>IF(C3108="","",C3108&amp;COUNTIF(C$9:C3108,C3108))</f>
        <v/>
      </c>
    </row>
    <row r="3109" spans="2:2" x14ac:dyDescent="0.25">
      <c r="B3109" t="str">
        <f>IF(C3109="","",C3109&amp;COUNTIF(C$9:C3109,C3109))</f>
        <v/>
      </c>
    </row>
    <row r="3110" spans="2:2" x14ac:dyDescent="0.25">
      <c r="B3110" t="str">
        <f>IF(C3110="","",C3110&amp;COUNTIF(C$9:C3110,C3110))</f>
        <v/>
      </c>
    </row>
    <row r="3111" spans="2:2" x14ac:dyDescent="0.25">
      <c r="B3111" t="str">
        <f>IF(C3111="","",C3111&amp;COUNTIF(C$9:C3111,C3111))</f>
        <v/>
      </c>
    </row>
    <row r="3112" spans="2:2" x14ac:dyDescent="0.25">
      <c r="B3112" t="str">
        <f>IF(C3112="","",C3112&amp;COUNTIF(C$9:C3112,C3112))</f>
        <v/>
      </c>
    </row>
    <row r="3113" spans="2:2" x14ac:dyDescent="0.25">
      <c r="B3113" t="str">
        <f>IF(C3113="","",C3113&amp;COUNTIF(C$9:C3113,C3113))</f>
        <v/>
      </c>
    </row>
    <row r="3114" spans="2:2" x14ac:dyDescent="0.25">
      <c r="B3114" t="str">
        <f>IF(C3114="","",C3114&amp;COUNTIF(C$9:C3114,C3114))</f>
        <v/>
      </c>
    </row>
    <row r="3115" spans="2:2" x14ac:dyDescent="0.25">
      <c r="B3115" t="str">
        <f>IF(C3115="","",C3115&amp;COUNTIF(C$9:C3115,C3115))</f>
        <v/>
      </c>
    </row>
    <row r="3116" spans="2:2" x14ac:dyDescent="0.25">
      <c r="B3116" t="str">
        <f>IF(C3116="","",C3116&amp;COUNTIF(C$9:C3116,C3116))</f>
        <v/>
      </c>
    </row>
    <row r="3117" spans="2:2" x14ac:dyDescent="0.25">
      <c r="B3117" t="str">
        <f>IF(C3117="","",C3117&amp;COUNTIF(C$9:C3117,C3117))</f>
        <v/>
      </c>
    </row>
    <row r="3118" spans="2:2" x14ac:dyDescent="0.25">
      <c r="B3118" t="str">
        <f>IF(C3118="","",C3118&amp;COUNTIF(C$9:C3118,C3118))</f>
        <v/>
      </c>
    </row>
    <row r="3119" spans="2:2" x14ac:dyDescent="0.25">
      <c r="B3119" t="str">
        <f>IF(C3119="","",C3119&amp;COUNTIF(C$9:C3119,C3119))</f>
        <v/>
      </c>
    </row>
    <row r="3120" spans="2:2" x14ac:dyDescent="0.25">
      <c r="B3120" t="str">
        <f>IF(C3120="","",C3120&amp;COUNTIF(C$9:C3120,C3120))</f>
        <v/>
      </c>
    </row>
    <row r="3121" spans="2:2" x14ac:dyDescent="0.25">
      <c r="B3121" t="str">
        <f>IF(C3121="","",C3121&amp;COUNTIF(C$9:C3121,C3121))</f>
        <v/>
      </c>
    </row>
    <row r="3122" spans="2:2" x14ac:dyDescent="0.25">
      <c r="B3122" t="str">
        <f>IF(C3122="","",C3122&amp;COUNTIF(C$9:C3122,C3122))</f>
        <v/>
      </c>
    </row>
    <row r="3123" spans="2:2" x14ac:dyDescent="0.25">
      <c r="B3123" t="str">
        <f>IF(C3123="","",C3123&amp;COUNTIF(C$9:C3123,C3123))</f>
        <v/>
      </c>
    </row>
    <row r="3124" spans="2:2" x14ac:dyDescent="0.25">
      <c r="B3124" t="str">
        <f>IF(C3124="","",C3124&amp;COUNTIF(C$9:C3124,C3124))</f>
        <v/>
      </c>
    </row>
    <row r="3125" spans="2:2" x14ac:dyDescent="0.25">
      <c r="B3125" t="str">
        <f>IF(C3125="","",C3125&amp;COUNTIF(C$9:C3125,C3125))</f>
        <v/>
      </c>
    </row>
    <row r="3126" spans="2:2" x14ac:dyDescent="0.25">
      <c r="B3126" t="str">
        <f>IF(C3126="","",C3126&amp;COUNTIF(C$9:C3126,C3126))</f>
        <v/>
      </c>
    </row>
    <row r="3127" spans="2:2" x14ac:dyDescent="0.25">
      <c r="B3127" t="str">
        <f>IF(C3127="","",C3127&amp;COUNTIF(C$9:C3127,C3127))</f>
        <v/>
      </c>
    </row>
    <row r="3128" spans="2:2" x14ac:dyDescent="0.25">
      <c r="B3128" t="str">
        <f>IF(C3128="","",C3128&amp;COUNTIF(C$9:C3128,C3128))</f>
        <v/>
      </c>
    </row>
    <row r="3129" spans="2:2" x14ac:dyDescent="0.25">
      <c r="B3129" t="str">
        <f>IF(C3129="","",C3129&amp;COUNTIF(C$9:C3129,C3129))</f>
        <v/>
      </c>
    </row>
    <row r="3130" spans="2:2" x14ac:dyDescent="0.25">
      <c r="B3130" t="str">
        <f>IF(C3130="","",C3130&amp;COUNTIF(C$9:C3130,C3130))</f>
        <v/>
      </c>
    </row>
    <row r="3131" spans="2:2" x14ac:dyDescent="0.25">
      <c r="B3131" t="str">
        <f>IF(C3131="","",C3131&amp;COUNTIF(C$9:C3131,C3131))</f>
        <v/>
      </c>
    </row>
    <row r="3132" spans="2:2" x14ac:dyDescent="0.25">
      <c r="B3132" t="str">
        <f>IF(C3132="","",C3132&amp;COUNTIF(C$9:C3132,C3132))</f>
        <v/>
      </c>
    </row>
    <row r="3133" spans="2:2" x14ac:dyDescent="0.25">
      <c r="B3133" t="str">
        <f>IF(C3133="","",C3133&amp;COUNTIF(C$9:C3133,C3133))</f>
        <v/>
      </c>
    </row>
    <row r="3134" spans="2:2" x14ac:dyDescent="0.25">
      <c r="B3134" t="str">
        <f>IF(C3134="","",C3134&amp;COUNTIF(C$9:C3134,C3134))</f>
        <v/>
      </c>
    </row>
    <row r="3135" spans="2:2" x14ac:dyDescent="0.25">
      <c r="B3135" t="str">
        <f>IF(C3135="","",C3135&amp;COUNTIF(C$9:C3135,C3135))</f>
        <v/>
      </c>
    </row>
    <row r="3136" spans="2:2" x14ac:dyDescent="0.25">
      <c r="B3136" t="str">
        <f>IF(C3136="","",C3136&amp;COUNTIF(C$9:C3136,C3136))</f>
        <v/>
      </c>
    </row>
    <row r="3137" spans="2:2" x14ac:dyDescent="0.25">
      <c r="B3137" t="str">
        <f>IF(C3137="","",C3137&amp;COUNTIF(C$9:C3137,C3137))</f>
        <v/>
      </c>
    </row>
    <row r="3138" spans="2:2" x14ac:dyDescent="0.25">
      <c r="B3138" t="str">
        <f>IF(C3138="","",C3138&amp;COUNTIF(C$9:C3138,C3138))</f>
        <v/>
      </c>
    </row>
    <row r="3139" spans="2:2" x14ac:dyDescent="0.25">
      <c r="B3139" t="str">
        <f>IF(C3139="","",C3139&amp;COUNTIF(C$9:C3139,C3139))</f>
        <v/>
      </c>
    </row>
    <row r="3140" spans="2:2" x14ac:dyDescent="0.25">
      <c r="B3140" t="str">
        <f>IF(C3140="","",C3140&amp;COUNTIF(C$9:C3140,C3140))</f>
        <v/>
      </c>
    </row>
    <row r="3141" spans="2:2" x14ac:dyDescent="0.25">
      <c r="B3141" t="str">
        <f>IF(C3141="","",C3141&amp;COUNTIF(C$9:C3141,C3141))</f>
        <v/>
      </c>
    </row>
    <row r="3142" spans="2:2" x14ac:dyDescent="0.25">
      <c r="B3142" t="str">
        <f>IF(C3142="","",C3142&amp;COUNTIF(C$9:C3142,C3142))</f>
        <v/>
      </c>
    </row>
    <row r="3143" spans="2:2" x14ac:dyDescent="0.25">
      <c r="B3143" t="str">
        <f>IF(C3143="","",C3143&amp;COUNTIF(C$9:C3143,C3143))</f>
        <v/>
      </c>
    </row>
    <row r="3144" spans="2:2" x14ac:dyDescent="0.25">
      <c r="B3144" t="str">
        <f>IF(C3144="","",C3144&amp;COUNTIF(C$9:C3144,C3144))</f>
        <v/>
      </c>
    </row>
    <row r="3145" spans="2:2" x14ac:dyDescent="0.25">
      <c r="B3145" t="str">
        <f>IF(C3145="","",C3145&amp;COUNTIF(C$9:C3145,C3145))</f>
        <v/>
      </c>
    </row>
    <row r="3146" spans="2:2" x14ac:dyDescent="0.25">
      <c r="B3146" t="str">
        <f>IF(C3146="","",C3146&amp;COUNTIF(C$9:C3146,C3146))</f>
        <v/>
      </c>
    </row>
    <row r="3147" spans="2:2" x14ac:dyDescent="0.25">
      <c r="B3147" t="str">
        <f>IF(C3147="","",C3147&amp;COUNTIF(C$9:C3147,C3147))</f>
        <v/>
      </c>
    </row>
    <row r="3148" spans="2:2" x14ac:dyDescent="0.25">
      <c r="B3148" t="str">
        <f>IF(C3148="","",C3148&amp;COUNTIF(C$9:C3148,C3148))</f>
        <v/>
      </c>
    </row>
    <row r="3149" spans="2:2" x14ac:dyDescent="0.25">
      <c r="B3149" t="str">
        <f>IF(C3149="","",C3149&amp;COUNTIF(C$9:C3149,C3149))</f>
        <v/>
      </c>
    </row>
    <row r="3150" spans="2:2" x14ac:dyDescent="0.25">
      <c r="B3150" t="str">
        <f>IF(C3150="","",C3150&amp;COUNTIF(C$9:C3150,C3150))</f>
        <v/>
      </c>
    </row>
    <row r="3151" spans="2:2" x14ac:dyDescent="0.25">
      <c r="B3151" t="str">
        <f>IF(C3151="","",C3151&amp;COUNTIF(C$9:C3151,C3151))</f>
        <v/>
      </c>
    </row>
    <row r="3152" spans="2:2" x14ac:dyDescent="0.25">
      <c r="B3152" t="str">
        <f>IF(C3152="","",C3152&amp;COUNTIF(C$9:C3152,C3152))</f>
        <v/>
      </c>
    </row>
    <row r="3153" spans="2:2" x14ac:dyDescent="0.25">
      <c r="B3153" t="str">
        <f>IF(C3153="","",C3153&amp;COUNTIF(C$9:C3153,C3153))</f>
        <v/>
      </c>
    </row>
    <row r="3154" spans="2:2" x14ac:dyDescent="0.25">
      <c r="B3154" t="str">
        <f>IF(C3154="","",C3154&amp;COUNTIF(C$9:C3154,C3154))</f>
        <v/>
      </c>
    </row>
    <row r="3155" spans="2:2" x14ac:dyDescent="0.25">
      <c r="B3155" t="str">
        <f>IF(C3155="","",C3155&amp;COUNTIF(C$9:C3155,C3155))</f>
        <v/>
      </c>
    </row>
    <row r="3156" spans="2:2" x14ac:dyDescent="0.25">
      <c r="B3156" t="str">
        <f>IF(C3156="","",C3156&amp;COUNTIF(C$9:C3156,C3156))</f>
        <v/>
      </c>
    </row>
    <row r="3157" spans="2:2" x14ac:dyDescent="0.25">
      <c r="B3157" t="str">
        <f>IF(C3157="","",C3157&amp;COUNTIF(C$9:C3157,C3157))</f>
        <v/>
      </c>
    </row>
    <row r="3158" spans="2:2" x14ac:dyDescent="0.25">
      <c r="B3158" t="str">
        <f>IF(C3158="","",C3158&amp;COUNTIF(C$9:C3158,C3158))</f>
        <v/>
      </c>
    </row>
    <row r="3159" spans="2:2" x14ac:dyDescent="0.25">
      <c r="B3159" t="str">
        <f>IF(C3159="","",C3159&amp;COUNTIF(C$9:C3159,C3159))</f>
        <v/>
      </c>
    </row>
    <row r="3160" spans="2:2" x14ac:dyDescent="0.25">
      <c r="B3160" t="str">
        <f>IF(C3160="","",C3160&amp;COUNTIF(C$9:C3160,C3160))</f>
        <v/>
      </c>
    </row>
    <row r="3161" spans="2:2" x14ac:dyDescent="0.25">
      <c r="B3161" t="str">
        <f>IF(C3161="","",C3161&amp;COUNTIF(C$9:C3161,C3161))</f>
        <v/>
      </c>
    </row>
    <row r="3162" spans="2:2" x14ac:dyDescent="0.25">
      <c r="B3162" t="str">
        <f>IF(C3162="","",C3162&amp;COUNTIF(C$9:C3162,C3162))</f>
        <v/>
      </c>
    </row>
    <row r="3163" spans="2:2" x14ac:dyDescent="0.25">
      <c r="B3163" t="str">
        <f>IF(C3163="","",C3163&amp;COUNTIF(C$9:C3163,C3163))</f>
        <v/>
      </c>
    </row>
    <row r="3164" spans="2:2" x14ac:dyDescent="0.25">
      <c r="B3164" t="str">
        <f>IF(C3164="","",C3164&amp;COUNTIF(C$9:C3164,C3164))</f>
        <v/>
      </c>
    </row>
    <row r="3165" spans="2:2" x14ac:dyDescent="0.25">
      <c r="B3165" t="str">
        <f>IF(C3165="","",C3165&amp;COUNTIF(C$9:C3165,C3165))</f>
        <v/>
      </c>
    </row>
    <row r="3166" spans="2:2" x14ac:dyDescent="0.25">
      <c r="B3166" t="str">
        <f>IF(C3166="","",C3166&amp;COUNTIF(C$9:C3166,C3166))</f>
        <v/>
      </c>
    </row>
    <row r="3167" spans="2:2" x14ac:dyDescent="0.25">
      <c r="B3167" t="str">
        <f>IF(C3167="","",C3167&amp;COUNTIF(C$9:C3167,C3167))</f>
        <v/>
      </c>
    </row>
    <row r="3168" spans="2:2" x14ac:dyDescent="0.25">
      <c r="B3168" t="str">
        <f>IF(C3168="","",C3168&amp;COUNTIF(C$9:C3168,C3168))</f>
        <v/>
      </c>
    </row>
    <row r="3169" spans="2:2" x14ac:dyDescent="0.25">
      <c r="B3169" t="str">
        <f>IF(C3169="","",C3169&amp;COUNTIF(C$9:C3169,C3169))</f>
        <v/>
      </c>
    </row>
    <row r="3170" spans="2:2" x14ac:dyDescent="0.25">
      <c r="B3170" t="str">
        <f>IF(C3170="","",C3170&amp;COUNTIF(C$9:C3170,C3170))</f>
        <v/>
      </c>
    </row>
    <row r="3171" spans="2:2" x14ac:dyDescent="0.25">
      <c r="B3171" t="str">
        <f>IF(C3171="","",C3171&amp;COUNTIF(C$9:C3171,C3171))</f>
        <v/>
      </c>
    </row>
    <row r="3172" spans="2:2" x14ac:dyDescent="0.25">
      <c r="B3172" t="str">
        <f>IF(C3172="","",C3172&amp;COUNTIF(C$9:C3172,C3172))</f>
        <v/>
      </c>
    </row>
    <row r="3173" spans="2:2" x14ac:dyDescent="0.25">
      <c r="B3173" t="str">
        <f>IF(C3173="","",C3173&amp;COUNTIF(C$9:C3173,C3173))</f>
        <v/>
      </c>
    </row>
    <row r="3174" spans="2:2" x14ac:dyDescent="0.25">
      <c r="B3174" t="str">
        <f>IF(C3174="","",C3174&amp;COUNTIF(C$9:C3174,C3174))</f>
        <v/>
      </c>
    </row>
    <row r="3175" spans="2:2" x14ac:dyDescent="0.25">
      <c r="B3175" t="str">
        <f>IF(C3175="","",C3175&amp;COUNTIF(C$9:C3175,C3175))</f>
        <v/>
      </c>
    </row>
    <row r="3176" spans="2:2" x14ac:dyDescent="0.25">
      <c r="B3176" t="str">
        <f>IF(C3176="","",C3176&amp;COUNTIF(C$9:C3176,C3176))</f>
        <v/>
      </c>
    </row>
    <row r="3177" spans="2:2" x14ac:dyDescent="0.25">
      <c r="B3177" t="str">
        <f>IF(C3177="","",C3177&amp;COUNTIF(C$9:C3177,C3177))</f>
        <v/>
      </c>
    </row>
    <row r="3178" spans="2:2" x14ac:dyDescent="0.25">
      <c r="B3178" t="str">
        <f>IF(C3178="","",C3178&amp;COUNTIF(C$9:C3178,C3178))</f>
        <v/>
      </c>
    </row>
    <row r="3179" spans="2:2" x14ac:dyDescent="0.25">
      <c r="B3179" t="str">
        <f>IF(C3179="","",C3179&amp;COUNTIF(C$9:C3179,C3179))</f>
        <v/>
      </c>
    </row>
    <row r="3180" spans="2:2" x14ac:dyDescent="0.25">
      <c r="B3180" t="str">
        <f>IF(C3180="","",C3180&amp;COUNTIF(C$9:C3180,C3180))</f>
        <v/>
      </c>
    </row>
    <row r="3181" spans="2:2" x14ac:dyDescent="0.25">
      <c r="B3181" t="str">
        <f>IF(C3181="","",C3181&amp;COUNTIF(C$9:C3181,C3181))</f>
        <v/>
      </c>
    </row>
    <row r="3182" spans="2:2" x14ac:dyDescent="0.25">
      <c r="B3182" t="str">
        <f>IF(C3182="","",C3182&amp;COUNTIF(C$9:C3182,C3182))</f>
        <v/>
      </c>
    </row>
    <row r="3183" spans="2:2" x14ac:dyDescent="0.25">
      <c r="B3183" t="str">
        <f>IF(C3183="","",C3183&amp;COUNTIF(C$9:C3183,C3183))</f>
        <v/>
      </c>
    </row>
    <row r="3184" spans="2:2" x14ac:dyDescent="0.25">
      <c r="B3184" t="str">
        <f>IF(C3184="","",C3184&amp;COUNTIF(C$9:C3184,C3184))</f>
        <v/>
      </c>
    </row>
    <row r="3185" spans="2:2" x14ac:dyDescent="0.25">
      <c r="B3185" t="str">
        <f>IF(C3185="","",C3185&amp;COUNTIF(C$9:C3185,C3185))</f>
        <v/>
      </c>
    </row>
    <row r="3186" spans="2:2" x14ac:dyDescent="0.25">
      <c r="B3186" t="str">
        <f>IF(C3186="","",C3186&amp;COUNTIF(C$9:C3186,C3186))</f>
        <v/>
      </c>
    </row>
    <row r="3187" spans="2:2" x14ac:dyDescent="0.25">
      <c r="B3187" t="str">
        <f>IF(C3187="","",C3187&amp;COUNTIF(C$9:C3187,C3187))</f>
        <v/>
      </c>
    </row>
    <row r="3188" spans="2:2" x14ac:dyDescent="0.25">
      <c r="B3188" t="str">
        <f>IF(C3188="","",C3188&amp;COUNTIF(C$9:C3188,C3188))</f>
        <v/>
      </c>
    </row>
    <row r="3189" spans="2:2" x14ac:dyDescent="0.25">
      <c r="B3189" t="str">
        <f>IF(C3189="","",C3189&amp;COUNTIF(C$9:C3189,C3189))</f>
        <v/>
      </c>
    </row>
    <row r="3190" spans="2:2" x14ac:dyDescent="0.25">
      <c r="B3190" t="str">
        <f>IF(C3190="","",C3190&amp;COUNTIF(C$9:C3190,C3190))</f>
        <v/>
      </c>
    </row>
    <row r="3191" spans="2:2" x14ac:dyDescent="0.25">
      <c r="B3191" t="str">
        <f>IF(C3191="","",C3191&amp;COUNTIF(C$9:C3191,C3191))</f>
        <v/>
      </c>
    </row>
    <row r="3192" spans="2:2" x14ac:dyDescent="0.25">
      <c r="B3192" t="str">
        <f>IF(C3192="","",C3192&amp;COUNTIF(C$9:C3192,C3192))</f>
        <v/>
      </c>
    </row>
    <row r="3193" spans="2:2" x14ac:dyDescent="0.25">
      <c r="B3193" t="str">
        <f>IF(C3193="","",C3193&amp;COUNTIF(C$9:C3193,C3193))</f>
        <v/>
      </c>
    </row>
    <row r="3194" spans="2:2" x14ac:dyDescent="0.25">
      <c r="B3194" t="str">
        <f>IF(C3194="","",C3194&amp;COUNTIF(C$9:C3194,C3194))</f>
        <v/>
      </c>
    </row>
    <row r="3195" spans="2:2" x14ac:dyDescent="0.25">
      <c r="B3195" t="str">
        <f>IF(C3195="","",C3195&amp;COUNTIF(C$9:C3195,C3195))</f>
        <v/>
      </c>
    </row>
    <row r="3196" spans="2:2" x14ac:dyDescent="0.25">
      <c r="B3196" t="str">
        <f>IF(C3196="","",C3196&amp;COUNTIF(C$9:C3196,C3196))</f>
        <v/>
      </c>
    </row>
    <row r="3197" spans="2:2" x14ac:dyDescent="0.25">
      <c r="B3197" t="str">
        <f>IF(C3197="","",C3197&amp;COUNTIF(C$9:C3197,C3197))</f>
        <v/>
      </c>
    </row>
    <row r="3198" spans="2:2" x14ac:dyDescent="0.25">
      <c r="B3198" t="str">
        <f>IF(C3198="","",C3198&amp;COUNTIF(C$9:C3198,C3198))</f>
        <v/>
      </c>
    </row>
    <row r="3199" spans="2:2" x14ac:dyDescent="0.25">
      <c r="B3199" t="str">
        <f>IF(C3199="","",C3199&amp;COUNTIF(C$9:C3199,C3199))</f>
        <v/>
      </c>
    </row>
    <row r="3200" spans="2:2" x14ac:dyDescent="0.25">
      <c r="B3200" t="str">
        <f>IF(C3200="","",C3200&amp;COUNTIF(C$9:C3200,C3200))</f>
        <v/>
      </c>
    </row>
    <row r="3201" spans="2:2" x14ac:dyDescent="0.25">
      <c r="B3201" t="str">
        <f>IF(C3201="","",C3201&amp;COUNTIF(C$9:C3201,C3201))</f>
        <v/>
      </c>
    </row>
    <row r="3202" spans="2:2" x14ac:dyDescent="0.25">
      <c r="B3202" t="str">
        <f>IF(C3202="","",C3202&amp;COUNTIF(C$9:C3202,C3202))</f>
        <v/>
      </c>
    </row>
    <row r="3203" spans="2:2" x14ac:dyDescent="0.25">
      <c r="B3203" t="str">
        <f>IF(C3203="","",C3203&amp;COUNTIF(C$9:C3203,C3203))</f>
        <v/>
      </c>
    </row>
    <row r="3204" spans="2:2" x14ac:dyDescent="0.25">
      <c r="B3204" t="str">
        <f>IF(C3204="","",C3204&amp;COUNTIF(C$9:C3204,C3204))</f>
        <v/>
      </c>
    </row>
    <row r="3205" spans="2:2" x14ac:dyDescent="0.25">
      <c r="B3205" t="str">
        <f>IF(C3205="","",C3205&amp;COUNTIF(C$9:C3205,C3205))</f>
        <v/>
      </c>
    </row>
    <row r="3206" spans="2:2" x14ac:dyDescent="0.25">
      <c r="B3206" t="str">
        <f>IF(C3206="","",C3206&amp;COUNTIF(C$9:C3206,C3206))</f>
        <v/>
      </c>
    </row>
    <row r="3207" spans="2:2" x14ac:dyDescent="0.25">
      <c r="B3207" t="str">
        <f>IF(C3207="","",C3207&amp;COUNTIF(C$9:C3207,C3207))</f>
        <v/>
      </c>
    </row>
    <row r="3208" spans="2:2" x14ac:dyDescent="0.25">
      <c r="B3208" t="str">
        <f>IF(C3208="","",C3208&amp;COUNTIF(C$9:C3208,C3208))</f>
        <v/>
      </c>
    </row>
    <row r="3209" spans="2:2" x14ac:dyDescent="0.25">
      <c r="B3209" t="str">
        <f>IF(C3209="","",C3209&amp;COUNTIF(C$9:C3209,C3209))</f>
        <v/>
      </c>
    </row>
    <row r="3210" spans="2:2" x14ac:dyDescent="0.25">
      <c r="B3210" t="str">
        <f>IF(C3210="","",C3210&amp;COUNTIF(C$9:C3210,C3210))</f>
        <v/>
      </c>
    </row>
    <row r="3211" spans="2:2" x14ac:dyDescent="0.25">
      <c r="B3211" t="str">
        <f>IF(C3211="","",C3211&amp;COUNTIF(C$9:C3211,C3211))</f>
        <v/>
      </c>
    </row>
    <row r="3212" spans="2:2" x14ac:dyDescent="0.25">
      <c r="B3212" t="str">
        <f>IF(C3212="","",C3212&amp;COUNTIF(C$9:C3212,C3212))</f>
        <v/>
      </c>
    </row>
    <row r="3213" spans="2:2" x14ac:dyDescent="0.25">
      <c r="B3213" t="str">
        <f>IF(C3213="","",C3213&amp;COUNTIF(C$9:C3213,C3213))</f>
        <v/>
      </c>
    </row>
    <row r="3214" spans="2:2" x14ac:dyDescent="0.25">
      <c r="B3214" t="str">
        <f>IF(C3214="","",C3214&amp;COUNTIF(C$9:C3214,C3214))</f>
        <v/>
      </c>
    </row>
    <row r="3215" spans="2:2" x14ac:dyDescent="0.25">
      <c r="B3215" t="str">
        <f>IF(C3215="","",C3215&amp;COUNTIF(C$9:C3215,C3215))</f>
        <v/>
      </c>
    </row>
    <row r="3216" spans="2:2" x14ac:dyDescent="0.25">
      <c r="B3216" t="str">
        <f>IF(C3216="","",C3216&amp;COUNTIF(C$9:C3216,C3216))</f>
        <v/>
      </c>
    </row>
    <row r="3217" spans="2:2" x14ac:dyDescent="0.25">
      <c r="B3217" t="str">
        <f>IF(C3217="","",C3217&amp;COUNTIF(C$9:C3217,C3217))</f>
        <v/>
      </c>
    </row>
    <row r="3218" spans="2:2" x14ac:dyDescent="0.25">
      <c r="B3218" t="str">
        <f>IF(C3218="","",C3218&amp;COUNTIF(C$9:C3218,C3218))</f>
        <v/>
      </c>
    </row>
    <row r="3219" spans="2:2" x14ac:dyDescent="0.25">
      <c r="B3219" t="str">
        <f>IF(C3219="","",C3219&amp;COUNTIF(C$9:C3219,C3219))</f>
        <v/>
      </c>
    </row>
    <row r="3220" spans="2:2" x14ac:dyDescent="0.25">
      <c r="B3220" t="str">
        <f>IF(C3220="","",C3220&amp;COUNTIF(C$9:C3220,C3220))</f>
        <v/>
      </c>
    </row>
    <row r="3221" spans="2:2" x14ac:dyDescent="0.25">
      <c r="B3221" t="str">
        <f>IF(C3221="","",C3221&amp;COUNTIF(C$9:C3221,C3221))</f>
        <v/>
      </c>
    </row>
    <row r="3222" spans="2:2" x14ac:dyDescent="0.25">
      <c r="B3222" t="str">
        <f>IF(C3222="","",C3222&amp;COUNTIF(C$9:C3222,C3222))</f>
        <v/>
      </c>
    </row>
    <row r="3223" spans="2:2" x14ac:dyDescent="0.25">
      <c r="B3223" t="str">
        <f>IF(C3223="","",C3223&amp;COUNTIF(C$9:C3223,C3223))</f>
        <v/>
      </c>
    </row>
    <row r="3224" spans="2:2" x14ac:dyDescent="0.25">
      <c r="B3224" t="str">
        <f>IF(C3224="","",C3224&amp;COUNTIF(C$9:C3224,C3224))</f>
        <v/>
      </c>
    </row>
    <row r="3225" spans="2:2" x14ac:dyDescent="0.25">
      <c r="B3225" t="str">
        <f>IF(C3225="","",C3225&amp;COUNTIF(C$9:C3225,C3225))</f>
        <v/>
      </c>
    </row>
    <row r="3226" spans="2:2" x14ac:dyDescent="0.25">
      <c r="B3226" t="str">
        <f>IF(C3226="","",C3226&amp;COUNTIF(C$9:C3226,C3226))</f>
        <v/>
      </c>
    </row>
    <row r="3227" spans="2:2" x14ac:dyDescent="0.25">
      <c r="B3227" t="str">
        <f>IF(C3227="","",C3227&amp;COUNTIF(C$9:C3227,C3227))</f>
        <v/>
      </c>
    </row>
    <row r="3228" spans="2:2" x14ac:dyDescent="0.25">
      <c r="B3228" t="str">
        <f>IF(C3228="","",C3228&amp;COUNTIF(C$9:C3228,C3228))</f>
        <v/>
      </c>
    </row>
    <row r="3229" spans="2:2" x14ac:dyDescent="0.25">
      <c r="B3229" t="str">
        <f>IF(C3229="","",C3229&amp;COUNTIF(C$9:C3229,C3229))</f>
        <v/>
      </c>
    </row>
    <row r="3230" spans="2:2" x14ac:dyDescent="0.25">
      <c r="B3230" t="str">
        <f>IF(C3230="","",C3230&amp;COUNTIF(C$9:C3230,C3230))</f>
        <v/>
      </c>
    </row>
    <row r="3231" spans="2:2" x14ac:dyDescent="0.25">
      <c r="B3231" t="str">
        <f>IF(C3231="","",C3231&amp;COUNTIF(C$9:C3231,C3231))</f>
        <v/>
      </c>
    </row>
    <row r="3232" spans="2:2" x14ac:dyDescent="0.25">
      <c r="B3232" t="str">
        <f>IF(C3232="","",C3232&amp;COUNTIF(C$9:C3232,C3232))</f>
        <v/>
      </c>
    </row>
    <row r="3233" spans="2:2" x14ac:dyDescent="0.25">
      <c r="B3233" t="str">
        <f>IF(C3233="","",C3233&amp;COUNTIF(C$9:C3233,C3233))</f>
        <v/>
      </c>
    </row>
    <row r="3234" spans="2:2" x14ac:dyDescent="0.25">
      <c r="B3234" t="str">
        <f>IF(C3234="","",C3234&amp;COUNTIF(C$9:C3234,C3234))</f>
        <v/>
      </c>
    </row>
    <row r="3235" spans="2:2" x14ac:dyDescent="0.25">
      <c r="B3235" t="str">
        <f>IF(C3235="","",C3235&amp;COUNTIF(C$9:C3235,C3235))</f>
        <v/>
      </c>
    </row>
    <row r="3236" spans="2:2" x14ac:dyDescent="0.25">
      <c r="B3236" t="str">
        <f>IF(C3236="","",C3236&amp;COUNTIF(C$9:C3236,C3236))</f>
        <v/>
      </c>
    </row>
    <row r="3237" spans="2:2" x14ac:dyDescent="0.25">
      <c r="B3237" t="str">
        <f>IF(C3237="","",C3237&amp;COUNTIF(C$9:C3237,C3237))</f>
        <v/>
      </c>
    </row>
    <row r="3238" spans="2:2" x14ac:dyDescent="0.25">
      <c r="B3238" t="str">
        <f>IF(C3238="","",C3238&amp;COUNTIF(C$9:C3238,C3238))</f>
        <v/>
      </c>
    </row>
    <row r="3239" spans="2:2" x14ac:dyDescent="0.25">
      <c r="B3239" t="str">
        <f>IF(C3239="","",C3239&amp;COUNTIF(C$9:C3239,C3239))</f>
        <v/>
      </c>
    </row>
    <row r="3240" spans="2:2" x14ac:dyDescent="0.25">
      <c r="B3240" t="str">
        <f>IF(C3240="","",C3240&amp;COUNTIF(C$9:C3240,C3240))</f>
        <v/>
      </c>
    </row>
    <row r="3241" spans="2:2" x14ac:dyDescent="0.25">
      <c r="B3241" t="str">
        <f>IF(C3241="","",C3241&amp;COUNTIF(C$9:C3241,C3241))</f>
        <v/>
      </c>
    </row>
    <row r="3242" spans="2:2" x14ac:dyDescent="0.25">
      <c r="B3242" t="str">
        <f>IF(C3242="","",C3242&amp;COUNTIF(C$9:C3242,C3242))</f>
        <v/>
      </c>
    </row>
    <row r="3243" spans="2:2" x14ac:dyDescent="0.25">
      <c r="B3243" t="str">
        <f>IF(C3243="","",C3243&amp;COUNTIF(C$9:C3243,C3243))</f>
        <v/>
      </c>
    </row>
    <row r="3244" spans="2:2" x14ac:dyDescent="0.25">
      <c r="B3244" t="str">
        <f>IF(C3244="","",C3244&amp;COUNTIF(C$9:C3244,C3244))</f>
        <v/>
      </c>
    </row>
    <row r="3245" spans="2:2" x14ac:dyDescent="0.25">
      <c r="B3245" t="str">
        <f>IF(C3245="","",C3245&amp;COUNTIF(C$9:C3245,C3245))</f>
        <v/>
      </c>
    </row>
    <row r="3246" spans="2:2" x14ac:dyDescent="0.25">
      <c r="B3246" t="str">
        <f>IF(C3246="","",C3246&amp;COUNTIF(C$9:C3246,C3246))</f>
        <v/>
      </c>
    </row>
    <row r="3247" spans="2:2" x14ac:dyDescent="0.25">
      <c r="B3247" t="str">
        <f>IF(C3247="","",C3247&amp;COUNTIF(C$9:C3247,C3247))</f>
        <v/>
      </c>
    </row>
    <row r="3248" spans="2:2" x14ac:dyDescent="0.25">
      <c r="B3248" t="str">
        <f>IF(C3248="","",C3248&amp;COUNTIF(C$9:C3248,C3248))</f>
        <v/>
      </c>
    </row>
    <row r="3249" spans="2:2" x14ac:dyDescent="0.25">
      <c r="B3249" t="str">
        <f>IF(C3249="","",C3249&amp;COUNTIF(C$9:C3249,C3249))</f>
        <v/>
      </c>
    </row>
    <row r="3250" spans="2:2" x14ac:dyDescent="0.25">
      <c r="B3250" t="str">
        <f>IF(C3250="","",C3250&amp;COUNTIF(C$9:C3250,C3250))</f>
        <v/>
      </c>
    </row>
    <row r="3251" spans="2:2" x14ac:dyDescent="0.25">
      <c r="B3251" t="str">
        <f>IF(C3251="","",C3251&amp;COUNTIF(C$9:C3251,C3251))</f>
        <v/>
      </c>
    </row>
    <row r="3252" spans="2:2" x14ac:dyDescent="0.25">
      <c r="B3252" t="str">
        <f>IF(C3252="","",C3252&amp;COUNTIF(C$9:C3252,C3252))</f>
        <v/>
      </c>
    </row>
    <row r="3253" spans="2:2" x14ac:dyDescent="0.25">
      <c r="B3253" t="str">
        <f>IF(C3253="","",C3253&amp;COUNTIF(C$9:C3253,C3253))</f>
        <v/>
      </c>
    </row>
    <row r="3254" spans="2:2" x14ac:dyDescent="0.25">
      <c r="B3254" t="str">
        <f>IF(C3254="","",C3254&amp;COUNTIF(C$9:C3254,C3254))</f>
        <v/>
      </c>
    </row>
    <row r="3255" spans="2:2" x14ac:dyDescent="0.25">
      <c r="B3255" t="str">
        <f>IF(C3255="","",C3255&amp;COUNTIF(C$9:C3255,C3255))</f>
        <v/>
      </c>
    </row>
    <row r="3256" spans="2:2" x14ac:dyDescent="0.25">
      <c r="B3256" t="str">
        <f>IF(C3256="","",C3256&amp;COUNTIF(C$9:C3256,C3256))</f>
        <v/>
      </c>
    </row>
    <row r="3257" spans="2:2" x14ac:dyDescent="0.25">
      <c r="B3257" t="str">
        <f>IF(C3257="","",C3257&amp;COUNTIF(C$9:C3257,C3257))</f>
        <v/>
      </c>
    </row>
    <row r="3258" spans="2:2" x14ac:dyDescent="0.25">
      <c r="B3258" t="str">
        <f>IF(C3258="","",C3258&amp;COUNTIF(C$9:C3258,C3258))</f>
        <v/>
      </c>
    </row>
    <row r="3259" spans="2:2" x14ac:dyDescent="0.25">
      <c r="B3259" t="str">
        <f>IF(C3259="","",C3259&amp;COUNTIF(C$9:C3259,C3259))</f>
        <v/>
      </c>
    </row>
    <row r="3260" spans="2:2" x14ac:dyDescent="0.25">
      <c r="B3260" t="str">
        <f>IF(C3260="","",C3260&amp;COUNTIF(C$9:C3260,C3260))</f>
        <v/>
      </c>
    </row>
    <row r="3261" spans="2:2" x14ac:dyDescent="0.25">
      <c r="B3261" t="str">
        <f>IF(C3261="","",C3261&amp;COUNTIF(C$9:C3261,C3261))</f>
        <v/>
      </c>
    </row>
    <row r="3262" spans="2:2" x14ac:dyDescent="0.25">
      <c r="B3262" t="str">
        <f>IF(C3262="","",C3262&amp;COUNTIF(C$9:C3262,C3262))</f>
        <v/>
      </c>
    </row>
    <row r="3263" spans="2:2" x14ac:dyDescent="0.25">
      <c r="B3263" t="str">
        <f>IF(C3263="","",C3263&amp;COUNTIF(C$9:C3263,C3263))</f>
        <v/>
      </c>
    </row>
    <row r="3264" spans="2:2" x14ac:dyDescent="0.25">
      <c r="B3264" t="str">
        <f>IF(C3264="","",C3264&amp;COUNTIF(C$9:C3264,C3264))</f>
        <v/>
      </c>
    </row>
    <row r="3265" spans="2:2" x14ac:dyDescent="0.25">
      <c r="B3265" t="str">
        <f>IF(C3265="","",C3265&amp;COUNTIF(C$9:C3265,C3265))</f>
        <v/>
      </c>
    </row>
    <row r="3266" spans="2:2" x14ac:dyDescent="0.25">
      <c r="B3266" t="str">
        <f>IF(C3266="","",C3266&amp;COUNTIF(C$9:C3266,C3266))</f>
        <v/>
      </c>
    </row>
    <row r="3267" spans="2:2" x14ac:dyDescent="0.25">
      <c r="B3267" t="str">
        <f>IF(C3267="","",C3267&amp;COUNTIF(C$9:C3267,C3267))</f>
        <v/>
      </c>
    </row>
    <row r="3268" spans="2:2" x14ac:dyDescent="0.25">
      <c r="B3268" t="str">
        <f>IF(C3268="","",C3268&amp;COUNTIF(C$9:C3268,C3268))</f>
        <v/>
      </c>
    </row>
    <row r="3269" spans="2:2" x14ac:dyDescent="0.25">
      <c r="B3269" t="str">
        <f>IF(C3269="","",C3269&amp;COUNTIF(C$9:C3269,C3269))</f>
        <v/>
      </c>
    </row>
    <row r="3270" spans="2:2" x14ac:dyDescent="0.25">
      <c r="B3270" t="str">
        <f>IF(C3270="","",C3270&amp;COUNTIF(C$9:C3270,C3270))</f>
        <v/>
      </c>
    </row>
    <row r="3271" spans="2:2" x14ac:dyDescent="0.25">
      <c r="B3271" t="str">
        <f>IF(C3271="","",C3271&amp;COUNTIF(C$9:C3271,C3271))</f>
        <v/>
      </c>
    </row>
    <row r="3272" spans="2:2" x14ac:dyDescent="0.25">
      <c r="B3272" t="str">
        <f>IF(C3272="","",C3272&amp;COUNTIF(C$9:C3272,C3272))</f>
        <v/>
      </c>
    </row>
    <row r="3273" spans="2:2" x14ac:dyDescent="0.25">
      <c r="B3273" t="str">
        <f>IF(C3273="","",C3273&amp;COUNTIF(C$9:C3273,C3273))</f>
        <v/>
      </c>
    </row>
    <row r="3274" spans="2:2" x14ac:dyDescent="0.25">
      <c r="B3274" t="str">
        <f>IF(C3274="","",C3274&amp;COUNTIF(C$9:C3274,C3274))</f>
        <v/>
      </c>
    </row>
    <row r="3275" spans="2:2" x14ac:dyDescent="0.25">
      <c r="B3275" t="str">
        <f>IF(C3275="","",C3275&amp;COUNTIF(C$9:C3275,C3275))</f>
        <v/>
      </c>
    </row>
    <row r="3276" spans="2:2" x14ac:dyDescent="0.25">
      <c r="B3276" t="str">
        <f>IF(C3276="","",C3276&amp;COUNTIF(C$9:C3276,C3276))</f>
        <v/>
      </c>
    </row>
    <row r="3277" spans="2:2" x14ac:dyDescent="0.25">
      <c r="B3277" t="str">
        <f>IF(C3277="","",C3277&amp;COUNTIF(C$9:C3277,C3277))</f>
        <v/>
      </c>
    </row>
    <row r="3278" spans="2:2" x14ac:dyDescent="0.25">
      <c r="B3278" t="str">
        <f>IF(C3278="","",C3278&amp;COUNTIF(C$9:C3278,C3278))</f>
        <v/>
      </c>
    </row>
    <row r="3279" spans="2:2" x14ac:dyDescent="0.25">
      <c r="B3279" t="str">
        <f>IF(C3279="","",C3279&amp;COUNTIF(C$9:C3279,C3279))</f>
        <v/>
      </c>
    </row>
    <row r="3280" spans="2:2" x14ac:dyDescent="0.25">
      <c r="B3280" t="str">
        <f>IF(C3280="","",C3280&amp;COUNTIF(C$9:C3280,C3280))</f>
        <v/>
      </c>
    </row>
    <row r="3281" spans="2:2" x14ac:dyDescent="0.25">
      <c r="B3281" t="str">
        <f>IF(C3281="","",C3281&amp;COUNTIF(C$9:C3281,C3281))</f>
        <v/>
      </c>
    </row>
    <row r="3282" spans="2:2" x14ac:dyDescent="0.25">
      <c r="B3282" t="str">
        <f>IF(C3282="","",C3282&amp;COUNTIF(C$9:C3282,C3282))</f>
        <v/>
      </c>
    </row>
    <row r="3283" spans="2:2" x14ac:dyDescent="0.25">
      <c r="B3283" t="str">
        <f>IF(C3283="","",C3283&amp;COUNTIF(C$9:C3283,C3283))</f>
        <v/>
      </c>
    </row>
    <row r="3284" spans="2:2" x14ac:dyDescent="0.25">
      <c r="B3284" t="str">
        <f>IF(C3284="","",C3284&amp;COUNTIF(C$9:C3284,C3284))</f>
        <v/>
      </c>
    </row>
    <row r="3285" spans="2:2" x14ac:dyDescent="0.25">
      <c r="B3285" t="str">
        <f>IF(C3285="","",C3285&amp;COUNTIF(C$9:C3285,C3285))</f>
        <v/>
      </c>
    </row>
    <row r="3286" spans="2:2" x14ac:dyDescent="0.25">
      <c r="B3286" t="str">
        <f>IF(C3286="","",C3286&amp;COUNTIF(C$9:C3286,C3286))</f>
        <v/>
      </c>
    </row>
    <row r="3287" spans="2:2" x14ac:dyDescent="0.25">
      <c r="B3287" t="str">
        <f>IF(C3287="","",C3287&amp;COUNTIF(C$9:C3287,C3287))</f>
        <v/>
      </c>
    </row>
    <row r="3288" spans="2:2" x14ac:dyDescent="0.25">
      <c r="B3288" t="str">
        <f>IF(C3288="","",C3288&amp;COUNTIF(C$9:C3288,C3288))</f>
        <v/>
      </c>
    </row>
    <row r="3289" spans="2:2" x14ac:dyDescent="0.25">
      <c r="B3289" t="str">
        <f>IF(C3289="","",C3289&amp;COUNTIF(C$9:C3289,C3289))</f>
        <v/>
      </c>
    </row>
    <row r="3290" spans="2:2" x14ac:dyDescent="0.25">
      <c r="B3290" t="str">
        <f>IF(C3290="","",C3290&amp;COUNTIF(C$9:C3290,C3290))</f>
        <v/>
      </c>
    </row>
    <row r="3291" spans="2:2" x14ac:dyDescent="0.25">
      <c r="B3291" t="str">
        <f>IF(C3291="","",C3291&amp;COUNTIF(C$9:C3291,C3291))</f>
        <v/>
      </c>
    </row>
    <row r="3292" spans="2:2" x14ac:dyDescent="0.25">
      <c r="B3292" t="str">
        <f>IF(C3292="","",C3292&amp;COUNTIF(C$9:C3292,C3292))</f>
        <v/>
      </c>
    </row>
    <row r="3293" spans="2:2" x14ac:dyDescent="0.25">
      <c r="B3293" t="str">
        <f>IF(C3293="","",C3293&amp;COUNTIF(C$9:C3293,C3293))</f>
        <v/>
      </c>
    </row>
    <row r="3294" spans="2:2" x14ac:dyDescent="0.25">
      <c r="B3294" t="str">
        <f>IF(C3294="","",C3294&amp;COUNTIF(C$9:C3294,C3294))</f>
        <v/>
      </c>
    </row>
    <row r="3295" spans="2:2" x14ac:dyDescent="0.25">
      <c r="B3295" t="str">
        <f>IF(C3295="","",C3295&amp;COUNTIF(C$9:C3295,C3295))</f>
        <v/>
      </c>
    </row>
    <row r="3296" spans="2:2" x14ac:dyDescent="0.25">
      <c r="B3296" t="str">
        <f>IF(C3296="","",C3296&amp;COUNTIF(C$9:C3296,C3296))</f>
        <v/>
      </c>
    </row>
    <row r="3297" spans="2:2" x14ac:dyDescent="0.25">
      <c r="B3297" t="str">
        <f>IF(C3297="","",C3297&amp;COUNTIF(C$9:C3297,C3297))</f>
        <v/>
      </c>
    </row>
    <row r="3298" spans="2:2" x14ac:dyDescent="0.25">
      <c r="B3298" t="str">
        <f>IF(C3298="","",C3298&amp;COUNTIF(C$9:C3298,C3298))</f>
        <v/>
      </c>
    </row>
    <row r="3299" spans="2:2" x14ac:dyDescent="0.25">
      <c r="B3299" t="str">
        <f>IF(C3299="","",C3299&amp;COUNTIF(C$9:C3299,C3299))</f>
        <v/>
      </c>
    </row>
    <row r="3300" spans="2:2" x14ac:dyDescent="0.25">
      <c r="B3300" t="str">
        <f>IF(C3300="","",C3300&amp;COUNTIF(C$9:C3300,C3300))</f>
        <v/>
      </c>
    </row>
    <row r="3301" spans="2:2" x14ac:dyDescent="0.25">
      <c r="B3301" t="str">
        <f>IF(C3301="","",C3301&amp;COUNTIF(C$9:C3301,C3301))</f>
        <v/>
      </c>
    </row>
    <row r="3302" spans="2:2" x14ac:dyDescent="0.25">
      <c r="B3302" t="str">
        <f>IF(C3302="","",C3302&amp;COUNTIF(C$9:C3302,C3302))</f>
        <v/>
      </c>
    </row>
    <row r="3303" spans="2:2" x14ac:dyDescent="0.25">
      <c r="B3303" t="str">
        <f>IF(C3303="","",C3303&amp;COUNTIF(C$9:C3303,C3303))</f>
        <v/>
      </c>
    </row>
    <row r="3304" spans="2:2" x14ac:dyDescent="0.25">
      <c r="B3304" t="str">
        <f>IF(C3304="","",C3304&amp;COUNTIF(C$9:C3304,C3304))</f>
        <v/>
      </c>
    </row>
    <row r="3305" spans="2:2" x14ac:dyDescent="0.25">
      <c r="B3305" t="str">
        <f>IF(C3305="","",C3305&amp;COUNTIF(C$9:C3305,C3305))</f>
        <v/>
      </c>
    </row>
    <row r="3306" spans="2:2" x14ac:dyDescent="0.25">
      <c r="B3306" t="str">
        <f>IF(C3306="","",C3306&amp;COUNTIF(C$9:C3306,C3306))</f>
        <v/>
      </c>
    </row>
    <row r="3307" spans="2:2" x14ac:dyDescent="0.25">
      <c r="B3307" t="str">
        <f>IF(C3307="","",C3307&amp;COUNTIF(C$9:C3307,C3307))</f>
        <v/>
      </c>
    </row>
    <row r="3308" spans="2:2" x14ac:dyDescent="0.25">
      <c r="B3308" t="str">
        <f>IF(C3308="","",C3308&amp;COUNTIF(C$9:C3308,C3308))</f>
        <v/>
      </c>
    </row>
    <row r="3309" spans="2:2" x14ac:dyDescent="0.25">
      <c r="B3309" t="str">
        <f>IF(C3309="","",C3309&amp;COUNTIF(C$9:C3309,C3309))</f>
        <v/>
      </c>
    </row>
    <row r="3310" spans="2:2" x14ac:dyDescent="0.25">
      <c r="B3310" t="str">
        <f>IF(C3310="","",C3310&amp;COUNTIF(C$9:C3310,C3310))</f>
        <v/>
      </c>
    </row>
    <row r="3311" spans="2:2" x14ac:dyDescent="0.25">
      <c r="B3311" t="str">
        <f>IF(C3311="","",C3311&amp;COUNTIF(C$9:C3311,C3311))</f>
        <v/>
      </c>
    </row>
    <row r="3312" spans="2:2" x14ac:dyDescent="0.25">
      <c r="B3312" t="str">
        <f>IF(C3312="","",C3312&amp;COUNTIF(C$9:C3312,C3312))</f>
        <v/>
      </c>
    </row>
    <row r="3313" spans="2:2" x14ac:dyDescent="0.25">
      <c r="B3313" t="str">
        <f>IF(C3313="","",C3313&amp;COUNTIF(C$9:C3313,C3313))</f>
        <v/>
      </c>
    </row>
    <row r="3314" spans="2:2" x14ac:dyDescent="0.25">
      <c r="B3314" t="str">
        <f>IF(C3314="","",C3314&amp;COUNTIF(C$9:C3314,C3314))</f>
        <v/>
      </c>
    </row>
    <row r="3315" spans="2:2" x14ac:dyDescent="0.25">
      <c r="B3315" t="str">
        <f>IF(C3315="","",C3315&amp;COUNTIF(C$9:C3315,C3315))</f>
        <v/>
      </c>
    </row>
    <row r="3316" spans="2:2" x14ac:dyDescent="0.25">
      <c r="B3316" t="str">
        <f>IF(C3316="","",C3316&amp;COUNTIF(C$9:C3316,C3316))</f>
        <v/>
      </c>
    </row>
    <row r="3317" spans="2:2" x14ac:dyDescent="0.25">
      <c r="B3317" t="str">
        <f>IF(C3317="","",C3317&amp;COUNTIF(C$9:C3317,C3317))</f>
        <v/>
      </c>
    </row>
    <row r="3318" spans="2:2" x14ac:dyDescent="0.25">
      <c r="B3318" t="str">
        <f>IF(C3318="","",C3318&amp;COUNTIF(C$9:C3318,C3318))</f>
        <v/>
      </c>
    </row>
    <row r="3319" spans="2:2" x14ac:dyDescent="0.25">
      <c r="B3319" t="str">
        <f>IF(C3319="","",C3319&amp;COUNTIF(C$9:C3319,C3319))</f>
        <v/>
      </c>
    </row>
    <row r="3320" spans="2:2" x14ac:dyDescent="0.25">
      <c r="B3320" t="str">
        <f>IF(C3320="","",C3320&amp;COUNTIF(C$9:C3320,C3320))</f>
        <v/>
      </c>
    </row>
    <row r="3321" spans="2:2" x14ac:dyDescent="0.25">
      <c r="B3321" t="str">
        <f>IF(C3321="","",C3321&amp;COUNTIF(C$9:C3321,C3321))</f>
        <v/>
      </c>
    </row>
    <row r="3322" spans="2:2" x14ac:dyDescent="0.25">
      <c r="B3322" t="str">
        <f>IF(C3322="","",C3322&amp;COUNTIF(C$9:C3322,C3322))</f>
        <v/>
      </c>
    </row>
    <row r="3323" spans="2:2" x14ac:dyDescent="0.25">
      <c r="B3323" t="str">
        <f>IF(C3323="","",C3323&amp;COUNTIF(C$9:C3323,C3323))</f>
        <v/>
      </c>
    </row>
    <row r="3324" spans="2:2" x14ac:dyDescent="0.25">
      <c r="B3324" t="str">
        <f>IF(C3324="","",C3324&amp;COUNTIF(C$9:C3324,C3324))</f>
        <v/>
      </c>
    </row>
    <row r="3325" spans="2:2" x14ac:dyDescent="0.25">
      <c r="B3325" t="str">
        <f>IF(C3325="","",C3325&amp;COUNTIF(C$9:C3325,C3325))</f>
        <v/>
      </c>
    </row>
    <row r="3326" spans="2:2" x14ac:dyDescent="0.25">
      <c r="B3326" t="str">
        <f>IF(C3326="","",C3326&amp;COUNTIF(C$9:C3326,C3326))</f>
        <v/>
      </c>
    </row>
    <row r="3327" spans="2:2" x14ac:dyDescent="0.25">
      <c r="B3327" t="str">
        <f>IF(C3327="","",C3327&amp;COUNTIF(C$9:C3327,C3327))</f>
        <v/>
      </c>
    </row>
    <row r="3328" spans="2:2" x14ac:dyDescent="0.25">
      <c r="B3328" t="str">
        <f>IF(C3328="","",C3328&amp;COUNTIF(C$9:C3328,C3328))</f>
        <v/>
      </c>
    </row>
    <row r="3329" spans="2:2" x14ac:dyDescent="0.25">
      <c r="B3329" t="str">
        <f>IF(C3329="","",C3329&amp;COUNTIF(C$9:C3329,C3329))</f>
        <v/>
      </c>
    </row>
    <row r="3330" spans="2:2" x14ac:dyDescent="0.25">
      <c r="B3330" t="str">
        <f>IF(C3330="","",C3330&amp;COUNTIF(C$9:C3330,C3330))</f>
        <v/>
      </c>
    </row>
    <row r="3331" spans="2:2" x14ac:dyDescent="0.25">
      <c r="B3331" t="str">
        <f>IF(C3331="","",C3331&amp;COUNTIF(C$9:C3331,C3331))</f>
        <v/>
      </c>
    </row>
    <row r="3332" spans="2:2" x14ac:dyDescent="0.25">
      <c r="B3332" t="str">
        <f>IF(C3332="","",C3332&amp;COUNTIF(C$9:C3332,C3332))</f>
        <v/>
      </c>
    </row>
    <row r="3333" spans="2:2" x14ac:dyDescent="0.25">
      <c r="B3333" t="str">
        <f>IF(C3333="","",C3333&amp;COUNTIF(C$9:C3333,C3333))</f>
        <v/>
      </c>
    </row>
    <row r="3334" spans="2:2" x14ac:dyDescent="0.25">
      <c r="B3334" t="str">
        <f>IF(C3334="","",C3334&amp;COUNTIF(C$9:C3334,C3334))</f>
        <v/>
      </c>
    </row>
    <row r="3335" spans="2:2" x14ac:dyDescent="0.25">
      <c r="B3335" t="str">
        <f>IF(C3335="","",C3335&amp;COUNTIF(C$9:C3335,C3335))</f>
        <v/>
      </c>
    </row>
    <row r="3336" spans="2:2" x14ac:dyDescent="0.25">
      <c r="B3336" t="str">
        <f>IF(C3336="","",C3336&amp;COUNTIF(C$9:C3336,C3336))</f>
        <v/>
      </c>
    </row>
    <row r="3337" spans="2:2" x14ac:dyDescent="0.25">
      <c r="B3337" t="str">
        <f>IF(C3337="","",C3337&amp;COUNTIF(C$9:C3337,C3337))</f>
        <v/>
      </c>
    </row>
    <row r="3338" spans="2:2" x14ac:dyDescent="0.25">
      <c r="B3338" t="str">
        <f>IF(C3338="","",C3338&amp;COUNTIF(C$9:C3338,C3338))</f>
        <v/>
      </c>
    </row>
    <row r="3339" spans="2:2" x14ac:dyDescent="0.25">
      <c r="B3339" t="str">
        <f>IF(C3339="","",C3339&amp;COUNTIF(C$9:C3339,C3339))</f>
        <v/>
      </c>
    </row>
    <row r="3340" spans="2:2" x14ac:dyDescent="0.25">
      <c r="B3340" t="str">
        <f>IF(C3340="","",C3340&amp;COUNTIF(C$9:C3340,C3340))</f>
        <v/>
      </c>
    </row>
    <row r="3341" spans="2:2" x14ac:dyDescent="0.25">
      <c r="B3341" t="str">
        <f>IF(C3341="","",C3341&amp;COUNTIF(C$9:C3341,C3341))</f>
        <v/>
      </c>
    </row>
    <row r="3342" spans="2:2" x14ac:dyDescent="0.25">
      <c r="B3342" t="str">
        <f>IF(C3342="","",C3342&amp;COUNTIF(C$9:C3342,C3342))</f>
        <v/>
      </c>
    </row>
    <row r="3343" spans="2:2" x14ac:dyDescent="0.25">
      <c r="B3343" t="str">
        <f>IF(C3343="","",C3343&amp;COUNTIF(C$9:C3343,C3343))</f>
        <v/>
      </c>
    </row>
    <row r="3344" spans="2:2" x14ac:dyDescent="0.25">
      <c r="B3344" t="str">
        <f>IF(C3344="","",C3344&amp;COUNTIF(C$9:C3344,C3344))</f>
        <v/>
      </c>
    </row>
    <row r="3345" spans="2:2" x14ac:dyDescent="0.25">
      <c r="B3345" t="str">
        <f>IF(C3345="","",C3345&amp;COUNTIF(C$9:C3345,C3345))</f>
        <v/>
      </c>
    </row>
    <row r="3346" spans="2:2" x14ac:dyDescent="0.25">
      <c r="B3346" t="str">
        <f>IF(C3346="","",C3346&amp;COUNTIF(C$9:C3346,C3346))</f>
        <v/>
      </c>
    </row>
    <row r="3347" spans="2:2" x14ac:dyDescent="0.25">
      <c r="B3347" t="str">
        <f>IF(C3347="","",C3347&amp;COUNTIF(C$9:C3347,C3347))</f>
        <v/>
      </c>
    </row>
    <row r="3348" spans="2:2" x14ac:dyDescent="0.25">
      <c r="B3348" t="str">
        <f>IF(C3348="","",C3348&amp;COUNTIF(C$9:C3348,C3348))</f>
        <v/>
      </c>
    </row>
    <row r="3349" spans="2:2" x14ac:dyDescent="0.25">
      <c r="B3349" t="str">
        <f>IF(C3349="","",C3349&amp;COUNTIF(C$9:C3349,C3349))</f>
        <v/>
      </c>
    </row>
    <row r="3350" spans="2:2" x14ac:dyDescent="0.25">
      <c r="B3350" t="str">
        <f>IF(C3350="","",C3350&amp;COUNTIF(C$9:C3350,C3350))</f>
        <v/>
      </c>
    </row>
    <row r="3351" spans="2:2" x14ac:dyDescent="0.25">
      <c r="B3351" t="str">
        <f>IF(C3351="","",C3351&amp;COUNTIF(C$9:C3351,C3351))</f>
        <v/>
      </c>
    </row>
    <row r="3352" spans="2:2" x14ac:dyDescent="0.25">
      <c r="B3352" t="str">
        <f>IF(C3352="","",C3352&amp;COUNTIF(C$9:C3352,C3352))</f>
        <v/>
      </c>
    </row>
    <row r="3353" spans="2:2" x14ac:dyDescent="0.25">
      <c r="B3353" t="str">
        <f>IF(C3353="","",C3353&amp;COUNTIF(C$9:C3353,C3353))</f>
        <v/>
      </c>
    </row>
    <row r="3354" spans="2:2" x14ac:dyDescent="0.25">
      <c r="B3354" t="str">
        <f>IF(C3354="","",C3354&amp;COUNTIF(C$9:C3354,C3354))</f>
        <v/>
      </c>
    </row>
    <row r="3355" spans="2:2" x14ac:dyDescent="0.25">
      <c r="B3355" t="str">
        <f>IF(C3355="","",C3355&amp;COUNTIF(C$9:C3355,C3355))</f>
        <v/>
      </c>
    </row>
    <row r="3356" spans="2:2" x14ac:dyDescent="0.25">
      <c r="B3356" t="str">
        <f>IF(C3356="","",C3356&amp;COUNTIF(C$9:C3356,C3356))</f>
        <v/>
      </c>
    </row>
    <row r="3357" spans="2:2" x14ac:dyDescent="0.25">
      <c r="B3357" t="str">
        <f>IF(C3357="","",C3357&amp;COUNTIF(C$9:C3357,C3357))</f>
        <v/>
      </c>
    </row>
    <row r="3358" spans="2:2" x14ac:dyDescent="0.25">
      <c r="B3358" t="str">
        <f>IF(C3358="","",C3358&amp;COUNTIF(C$9:C3358,C3358))</f>
        <v/>
      </c>
    </row>
    <row r="3359" spans="2:2" x14ac:dyDescent="0.25">
      <c r="B3359" t="str">
        <f>IF(C3359="","",C3359&amp;COUNTIF(C$9:C3359,C3359))</f>
        <v/>
      </c>
    </row>
    <row r="3360" spans="2:2" x14ac:dyDescent="0.25">
      <c r="B3360" t="str">
        <f>IF(C3360="","",C3360&amp;COUNTIF(C$9:C3360,C3360))</f>
        <v/>
      </c>
    </row>
    <row r="3361" spans="2:2" x14ac:dyDescent="0.25">
      <c r="B3361" t="str">
        <f>IF(C3361="","",C3361&amp;COUNTIF(C$9:C3361,C3361))</f>
        <v/>
      </c>
    </row>
    <row r="3362" spans="2:2" x14ac:dyDescent="0.25">
      <c r="B3362" t="str">
        <f>IF(C3362="","",C3362&amp;COUNTIF(C$9:C3362,C3362))</f>
        <v/>
      </c>
    </row>
    <row r="3363" spans="2:2" x14ac:dyDescent="0.25">
      <c r="B3363" t="str">
        <f>IF(C3363="","",C3363&amp;COUNTIF(C$9:C3363,C3363))</f>
        <v/>
      </c>
    </row>
    <row r="3364" spans="2:2" x14ac:dyDescent="0.25">
      <c r="B3364" t="str">
        <f>IF(C3364="","",C3364&amp;COUNTIF(C$9:C3364,C3364))</f>
        <v/>
      </c>
    </row>
    <row r="3365" spans="2:2" x14ac:dyDescent="0.25">
      <c r="B3365" t="str">
        <f>IF(C3365="","",C3365&amp;COUNTIF(C$9:C3365,C3365))</f>
        <v/>
      </c>
    </row>
    <row r="3366" spans="2:2" x14ac:dyDescent="0.25">
      <c r="B3366" t="str">
        <f>IF(C3366="","",C3366&amp;COUNTIF(C$9:C3366,C3366))</f>
        <v/>
      </c>
    </row>
    <row r="3367" spans="2:2" x14ac:dyDescent="0.25">
      <c r="B3367" t="str">
        <f>IF(C3367="","",C3367&amp;COUNTIF(C$9:C3367,C3367))</f>
        <v/>
      </c>
    </row>
    <row r="3368" spans="2:2" x14ac:dyDescent="0.25">
      <c r="B3368" t="str">
        <f>IF(C3368="","",C3368&amp;COUNTIF(C$9:C3368,C3368))</f>
        <v/>
      </c>
    </row>
    <row r="3369" spans="2:2" x14ac:dyDescent="0.25">
      <c r="B3369" t="str">
        <f>IF(C3369="","",C3369&amp;COUNTIF(C$9:C3369,C3369))</f>
        <v/>
      </c>
    </row>
    <row r="3370" spans="2:2" x14ac:dyDescent="0.25">
      <c r="B3370" t="str">
        <f>IF(C3370="","",C3370&amp;COUNTIF(C$9:C3370,C3370))</f>
        <v/>
      </c>
    </row>
    <row r="3371" spans="2:2" x14ac:dyDescent="0.25">
      <c r="B3371" t="str">
        <f>IF(C3371="","",C3371&amp;COUNTIF(C$9:C3371,C3371))</f>
        <v/>
      </c>
    </row>
    <row r="3372" spans="2:2" x14ac:dyDescent="0.25">
      <c r="B3372" t="str">
        <f>IF(C3372="","",C3372&amp;COUNTIF(C$9:C3372,C3372))</f>
        <v/>
      </c>
    </row>
    <row r="3373" spans="2:2" x14ac:dyDescent="0.25">
      <c r="B3373" t="str">
        <f>IF(C3373="","",C3373&amp;COUNTIF(C$9:C3373,C3373))</f>
        <v/>
      </c>
    </row>
    <row r="3374" spans="2:2" x14ac:dyDescent="0.25">
      <c r="B3374" t="str">
        <f>IF(C3374="","",C3374&amp;COUNTIF(C$9:C3374,C3374))</f>
        <v/>
      </c>
    </row>
    <row r="3375" spans="2:2" x14ac:dyDescent="0.25">
      <c r="B3375" t="str">
        <f>IF(C3375="","",C3375&amp;COUNTIF(C$9:C3375,C3375))</f>
        <v/>
      </c>
    </row>
    <row r="3376" spans="2:2" x14ac:dyDescent="0.25">
      <c r="B3376" t="str">
        <f>IF(C3376="","",C3376&amp;COUNTIF(C$9:C3376,C3376))</f>
        <v/>
      </c>
    </row>
    <row r="3377" spans="2:2" x14ac:dyDescent="0.25">
      <c r="B3377" t="str">
        <f>IF(C3377="","",C3377&amp;COUNTIF(C$9:C3377,C3377))</f>
        <v/>
      </c>
    </row>
    <row r="3378" spans="2:2" x14ac:dyDescent="0.25">
      <c r="B3378" t="str">
        <f>IF(C3378="","",C3378&amp;COUNTIF(C$9:C3378,C3378))</f>
        <v/>
      </c>
    </row>
    <row r="3379" spans="2:2" x14ac:dyDescent="0.25">
      <c r="B3379" t="str">
        <f>IF(C3379="","",C3379&amp;COUNTIF(C$9:C3379,C3379))</f>
        <v/>
      </c>
    </row>
    <row r="3380" spans="2:2" x14ac:dyDescent="0.25">
      <c r="B3380" t="str">
        <f>IF(C3380="","",C3380&amp;COUNTIF(C$9:C3380,C3380))</f>
        <v/>
      </c>
    </row>
    <row r="3381" spans="2:2" x14ac:dyDescent="0.25">
      <c r="B3381" t="str">
        <f>IF(C3381="","",C3381&amp;COUNTIF(C$9:C3381,C3381))</f>
        <v/>
      </c>
    </row>
    <row r="3382" spans="2:2" x14ac:dyDescent="0.25">
      <c r="B3382" t="str">
        <f>IF(C3382="","",C3382&amp;COUNTIF(C$9:C3382,C3382))</f>
        <v/>
      </c>
    </row>
    <row r="3383" spans="2:2" x14ac:dyDescent="0.25">
      <c r="B3383" t="str">
        <f>IF(C3383="","",C3383&amp;COUNTIF(C$9:C3383,C3383))</f>
        <v/>
      </c>
    </row>
    <row r="3384" spans="2:2" x14ac:dyDescent="0.25">
      <c r="B3384" t="str">
        <f>IF(C3384="","",C3384&amp;COUNTIF(C$9:C3384,C3384))</f>
        <v/>
      </c>
    </row>
    <row r="3385" spans="2:2" x14ac:dyDescent="0.25">
      <c r="B3385" t="str">
        <f>IF(C3385="","",C3385&amp;COUNTIF(C$9:C3385,C3385))</f>
        <v/>
      </c>
    </row>
    <row r="3386" spans="2:2" x14ac:dyDescent="0.25">
      <c r="B3386" t="str">
        <f>IF(C3386="","",C3386&amp;COUNTIF(C$9:C3386,C3386))</f>
        <v/>
      </c>
    </row>
    <row r="3387" spans="2:2" x14ac:dyDescent="0.25">
      <c r="B3387" t="str">
        <f>IF(C3387="","",C3387&amp;COUNTIF(C$9:C3387,C3387))</f>
        <v/>
      </c>
    </row>
    <row r="3388" spans="2:2" x14ac:dyDescent="0.25">
      <c r="B3388" t="str">
        <f>IF(C3388="","",C3388&amp;COUNTIF(C$9:C3388,C3388))</f>
        <v/>
      </c>
    </row>
    <row r="3389" spans="2:2" x14ac:dyDescent="0.25">
      <c r="B3389" t="str">
        <f>IF(C3389="","",C3389&amp;COUNTIF(C$9:C3389,C3389))</f>
        <v/>
      </c>
    </row>
    <row r="3390" spans="2:2" x14ac:dyDescent="0.25">
      <c r="B3390" t="str">
        <f>IF(C3390="","",C3390&amp;COUNTIF(C$9:C3390,C3390))</f>
        <v/>
      </c>
    </row>
    <row r="3391" spans="2:2" x14ac:dyDescent="0.25">
      <c r="B3391" t="str">
        <f>IF(C3391="","",C3391&amp;COUNTIF(C$9:C3391,C3391))</f>
        <v/>
      </c>
    </row>
    <row r="3392" spans="2:2" x14ac:dyDescent="0.25">
      <c r="B3392" t="str">
        <f>IF(C3392="","",C3392&amp;COUNTIF(C$9:C3392,C3392))</f>
        <v/>
      </c>
    </row>
    <row r="3393" spans="2:2" x14ac:dyDescent="0.25">
      <c r="B3393" t="str">
        <f>IF(C3393="","",C3393&amp;COUNTIF(C$9:C3393,C3393))</f>
        <v/>
      </c>
    </row>
    <row r="3394" spans="2:2" x14ac:dyDescent="0.25">
      <c r="B3394" t="str">
        <f>IF(C3394="","",C3394&amp;COUNTIF(C$9:C3394,C3394))</f>
        <v/>
      </c>
    </row>
    <row r="3395" spans="2:2" x14ac:dyDescent="0.25">
      <c r="B3395" t="str">
        <f>IF(C3395="","",C3395&amp;COUNTIF(C$9:C3395,C3395))</f>
        <v/>
      </c>
    </row>
    <row r="3396" spans="2:2" x14ac:dyDescent="0.25">
      <c r="B3396" t="str">
        <f>IF(C3396="","",C3396&amp;COUNTIF(C$9:C3396,C3396))</f>
        <v/>
      </c>
    </row>
    <row r="3397" spans="2:2" x14ac:dyDescent="0.25">
      <c r="B3397" t="str">
        <f>IF(C3397="","",C3397&amp;COUNTIF(C$9:C3397,C3397))</f>
        <v/>
      </c>
    </row>
    <row r="3398" spans="2:2" x14ac:dyDescent="0.25">
      <c r="B3398" t="str">
        <f>IF(C3398="","",C3398&amp;COUNTIF(C$9:C3398,C3398))</f>
        <v/>
      </c>
    </row>
    <row r="3399" spans="2:2" x14ac:dyDescent="0.25">
      <c r="B3399" t="str">
        <f>IF(C3399="","",C3399&amp;COUNTIF(C$9:C3399,C3399))</f>
        <v/>
      </c>
    </row>
    <row r="3400" spans="2:2" x14ac:dyDescent="0.25">
      <c r="B3400" t="str">
        <f>IF(C3400="","",C3400&amp;COUNTIF(C$9:C3400,C3400))</f>
        <v/>
      </c>
    </row>
    <row r="3401" spans="2:2" x14ac:dyDescent="0.25">
      <c r="B3401" t="str">
        <f>IF(C3401="","",C3401&amp;COUNTIF(C$9:C3401,C3401))</f>
        <v/>
      </c>
    </row>
    <row r="3402" spans="2:2" x14ac:dyDescent="0.25">
      <c r="B3402" t="str">
        <f>IF(C3402="","",C3402&amp;COUNTIF(C$9:C3402,C3402))</f>
        <v/>
      </c>
    </row>
    <row r="3403" spans="2:2" x14ac:dyDescent="0.25">
      <c r="B3403" t="str">
        <f>IF(C3403="","",C3403&amp;COUNTIF(C$9:C3403,C3403))</f>
        <v/>
      </c>
    </row>
    <row r="3404" spans="2:2" x14ac:dyDescent="0.25">
      <c r="B3404" t="str">
        <f>IF(C3404="","",C3404&amp;COUNTIF(C$9:C3404,C3404))</f>
        <v/>
      </c>
    </row>
    <row r="3405" spans="2:2" x14ac:dyDescent="0.25">
      <c r="B3405" t="str">
        <f>IF(C3405="","",C3405&amp;COUNTIF(C$9:C3405,C3405))</f>
        <v/>
      </c>
    </row>
    <row r="3406" spans="2:2" x14ac:dyDescent="0.25">
      <c r="B3406" t="str">
        <f>IF(C3406="","",C3406&amp;COUNTIF(C$9:C3406,C3406))</f>
        <v/>
      </c>
    </row>
    <row r="3407" spans="2:2" x14ac:dyDescent="0.25">
      <c r="B3407" t="str">
        <f>IF(C3407="","",C3407&amp;COUNTIF(C$9:C3407,C3407))</f>
        <v/>
      </c>
    </row>
    <row r="3408" spans="2:2" x14ac:dyDescent="0.25">
      <c r="B3408" t="str">
        <f>IF(C3408="","",C3408&amp;COUNTIF(C$9:C3408,C3408))</f>
        <v/>
      </c>
    </row>
    <row r="3409" spans="2:2" x14ac:dyDescent="0.25">
      <c r="B3409" t="str">
        <f>IF(C3409="","",C3409&amp;COUNTIF(C$9:C3409,C3409))</f>
        <v/>
      </c>
    </row>
    <row r="3410" spans="2:2" x14ac:dyDescent="0.25">
      <c r="B3410" t="str">
        <f>IF(C3410="","",C3410&amp;COUNTIF(C$9:C3410,C3410))</f>
        <v/>
      </c>
    </row>
    <row r="3411" spans="2:2" x14ac:dyDescent="0.25">
      <c r="B3411" t="str">
        <f>IF(C3411="","",C3411&amp;COUNTIF(C$9:C3411,C3411))</f>
        <v/>
      </c>
    </row>
    <row r="3412" spans="2:2" x14ac:dyDescent="0.25">
      <c r="B3412" t="str">
        <f>IF(C3412="","",C3412&amp;COUNTIF(C$9:C3412,C3412))</f>
        <v/>
      </c>
    </row>
    <row r="3413" spans="2:2" x14ac:dyDescent="0.25">
      <c r="B3413" t="str">
        <f>IF(C3413="","",C3413&amp;COUNTIF(C$9:C3413,C3413))</f>
        <v/>
      </c>
    </row>
    <row r="3414" spans="2:2" x14ac:dyDescent="0.25">
      <c r="B3414" t="str">
        <f>IF(C3414="","",C3414&amp;COUNTIF(C$9:C3414,C3414))</f>
        <v/>
      </c>
    </row>
    <row r="3415" spans="2:2" x14ac:dyDescent="0.25">
      <c r="B3415" t="str">
        <f>IF(C3415="","",C3415&amp;COUNTIF(C$9:C3415,C3415))</f>
        <v/>
      </c>
    </row>
    <row r="3416" spans="2:2" x14ac:dyDescent="0.25">
      <c r="B3416" t="str">
        <f>IF(C3416="","",C3416&amp;COUNTIF(C$9:C3416,C3416))</f>
        <v/>
      </c>
    </row>
    <row r="3417" spans="2:2" x14ac:dyDescent="0.25">
      <c r="B3417" t="str">
        <f>IF(C3417="","",C3417&amp;COUNTIF(C$9:C3417,C3417))</f>
        <v/>
      </c>
    </row>
    <row r="3418" spans="2:2" x14ac:dyDescent="0.25">
      <c r="B3418" t="str">
        <f>IF(C3418="","",C3418&amp;COUNTIF(C$9:C3418,C3418))</f>
        <v/>
      </c>
    </row>
    <row r="3419" spans="2:2" x14ac:dyDescent="0.25">
      <c r="B3419" t="str">
        <f>IF(C3419="","",C3419&amp;COUNTIF(C$9:C3419,C3419))</f>
        <v/>
      </c>
    </row>
    <row r="3420" spans="2:2" x14ac:dyDescent="0.25">
      <c r="B3420" t="str">
        <f>IF(C3420="","",C3420&amp;COUNTIF(C$9:C3420,C3420))</f>
        <v/>
      </c>
    </row>
    <row r="3421" spans="2:2" x14ac:dyDescent="0.25">
      <c r="B3421" t="str">
        <f>IF(C3421="","",C3421&amp;COUNTIF(C$9:C3421,C3421))</f>
        <v/>
      </c>
    </row>
    <row r="3422" spans="2:2" x14ac:dyDescent="0.25">
      <c r="B3422" t="str">
        <f>IF(C3422="","",C3422&amp;COUNTIF(C$9:C3422,C3422))</f>
        <v/>
      </c>
    </row>
    <row r="3423" spans="2:2" x14ac:dyDescent="0.25">
      <c r="B3423" t="str">
        <f>IF(C3423="","",C3423&amp;COUNTIF(C$9:C3423,C3423))</f>
        <v/>
      </c>
    </row>
    <row r="3424" spans="2:2" x14ac:dyDescent="0.25">
      <c r="B3424" t="str">
        <f>IF(C3424="","",C3424&amp;COUNTIF(C$9:C3424,C3424))</f>
        <v/>
      </c>
    </row>
    <row r="3425" spans="2:2" x14ac:dyDescent="0.25">
      <c r="B3425" t="str">
        <f>IF(C3425="","",C3425&amp;COUNTIF(C$9:C3425,C3425))</f>
        <v/>
      </c>
    </row>
    <row r="3426" spans="2:2" x14ac:dyDescent="0.25">
      <c r="B3426" t="str">
        <f>IF(C3426="","",C3426&amp;COUNTIF(C$9:C3426,C3426))</f>
        <v/>
      </c>
    </row>
    <row r="3427" spans="2:2" x14ac:dyDescent="0.25">
      <c r="B3427" t="str">
        <f>IF(C3427="","",C3427&amp;COUNTIF(C$9:C3427,C3427))</f>
        <v/>
      </c>
    </row>
    <row r="3428" spans="2:2" x14ac:dyDescent="0.25">
      <c r="B3428" t="str">
        <f>IF(C3428="","",C3428&amp;COUNTIF(C$9:C3428,C3428))</f>
        <v/>
      </c>
    </row>
    <row r="3429" spans="2:2" x14ac:dyDescent="0.25">
      <c r="B3429" t="str">
        <f>IF(C3429="","",C3429&amp;COUNTIF(C$9:C3429,C3429))</f>
        <v/>
      </c>
    </row>
    <row r="3430" spans="2:2" x14ac:dyDescent="0.25">
      <c r="B3430" t="str">
        <f>IF(C3430="","",C3430&amp;COUNTIF(C$9:C3430,C3430))</f>
        <v/>
      </c>
    </row>
    <row r="3431" spans="2:2" x14ac:dyDescent="0.25">
      <c r="B3431" t="str">
        <f>IF(C3431="","",C3431&amp;COUNTIF(C$9:C3431,C3431))</f>
        <v/>
      </c>
    </row>
    <row r="3432" spans="2:2" x14ac:dyDescent="0.25">
      <c r="B3432" t="str">
        <f>IF(C3432="","",C3432&amp;COUNTIF(C$9:C3432,C3432))</f>
        <v/>
      </c>
    </row>
    <row r="3433" spans="2:2" x14ac:dyDescent="0.25">
      <c r="B3433" t="str">
        <f>IF(C3433="","",C3433&amp;COUNTIF(C$9:C3433,C3433))</f>
        <v/>
      </c>
    </row>
    <row r="3434" spans="2:2" x14ac:dyDescent="0.25">
      <c r="B3434" t="str">
        <f>IF(C3434="","",C3434&amp;COUNTIF(C$9:C3434,C3434))</f>
        <v/>
      </c>
    </row>
    <row r="3435" spans="2:2" x14ac:dyDescent="0.25">
      <c r="B3435" t="str">
        <f>IF(C3435="","",C3435&amp;COUNTIF(C$9:C3435,C3435))</f>
        <v/>
      </c>
    </row>
    <row r="3436" spans="2:2" x14ac:dyDescent="0.25">
      <c r="B3436" t="str">
        <f>IF(C3436="","",C3436&amp;COUNTIF(C$9:C3436,C3436))</f>
        <v/>
      </c>
    </row>
    <row r="3437" spans="2:2" x14ac:dyDescent="0.25">
      <c r="B3437" t="str">
        <f>IF(C3437="","",C3437&amp;COUNTIF(C$9:C3437,C3437))</f>
        <v/>
      </c>
    </row>
    <row r="3438" spans="2:2" x14ac:dyDescent="0.25">
      <c r="B3438" t="str">
        <f>IF(C3438="","",C3438&amp;COUNTIF(C$9:C3438,C3438))</f>
        <v/>
      </c>
    </row>
    <row r="3439" spans="2:2" x14ac:dyDescent="0.25">
      <c r="B3439" t="str">
        <f>IF(C3439="","",C3439&amp;COUNTIF(C$9:C3439,C3439))</f>
        <v/>
      </c>
    </row>
    <row r="3440" spans="2:2" x14ac:dyDescent="0.25">
      <c r="B3440" t="str">
        <f>IF(C3440="","",C3440&amp;COUNTIF(C$9:C3440,C3440))</f>
        <v/>
      </c>
    </row>
    <row r="3441" spans="2:2" x14ac:dyDescent="0.25">
      <c r="B3441" t="str">
        <f>IF(C3441="","",C3441&amp;COUNTIF(C$9:C3441,C3441))</f>
        <v/>
      </c>
    </row>
    <row r="3442" spans="2:2" x14ac:dyDescent="0.25">
      <c r="B3442" t="str">
        <f>IF(C3442="","",C3442&amp;COUNTIF(C$9:C3442,C3442))</f>
        <v/>
      </c>
    </row>
    <row r="3443" spans="2:2" x14ac:dyDescent="0.25">
      <c r="B3443" t="str">
        <f>IF(C3443="","",C3443&amp;COUNTIF(C$9:C3443,C3443))</f>
        <v/>
      </c>
    </row>
    <row r="3444" spans="2:2" x14ac:dyDescent="0.25">
      <c r="B3444" t="str">
        <f>IF(C3444="","",C3444&amp;COUNTIF(C$9:C3444,C3444))</f>
        <v/>
      </c>
    </row>
    <row r="3445" spans="2:2" x14ac:dyDescent="0.25">
      <c r="B3445" t="str">
        <f>IF(C3445="","",C3445&amp;COUNTIF(C$9:C3445,C3445))</f>
        <v/>
      </c>
    </row>
    <row r="3446" spans="2:2" x14ac:dyDescent="0.25">
      <c r="B3446" t="str">
        <f>IF(C3446="","",C3446&amp;COUNTIF(C$9:C3446,C3446))</f>
        <v/>
      </c>
    </row>
    <row r="3447" spans="2:2" x14ac:dyDescent="0.25">
      <c r="B3447" t="str">
        <f>IF(C3447="","",C3447&amp;COUNTIF(C$9:C3447,C3447))</f>
        <v/>
      </c>
    </row>
    <row r="3448" spans="2:2" x14ac:dyDescent="0.25">
      <c r="B3448" t="str">
        <f>IF(C3448="","",C3448&amp;COUNTIF(C$9:C3448,C3448))</f>
        <v/>
      </c>
    </row>
    <row r="3449" spans="2:2" x14ac:dyDescent="0.25">
      <c r="B3449" t="str">
        <f>IF(C3449="","",C3449&amp;COUNTIF(C$9:C3449,C3449))</f>
        <v/>
      </c>
    </row>
    <row r="3450" spans="2:2" x14ac:dyDescent="0.25">
      <c r="B3450" t="str">
        <f>IF(C3450="","",C3450&amp;COUNTIF(C$9:C3450,C3450))</f>
        <v/>
      </c>
    </row>
    <row r="3451" spans="2:2" x14ac:dyDescent="0.25">
      <c r="B3451" t="str">
        <f>IF(C3451="","",C3451&amp;COUNTIF(C$9:C3451,C3451))</f>
        <v/>
      </c>
    </row>
    <row r="3452" spans="2:2" x14ac:dyDescent="0.25">
      <c r="B3452" t="str">
        <f>IF(C3452="","",C3452&amp;COUNTIF(C$9:C3452,C3452))</f>
        <v/>
      </c>
    </row>
    <row r="3453" spans="2:2" x14ac:dyDescent="0.25">
      <c r="B3453" t="str">
        <f>IF(C3453="","",C3453&amp;COUNTIF(C$9:C3453,C3453))</f>
        <v/>
      </c>
    </row>
    <row r="3454" spans="2:2" x14ac:dyDescent="0.25">
      <c r="B3454" t="str">
        <f>IF(C3454="","",C3454&amp;COUNTIF(C$9:C3454,C3454))</f>
        <v/>
      </c>
    </row>
    <row r="3455" spans="2:2" x14ac:dyDescent="0.25">
      <c r="B3455" t="str">
        <f>IF(C3455="","",C3455&amp;COUNTIF(C$9:C3455,C3455))</f>
        <v/>
      </c>
    </row>
    <row r="3456" spans="2:2" x14ac:dyDescent="0.25">
      <c r="B3456" t="str">
        <f>IF(C3456="","",C3456&amp;COUNTIF(C$9:C3456,C3456))</f>
        <v/>
      </c>
    </row>
    <row r="3457" spans="2:2" x14ac:dyDescent="0.25">
      <c r="B3457" t="str">
        <f>IF(C3457="","",C3457&amp;COUNTIF(C$9:C3457,C3457))</f>
        <v/>
      </c>
    </row>
    <row r="3458" spans="2:2" x14ac:dyDescent="0.25">
      <c r="B3458" t="str">
        <f>IF(C3458="","",C3458&amp;COUNTIF(C$9:C3458,C3458))</f>
        <v/>
      </c>
    </row>
    <row r="3459" spans="2:2" x14ac:dyDescent="0.25">
      <c r="B3459" t="str">
        <f>IF(C3459="","",C3459&amp;COUNTIF(C$9:C3459,C3459))</f>
        <v/>
      </c>
    </row>
    <row r="3460" spans="2:2" x14ac:dyDescent="0.25">
      <c r="B3460" t="str">
        <f>IF(C3460="","",C3460&amp;COUNTIF(C$9:C3460,C3460))</f>
        <v/>
      </c>
    </row>
    <row r="3461" spans="2:2" x14ac:dyDescent="0.25">
      <c r="B3461" t="str">
        <f>IF(C3461="","",C3461&amp;COUNTIF(C$9:C3461,C3461))</f>
        <v/>
      </c>
    </row>
    <row r="3462" spans="2:2" x14ac:dyDescent="0.25">
      <c r="B3462" t="str">
        <f>IF(C3462="","",C3462&amp;COUNTIF(C$9:C3462,C3462))</f>
        <v/>
      </c>
    </row>
    <row r="3463" spans="2:2" x14ac:dyDescent="0.25">
      <c r="B3463" t="str">
        <f>IF(C3463="","",C3463&amp;COUNTIF(C$9:C3463,C3463))</f>
        <v/>
      </c>
    </row>
    <row r="3464" spans="2:2" x14ac:dyDescent="0.25">
      <c r="B3464" t="str">
        <f>IF(C3464="","",C3464&amp;COUNTIF(C$9:C3464,C3464))</f>
        <v/>
      </c>
    </row>
    <row r="3465" spans="2:2" x14ac:dyDescent="0.25">
      <c r="B3465" t="str">
        <f>IF(C3465="","",C3465&amp;COUNTIF(C$9:C3465,C3465))</f>
        <v/>
      </c>
    </row>
    <row r="3466" spans="2:2" x14ac:dyDescent="0.25">
      <c r="B3466" t="str">
        <f>IF(C3466="","",C3466&amp;COUNTIF(C$9:C3466,C3466))</f>
        <v/>
      </c>
    </row>
    <row r="3467" spans="2:2" x14ac:dyDescent="0.25">
      <c r="B3467" t="str">
        <f>IF(C3467="","",C3467&amp;COUNTIF(C$9:C3467,C3467))</f>
        <v/>
      </c>
    </row>
    <row r="3468" spans="2:2" x14ac:dyDescent="0.25">
      <c r="B3468" t="str">
        <f>IF(C3468="","",C3468&amp;COUNTIF(C$9:C3468,C3468))</f>
        <v/>
      </c>
    </row>
    <row r="3469" spans="2:2" x14ac:dyDescent="0.25">
      <c r="B3469" t="str">
        <f>IF(C3469="","",C3469&amp;COUNTIF(C$9:C3469,C3469))</f>
        <v/>
      </c>
    </row>
    <row r="3470" spans="2:2" x14ac:dyDescent="0.25">
      <c r="B3470" t="str">
        <f>IF(C3470="","",C3470&amp;COUNTIF(C$9:C3470,C3470))</f>
        <v/>
      </c>
    </row>
    <row r="3471" spans="2:2" x14ac:dyDescent="0.25">
      <c r="B3471" t="str">
        <f>IF(C3471="","",C3471&amp;COUNTIF(C$9:C3471,C3471))</f>
        <v/>
      </c>
    </row>
    <row r="3472" spans="2:2" x14ac:dyDescent="0.25">
      <c r="B3472" t="str">
        <f>IF(C3472="","",C3472&amp;COUNTIF(C$9:C3472,C3472))</f>
        <v/>
      </c>
    </row>
    <row r="3473" spans="2:2" x14ac:dyDescent="0.25">
      <c r="B3473" t="str">
        <f>IF(C3473="","",C3473&amp;COUNTIF(C$9:C3473,C3473))</f>
        <v/>
      </c>
    </row>
    <row r="3474" spans="2:2" x14ac:dyDescent="0.25">
      <c r="B3474" t="str">
        <f>IF(C3474="","",C3474&amp;COUNTIF(C$9:C3474,C3474))</f>
        <v/>
      </c>
    </row>
    <row r="3475" spans="2:2" x14ac:dyDescent="0.25">
      <c r="B3475" t="str">
        <f>IF(C3475="","",C3475&amp;COUNTIF(C$9:C3475,C3475))</f>
        <v/>
      </c>
    </row>
    <row r="3476" spans="2:2" x14ac:dyDescent="0.25">
      <c r="B3476" t="str">
        <f>IF(C3476="","",C3476&amp;COUNTIF(C$9:C3476,C3476))</f>
        <v/>
      </c>
    </row>
    <row r="3477" spans="2:2" x14ac:dyDescent="0.25">
      <c r="B3477" t="str">
        <f>IF(C3477="","",C3477&amp;COUNTIF(C$9:C3477,C3477))</f>
        <v/>
      </c>
    </row>
    <row r="3478" spans="2:2" x14ac:dyDescent="0.25">
      <c r="B3478" t="str">
        <f>IF(C3478="","",C3478&amp;COUNTIF(C$9:C3478,C3478))</f>
        <v/>
      </c>
    </row>
    <row r="3479" spans="2:2" x14ac:dyDescent="0.25">
      <c r="B3479" t="str">
        <f>IF(C3479="","",C3479&amp;COUNTIF(C$9:C3479,C3479))</f>
        <v/>
      </c>
    </row>
    <row r="3480" spans="2:2" x14ac:dyDescent="0.25">
      <c r="B3480" t="str">
        <f>IF(C3480="","",C3480&amp;COUNTIF(C$9:C3480,C3480))</f>
        <v/>
      </c>
    </row>
    <row r="3481" spans="2:2" x14ac:dyDescent="0.25">
      <c r="B3481" t="str">
        <f>IF(C3481="","",C3481&amp;COUNTIF(C$9:C3481,C3481))</f>
        <v/>
      </c>
    </row>
    <row r="3482" spans="2:2" x14ac:dyDescent="0.25">
      <c r="B3482" t="str">
        <f>IF(C3482="","",C3482&amp;COUNTIF(C$9:C3482,C3482))</f>
        <v/>
      </c>
    </row>
    <row r="3483" spans="2:2" x14ac:dyDescent="0.25">
      <c r="B3483" t="str">
        <f>IF(C3483="","",C3483&amp;COUNTIF(C$9:C3483,C3483))</f>
        <v/>
      </c>
    </row>
    <row r="3484" spans="2:2" x14ac:dyDescent="0.25">
      <c r="B3484" t="str">
        <f>IF(C3484="","",C3484&amp;COUNTIF(C$9:C3484,C3484))</f>
        <v/>
      </c>
    </row>
    <row r="3485" spans="2:2" x14ac:dyDescent="0.25">
      <c r="B3485" t="str">
        <f>IF(C3485="","",C3485&amp;COUNTIF(C$9:C3485,C3485))</f>
        <v/>
      </c>
    </row>
    <row r="3486" spans="2:2" x14ac:dyDescent="0.25">
      <c r="B3486" t="str">
        <f>IF(C3486="","",C3486&amp;COUNTIF(C$9:C3486,C3486))</f>
        <v/>
      </c>
    </row>
    <row r="3487" spans="2:2" x14ac:dyDescent="0.25">
      <c r="B3487" t="str">
        <f>IF(C3487="","",C3487&amp;COUNTIF(C$9:C3487,C3487))</f>
        <v/>
      </c>
    </row>
    <row r="3488" spans="2:2" x14ac:dyDescent="0.25">
      <c r="B3488" t="str">
        <f>IF(C3488="","",C3488&amp;COUNTIF(C$9:C3488,C3488))</f>
        <v/>
      </c>
    </row>
    <row r="3489" spans="2:2" x14ac:dyDescent="0.25">
      <c r="B3489" t="str">
        <f>IF(C3489="","",C3489&amp;COUNTIF(C$9:C3489,C3489))</f>
        <v/>
      </c>
    </row>
    <row r="3490" spans="2:2" x14ac:dyDescent="0.25">
      <c r="B3490" t="str">
        <f>IF(C3490="","",C3490&amp;COUNTIF(C$9:C3490,C3490))</f>
        <v/>
      </c>
    </row>
    <row r="3491" spans="2:2" x14ac:dyDescent="0.25">
      <c r="B3491" t="str">
        <f>IF(C3491="","",C3491&amp;COUNTIF(C$9:C3491,C3491))</f>
        <v/>
      </c>
    </row>
    <row r="3492" spans="2:2" x14ac:dyDescent="0.25">
      <c r="B3492" t="str">
        <f>IF(C3492="","",C3492&amp;COUNTIF(C$9:C3492,C3492))</f>
        <v/>
      </c>
    </row>
    <row r="3493" spans="2:2" x14ac:dyDescent="0.25">
      <c r="B3493" t="str">
        <f>IF(C3493="","",C3493&amp;COUNTIF(C$9:C3493,C3493))</f>
        <v/>
      </c>
    </row>
    <row r="3494" spans="2:2" x14ac:dyDescent="0.25">
      <c r="B3494" t="str">
        <f>IF(C3494="","",C3494&amp;COUNTIF(C$9:C3494,C3494))</f>
        <v/>
      </c>
    </row>
    <row r="3495" spans="2:2" x14ac:dyDescent="0.25">
      <c r="B3495" t="str">
        <f>IF(C3495="","",C3495&amp;COUNTIF(C$9:C3495,C3495))</f>
        <v/>
      </c>
    </row>
    <row r="3496" spans="2:2" x14ac:dyDescent="0.25">
      <c r="B3496" t="str">
        <f>IF(C3496="","",C3496&amp;COUNTIF(C$9:C3496,C3496))</f>
        <v/>
      </c>
    </row>
    <row r="3497" spans="2:2" x14ac:dyDescent="0.25">
      <c r="B3497" t="str">
        <f>IF(C3497="","",C3497&amp;COUNTIF(C$9:C3497,C3497))</f>
        <v/>
      </c>
    </row>
    <row r="3498" spans="2:2" x14ac:dyDescent="0.25">
      <c r="B3498" t="str">
        <f>IF(C3498="","",C3498&amp;COUNTIF(C$9:C3498,C3498))</f>
        <v/>
      </c>
    </row>
    <row r="3499" spans="2:2" x14ac:dyDescent="0.25">
      <c r="B3499" t="str">
        <f>IF(C3499="","",C3499&amp;COUNTIF(C$9:C3499,C3499))</f>
        <v/>
      </c>
    </row>
    <row r="3500" spans="2:2" x14ac:dyDescent="0.25">
      <c r="B3500" t="str">
        <f>IF(C3500="","",C3500&amp;COUNTIF(C$9:C3500,C3500))</f>
        <v/>
      </c>
    </row>
    <row r="3501" spans="2:2" x14ac:dyDescent="0.25">
      <c r="B3501" t="str">
        <f>IF(C3501="","",C3501&amp;COUNTIF(C$9:C3501,C3501))</f>
        <v/>
      </c>
    </row>
    <row r="3502" spans="2:2" x14ac:dyDescent="0.25">
      <c r="B3502" t="str">
        <f>IF(C3502="","",C3502&amp;COUNTIF(C$9:C3502,C3502))</f>
        <v/>
      </c>
    </row>
    <row r="3503" spans="2:2" x14ac:dyDescent="0.25">
      <c r="B3503" t="str">
        <f>IF(C3503="","",C3503&amp;COUNTIF(C$9:C3503,C3503))</f>
        <v/>
      </c>
    </row>
    <row r="3504" spans="2:2" x14ac:dyDescent="0.25">
      <c r="B3504" t="str">
        <f>IF(C3504="","",C3504&amp;COUNTIF(C$9:C3504,C3504))</f>
        <v/>
      </c>
    </row>
    <row r="3505" spans="2:2" x14ac:dyDescent="0.25">
      <c r="B3505" t="str">
        <f>IF(C3505="","",C3505&amp;COUNTIF(C$9:C3505,C3505))</f>
        <v/>
      </c>
    </row>
    <row r="3506" spans="2:2" x14ac:dyDescent="0.25">
      <c r="B3506" t="str">
        <f>IF(C3506="","",C3506&amp;COUNTIF(C$9:C3506,C3506))</f>
        <v/>
      </c>
    </row>
    <row r="3507" spans="2:2" x14ac:dyDescent="0.25">
      <c r="B3507" t="str">
        <f>IF(C3507="","",C3507&amp;COUNTIF(C$9:C3507,C3507))</f>
        <v/>
      </c>
    </row>
    <row r="3508" spans="2:2" x14ac:dyDescent="0.25">
      <c r="B3508" t="str">
        <f>IF(C3508="","",C3508&amp;COUNTIF(C$9:C3508,C3508))</f>
        <v/>
      </c>
    </row>
    <row r="3509" spans="2:2" x14ac:dyDescent="0.25">
      <c r="B3509" t="str">
        <f>IF(C3509="","",C3509&amp;COUNTIF(C$9:C3509,C3509))</f>
        <v/>
      </c>
    </row>
    <row r="3510" spans="2:2" x14ac:dyDescent="0.25">
      <c r="B3510" t="str">
        <f>IF(C3510="","",C3510&amp;COUNTIF(C$9:C3510,C3510))</f>
        <v/>
      </c>
    </row>
    <row r="3511" spans="2:2" x14ac:dyDescent="0.25">
      <c r="B3511" t="str">
        <f>IF(C3511="","",C3511&amp;COUNTIF(C$9:C3511,C3511))</f>
        <v/>
      </c>
    </row>
    <row r="3512" spans="2:2" x14ac:dyDescent="0.25">
      <c r="B3512" t="str">
        <f>IF(C3512="","",C3512&amp;COUNTIF(C$9:C3512,C3512))</f>
        <v/>
      </c>
    </row>
    <row r="3513" spans="2:2" x14ac:dyDescent="0.25">
      <c r="B3513" t="str">
        <f>IF(C3513="","",C3513&amp;COUNTIF(C$9:C3513,C3513))</f>
        <v/>
      </c>
    </row>
    <row r="3514" spans="2:2" x14ac:dyDescent="0.25">
      <c r="B3514" t="str">
        <f>IF(C3514="","",C3514&amp;COUNTIF(C$9:C3514,C3514))</f>
        <v/>
      </c>
    </row>
    <row r="3515" spans="2:2" x14ac:dyDescent="0.25">
      <c r="B3515" t="str">
        <f>IF(C3515="","",C3515&amp;COUNTIF(C$9:C3515,C3515))</f>
        <v/>
      </c>
    </row>
    <row r="3516" spans="2:2" x14ac:dyDescent="0.25">
      <c r="B3516" t="str">
        <f>IF(C3516="","",C3516&amp;COUNTIF(C$9:C3516,C3516))</f>
        <v/>
      </c>
    </row>
    <row r="3517" spans="2:2" x14ac:dyDescent="0.25">
      <c r="B3517" t="str">
        <f>IF(C3517="","",C3517&amp;COUNTIF(C$9:C3517,C3517))</f>
        <v/>
      </c>
    </row>
    <row r="3518" spans="2:2" x14ac:dyDescent="0.25">
      <c r="B3518" t="str">
        <f>IF(C3518="","",C3518&amp;COUNTIF(C$9:C3518,C3518))</f>
        <v/>
      </c>
    </row>
    <row r="3519" spans="2:2" x14ac:dyDescent="0.25">
      <c r="B3519" t="str">
        <f>IF(C3519="","",C3519&amp;COUNTIF(C$9:C3519,C3519))</f>
        <v/>
      </c>
    </row>
    <row r="3520" spans="2:2" x14ac:dyDescent="0.25">
      <c r="B3520" t="str">
        <f>IF(C3520="","",C3520&amp;COUNTIF(C$9:C3520,C3520))</f>
        <v/>
      </c>
    </row>
    <row r="3521" spans="2:2" x14ac:dyDescent="0.25">
      <c r="B3521" t="str">
        <f>IF(C3521="","",C3521&amp;COUNTIF(C$9:C3521,C3521))</f>
        <v/>
      </c>
    </row>
    <row r="3522" spans="2:2" x14ac:dyDescent="0.25">
      <c r="B3522" t="str">
        <f>IF(C3522="","",C3522&amp;COUNTIF(C$9:C3522,C3522))</f>
        <v/>
      </c>
    </row>
    <row r="3523" spans="2:2" x14ac:dyDescent="0.25">
      <c r="B3523" t="str">
        <f>IF(C3523="","",C3523&amp;COUNTIF(C$9:C3523,C3523))</f>
        <v/>
      </c>
    </row>
    <row r="3524" spans="2:2" x14ac:dyDescent="0.25">
      <c r="B3524" t="str">
        <f>IF(C3524="","",C3524&amp;COUNTIF(C$9:C3524,C3524))</f>
        <v/>
      </c>
    </row>
    <row r="3525" spans="2:2" x14ac:dyDescent="0.25">
      <c r="B3525" t="str">
        <f>IF(C3525="","",C3525&amp;COUNTIF(C$9:C3525,C3525))</f>
        <v/>
      </c>
    </row>
    <row r="3526" spans="2:2" x14ac:dyDescent="0.25">
      <c r="B3526" t="str">
        <f>IF(C3526="","",C3526&amp;COUNTIF(C$9:C3526,C3526))</f>
        <v/>
      </c>
    </row>
    <row r="3527" spans="2:2" x14ac:dyDescent="0.25">
      <c r="B3527" t="str">
        <f>IF(C3527="","",C3527&amp;COUNTIF(C$9:C3527,C3527))</f>
        <v/>
      </c>
    </row>
    <row r="3528" spans="2:2" x14ac:dyDescent="0.25">
      <c r="B3528" t="str">
        <f>IF(C3528="","",C3528&amp;COUNTIF(C$9:C3528,C3528))</f>
        <v/>
      </c>
    </row>
    <row r="3529" spans="2:2" x14ac:dyDescent="0.25">
      <c r="B3529" t="str">
        <f>IF(C3529="","",C3529&amp;COUNTIF(C$9:C3529,C3529))</f>
        <v/>
      </c>
    </row>
    <row r="3530" spans="2:2" x14ac:dyDescent="0.25">
      <c r="B3530" t="str">
        <f>IF(C3530="","",C3530&amp;COUNTIF(C$9:C3530,C3530))</f>
        <v/>
      </c>
    </row>
    <row r="3531" spans="2:2" x14ac:dyDescent="0.25">
      <c r="B3531" t="str">
        <f>IF(C3531="","",C3531&amp;COUNTIF(C$9:C3531,C3531))</f>
        <v/>
      </c>
    </row>
    <row r="3532" spans="2:2" x14ac:dyDescent="0.25">
      <c r="B3532" t="str">
        <f>IF(C3532="","",C3532&amp;COUNTIF(C$9:C3532,C3532))</f>
        <v/>
      </c>
    </row>
    <row r="3533" spans="2:2" x14ac:dyDescent="0.25">
      <c r="B3533" t="str">
        <f>IF(C3533="","",C3533&amp;COUNTIF(C$9:C3533,C3533))</f>
        <v/>
      </c>
    </row>
    <row r="3534" spans="2:2" x14ac:dyDescent="0.25">
      <c r="B3534" t="str">
        <f>IF(C3534="","",C3534&amp;COUNTIF(C$9:C3534,C3534))</f>
        <v/>
      </c>
    </row>
    <row r="3535" spans="2:2" x14ac:dyDescent="0.25">
      <c r="B3535" t="str">
        <f>IF(C3535="","",C3535&amp;COUNTIF(C$9:C3535,C3535))</f>
        <v/>
      </c>
    </row>
    <row r="3536" spans="2:2" x14ac:dyDescent="0.25">
      <c r="B3536" t="str">
        <f>IF(C3536="","",C3536&amp;COUNTIF(C$9:C3536,C3536))</f>
        <v/>
      </c>
    </row>
    <row r="3537" spans="2:2" x14ac:dyDescent="0.25">
      <c r="B3537" t="str">
        <f>IF(C3537="","",C3537&amp;COUNTIF(C$9:C3537,C3537))</f>
        <v/>
      </c>
    </row>
    <row r="3538" spans="2:2" x14ac:dyDescent="0.25">
      <c r="B3538" t="str">
        <f>IF(C3538="","",C3538&amp;COUNTIF(C$9:C3538,C3538))</f>
        <v/>
      </c>
    </row>
    <row r="3539" spans="2:2" x14ac:dyDescent="0.25">
      <c r="B3539" t="str">
        <f>IF(C3539="","",C3539&amp;COUNTIF(C$9:C3539,C3539))</f>
        <v/>
      </c>
    </row>
    <row r="3540" spans="2:2" x14ac:dyDescent="0.25">
      <c r="B3540" t="str">
        <f>IF(C3540="","",C3540&amp;COUNTIF(C$9:C3540,C3540))</f>
        <v/>
      </c>
    </row>
    <row r="3541" spans="2:2" x14ac:dyDescent="0.25">
      <c r="B3541" t="str">
        <f>IF(C3541="","",C3541&amp;COUNTIF(C$9:C3541,C3541))</f>
        <v/>
      </c>
    </row>
    <row r="3542" spans="2:2" x14ac:dyDescent="0.25">
      <c r="B3542" t="str">
        <f>IF(C3542="","",C3542&amp;COUNTIF(C$9:C3542,C3542))</f>
        <v/>
      </c>
    </row>
    <row r="3543" spans="2:2" x14ac:dyDescent="0.25">
      <c r="B3543" t="str">
        <f>IF(C3543="","",C3543&amp;COUNTIF(C$9:C3543,C3543))</f>
        <v/>
      </c>
    </row>
    <row r="3544" spans="2:2" x14ac:dyDescent="0.25">
      <c r="B3544" t="str">
        <f>IF(C3544="","",C3544&amp;COUNTIF(C$9:C3544,C3544))</f>
        <v/>
      </c>
    </row>
    <row r="3545" spans="2:2" x14ac:dyDescent="0.25">
      <c r="B3545" t="str">
        <f>IF(C3545="","",C3545&amp;COUNTIF(C$9:C3545,C3545))</f>
        <v/>
      </c>
    </row>
    <row r="3546" spans="2:2" x14ac:dyDescent="0.25">
      <c r="B3546" t="str">
        <f>IF(C3546="","",C3546&amp;COUNTIF(C$9:C3546,C3546))</f>
        <v/>
      </c>
    </row>
    <row r="3547" spans="2:2" x14ac:dyDescent="0.25">
      <c r="B3547" t="str">
        <f>IF(C3547="","",C3547&amp;COUNTIF(C$9:C3547,C3547))</f>
        <v/>
      </c>
    </row>
    <row r="3548" spans="2:2" x14ac:dyDescent="0.25">
      <c r="B3548" t="str">
        <f>IF(C3548="","",C3548&amp;COUNTIF(C$9:C3548,C3548))</f>
        <v/>
      </c>
    </row>
    <row r="3549" spans="2:2" x14ac:dyDescent="0.25">
      <c r="B3549" t="str">
        <f>IF(C3549="","",C3549&amp;COUNTIF(C$9:C3549,C3549))</f>
        <v/>
      </c>
    </row>
    <row r="3550" spans="2:2" x14ac:dyDescent="0.25">
      <c r="B3550" t="str">
        <f>IF(C3550="","",C3550&amp;COUNTIF(C$9:C3550,C3550))</f>
        <v/>
      </c>
    </row>
    <row r="3551" spans="2:2" x14ac:dyDescent="0.25">
      <c r="B3551" t="str">
        <f>IF(C3551="","",C3551&amp;COUNTIF(C$9:C3551,C3551))</f>
        <v/>
      </c>
    </row>
    <row r="3552" spans="2:2" x14ac:dyDescent="0.25">
      <c r="B3552" t="str">
        <f>IF(C3552="","",C3552&amp;COUNTIF(C$9:C3552,C3552))</f>
        <v/>
      </c>
    </row>
    <row r="3553" spans="2:2" x14ac:dyDescent="0.25">
      <c r="B3553" t="str">
        <f>IF(C3553="","",C3553&amp;COUNTIF(C$9:C3553,C3553))</f>
        <v/>
      </c>
    </row>
    <row r="3554" spans="2:2" x14ac:dyDescent="0.25">
      <c r="B3554" t="str">
        <f>IF(C3554="","",C3554&amp;COUNTIF(C$9:C3554,C3554))</f>
        <v/>
      </c>
    </row>
    <row r="3555" spans="2:2" x14ac:dyDescent="0.25">
      <c r="B3555" t="str">
        <f>IF(C3555="","",C3555&amp;COUNTIF(C$9:C3555,C3555))</f>
        <v/>
      </c>
    </row>
    <row r="3556" spans="2:2" x14ac:dyDescent="0.25">
      <c r="B3556" t="str">
        <f>IF(C3556="","",C3556&amp;COUNTIF(C$9:C3556,C3556))</f>
        <v/>
      </c>
    </row>
    <row r="3557" spans="2:2" x14ac:dyDescent="0.25">
      <c r="B3557" t="str">
        <f>IF(C3557="","",C3557&amp;COUNTIF(C$9:C3557,C3557))</f>
        <v/>
      </c>
    </row>
    <row r="3558" spans="2:2" x14ac:dyDescent="0.25">
      <c r="B3558" t="str">
        <f>IF(C3558="","",C3558&amp;COUNTIF(C$9:C3558,C3558))</f>
        <v/>
      </c>
    </row>
    <row r="3559" spans="2:2" x14ac:dyDescent="0.25">
      <c r="B3559" t="str">
        <f>IF(C3559="","",C3559&amp;COUNTIF(C$9:C3559,C3559))</f>
        <v/>
      </c>
    </row>
    <row r="3560" spans="2:2" x14ac:dyDescent="0.25">
      <c r="B3560" t="str">
        <f>IF(C3560="","",C3560&amp;COUNTIF(C$9:C3560,C3560))</f>
        <v/>
      </c>
    </row>
    <row r="3561" spans="2:2" x14ac:dyDescent="0.25">
      <c r="B3561" t="str">
        <f>IF(C3561="","",C3561&amp;COUNTIF(C$9:C3561,C3561))</f>
        <v/>
      </c>
    </row>
    <row r="3562" spans="2:2" x14ac:dyDescent="0.25">
      <c r="B3562" t="str">
        <f>IF(C3562="","",C3562&amp;COUNTIF(C$9:C3562,C3562))</f>
        <v/>
      </c>
    </row>
    <row r="3563" spans="2:2" x14ac:dyDescent="0.25">
      <c r="B3563" t="str">
        <f>IF(C3563="","",C3563&amp;COUNTIF(C$9:C3563,C3563))</f>
        <v/>
      </c>
    </row>
    <row r="3564" spans="2:2" x14ac:dyDescent="0.25">
      <c r="B3564" t="str">
        <f>IF(C3564="","",C3564&amp;COUNTIF(C$9:C3564,C3564))</f>
        <v/>
      </c>
    </row>
    <row r="3565" spans="2:2" x14ac:dyDescent="0.25">
      <c r="B3565" t="str">
        <f>IF(C3565="","",C3565&amp;COUNTIF(C$9:C3565,C3565))</f>
        <v/>
      </c>
    </row>
    <row r="3566" spans="2:2" x14ac:dyDescent="0.25">
      <c r="B3566" t="str">
        <f>IF(C3566="","",C3566&amp;COUNTIF(C$9:C3566,C3566))</f>
        <v/>
      </c>
    </row>
    <row r="3567" spans="2:2" x14ac:dyDescent="0.25">
      <c r="B3567" t="str">
        <f>IF(C3567="","",C3567&amp;COUNTIF(C$9:C3567,C3567))</f>
        <v/>
      </c>
    </row>
    <row r="3568" spans="2:2" x14ac:dyDescent="0.25">
      <c r="B3568" t="str">
        <f>IF(C3568="","",C3568&amp;COUNTIF(C$9:C3568,C3568))</f>
        <v/>
      </c>
    </row>
    <row r="3569" spans="2:2" x14ac:dyDescent="0.25">
      <c r="B3569" t="str">
        <f>IF(C3569="","",C3569&amp;COUNTIF(C$9:C3569,C3569))</f>
        <v/>
      </c>
    </row>
    <row r="3570" spans="2:2" x14ac:dyDescent="0.25">
      <c r="B3570" t="str">
        <f>IF(C3570="","",C3570&amp;COUNTIF(C$9:C3570,C3570))</f>
        <v/>
      </c>
    </row>
    <row r="3571" spans="2:2" x14ac:dyDescent="0.25">
      <c r="B3571" t="str">
        <f>IF(C3571="","",C3571&amp;COUNTIF(C$9:C3571,C3571))</f>
        <v/>
      </c>
    </row>
    <row r="3572" spans="2:2" x14ac:dyDescent="0.25">
      <c r="B3572" t="str">
        <f>IF(C3572="","",C3572&amp;COUNTIF(C$9:C3572,C3572))</f>
        <v/>
      </c>
    </row>
    <row r="3573" spans="2:2" x14ac:dyDescent="0.25">
      <c r="B3573" t="str">
        <f>IF(C3573="","",C3573&amp;COUNTIF(C$9:C3573,C3573))</f>
        <v/>
      </c>
    </row>
    <row r="3574" spans="2:2" x14ac:dyDescent="0.25">
      <c r="B3574" t="str">
        <f>IF(C3574="","",C3574&amp;COUNTIF(C$9:C3574,C3574))</f>
        <v/>
      </c>
    </row>
    <row r="3575" spans="2:2" x14ac:dyDescent="0.25">
      <c r="B3575" t="str">
        <f>IF(C3575="","",C3575&amp;COUNTIF(C$9:C3575,C3575))</f>
        <v/>
      </c>
    </row>
    <row r="3576" spans="2:2" x14ac:dyDescent="0.25">
      <c r="B3576" t="str">
        <f>IF(C3576="","",C3576&amp;COUNTIF(C$9:C3576,C3576))</f>
        <v/>
      </c>
    </row>
    <row r="3577" spans="2:2" x14ac:dyDescent="0.25">
      <c r="B3577" t="str">
        <f>IF(C3577="","",C3577&amp;COUNTIF(C$9:C3577,C3577))</f>
        <v/>
      </c>
    </row>
    <row r="3578" spans="2:2" x14ac:dyDescent="0.25">
      <c r="B3578" t="str">
        <f>IF(C3578="","",C3578&amp;COUNTIF(C$9:C3578,C3578))</f>
        <v/>
      </c>
    </row>
    <row r="3579" spans="2:2" x14ac:dyDescent="0.25">
      <c r="B3579" t="str">
        <f>IF(C3579="","",C3579&amp;COUNTIF(C$9:C3579,C3579))</f>
        <v/>
      </c>
    </row>
    <row r="3580" spans="2:2" x14ac:dyDescent="0.25">
      <c r="B3580" t="str">
        <f>IF(C3580="","",C3580&amp;COUNTIF(C$9:C3580,C3580))</f>
        <v/>
      </c>
    </row>
    <row r="3581" spans="2:2" x14ac:dyDescent="0.25">
      <c r="B3581" t="str">
        <f>IF(C3581="","",C3581&amp;COUNTIF(C$9:C3581,C3581))</f>
        <v/>
      </c>
    </row>
    <row r="3582" spans="2:2" x14ac:dyDescent="0.25">
      <c r="B3582" t="str">
        <f>IF(C3582="","",C3582&amp;COUNTIF(C$9:C3582,C3582))</f>
        <v/>
      </c>
    </row>
    <row r="3583" spans="2:2" x14ac:dyDescent="0.25">
      <c r="B3583" t="str">
        <f>IF(C3583="","",C3583&amp;COUNTIF(C$9:C3583,C3583))</f>
        <v/>
      </c>
    </row>
    <row r="3584" spans="2:2" x14ac:dyDescent="0.25">
      <c r="B3584" t="str">
        <f>IF(C3584="","",C3584&amp;COUNTIF(C$9:C3584,C3584))</f>
        <v/>
      </c>
    </row>
    <row r="3585" spans="2:2" x14ac:dyDescent="0.25">
      <c r="B3585" t="str">
        <f>IF(C3585="","",C3585&amp;COUNTIF(C$9:C3585,C3585))</f>
        <v/>
      </c>
    </row>
    <row r="3586" spans="2:2" x14ac:dyDescent="0.25">
      <c r="B3586" t="str">
        <f>IF(C3586="","",C3586&amp;COUNTIF(C$9:C3586,C3586))</f>
        <v/>
      </c>
    </row>
    <row r="3587" spans="2:2" x14ac:dyDescent="0.25">
      <c r="B3587" t="str">
        <f>IF(C3587="","",C3587&amp;COUNTIF(C$9:C3587,C3587))</f>
        <v/>
      </c>
    </row>
    <row r="3588" spans="2:2" x14ac:dyDescent="0.25">
      <c r="B3588" t="str">
        <f>IF(C3588="","",C3588&amp;COUNTIF(C$9:C3588,C3588))</f>
        <v/>
      </c>
    </row>
    <row r="3589" spans="2:2" x14ac:dyDescent="0.25">
      <c r="B3589" t="str">
        <f>IF(C3589="","",C3589&amp;COUNTIF(C$9:C3589,C3589))</f>
        <v/>
      </c>
    </row>
    <row r="3590" spans="2:2" x14ac:dyDescent="0.25">
      <c r="B3590" t="str">
        <f>IF(C3590="","",C3590&amp;COUNTIF(C$9:C3590,C3590))</f>
        <v/>
      </c>
    </row>
    <row r="3591" spans="2:2" x14ac:dyDescent="0.25">
      <c r="B3591" t="str">
        <f>IF(C3591="","",C3591&amp;COUNTIF(C$9:C3591,C3591))</f>
        <v/>
      </c>
    </row>
    <row r="3592" spans="2:2" x14ac:dyDescent="0.25">
      <c r="B3592" t="str">
        <f>IF(C3592="","",C3592&amp;COUNTIF(C$9:C3592,C3592))</f>
        <v/>
      </c>
    </row>
    <row r="3593" spans="2:2" x14ac:dyDescent="0.25">
      <c r="B3593" t="str">
        <f>IF(C3593="","",C3593&amp;COUNTIF(C$9:C3593,C3593))</f>
        <v/>
      </c>
    </row>
    <row r="3594" spans="2:2" x14ac:dyDescent="0.25">
      <c r="B3594" t="str">
        <f>IF(C3594="","",C3594&amp;COUNTIF(C$9:C3594,C3594))</f>
        <v/>
      </c>
    </row>
    <row r="3595" spans="2:2" x14ac:dyDescent="0.25">
      <c r="B3595" t="str">
        <f>IF(C3595="","",C3595&amp;COUNTIF(C$9:C3595,C3595))</f>
        <v/>
      </c>
    </row>
    <row r="3596" spans="2:2" x14ac:dyDescent="0.25">
      <c r="B3596" t="str">
        <f>IF(C3596="","",C3596&amp;COUNTIF(C$9:C3596,C3596))</f>
        <v/>
      </c>
    </row>
    <row r="3597" spans="2:2" x14ac:dyDescent="0.25">
      <c r="B3597" t="str">
        <f>IF(C3597="","",C3597&amp;COUNTIF(C$9:C3597,C3597))</f>
        <v/>
      </c>
    </row>
    <row r="3598" spans="2:2" x14ac:dyDescent="0.25">
      <c r="B3598" t="str">
        <f>IF(C3598="","",C3598&amp;COUNTIF(C$9:C3598,C3598))</f>
        <v/>
      </c>
    </row>
    <row r="3599" spans="2:2" x14ac:dyDescent="0.25">
      <c r="B3599" t="str">
        <f>IF(C3599="","",C3599&amp;COUNTIF(C$9:C3599,C3599))</f>
        <v/>
      </c>
    </row>
    <row r="3600" spans="2:2" x14ac:dyDescent="0.25">
      <c r="B3600" t="str">
        <f>IF(C3600="","",C3600&amp;COUNTIF(C$9:C3600,C3600))</f>
        <v/>
      </c>
    </row>
    <row r="3601" spans="2:2" x14ac:dyDescent="0.25">
      <c r="B3601" t="str">
        <f>IF(C3601="","",C3601&amp;COUNTIF(C$9:C3601,C3601))</f>
        <v/>
      </c>
    </row>
    <row r="3602" spans="2:2" x14ac:dyDescent="0.25">
      <c r="B3602" t="str">
        <f>IF(C3602="","",C3602&amp;COUNTIF(C$9:C3602,C3602))</f>
        <v/>
      </c>
    </row>
    <row r="3603" spans="2:2" x14ac:dyDescent="0.25">
      <c r="B3603" t="str">
        <f>IF(C3603="","",C3603&amp;COUNTIF(C$9:C3603,C3603))</f>
        <v/>
      </c>
    </row>
    <row r="3604" spans="2:2" x14ac:dyDescent="0.25">
      <c r="B3604" t="str">
        <f>IF(C3604="","",C3604&amp;COUNTIF(C$9:C3604,C3604))</f>
        <v/>
      </c>
    </row>
    <row r="3605" spans="2:2" x14ac:dyDescent="0.25">
      <c r="B3605" t="str">
        <f>IF(C3605="","",C3605&amp;COUNTIF(C$9:C3605,C3605))</f>
        <v/>
      </c>
    </row>
    <row r="3606" spans="2:2" x14ac:dyDescent="0.25">
      <c r="B3606" t="str">
        <f>IF(C3606="","",C3606&amp;COUNTIF(C$9:C3606,C3606))</f>
        <v/>
      </c>
    </row>
    <row r="3607" spans="2:2" x14ac:dyDescent="0.25">
      <c r="B3607" t="str">
        <f>IF(C3607="","",C3607&amp;COUNTIF(C$9:C3607,C3607))</f>
        <v/>
      </c>
    </row>
    <row r="3608" spans="2:2" x14ac:dyDescent="0.25">
      <c r="B3608" t="str">
        <f>IF(C3608="","",C3608&amp;COUNTIF(C$9:C3608,C3608))</f>
        <v/>
      </c>
    </row>
    <row r="3609" spans="2:2" x14ac:dyDescent="0.25">
      <c r="B3609" t="str">
        <f>IF(C3609="","",C3609&amp;COUNTIF(C$9:C3609,C3609))</f>
        <v/>
      </c>
    </row>
    <row r="3610" spans="2:2" x14ac:dyDescent="0.25">
      <c r="B3610" t="str">
        <f>IF(C3610="","",C3610&amp;COUNTIF(C$9:C3610,C3610))</f>
        <v/>
      </c>
    </row>
    <row r="3611" spans="2:2" x14ac:dyDescent="0.25">
      <c r="B3611" t="str">
        <f>IF(C3611="","",C3611&amp;COUNTIF(C$9:C3611,C3611))</f>
        <v/>
      </c>
    </row>
    <row r="3612" spans="2:2" x14ac:dyDescent="0.25">
      <c r="B3612" t="str">
        <f>IF(C3612="","",C3612&amp;COUNTIF(C$9:C3612,C3612))</f>
        <v/>
      </c>
    </row>
    <row r="3613" spans="2:2" x14ac:dyDescent="0.25">
      <c r="B3613" t="str">
        <f>IF(C3613="","",C3613&amp;COUNTIF(C$9:C3613,C3613))</f>
        <v/>
      </c>
    </row>
    <row r="3614" spans="2:2" x14ac:dyDescent="0.25">
      <c r="B3614" t="str">
        <f>IF(C3614="","",C3614&amp;COUNTIF(C$9:C3614,C3614))</f>
        <v/>
      </c>
    </row>
    <row r="3615" spans="2:2" x14ac:dyDescent="0.25">
      <c r="B3615" t="str">
        <f>IF(C3615="","",C3615&amp;COUNTIF(C$9:C3615,C3615))</f>
        <v/>
      </c>
    </row>
    <row r="3616" spans="2:2" x14ac:dyDescent="0.25">
      <c r="B3616" t="str">
        <f>IF(C3616="","",C3616&amp;COUNTIF(C$9:C3616,C3616))</f>
        <v/>
      </c>
    </row>
    <row r="3617" spans="2:2" x14ac:dyDescent="0.25">
      <c r="B3617" t="str">
        <f>IF(C3617="","",C3617&amp;COUNTIF(C$9:C3617,C3617))</f>
        <v/>
      </c>
    </row>
    <row r="3618" spans="2:2" x14ac:dyDescent="0.25">
      <c r="B3618" t="str">
        <f>IF(C3618="","",C3618&amp;COUNTIF(C$9:C3618,C3618))</f>
        <v/>
      </c>
    </row>
    <row r="3619" spans="2:2" x14ac:dyDescent="0.25">
      <c r="B3619" t="str">
        <f>IF(C3619="","",C3619&amp;COUNTIF(C$9:C3619,C3619))</f>
        <v/>
      </c>
    </row>
    <row r="3620" spans="2:2" x14ac:dyDescent="0.25">
      <c r="B3620" t="str">
        <f>IF(C3620="","",C3620&amp;COUNTIF(C$9:C3620,C3620))</f>
        <v/>
      </c>
    </row>
    <row r="3621" spans="2:2" x14ac:dyDescent="0.25">
      <c r="B3621" t="str">
        <f>IF(C3621="","",C3621&amp;COUNTIF(C$9:C3621,C3621))</f>
        <v/>
      </c>
    </row>
    <row r="3622" spans="2:2" x14ac:dyDescent="0.25">
      <c r="B3622" t="str">
        <f>IF(C3622="","",C3622&amp;COUNTIF(C$9:C3622,C3622))</f>
        <v/>
      </c>
    </row>
    <row r="3623" spans="2:2" x14ac:dyDescent="0.25">
      <c r="B3623" t="str">
        <f>IF(C3623="","",C3623&amp;COUNTIF(C$9:C3623,C3623))</f>
        <v/>
      </c>
    </row>
    <row r="3624" spans="2:2" x14ac:dyDescent="0.25">
      <c r="B3624" t="str">
        <f>IF(C3624="","",C3624&amp;COUNTIF(C$9:C3624,C3624))</f>
        <v/>
      </c>
    </row>
    <row r="3625" spans="2:2" x14ac:dyDescent="0.25">
      <c r="B3625" t="str">
        <f>IF(C3625="","",C3625&amp;COUNTIF(C$9:C3625,C3625))</f>
        <v/>
      </c>
    </row>
    <row r="3626" spans="2:2" x14ac:dyDescent="0.25">
      <c r="B3626" t="str">
        <f>IF(C3626="","",C3626&amp;COUNTIF(C$9:C3626,C3626))</f>
        <v/>
      </c>
    </row>
    <row r="3627" spans="2:2" x14ac:dyDescent="0.25">
      <c r="B3627" t="str">
        <f>IF(C3627="","",C3627&amp;COUNTIF(C$9:C3627,C3627))</f>
        <v/>
      </c>
    </row>
    <row r="3628" spans="2:2" x14ac:dyDescent="0.25">
      <c r="B3628" t="str">
        <f>IF(C3628="","",C3628&amp;COUNTIF(C$9:C3628,C3628))</f>
        <v/>
      </c>
    </row>
    <row r="3629" spans="2:2" x14ac:dyDescent="0.25">
      <c r="B3629" t="str">
        <f>IF(C3629="","",C3629&amp;COUNTIF(C$9:C3629,C3629))</f>
        <v/>
      </c>
    </row>
    <row r="3630" spans="2:2" x14ac:dyDescent="0.25">
      <c r="B3630" t="str">
        <f>IF(C3630="","",C3630&amp;COUNTIF(C$9:C3630,C3630))</f>
        <v/>
      </c>
    </row>
    <row r="3631" spans="2:2" x14ac:dyDescent="0.25">
      <c r="B3631" t="str">
        <f>IF(C3631="","",C3631&amp;COUNTIF(C$9:C3631,C3631))</f>
        <v/>
      </c>
    </row>
    <row r="3632" spans="2:2" x14ac:dyDescent="0.25">
      <c r="B3632" t="str">
        <f>IF(C3632="","",C3632&amp;COUNTIF(C$9:C3632,C3632))</f>
        <v/>
      </c>
    </row>
    <row r="3633" spans="2:2" x14ac:dyDescent="0.25">
      <c r="B3633" t="str">
        <f>IF(C3633="","",C3633&amp;COUNTIF(C$9:C3633,C3633))</f>
        <v/>
      </c>
    </row>
    <row r="3634" spans="2:2" x14ac:dyDescent="0.25">
      <c r="B3634" t="str">
        <f>IF(C3634="","",C3634&amp;COUNTIF(C$9:C3634,C3634))</f>
        <v/>
      </c>
    </row>
    <row r="3635" spans="2:2" x14ac:dyDescent="0.25">
      <c r="B3635" t="str">
        <f>IF(C3635="","",C3635&amp;COUNTIF(C$9:C3635,C3635))</f>
        <v/>
      </c>
    </row>
    <row r="3636" spans="2:2" x14ac:dyDescent="0.25">
      <c r="B3636" t="str">
        <f>IF(C3636="","",C3636&amp;COUNTIF(C$9:C3636,C3636))</f>
        <v/>
      </c>
    </row>
    <row r="3637" spans="2:2" x14ac:dyDescent="0.25">
      <c r="B3637" t="str">
        <f>IF(C3637="","",C3637&amp;COUNTIF(C$9:C3637,C3637))</f>
        <v/>
      </c>
    </row>
    <row r="3638" spans="2:2" x14ac:dyDescent="0.25">
      <c r="B3638" t="str">
        <f>IF(C3638="","",C3638&amp;COUNTIF(C$9:C3638,C3638))</f>
        <v/>
      </c>
    </row>
    <row r="3639" spans="2:2" x14ac:dyDescent="0.25">
      <c r="B3639" t="str">
        <f>IF(C3639="","",C3639&amp;COUNTIF(C$9:C3639,C3639))</f>
        <v/>
      </c>
    </row>
    <row r="3640" spans="2:2" x14ac:dyDescent="0.25">
      <c r="B3640" t="str">
        <f>IF(C3640="","",C3640&amp;COUNTIF(C$9:C3640,C3640))</f>
        <v/>
      </c>
    </row>
    <row r="3641" spans="2:2" x14ac:dyDescent="0.25">
      <c r="B3641" t="str">
        <f>IF(C3641="","",C3641&amp;COUNTIF(C$9:C3641,C3641))</f>
        <v/>
      </c>
    </row>
    <row r="3642" spans="2:2" x14ac:dyDescent="0.25">
      <c r="B3642" t="str">
        <f>IF(C3642="","",C3642&amp;COUNTIF(C$9:C3642,C3642))</f>
        <v/>
      </c>
    </row>
    <row r="3643" spans="2:2" x14ac:dyDescent="0.25">
      <c r="B3643" t="str">
        <f>IF(C3643="","",C3643&amp;COUNTIF(C$9:C3643,C3643))</f>
        <v/>
      </c>
    </row>
    <row r="3644" spans="2:2" x14ac:dyDescent="0.25">
      <c r="B3644" t="str">
        <f>IF(C3644="","",C3644&amp;COUNTIF(C$9:C3644,C3644))</f>
        <v/>
      </c>
    </row>
    <row r="3645" spans="2:2" x14ac:dyDescent="0.25">
      <c r="B3645" t="str">
        <f>IF(C3645="","",C3645&amp;COUNTIF(C$9:C3645,C3645))</f>
        <v/>
      </c>
    </row>
    <row r="3646" spans="2:2" x14ac:dyDescent="0.25">
      <c r="B3646" t="str">
        <f>IF(C3646="","",C3646&amp;COUNTIF(C$9:C3646,C3646))</f>
        <v/>
      </c>
    </row>
    <row r="3647" spans="2:2" x14ac:dyDescent="0.25">
      <c r="B3647" t="str">
        <f>IF(C3647="","",C3647&amp;COUNTIF(C$9:C3647,C3647))</f>
        <v/>
      </c>
    </row>
    <row r="3648" spans="2:2" x14ac:dyDescent="0.25">
      <c r="B3648" t="str">
        <f>IF(C3648="","",C3648&amp;COUNTIF(C$9:C3648,C3648))</f>
        <v/>
      </c>
    </row>
    <row r="3649" spans="2:2" x14ac:dyDescent="0.25">
      <c r="B3649" t="str">
        <f>IF(C3649="","",C3649&amp;COUNTIF(C$9:C3649,C3649))</f>
        <v/>
      </c>
    </row>
    <row r="3650" spans="2:2" x14ac:dyDescent="0.25">
      <c r="B3650" t="str">
        <f>IF(C3650="","",C3650&amp;COUNTIF(C$9:C3650,C3650))</f>
        <v/>
      </c>
    </row>
    <row r="3651" spans="2:2" x14ac:dyDescent="0.25">
      <c r="B3651" t="str">
        <f>IF(C3651="","",C3651&amp;COUNTIF(C$9:C3651,C3651))</f>
        <v/>
      </c>
    </row>
    <row r="3652" spans="2:2" x14ac:dyDescent="0.25">
      <c r="B3652" t="str">
        <f>IF(C3652="","",C3652&amp;COUNTIF(C$9:C3652,C3652))</f>
        <v/>
      </c>
    </row>
    <row r="3653" spans="2:2" x14ac:dyDescent="0.25">
      <c r="B3653" t="str">
        <f>IF(C3653="","",C3653&amp;COUNTIF(C$9:C3653,C3653))</f>
        <v/>
      </c>
    </row>
    <row r="3654" spans="2:2" x14ac:dyDescent="0.25">
      <c r="B3654" t="str">
        <f>IF(C3654="","",C3654&amp;COUNTIF(C$9:C3654,C3654))</f>
        <v/>
      </c>
    </row>
    <row r="3655" spans="2:2" x14ac:dyDescent="0.25">
      <c r="B3655" t="str">
        <f>IF(C3655="","",C3655&amp;COUNTIF(C$9:C3655,C3655))</f>
        <v/>
      </c>
    </row>
    <row r="3656" spans="2:2" x14ac:dyDescent="0.25">
      <c r="B3656" t="str">
        <f>IF(C3656="","",C3656&amp;COUNTIF(C$9:C3656,C3656))</f>
        <v/>
      </c>
    </row>
    <row r="3657" spans="2:2" x14ac:dyDescent="0.25">
      <c r="B3657" t="str">
        <f>IF(C3657="","",C3657&amp;COUNTIF(C$9:C3657,C3657))</f>
        <v/>
      </c>
    </row>
    <row r="3658" spans="2:2" x14ac:dyDescent="0.25">
      <c r="B3658" t="str">
        <f>IF(C3658="","",C3658&amp;COUNTIF(C$9:C3658,C3658))</f>
        <v/>
      </c>
    </row>
    <row r="3659" spans="2:2" x14ac:dyDescent="0.25">
      <c r="B3659" t="str">
        <f>IF(C3659="","",C3659&amp;COUNTIF(C$9:C3659,C3659))</f>
        <v/>
      </c>
    </row>
    <row r="3660" spans="2:2" x14ac:dyDescent="0.25">
      <c r="B3660" t="str">
        <f>IF(C3660="","",C3660&amp;COUNTIF(C$9:C3660,C3660))</f>
        <v/>
      </c>
    </row>
    <row r="3661" spans="2:2" x14ac:dyDescent="0.25">
      <c r="B3661" t="str">
        <f>IF(C3661="","",C3661&amp;COUNTIF(C$9:C3661,C3661))</f>
        <v/>
      </c>
    </row>
    <row r="3662" spans="2:2" x14ac:dyDescent="0.25">
      <c r="B3662" t="str">
        <f>IF(C3662="","",C3662&amp;COUNTIF(C$9:C3662,C3662))</f>
        <v/>
      </c>
    </row>
    <row r="3663" spans="2:2" x14ac:dyDescent="0.25">
      <c r="B3663" t="str">
        <f>IF(C3663="","",C3663&amp;COUNTIF(C$9:C3663,C3663))</f>
        <v/>
      </c>
    </row>
    <row r="3664" spans="2:2" x14ac:dyDescent="0.25">
      <c r="B3664" t="str">
        <f>IF(C3664="","",C3664&amp;COUNTIF(C$9:C3664,C3664))</f>
        <v/>
      </c>
    </row>
    <row r="3665" spans="2:2" x14ac:dyDescent="0.25">
      <c r="B3665" t="str">
        <f>IF(C3665="","",C3665&amp;COUNTIF(C$9:C3665,C3665))</f>
        <v/>
      </c>
    </row>
    <row r="3666" spans="2:2" x14ac:dyDescent="0.25">
      <c r="B3666" t="str">
        <f>IF(C3666="","",C3666&amp;COUNTIF(C$9:C3666,C3666))</f>
        <v/>
      </c>
    </row>
    <row r="3667" spans="2:2" x14ac:dyDescent="0.25">
      <c r="B3667" t="str">
        <f>IF(C3667="","",C3667&amp;COUNTIF(C$9:C3667,C3667))</f>
        <v/>
      </c>
    </row>
    <row r="3668" spans="2:2" x14ac:dyDescent="0.25">
      <c r="B3668" t="str">
        <f>IF(C3668="","",C3668&amp;COUNTIF(C$9:C3668,C3668))</f>
        <v/>
      </c>
    </row>
    <row r="3669" spans="2:2" x14ac:dyDescent="0.25">
      <c r="B3669" t="str">
        <f>IF(C3669="","",C3669&amp;COUNTIF(C$9:C3669,C3669))</f>
        <v/>
      </c>
    </row>
    <row r="3670" spans="2:2" x14ac:dyDescent="0.25">
      <c r="B3670" t="str">
        <f>IF(C3670="","",C3670&amp;COUNTIF(C$9:C3670,C3670))</f>
        <v/>
      </c>
    </row>
    <row r="3671" spans="2:2" x14ac:dyDescent="0.25">
      <c r="B3671" t="str">
        <f>IF(C3671="","",C3671&amp;COUNTIF(C$9:C3671,C3671))</f>
        <v/>
      </c>
    </row>
    <row r="3672" spans="2:2" x14ac:dyDescent="0.25">
      <c r="B3672" t="str">
        <f>IF(C3672="","",C3672&amp;COUNTIF(C$9:C3672,C3672))</f>
        <v/>
      </c>
    </row>
    <row r="3673" spans="2:2" x14ac:dyDescent="0.25">
      <c r="B3673" t="str">
        <f>IF(C3673="","",C3673&amp;COUNTIF(C$9:C3673,C3673))</f>
        <v/>
      </c>
    </row>
    <row r="3674" spans="2:2" x14ac:dyDescent="0.25">
      <c r="B3674" t="str">
        <f>IF(C3674="","",C3674&amp;COUNTIF(C$9:C3674,C3674))</f>
        <v/>
      </c>
    </row>
    <row r="3675" spans="2:2" x14ac:dyDescent="0.25">
      <c r="B3675" t="str">
        <f>IF(C3675="","",C3675&amp;COUNTIF(C$9:C3675,C3675))</f>
        <v/>
      </c>
    </row>
    <row r="3676" spans="2:2" x14ac:dyDescent="0.25">
      <c r="B3676" t="str">
        <f>IF(C3676="","",C3676&amp;COUNTIF(C$9:C3676,C3676))</f>
        <v/>
      </c>
    </row>
    <row r="3677" spans="2:2" x14ac:dyDescent="0.25">
      <c r="B3677" t="str">
        <f>IF(C3677="","",C3677&amp;COUNTIF(C$9:C3677,C3677))</f>
        <v/>
      </c>
    </row>
    <row r="3678" spans="2:2" x14ac:dyDescent="0.25">
      <c r="B3678" t="str">
        <f>IF(C3678="","",C3678&amp;COUNTIF(C$9:C3678,C3678))</f>
        <v/>
      </c>
    </row>
    <row r="3679" spans="2:2" x14ac:dyDescent="0.25">
      <c r="B3679" t="str">
        <f>IF(C3679="","",C3679&amp;COUNTIF(C$9:C3679,C3679))</f>
        <v/>
      </c>
    </row>
    <row r="3680" spans="2:2" x14ac:dyDescent="0.25">
      <c r="B3680" t="str">
        <f>IF(C3680="","",C3680&amp;COUNTIF(C$9:C3680,C3680))</f>
        <v/>
      </c>
    </row>
    <row r="3681" spans="2:2" x14ac:dyDescent="0.25">
      <c r="B3681" t="str">
        <f>IF(C3681="","",C3681&amp;COUNTIF(C$9:C3681,C3681))</f>
        <v/>
      </c>
    </row>
    <row r="3682" spans="2:2" x14ac:dyDescent="0.25">
      <c r="B3682" t="str">
        <f>IF(C3682="","",C3682&amp;COUNTIF(C$9:C3682,C3682))</f>
        <v/>
      </c>
    </row>
    <row r="3683" spans="2:2" x14ac:dyDescent="0.25">
      <c r="B3683" t="str">
        <f>IF(C3683="","",C3683&amp;COUNTIF(C$9:C3683,C3683))</f>
        <v/>
      </c>
    </row>
    <row r="3684" spans="2:2" x14ac:dyDescent="0.25">
      <c r="B3684" t="str">
        <f>IF(C3684="","",C3684&amp;COUNTIF(C$9:C3684,C3684))</f>
        <v/>
      </c>
    </row>
    <row r="3685" spans="2:2" x14ac:dyDescent="0.25">
      <c r="B3685" t="str">
        <f>IF(C3685="","",C3685&amp;COUNTIF(C$9:C3685,C3685))</f>
        <v/>
      </c>
    </row>
    <row r="3686" spans="2:2" x14ac:dyDescent="0.25">
      <c r="B3686" t="str">
        <f>IF(C3686="","",C3686&amp;COUNTIF(C$9:C3686,C3686))</f>
        <v/>
      </c>
    </row>
    <row r="3687" spans="2:2" x14ac:dyDescent="0.25">
      <c r="B3687" t="str">
        <f>IF(C3687="","",C3687&amp;COUNTIF(C$9:C3687,C3687))</f>
        <v/>
      </c>
    </row>
    <row r="3688" spans="2:2" x14ac:dyDescent="0.25">
      <c r="B3688" t="str">
        <f>IF(C3688="","",C3688&amp;COUNTIF(C$9:C3688,C3688))</f>
        <v/>
      </c>
    </row>
    <row r="3689" spans="2:2" x14ac:dyDescent="0.25">
      <c r="B3689" t="str">
        <f>IF(C3689="","",C3689&amp;COUNTIF(C$9:C3689,C3689))</f>
        <v/>
      </c>
    </row>
    <row r="3690" spans="2:2" x14ac:dyDescent="0.25">
      <c r="B3690" t="str">
        <f>IF(C3690="","",C3690&amp;COUNTIF(C$9:C3690,C3690))</f>
        <v/>
      </c>
    </row>
    <row r="3691" spans="2:2" x14ac:dyDescent="0.25">
      <c r="B3691" t="str">
        <f>IF(C3691="","",C3691&amp;COUNTIF(C$9:C3691,C3691))</f>
        <v/>
      </c>
    </row>
    <row r="3692" spans="2:2" x14ac:dyDescent="0.25">
      <c r="B3692" t="str">
        <f>IF(C3692="","",C3692&amp;COUNTIF(C$9:C3692,C3692))</f>
        <v/>
      </c>
    </row>
    <row r="3693" spans="2:2" x14ac:dyDescent="0.25">
      <c r="B3693" t="str">
        <f>IF(C3693="","",C3693&amp;COUNTIF(C$9:C3693,C3693))</f>
        <v/>
      </c>
    </row>
    <row r="3694" spans="2:2" x14ac:dyDescent="0.25">
      <c r="B3694" t="str">
        <f>IF(C3694="","",C3694&amp;COUNTIF(C$9:C3694,C3694))</f>
        <v/>
      </c>
    </row>
    <row r="3695" spans="2:2" x14ac:dyDescent="0.25">
      <c r="B3695" t="str">
        <f>IF(C3695="","",C3695&amp;COUNTIF(C$9:C3695,C3695))</f>
        <v/>
      </c>
    </row>
    <row r="3696" spans="2:2" x14ac:dyDescent="0.25">
      <c r="B3696" t="str">
        <f>IF(C3696="","",C3696&amp;COUNTIF(C$9:C3696,C3696))</f>
        <v/>
      </c>
    </row>
    <row r="3697" spans="2:2" x14ac:dyDescent="0.25">
      <c r="B3697" t="str">
        <f>IF(C3697="","",C3697&amp;COUNTIF(C$9:C3697,C3697))</f>
        <v/>
      </c>
    </row>
    <row r="3698" spans="2:2" x14ac:dyDescent="0.25">
      <c r="B3698" t="str">
        <f>IF(C3698="","",C3698&amp;COUNTIF(C$9:C3698,C3698))</f>
        <v/>
      </c>
    </row>
    <row r="3699" spans="2:2" x14ac:dyDescent="0.25">
      <c r="B3699" t="str">
        <f>IF(C3699="","",C3699&amp;COUNTIF(C$9:C3699,C3699))</f>
        <v/>
      </c>
    </row>
    <row r="3700" spans="2:2" x14ac:dyDescent="0.25">
      <c r="B3700" t="str">
        <f>IF(C3700="","",C3700&amp;COUNTIF(C$9:C3700,C3700))</f>
        <v/>
      </c>
    </row>
    <row r="3701" spans="2:2" x14ac:dyDescent="0.25">
      <c r="B3701" t="str">
        <f>IF(C3701="","",C3701&amp;COUNTIF(C$9:C3701,C3701))</f>
        <v/>
      </c>
    </row>
    <row r="3702" spans="2:2" x14ac:dyDescent="0.25">
      <c r="B3702" t="str">
        <f>IF(C3702="","",C3702&amp;COUNTIF(C$9:C3702,C3702))</f>
        <v/>
      </c>
    </row>
    <row r="3703" spans="2:2" x14ac:dyDescent="0.25">
      <c r="B3703" t="str">
        <f>IF(C3703="","",C3703&amp;COUNTIF(C$9:C3703,C3703))</f>
        <v/>
      </c>
    </row>
    <row r="3704" spans="2:2" x14ac:dyDescent="0.25">
      <c r="B3704" t="str">
        <f>IF(C3704="","",C3704&amp;COUNTIF(C$9:C3704,C3704))</f>
        <v/>
      </c>
    </row>
    <row r="3705" spans="2:2" x14ac:dyDescent="0.25">
      <c r="B3705" t="str">
        <f>IF(C3705="","",C3705&amp;COUNTIF(C$9:C3705,C3705))</f>
        <v/>
      </c>
    </row>
    <row r="3706" spans="2:2" x14ac:dyDescent="0.25">
      <c r="B3706" t="str">
        <f>IF(C3706="","",C3706&amp;COUNTIF(C$9:C3706,C3706))</f>
        <v/>
      </c>
    </row>
    <row r="3707" spans="2:2" x14ac:dyDescent="0.25">
      <c r="B3707" t="str">
        <f>IF(C3707="","",C3707&amp;COUNTIF(C$9:C3707,C3707))</f>
        <v/>
      </c>
    </row>
    <row r="3708" spans="2:2" x14ac:dyDescent="0.25">
      <c r="B3708" t="str">
        <f>IF(C3708="","",C3708&amp;COUNTIF(C$9:C3708,C3708))</f>
        <v/>
      </c>
    </row>
    <row r="3709" spans="2:2" x14ac:dyDescent="0.25">
      <c r="B3709" t="str">
        <f>IF(C3709="","",C3709&amp;COUNTIF(C$9:C3709,C3709))</f>
        <v/>
      </c>
    </row>
    <row r="3710" spans="2:2" x14ac:dyDescent="0.25">
      <c r="B3710" t="str">
        <f>IF(C3710="","",C3710&amp;COUNTIF(C$9:C3710,C3710))</f>
        <v/>
      </c>
    </row>
    <row r="3711" spans="2:2" x14ac:dyDescent="0.25">
      <c r="B3711" t="str">
        <f>IF(C3711="","",C3711&amp;COUNTIF(C$9:C3711,C3711))</f>
        <v/>
      </c>
    </row>
    <row r="3712" spans="2:2" x14ac:dyDescent="0.25">
      <c r="B3712" t="str">
        <f>IF(C3712="","",C3712&amp;COUNTIF(C$9:C3712,C3712))</f>
        <v/>
      </c>
    </row>
    <row r="3713" spans="2:2" x14ac:dyDescent="0.25">
      <c r="B3713" t="str">
        <f>IF(C3713="","",C3713&amp;COUNTIF(C$9:C3713,C3713))</f>
        <v/>
      </c>
    </row>
    <row r="3714" spans="2:2" x14ac:dyDescent="0.25">
      <c r="B3714" t="str">
        <f>IF(C3714="","",C3714&amp;COUNTIF(C$9:C3714,C3714))</f>
        <v/>
      </c>
    </row>
    <row r="3715" spans="2:2" x14ac:dyDescent="0.25">
      <c r="B3715" t="str">
        <f>IF(C3715="","",C3715&amp;COUNTIF(C$9:C3715,C3715))</f>
        <v/>
      </c>
    </row>
    <row r="3716" spans="2:2" x14ac:dyDescent="0.25">
      <c r="B3716" t="str">
        <f>IF(C3716="","",C3716&amp;COUNTIF(C$9:C3716,C3716))</f>
        <v/>
      </c>
    </row>
    <row r="3717" spans="2:2" x14ac:dyDescent="0.25">
      <c r="B3717" t="str">
        <f>IF(C3717="","",C3717&amp;COUNTIF(C$9:C3717,C3717))</f>
        <v/>
      </c>
    </row>
    <row r="3718" spans="2:2" x14ac:dyDescent="0.25">
      <c r="B3718" t="str">
        <f>IF(C3718="","",C3718&amp;COUNTIF(C$9:C3718,C3718))</f>
        <v/>
      </c>
    </row>
    <row r="3719" spans="2:2" x14ac:dyDescent="0.25">
      <c r="B3719" t="str">
        <f>IF(C3719="","",C3719&amp;COUNTIF(C$9:C3719,C3719))</f>
        <v/>
      </c>
    </row>
    <row r="3720" spans="2:2" x14ac:dyDescent="0.25">
      <c r="B3720" t="str">
        <f>IF(C3720="","",C3720&amp;COUNTIF(C$9:C3720,C3720))</f>
        <v/>
      </c>
    </row>
    <row r="3721" spans="2:2" x14ac:dyDescent="0.25">
      <c r="B3721" t="str">
        <f>IF(C3721="","",C3721&amp;COUNTIF(C$9:C3721,C3721))</f>
        <v/>
      </c>
    </row>
    <row r="3722" spans="2:2" x14ac:dyDescent="0.25">
      <c r="B3722" t="str">
        <f>IF(C3722="","",C3722&amp;COUNTIF(C$9:C3722,C3722))</f>
        <v/>
      </c>
    </row>
    <row r="3723" spans="2:2" x14ac:dyDescent="0.25">
      <c r="B3723" t="str">
        <f>IF(C3723="","",C3723&amp;COUNTIF(C$9:C3723,C3723))</f>
        <v/>
      </c>
    </row>
    <row r="3724" spans="2:2" x14ac:dyDescent="0.25">
      <c r="B3724" t="str">
        <f>IF(C3724="","",C3724&amp;COUNTIF(C$9:C3724,C3724))</f>
        <v/>
      </c>
    </row>
    <row r="3725" spans="2:2" x14ac:dyDescent="0.25">
      <c r="B3725" t="str">
        <f>IF(C3725="","",C3725&amp;COUNTIF(C$9:C3725,C3725))</f>
        <v/>
      </c>
    </row>
    <row r="3726" spans="2:2" x14ac:dyDescent="0.25">
      <c r="B3726" t="str">
        <f>IF(C3726="","",C3726&amp;COUNTIF(C$9:C3726,C3726))</f>
        <v/>
      </c>
    </row>
    <row r="3727" spans="2:2" x14ac:dyDescent="0.25">
      <c r="B3727" t="str">
        <f>IF(C3727="","",C3727&amp;COUNTIF(C$9:C3727,C3727))</f>
        <v/>
      </c>
    </row>
    <row r="3728" spans="2:2" x14ac:dyDescent="0.25">
      <c r="B3728" t="str">
        <f>IF(C3728="","",C3728&amp;COUNTIF(C$9:C3728,C3728))</f>
        <v/>
      </c>
    </row>
    <row r="3729" spans="2:2" x14ac:dyDescent="0.25">
      <c r="B3729" t="str">
        <f>IF(C3729="","",C3729&amp;COUNTIF(C$9:C3729,C3729))</f>
        <v/>
      </c>
    </row>
    <row r="3730" spans="2:2" x14ac:dyDescent="0.25">
      <c r="B3730" t="str">
        <f>IF(C3730="","",C3730&amp;COUNTIF(C$9:C3730,C3730))</f>
        <v/>
      </c>
    </row>
    <row r="3731" spans="2:2" x14ac:dyDescent="0.25">
      <c r="B3731" t="str">
        <f>IF(C3731="","",C3731&amp;COUNTIF(C$9:C3731,C3731))</f>
        <v/>
      </c>
    </row>
    <row r="3732" spans="2:2" x14ac:dyDescent="0.25">
      <c r="B3732" t="str">
        <f>IF(C3732="","",C3732&amp;COUNTIF(C$9:C3732,C3732))</f>
        <v/>
      </c>
    </row>
    <row r="3733" spans="2:2" x14ac:dyDescent="0.25">
      <c r="B3733" t="str">
        <f>IF(C3733="","",C3733&amp;COUNTIF(C$9:C3733,C3733))</f>
        <v/>
      </c>
    </row>
    <row r="3734" spans="2:2" x14ac:dyDescent="0.25">
      <c r="B3734" t="str">
        <f>IF(C3734="","",C3734&amp;COUNTIF(C$9:C3734,C3734))</f>
        <v/>
      </c>
    </row>
    <row r="3735" spans="2:2" x14ac:dyDescent="0.25">
      <c r="B3735" t="str">
        <f>IF(C3735="","",C3735&amp;COUNTIF(C$9:C3735,C3735))</f>
        <v/>
      </c>
    </row>
    <row r="3736" spans="2:2" x14ac:dyDescent="0.25">
      <c r="B3736" t="str">
        <f>IF(C3736="","",C3736&amp;COUNTIF(C$9:C3736,C3736))</f>
        <v/>
      </c>
    </row>
    <row r="3737" spans="2:2" x14ac:dyDescent="0.25">
      <c r="B3737" t="str">
        <f>IF(C3737="","",C3737&amp;COUNTIF(C$9:C3737,C3737))</f>
        <v/>
      </c>
    </row>
    <row r="3738" spans="2:2" x14ac:dyDescent="0.25">
      <c r="B3738" t="str">
        <f>IF(C3738="","",C3738&amp;COUNTIF(C$9:C3738,C3738))</f>
        <v/>
      </c>
    </row>
    <row r="3739" spans="2:2" x14ac:dyDescent="0.25">
      <c r="B3739" t="str">
        <f>IF(C3739="","",C3739&amp;COUNTIF(C$9:C3739,C3739))</f>
        <v/>
      </c>
    </row>
    <row r="3740" spans="2:2" x14ac:dyDescent="0.25">
      <c r="B3740" t="str">
        <f>IF(C3740="","",C3740&amp;COUNTIF(C$9:C3740,C3740))</f>
        <v/>
      </c>
    </row>
    <row r="3741" spans="2:2" x14ac:dyDescent="0.25">
      <c r="B3741" t="str">
        <f>IF(C3741="","",C3741&amp;COUNTIF(C$9:C3741,C3741))</f>
        <v/>
      </c>
    </row>
    <row r="3742" spans="2:2" x14ac:dyDescent="0.25">
      <c r="B3742" t="str">
        <f>IF(C3742="","",C3742&amp;COUNTIF(C$9:C3742,C3742))</f>
        <v/>
      </c>
    </row>
    <row r="3743" spans="2:2" x14ac:dyDescent="0.25">
      <c r="B3743" t="str">
        <f>IF(C3743="","",C3743&amp;COUNTIF(C$9:C3743,C3743))</f>
        <v/>
      </c>
    </row>
    <row r="3744" spans="2:2" x14ac:dyDescent="0.25">
      <c r="B3744" t="str">
        <f>IF(C3744="","",C3744&amp;COUNTIF(C$9:C3744,C3744))</f>
        <v/>
      </c>
    </row>
    <row r="3745" spans="2:2" x14ac:dyDescent="0.25">
      <c r="B3745" t="str">
        <f>IF(C3745="","",C3745&amp;COUNTIF(C$9:C3745,C3745))</f>
        <v/>
      </c>
    </row>
    <row r="3746" spans="2:2" x14ac:dyDescent="0.25">
      <c r="B3746" t="str">
        <f>IF(C3746="","",C3746&amp;COUNTIF(C$9:C3746,C3746))</f>
        <v/>
      </c>
    </row>
    <row r="3747" spans="2:2" x14ac:dyDescent="0.25">
      <c r="B3747" t="str">
        <f>IF(C3747="","",C3747&amp;COUNTIF(C$9:C3747,C3747))</f>
        <v/>
      </c>
    </row>
    <row r="3748" spans="2:2" x14ac:dyDescent="0.25">
      <c r="B3748" t="str">
        <f>IF(C3748="","",C3748&amp;COUNTIF(C$9:C3748,C3748))</f>
        <v/>
      </c>
    </row>
    <row r="3749" spans="2:2" x14ac:dyDescent="0.25">
      <c r="B3749" t="str">
        <f>IF(C3749="","",C3749&amp;COUNTIF(C$9:C3749,C3749))</f>
        <v/>
      </c>
    </row>
    <row r="3750" spans="2:2" x14ac:dyDescent="0.25">
      <c r="B3750" t="str">
        <f>IF(C3750="","",C3750&amp;COUNTIF(C$9:C3750,C3750))</f>
        <v/>
      </c>
    </row>
    <row r="3751" spans="2:2" x14ac:dyDescent="0.25">
      <c r="B3751" t="str">
        <f>IF(C3751="","",C3751&amp;COUNTIF(C$9:C3751,C3751))</f>
        <v/>
      </c>
    </row>
    <row r="3752" spans="2:2" x14ac:dyDescent="0.25">
      <c r="B3752" t="str">
        <f>IF(C3752="","",C3752&amp;COUNTIF(C$9:C3752,C3752))</f>
        <v/>
      </c>
    </row>
    <row r="3753" spans="2:2" x14ac:dyDescent="0.25">
      <c r="B3753" t="str">
        <f>IF(C3753="","",C3753&amp;COUNTIF(C$9:C3753,C3753))</f>
        <v/>
      </c>
    </row>
    <row r="3754" spans="2:2" x14ac:dyDescent="0.25">
      <c r="B3754" t="str">
        <f>IF(C3754="","",C3754&amp;COUNTIF(C$9:C3754,C3754))</f>
        <v/>
      </c>
    </row>
    <row r="3755" spans="2:2" x14ac:dyDescent="0.25">
      <c r="B3755" t="str">
        <f>IF(C3755="","",C3755&amp;COUNTIF(C$9:C3755,C3755))</f>
        <v/>
      </c>
    </row>
    <row r="3756" spans="2:2" x14ac:dyDescent="0.25">
      <c r="B3756" t="str">
        <f>IF(C3756="","",C3756&amp;COUNTIF(C$9:C3756,C3756))</f>
        <v/>
      </c>
    </row>
    <row r="3757" spans="2:2" x14ac:dyDescent="0.25">
      <c r="B3757" t="str">
        <f>IF(C3757="","",C3757&amp;COUNTIF(C$9:C3757,C3757))</f>
        <v/>
      </c>
    </row>
    <row r="3758" spans="2:2" x14ac:dyDescent="0.25">
      <c r="B3758" t="str">
        <f>IF(C3758="","",C3758&amp;COUNTIF(C$9:C3758,C3758))</f>
        <v/>
      </c>
    </row>
    <row r="3759" spans="2:2" x14ac:dyDescent="0.25">
      <c r="B3759" t="str">
        <f>IF(C3759="","",C3759&amp;COUNTIF(C$9:C3759,C3759))</f>
        <v/>
      </c>
    </row>
    <row r="3760" spans="2:2" x14ac:dyDescent="0.25">
      <c r="B3760" t="str">
        <f>IF(C3760="","",C3760&amp;COUNTIF(C$9:C3760,C3760))</f>
        <v/>
      </c>
    </row>
    <row r="3761" spans="2:2" x14ac:dyDescent="0.25">
      <c r="B3761" t="str">
        <f>IF(C3761="","",C3761&amp;COUNTIF(C$9:C3761,C3761))</f>
        <v/>
      </c>
    </row>
    <row r="3762" spans="2:2" x14ac:dyDescent="0.25">
      <c r="B3762" t="str">
        <f>IF(C3762="","",C3762&amp;COUNTIF(C$9:C3762,C3762))</f>
        <v/>
      </c>
    </row>
    <row r="3763" spans="2:2" x14ac:dyDescent="0.25">
      <c r="B3763" t="str">
        <f>IF(C3763="","",C3763&amp;COUNTIF(C$9:C3763,C3763))</f>
        <v/>
      </c>
    </row>
    <row r="3764" spans="2:2" x14ac:dyDescent="0.25">
      <c r="B3764" t="str">
        <f>IF(C3764="","",C3764&amp;COUNTIF(C$9:C3764,C3764))</f>
        <v/>
      </c>
    </row>
    <row r="3765" spans="2:2" x14ac:dyDescent="0.25">
      <c r="B3765" t="str">
        <f>IF(C3765="","",C3765&amp;COUNTIF(C$9:C3765,C3765))</f>
        <v/>
      </c>
    </row>
    <row r="3766" spans="2:2" x14ac:dyDescent="0.25">
      <c r="B3766" t="str">
        <f>IF(C3766="","",C3766&amp;COUNTIF(C$9:C3766,C3766))</f>
        <v/>
      </c>
    </row>
    <row r="3767" spans="2:2" x14ac:dyDescent="0.25">
      <c r="B3767" t="str">
        <f>IF(C3767="","",C3767&amp;COUNTIF(C$9:C3767,C3767))</f>
        <v/>
      </c>
    </row>
    <row r="3768" spans="2:2" x14ac:dyDescent="0.25">
      <c r="B3768" t="str">
        <f>IF(C3768="","",C3768&amp;COUNTIF(C$9:C3768,C3768))</f>
        <v/>
      </c>
    </row>
    <row r="3769" spans="2:2" x14ac:dyDescent="0.25">
      <c r="B3769" t="str">
        <f>IF(C3769="","",C3769&amp;COUNTIF(C$9:C3769,C3769))</f>
        <v/>
      </c>
    </row>
    <row r="3770" spans="2:2" x14ac:dyDescent="0.25">
      <c r="B3770" t="str">
        <f>IF(C3770="","",C3770&amp;COUNTIF(C$9:C3770,C3770))</f>
        <v/>
      </c>
    </row>
    <row r="3771" spans="2:2" x14ac:dyDescent="0.25">
      <c r="B3771" t="str">
        <f>IF(C3771="","",C3771&amp;COUNTIF(C$9:C3771,C3771))</f>
        <v/>
      </c>
    </row>
    <row r="3772" spans="2:2" x14ac:dyDescent="0.25">
      <c r="B3772" t="str">
        <f>IF(C3772="","",C3772&amp;COUNTIF(C$9:C3772,C3772))</f>
        <v/>
      </c>
    </row>
    <row r="3773" spans="2:2" x14ac:dyDescent="0.25">
      <c r="B3773" t="str">
        <f>IF(C3773="","",C3773&amp;COUNTIF(C$9:C3773,C3773))</f>
        <v/>
      </c>
    </row>
    <row r="3774" spans="2:2" x14ac:dyDescent="0.25">
      <c r="B3774" t="str">
        <f>IF(C3774="","",C3774&amp;COUNTIF(C$9:C3774,C3774))</f>
        <v/>
      </c>
    </row>
    <row r="3775" spans="2:2" x14ac:dyDescent="0.25">
      <c r="B3775" t="str">
        <f>IF(C3775="","",C3775&amp;COUNTIF(C$9:C3775,C3775))</f>
        <v/>
      </c>
    </row>
    <row r="3776" spans="2:2" x14ac:dyDescent="0.25">
      <c r="B3776" t="str">
        <f>IF(C3776="","",C3776&amp;COUNTIF(C$9:C3776,C3776))</f>
        <v/>
      </c>
    </row>
    <row r="3777" spans="2:2" x14ac:dyDescent="0.25">
      <c r="B3777" t="str">
        <f>IF(C3777="","",C3777&amp;COUNTIF(C$9:C3777,C3777))</f>
        <v/>
      </c>
    </row>
    <row r="3778" spans="2:2" x14ac:dyDescent="0.25">
      <c r="B3778" t="str">
        <f>IF(C3778="","",C3778&amp;COUNTIF(C$9:C3778,C3778))</f>
        <v/>
      </c>
    </row>
    <row r="3779" spans="2:2" x14ac:dyDescent="0.25">
      <c r="B3779" t="str">
        <f>IF(C3779="","",C3779&amp;COUNTIF(C$9:C3779,C3779))</f>
        <v/>
      </c>
    </row>
    <row r="3780" spans="2:2" x14ac:dyDescent="0.25">
      <c r="B3780" t="str">
        <f>IF(C3780="","",C3780&amp;COUNTIF(C$9:C3780,C3780))</f>
        <v/>
      </c>
    </row>
    <row r="3781" spans="2:2" x14ac:dyDescent="0.25">
      <c r="B3781" t="str">
        <f>IF(C3781="","",C3781&amp;COUNTIF(C$9:C3781,C3781))</f>
        <v/>
      </c>
    </row>
    <row r="3782" spans="2:2" x14ac:dyDescent="0.25">
      <c r="B3782" t="str">
        <f>IF(C3782="","",C3782&amp;COUNTIF(C$9:C3782,C3782))</f>
        <v/>
      </c>
    </row>
    <row r="3783" spans="2:2" x14ac:dyDescent="0.25">
      <c r="B3783" t="str">
        <f>IF(C3783="","",C3783&amp;COUNTIF(C$9:C3783,C3783))</f>
        <v/>
      </c>
    </row>
    <row r="3784" spans="2:2" x14ac:dyDescent="0.25">
      <c r="B3784" t="str">
        <f>IF(C3784="","",C3784&amp;COUNTIF(C$9:C3784,C3784))</f>
        <v/>
      </c>
    </row>
    <row r="3785" spans="2:2" x14ac:dyDescent="0.25">
      <c r="B3785" t="str">
        <f>IF(C3785="","",C3785&amp;COUNTIF(C$9:C3785,C3785))</f>
        <v/>
      </c>
    </row>
    <row r="3786" spans="2:2" x14ac:dyDescent="0.25">
      <c r="B3786" t="str">
        <f>IF(C3786="","",C3786&amp;COUNTIF(C$9:C3786,C3786))</f>
        <v/>
      </c>
    </row>
    <row r="3787" spans="2:2" x14ac:dyDescent="0.25">
      <c r="B3787" t="str">
        <f>IF(C3787="","",C3787&amp;COUNTIF(C$9:C3787,C3787))</f>
        <v/>
      </c>
    </row>
    <row r="3788" spans="2:2" x14ac:dyDescent="0.25">
      <c r="B3788" t="str">
        <f>IF(C3788="","",C3788&amp;COUNTIF(C$9:C3788,C3788))</f>
        <v/>
      </c>
    </row>
    <row r="3789" spans="2:2" x14ac:dyDescent="0.25">
      <c r="B3789" t="str">
        <f>IF(C3789="","",C3789&amp;COUNTIF(C$9:C3789,C3789))</f>
        <v/>
      </c>
    </row>
    <row r="3790" spans="2:2" x14ac:dyDescent="0.25">
      <c r="B3790" t="str">
        <f>IF(C3790="","",C3790&amp;COUNTIF(C$9:C3790,C3790))</f>
        <v/>
      </c>
    </row>
    <row r="3791" spans="2:2" x14ac:dyDescent="0.25">
      <c r="B3791" t="str">
        <f>IF(C3791="","",C3791&amp;COUNTIF(C$9:C3791,C3791))</f>
        <v/>
      </c>
    </row>
    <row r="3792" spans="2:2" x14ac:dyDescent="0.25">
      <c r="B3792" t="str">
        <f>IF(C3792="","",C3792&amp;COUNTIF(C$9:C3792,C3792))</f>
        <v/>
      </c>
    </row>
    <row r="3793" spans="2:2" x14ac:dyDescent="0.25">
      <c r="B3793" t="str">
        <f>IF(C3793="","",C3793&amp;COUNTIF(C$9:C3793,C3793))</f>
        <v/>
      </c>
    </row>
    <row r="3794" spans="2:2" x14ac:dyDescent="0.25">
      <c r="B3794" t="str">
        <f>IF(C3794="","",C3794&amp;COUNTIF(C$9:C3794,C3794))</f>
        <v/>
      </c>
    </row>
    <row r="3795" spans="2:2" x14ac:dyDescent="0.25">
      <c r="B3795" t="str">
        <f>IF(C3795="","",C3795&amp;COUNTIF(C$9:C3795,C3795))</f>
        <v/>
      </c>
    </row>
    <row r="3796" spans="2:2" x14ac:dyDescent="0.25">
      <c r="B3796" t="str">
        <f>IF(C3796="","",C3796&amp;COUNTIF(C$9:C3796,C3796))</f>
        <v/>
      </c>
    </row>
    <row r="3797" spans="2:2" x14ac:dyDescent="0.25">
      <c r="B3797" t="str">
        <f>IF(C3797="","",C3797&amp;COUNTIF(C$9:C3797,C3797))</f>
        <v/>
      </c>
    </row>
    <row r="3798" spans="2:2" x14ac:dyDescent="0.25">
      <c r="B3798" t="str">
        <f>IF(C3798="","",C3798&amp;COUNTIF(C$9:C3798,C3798))</f>
        <v/>
      </c>
    </row>
    <row r="3799" spans="2:2" x14ac:dyDescent="0.25">
      <c r="B3799" t="str">
        <f>IF(C3799="","",C3799&amp;COUNTIF(C$9:C3799,C3799))</f>
        <v/>
      </c>
    </row>
    <row r="3800" spans="2:2" x14ac:dyDescent="0.25">
      <c r="B3800" t="str">
        <f>IF(C3800="","",C3800&amp;COUNTIF(C$9:C3800,C3800))</f>
        <v/>
      </c>
    </row>
    <row r="3801" spans="2:2" x14ac:dyDescent="0.25">
      <c r="B3801" t="str">
        <f>IF(C3801="","",C3801&amp;COUNTIF(C$9:C3801,C3801))</f>
        <v/>
      </c>
    </row>
    <row r="3802" spans="2:2" x14ac:dyDescent="0.25">
      <c r="B3802" t="str">
        <f>IF(C3802="","",C3802&amp;COUNTIF(C$9:C3802,C3802))</f>
        <v/>
      </c>
    </row>
    <row r="3803" spans="2:2" x14ac:dyDescent="0.25">
      <c r="B3803" t="str">
        <f>IF(C3803="","",C3803&amp;COUNTIF(C$9:C3803,C3803))</f>
        <v/>
      </c>
    </row>
    <row r="3804" spans="2:2" x14ac:dyDescent="0.25">
      <c r="B3804" t="str">
        <f>IF(C3804="","",C3804&amp;COUNTIF(C$9:C3804,C3804))</f>
        <v/>
      </c>
    </row>
    <row r="3805" spans="2:2" x14ac:dyDescent="0.25">
      <c r="B3805" t="str">
        <f>IF(C3805="","",C3805&amp;COUNTIF(C$9:C3805,C3805))</f>
        <v/>
      </c>
    </row>
    <row r="3806" spans="2:2" x14ac:dyDescent="0.25">
      <c r="B3806" t="str">
        <f>IF(C3806="","",C3806&amp;COUNTIF(C$9:C3806,C3806))</f>
        <v/>
      </c>
    </row>
    <row r="3807" spans="2:2" x14ac:dyDescent="0.25">
      <c r="B3807" t="str">
        <f>IF(C3807="","",C3807&amp;COUNTIF(C$9:C3807,C3807))</f>
        <v/>
      </c>
    </row>
    <row r="3808" spans="2:2" x14ac:dyDescent="0.25">
      <c r="B3808" t="str">
        <f>IF(C3808="","",C3808&amp;COUNTIF(C$9:C3808,C3808))</f>
        <v/>
      </c>
    </row>
    <row r="3809" spans="2:2" x14ac:dyDescent="0.25">
      <c r="B3809" t="str">
        <f>IF(C3809="","",C3809&amp;COUNTIF(C$9:C3809,C3809))</f>
        <v/>
      </c>
    </row>
    <row r="3810" spans="2:2" x14ac:dyDescent="0.25">
      <c r="B3810" t="str">
        <f>IF(C3810="","",C3810&amp;COUNTIF(C$9:C3810,C3810))</f>
        <v/>
      </c>
    </row>
    <row r="3811" spans="2:2" x14ac:dyDescent="0.25">
      <c r="B3811" t="str">
        <f>IF(C3811="","",C3811&amp;COUNTIF(C$9:C3811,C3811))</f>
        <v/>
      </c>
    </row>
    <row r="3812" spans="2:2" x14ac:dyDescent="0.25">
      <c r="B3812" t="str">
        <f>IF(C3812="","",C3812&amp;COUNTIF(C$9:C3812,C3812))</f>
        <v/>
      </c>
    </row>
    <row r="3813" spans="2:2" x14ac:dyDescent="0.25">
      <c r="B3813" t="str">
        <f>IF(C3813="","",C3813&amp;COUNTIF(C$9:C3813,C3813))</f>
        <v/>
      </c>
    </row>
    <row r="3814" spans="2:2" x14ac:dyDescent="0.25">
      <c r="B3814" t="str">
        <f>IF(C3814="","",C3814&amp;COUNTIF(C$9:C3814,C3814))</f>
        <v/>
      </c>
    </row>
    <row r="3815" spans="2:2" x14ac:dyDescent="0.25">
      <c r="B3815" t="str">
        <f>IF(C3815="","",C3815&amp;COUNTIF(C$9:C3815,C3815))</f>
        <v/>
      </c>
    </row>
    <row r="3816" spans="2:2" x14ac:dyDescent="0.25">
      <c r="B3816" t="str">
        <f>IF(C3816="","",C3816&amp;COUNTIF(C$9:C3816,C3816))</f>
        <v/>
      </c>
    </row>
    <row r="3817" spans="2:2" x14ac:dyDescent="0.25">
      <c r="B3817" t="str">
        <f>IF(C3817="","",C3817&amp;COUNTIF(C$9:C3817,C3817))</f>
        <v/>
      </c>
    </row>
    <row r="3818" spans="2:2" x14ac:dyDescent="0.25">
      <c r="B3818" t="str">
        <f>IF(C3818="","",C3818&amp;COUNTIF(C$9:C3818,C3818))</f>
        <v/>
      </c>
    </row>
    <row r="3819" spans="2:2" x14ac:dyDescent="0.25">
      <c r="B3819" t="str">
        <f>IF(C3819="","",C3819&amp;COUNTIF(C$9:C3819,C3819))</f>
        <v/>
      </c>
    </row>
    <row r="3820" spans="2:2" x14ac:dyDescent="0.25">
      <c r="B3820" t="str">
        <f>IF(C3820="","",C3820&amp;COUNTIF(C$9:C3820,C3820))</f>
        <v/>
      </c>
    </row>
    <row r="3821" spans="2:2" x14ac:dyDescent="0.25">
      <c r="B3821" t="str">
        <f>IF(C3821="","",C3821&amp;COUNTIF(C$9:C3821,C3821))</f>
        <v/>
      </c>
    </row>
    <row r="3822" spans="2:2" x14ac:dyDescent="0.25">
      <c r="B3822" t="str">
        <f>IF(C3822="","",C3822&amp;COUNTIF(C$9:C3822,C3822))</f>
        <v/>
      </c>
    </row>
    <row r="3823" spans="2:2" x14ac:dyDescent="0.25">
      <c r="B3823" t="str">
        <f>IF(C3823="","",C3823&amp;COUNTIF(C$9:C3823,C3823))</f>
        <v/>
      </c>
    </row>
    <row r="3824" spans="2:2" x14ac:dyDescent="0.25">
      <c r="B3824" t="str">
        <f>IF(C3824="","",C3824&amp;COUNTIF(C$9:C3824,C3824))</f>
        <v/>
      </c>
    </row>
    <row r="3825" spans="2:2" x14ac:dyDescent="0.25">
      <c r="B3825" t="str">
        <f>IF(C3825="","",C3825&amp;COUNTIF(C$9:C3825,C3825))</f>
        <v/>
      </c>
    </row>
    <row r="3826" spans="2:2" x14ac:dyDescent="0.25">
      <c r="B3826" t="str">
        <f>IF(C3826="","",C3826&amp;COUNTIF(C$9:C3826,C3826))</f>
        <v/>
      </c>
    </row>
    <row r="3827" spans="2:2" x14ac:dyDescent="0.25">
      <c r="B3827" t="str">
        <f>IF(C3827="","",C3827&amp;COUNTIF(C$9:C3827,C3827))</f>
        <v/>
      </c>
    </row>
    <row r="3828" spans="2:2" x14ac:dyDescent="0.25">
      <c r="B3828" t="str">
        <f>IF(C3828="","",C3828&amp;COUNTIF(C$9:C3828,C3828))</f>
        <v/>
      </c>
    </row>
    <row r="3829" spans="2:2" x14ac:dyDescent="0.25">
      <c r="B3829" t="str">
        <f>IF(C3829="","",C3829&amp;COUNTIF(C$9:C3829,C3829))</f>
        <v/>
      </c>
    </row>
    <row r="3830" spans="2:2" x14ac:dyDescent="0.25">
      <c r="B3830" t="str">
        <f>IF(C3830="","",C3830&amp;COUNTIF(C$9:C3830,C3830))</f>
        <v/>
      </c>
    </row>
    <row r="3831" spans="2:2" x14ac:dyDescent="0.25">
      <c r="B3831" t="str">
        <f>IF(C3831="","",C3831&amp;COUNTIF(C$9:C3831,C3831))</f>
        <v/>
      </c>
    </row>
    <row r="3832" spans="2:2" x14ac:dyDescent="0.25">
      <c r="B3832" t="str">
        <f>IF(C3832="","",C3832&amp;COUNTIF(C$9:C3832,C3832))</f>
        <v/>
      </c>
    </row>
    <row r="3833" spans="2:2" x14ac:dyDescent="0.25">
      <c r="B3833" t="str">
        <f>IF(C3833="","",C3833&amp;COUNTIF(C$9:C3833,C3833))</f>
        <v/>
      </c>
    </row>
    <row r="3834" spans="2:2" x14ac:dyDescent="0.25">
      <c r="B3834" t="str">
        <f>IF(C3834="","",C3834&amp;COUNTIF(C$9:C3834,C3834))</f>
        <v/>
      </c>
    </row>
    <row r="3835" spans="2:2" x14ac:dyDescent="0.25">
      <c r="B3835" t="str">
        <f>IF(C3835="","",C3835&amp;COUNTIF(C$9:C3835,C3835))</f>
        <v/>
      </c>
    </row>
    <row r="3836" spans="2:2" x14ac:dyDescent="0.25">
      <c r="B3836" t="str">
        <f>IF(C3836="","",C3836&amp;COUNTIF(C$9:C3836,C3836))</f>
        <v/>
      </c>
    </row>
    <row r="3837" spans="2:2" x14ac:dyDescent="0.25">
      <c r="B3837" t="str">
        <f>IF(C3837="","",C3837&amp;COUNTIF(C$9:C3837,C3837))</f>
        <v/>
      </c>
    </row>
    <row r="3838" spans="2:2" x14ac:dyDescent="0.25">
      <c r="B3838" t="str">
        <f>IF(C3838="","",C3838&amp;COUNTIF(C$9:C3838,C3838))</f>
        <v/>
      </c>
    </row>
    <row r="3839" spans="2:2" x14ac:dyDescent="0.25">
      <c r="B3839" t="str">
        <f>IF(C3839="","",C3839&amp;COUNTIF(C$9:C3839,C3839))</f>
        <v/>
      </c>
    </row>
    <row r="3840" spans="2:2" x14ac:dyDescent="0.25">
      <c r="B3840" t="str">
        <f>IF(C3840="","",C3840&amp;COUNTIF(C$9:C3840,C3840))</f>
        <v/>
      </c>
    </row>
    <row r="3841" spans="2:2" x14ac:dyDescent="0.25">
      <c r="B3841" t="str">
        <f>IF(C3841="","",C3841&amp;COUNTIF(C$9:C3841,C3841))</f>
        <v/>
      </c>
    </row>
    <row r="3842" spans="2:2" x14ac:dyDescent="0.25">
      <c r="B3842" t="str">
        <f>IF(C3842="","",C3842&amp;COUNTIF(C$9:C3842,C3842))</f>
        <v/>
      </c>
    </row>
    <row r="3843" spans="2:2" x14ac:dyDescent="0.25">
      <c r="B3843" t="str">
        <f>IF(C3843="","",C3843&amp;COUNTIF(C$9:C3843,C3843))</f>
        <v/>
      </c>
    </row>
    <row r="3844" spans="2:2" x14ac:dyDescent="0.25">
      <c r="B3844" t="str">
        <f>IF(C3844="","",C3844&amp;COUNTIF(C$9:C3844,C3844))</f>
        <v/>
      </c>
    </row>
    <row r="3845" spans="2:2" x14ac:dyDescent="0.25">
      <c r="B3845" t="str">
        <f>IF(C3845="","",C3845&amp;COUNTIF(C$9:C3845,C3845))</f>
        <v/>
      </c>
    </row>
    <row r="3846" spans="2:2" x14ac:dyDescent="0.25">
      <c r="B3846" t="str">
        <f>IF(C3846="","",C3846&amp;COUNTIF(C$9:C3846,C3846))</f>
        <v/>
      </c>
    </row>
    <row r="3847" spans="2:2" x14ac:dyDescent="0.25">
      <c r="B3847" t="str">
        <f>IF(C3847="","",C3847&amp;COUNTIF(C$9:C3847,C3847))</f>
        <v/>
      </c>
    </row>
    <row r="3848" spans="2:2" x14ac:dyDescent="0.25">
      <c r="B3848" t="str">
        <f>IF(C3848="","",C3848&amp;COUNTIF(C$9:C3848,C3848))</f>
        <v/>
      </c>
    </row>
    <row r="3849" spans="2:2" x14ac:dyDescent="0.25">
      <c r="B3849" t="str">
        <f>IF(C3849="","",C3849&amp;COUNTIF(C$9:C3849,C3849))</f>
        <v/>
      </c>
    </row>
    <row r="3850" spans="2:2" x14ac:dyDescent="0.25">
      <c r="B3850" t="str">
        <f>IF(C3850="","",C3850&amp;COUNTIF(C$9:C3850,C3850))</f>
        <v/>
      </c>
    </row>
    <row r="3851" spans="2:2" x14ac:dyDescent="0.25">
      <c r="B3851" t="str">
        <f>IF(C3851="","",C3851&amp;COUNTIF(C$9:C3851,C3851))</f>
        <v/>
      </c>
    </row>
    <row r="3852" spans="2:2" x14ac:dyDescent="0.25">
      <c r="B3852" t="str">
        <f>IF(C3852="","",C3852&amp;COUNTIF(C$9:C3852,C3852))</f>
        <v/>
      </c>
    </row>
    <row r="3853" spans="2:2" x14ac:dyDescent="0.25">
      <c r="B3853" t="str">
        <f>IF(C3853="","",C3853&amp;COUNTIF(C$9:C3853,C3853))</f>
        <v/>
      </c>
    </row>
    <row r="3854" spans="2:2" x14ac:dyDescent="0.25">
      <c r="B3854" t="str">
        <f>IF(C3854="","",C3854&amp;COUNTIF(C$9:C3854,C3854))</f>
        <v/>
      </c>
    </row>
    <row r="3855" spans="2:2" x14ac:dyDescent="0.25">
      <c r="B3855" t="str">
        <f>IF(C3855="","",C3855&amp;COUNTIF(C$9:C3855,C3855))</f>
        <v/>
      </c>
    </row>
    <row r="3856" spans="2:2" x14ac:dyDescent="0.25">
      <c r="B3856" t="str">
        <f>IF(C3856="","",C3856&amp;COUNTIF(C$9:C3856,C3856))</f>
        <v/>
      </c>
    </row>
    <row r="3857" spans="2:2" x14ac:dyDescent="0.25">
      <c r="B3857" t="str">
        <f>IF(C3857="","",C3857&amp;COUNTIF(C$9:C3857,C3857))</f>
        <v/>
      </c>
    </row>
    <row r="3858" spans="2:2" x14ac:dyDescent="0.25">
      <c r="B3858" t="str">
        <f>IF(C3858="","",C3858&amp;COUNTIF(C$9:C3858,C3858))</f>
        <v/>
      </c>
    </row>
    <row r="3859" spans="2:2" x14ac:dyDescent="0.25">
      <c r="B3859" t="str">
        <f>IF(C3859="","",C3859&amp;COUNTIF(C$9:C3859,C3859))</f>
        <v/>
      </c>
    </row>
    <row r="3860" spans="2:2" x14ac:dyDescent="0.25">
      <c r="B3860" t="str">
        <f>IF(C3860="","",C3860&amp;COUNTIF(C$9:C3860,C3860))</f>
        <v/>
      </c>
    </row>
    <row r="3861" spans="2:2" x14ac:dyDescent="0.25">
      <c r="B3861" t="str">
        <f>IF(C3861="","",C3861&amp;COUNTIF(C$9:C3861,C3861))</f>
        <v/>
      </c>
    </row>
    <row r="3862" spans="2:2" x14ac:dyDescent="0.25">
      <c r="B3862" t="str">
        <f>IF(C3862="","",C3862&amp;COUNTIF(C$9:C3862,C3862))</f>
        <v/>
      </c>
    </row>
    <row r="3863" spans="2:2" x14ac:dyDescent="0.25">
      <c r="B3863" t="str">
        <f>IF(C3863="","",C3863&amp;COUNTIF(C$9:C3863,C3863))</f>
        <v/>
      </c>
    </row>
    <row r="3864" spans="2:2" x14ac:dyDescent="0.25">
      <c r="B3864" t="str">
        <f>IF(C3864="","",C3864&amp;COUNTIF(C$9:C3864,C3864))</f>
        <v/>
      </c>
    </row>
    <row r="3865" spans="2:2" x14ac:dyDescent="0.25">
      <c r="B3865" t="str">
        <f>IF(C3865="","",C3865&amp;COUNTIF(C$9:C3865,C3865))</f>
        <v/>
      </c>
    </row>
    <row r="3866" spans="2:2" x14ac:dyDescent="0.25">
      <c r="B3866" t="str">
        <f>IF(C3866="","",C3866&amp;COUNTIF(C$9:C3866,C3866))</f>
        <v/>
      </c>
    </row>
    <row r="3867" spans="2:2" x14ac:dyDescent="0.25">
      <c r="B3867" t="str">
        <f>IF(C3867="","",C3867&amp;COUNTIF(C$9:C3867,C3867))</f>
        <v/>
      </c>
    </row>
    <row r="3868" spans="2:2" x14ac:dyDescent="0.25">
      <c r="B3868" t="str">
        <f>IF(C3868="","",C3868&amp;COUNTIF(C$9:C3868,C3868))</f>
        <v/>
      </c>
    </row>
    <row r="3869" spans="2:2" x14ac:dyDescent="0.25">
      <c r="B3869" t="str">
        <f>IF(C3869="","",C3869&amp;COUNTIF(C$9:C3869,C3869))</f>
        <v/>
      </c>
    </row>
    <row r="3870" spans="2:2" x14ac:dyDescent="0.25">
      <c r="B3870" t="str">
        <f>IF(C3870="","",C3870&amp;COUNTIF(C$9:C3870,C3870))</f>
        <v/>
      </c>
    </row>
    <row r="3871" spans="2:2" x14ac:dyDescent="0.25">
      <c r="B3871" t="str">
        <f>IF(C3871="","",C3871&amp;COUNTIF(C$9:C3871,C3871))</f>
        <v/>
      </c>
    </row>
    <row r="3872" spans="2:2" x14ac:dyDescent="0.25">
      <c r="B3872" t="str">
        <f>IF(C3872="","",C3872&amp;COUNTIF(C$9:C3872,C3872))</f>
        <v/>
      </c>
    </row>
    <row r="3873" spans="2:2" x14ac:dyDescent="0.25">
      <c r="B3873" t="str">
        <f>IF(C3873="","",C3873&amp;COUNTIF(C$9:C3873,C3873))</f>
        <v/>
      </c>
    </row>
    <row r="3874" spans="2:2" x14ac:dyDescent="0.25">
      <c r="B3874" t="str">
        <f>IF(C3874="","",C3874&amp;COUNTIF(C$9:C3874,C3874))</f>
        <v/>
      </c>
    </row>
    <row r="3875" spans="2:2" x14ac:dyDescent="0.25">
      <c r="B3875" t="str">
        <f>IF(C3875="","",C3875&amp;COUNTIF(C$9:C3875,C3875))</f>
        <v/>
      </c>
    </row>
    <row r="3876" spans="2:2" x14ac:dyDescent="0.25">
      <c r="B3876" t="str">
        <f>IF(C3876="","",C3876&amp;COUNTIF(C$9:C3876,C3876))</f>
        <v/>
      </c>
    </row>
    <row r="3877" spans="2:2" x14ac:dyDescent="0.25">
      <c r="B3877" t="str">
        <f>IF(C3877="","",C3877&amp;COUNTIF(C$9:C3877,C3877))</f>
        <v/>
      </c>
    </row>
    <row r="3878" spans="2:2" x14ac:dyDescent="0.25">
      <c r="B3878" t="str">
        <f>IF(C3878="","",C3878&amp;COUNTIF(C$9:C3878,C3878))</f>
        <v/>
      </c>
    </row>
    <row r="3879" spans="2:2" x14ac:dyDescent="0.25">
      <c r="B3879" t="str">
        <f>IF(C3879="","",C3879&amp;COUNTIF(C$9:C3879,C3879))</f>
        <v/>
      </c>
    </row>
    <row r="3880" spans="2:2" x14ac:dyDescent="0.25">
      <c r="B3880" t="str">
        <f>IF(C3880="","",C3880&amp;COUNTIF(C$9:C3880,C3880))</f>
        <v/>
      </c>
    </row>
    <row r="3881" spans="2:2" x14ac:dyDescent="0.25">
      <c r="B3881" t="str">
        <f>IF(C3881="","",C3881&amp;COUNTIF(C$9:C3881,C3881))</f>
        <v/>
      </c>
    </row>
    <row r="3882" spans="2:2" x14ac:dyDescent="0.25">
      <c r="B3882" t="str">
        <f>IF(C3882="","",C3882&amp;COUNTIF(C$9:C3882,C3882))</f>
        <v/>
      </c>
    </row>
    <row r="3883" spans="2:2" x14ac:dyDescent="0.25">
      <c r="B3883" t="str">
        <f>IF(C3883="","",C3883&amp;COUNTIF(C$9:C3883,C3883))</f>
        <v/>
      </c>
    </row>
    <row r="3884" spans="2:2" x14ac:dyDescent="0.25">
      <c r="B3884" t="str">
        <f>IF(C3884="","",C3884&amp;COUNTIF(C$9:C3884,C3884))</f>
        <v/>
      </c>
    </row>
    <row r="3885" spans="2:2" x14ac:dyDescent="0.25">
      <c r="B3885" t="str">
        <f>IF(C3885="","",C3885&amp;COUNTIF(C$9:C3885,C3885))</f>
        <v/>
      </c>
    </row>
    <row r="3886" spans="2:2" x14ac:dyDescent="0.25">
      <c r="B3886" t="str">
        <f>IF(C3886="","",C3886&amp;COUNTIF(C$9:C3886,C3886))</f>
        <v/>
      </c>
    </row>
    <row r="3887" spans="2:2" x14ac:dyDescent="0.25">
      <c r="B3887" t="str">
        <f>IF(C3887="","",C3887&amp;COUNTIF(C$9:C3887,C3887))</f>
        <v/>
      </c>
    </row>
    <row r="3888" spans="2:2" x14ac:dyDescent="0.25">
      <c r="B3888" t="str">
        <f>IF(C3888="","",C3888&amp;COUNTIF(C$9:C3888,C3888))</f>
        <v/>
      </c>
    </row>
    <row r="3889" spans="2:2" x14ac:dyDescent="0.25">
      <c r="B3889" t="str">
        <f>IF(C3889="","",C3889&amp;COUNTIF(C$9:C3889,C3889))</f>
        <v/>
      </c>
    </row>
    <row r="3890" spans="2:2" x14ac:dyDescent="0.25">
      <c r="B3890" t="str">
        <f>IF(C3890="","",C3890&amp;COUNTIF(C$9:C3890,C3890))</f>
        <v/>
      </c>
    </row>
    <row r="3891" spans="2:2" x14ac:dyDescent="0.25">
      <c r="B3891" t="str">
        <f>IF(C3891="","",C3891&amp;COUNTIF(C$9:C3891,C3891))</f>
        <v/>
      </c>
    </row>
    <row r="3892" spans="2:2" x14ac:dyDescent="0.25">
      <c r="B3892" t="str">
        <f>IF(C3892="","",C3892&amp;COUNTIF(C$9:C3892,C3892))</f>
        <v/>
      </c>
    </row>
    <row r="3893" spans="2:2" x14ac:dyDescent="0.25">
      <c r="B3893" t="str">
        <f>IF(C3893="","",C3893&amp;COUNTIF(C$9:C3893,C3893))</f>
        <v/>
      </c>
    </row>
    <row r="3894" spans="2:2" x14ac:dyDescent="0.25">
      <c r="B3894" t="str">
        <f>IF(C3894="","",C3894&amp;COUNTIF(C$9:C3894,C3894))</f>
        <v/>
      </c>
    </row>
    <row r="3895" spans="2:2" x14ac:dyDescent="0.25">
      <c r="B3895" t="str">
        <f>IF(C3895="","",C3895&amp;COUNTIF(C$9:C3895,C3895))</f>
        <v/>
      </c>
    </row>
    <row r="3896" spans="2:2" x14ac:dyDescent="0.25">
      <c r="B3896" t="str">
        <f>IF(C3896="","",C3896&amp;COUNTIF(C$9:C3896,C3896))</f>
        <v/>
      </c>
    </row>
    <row r="3897" spans="2:2" x14ac:dyDescent="0.25">
      <c r="B3897" t="str">
        <f>IF(C3897="","",C3897&amp;COUNTIF(C$9:C3897,C3897))</f>
        <v/>
      </c>
    </row>
    <row r="3898" spans="2:2" x14ac:dyDescent="0.25">
      <c r="B3898" t="str">
        <f>IF(C3898="","",C3898&amp;COUNTIF(C$9:C3898,C3898))</f>
        <v/>
      </c>
    </row>
    <row r="3899" spans="2:2" x14ac:dyDescent="0.25">
      <c r="B3899" t="str">
        <f>IF(C3899="","",C3899&amp;COUNTIF(C$9:C3899,C3899))</f>
        <v/>
      </c>
    </row>
    <row r="3900" spans="2:2" x14ac:dyDescent="0.25">
      <c r="B3900" t="str">
        <f>IF(C3900="","",C3900&amp;COUNTIF(C$9:C3900,C3900))</f>
        <v/>
      </c>
    </row>
    <row r="3901" spans="2:2" x14ac:dyDescent="0.25">
      <c r="B3901" t="str">
        <f>IF(C3901="","",C3901&amp;COUNTIF(C$9:C3901,C3901))</f>
        <v/>
      </c>
    </row>
    <row r="3902" spans="2:2" x14ac:dyDescent="0.25">
      <c r="B3902" t="str">
        <f>IF(C3902="","",C3902&amp;COUNTIF(C$9:C3902,C3902))</f>
        <v/>
      </c>
    </row>
    <row r="3903" spans="2:2" x14ac:dyDescent="0.25">
      <c r="B3903" t="str">
        <f>IF(C3903="","",C3903&amp;COUNTIF(C$9:C3903,C3903))</f>
        <v/>
      </c>
    </row>
    <row r="3904" spans="2:2" x14ac:dyDescent="0.25">
      <c r="B3904" t="str">
        <f>IF(C3904="","",C3904&amp;COUNTIF(C$9:C3904,C3904))</f>
        <v/>
      </c>
    </row>
    <row r="3905" spans="2:2" x14ac:dyDescent="0.25">
      <c r="B3905" t="str">
        <f>IF(C3905="","",C3905&amp;COUNTIF(C$9:C3905,C3905))</f>
        <v/>
      </c>
    </row>
    <row r="3906" spans="2:2" x14ac:dyDescent="0.25">
      <c r="B3906" t="str">
        <f>IF(C3906="","",C3906&amp;COUNTIF(C$9:C3906,C3906))</f>
        <v/>
      </c>
    </row>
    <row r="3907" spans="2:2" x14ac:dyDescent="0.25">
      <c r="B3907" t="str">
        <f>IF(C3907="","",C3907&amp;COUNTIF(C$9:C3907,C3907))</f>
        <v/>
      </c>
    </row>
    <row r="3908" spans="2:2" x14ac:dyDescent="0.25">
      <c r="B3908" t="str">
        <f>IF(C3908="","",C3908&amp;COUNTIF(C$9:C3908,C3908))</f>
        <v/>
      </c>
    </row>
    <row r="3909" spans="2:2" x14ac:dyDescent="0.25">
      <c r="B3909" t="str">
        <f>IF(C3909="","",C3909&amp;COUNTIF(C$9:C3909,C3909))</f>
        <v/>
      </c>
    </row>
    <row r="3910" spans="2:2" x14ac:dyDescent="0.25">
      <c r="B3910" t="str">
        <f>IF(C3910="","",C3910&amp;COUNTIF(C$9:C3910,C3910))</f>
        <v/>
      </c>
    </row>
    <row r="3911" spans="2:2" x14ac:dyDescent="0.25">
      <c r="B3911" t="str">
        <f>IF(C3911="","",C3911&amp;COUNTIF(C$9:C3911,C3911))</f>
        <v/>
      </c>
    </row>
    <row r="3912" spans="2:2" x14ac:dyDescent="0.25">
      <c r="B3912" t="str">
        <f>IF(C3912="","",C3912&amp;COUNTIF(C$9:C3912,C3912))</f>
        <v/>
      </c>
    </row>
    <row r="3913" spans="2:2" x14ac:dyDescent="0.25">
      <c r="B3913" t="str">
        <f>IF(C3913="","",C3913&amp;COUNTIF(C$9:C3913,C3913))</f>
        <v/>
      </c>
    </row>
    <row r="3914" spans="2:2" x14ac:dyDescent="0.25">
      <c r="B3914" t="str">
        <f>IF(C3914="","",C3914&amp;COUNTIF(C$9:C3914,C3914))</f>
        <v/>
      </c>
    </row>
    <row r="3915" spans="2:2" x14ac:dyDescent="0.25">
      <c r="B3915" t="str">
        <f>IF(C3915="","",C3915&amp;COUNTIF(C$9:C3915,C3915))</f>
        <v/>
      </c>
    </row>
    <row r="3916" spans="2:2" x14ac:dyDescent="0.25">
      <c r="B3916" t="str">
        <f>IF(C3916="","",C3916&amp;COUNTIF(C$9:C3916,C3916))</f>
        <v/>
      </c>
    </row>
    <row r="3917" spans="2:2" x14ac:dyDescent="0.25">
      <c r="B3917" t="str">
        <f>IF(C3917="","",C3917&amp;COUNTIF(C$9:C3917,C3917))</f>
        <v/>
      </c>
    </row>
    <row r="3918" spans="2:2" x14ac:dyDescent="0.25">
      <c r="B3918" t="str">
        <f>IF(C3918="","",C3918&amp;COUNTIF(C$9:C3918,C3918))</f>
        <v/>
      </c>
    </row>
    <row r="3919" spans="2:2" x14ac:dyDescent="0.25">
      <c r="B3919" t="str">
        <f>IF(C3919="","",C3919&amp;COUNTIF(C$9:C3919,C3919))</f>
        <v/>
      </c>
    </row>
    <row r="3920" spans="2:2" x14ac:dyDescent="0.25">
      <c r="B3920" t="str">
        <f>IF(C3920="","",C3920&amp;COUNTIF(C$9:C3920,C3920))</f>
        <v/>
      </c>
    </row>
    <row r="3921" spans="2:2" x14ac:dyDescent="0.25">
      <c r="B3921" t="str">
        <f>IF(C3921="","",C3921&amp;COUNTIF(C$9:C3921,C3921))</f>
        <v/>
      </c>
    </row>
    <row r="3922" spans="2:2" x14ac:dyDescent="0.25">
      <c r="B3922" t="str">
        <f>IF(C3922="","",C3922&amp;COUNTIF(C$9:C3922,C3922))</f>
        <v/>
      </c>
    </row>
    <row r="3923" spans="2:2" x14ac:dyDescent="0.25">
      <c r="B3923" t="str">
        <f>IF(C3923="","",C3923&amp;COUNTIF(C$9:C3923,C3923))</f>
        <v/>
      </c>
    </row>
    <row r="3924" spans="2:2" x14ac:dyDescent="0.25">
      <c r="B3924" t="str">
        <f>IF(C3924="","",C3924&amp;COUNTIF(C$9:C3924,C3924))</f>
        <v/>
      </c>
    </row>
    <row r="3925" spans="2:2" x14ac:dyDescent="0.25">
      <c r="B3925" t="str">
        <f>IF(C3925="","",C3925&amp;COUNTIF(C$9:C3925,C3925))</f>
        <v/>
      </c>
    </row>
    <row r="3926" spans="2:2" x14ac:dyDescent="0.25">
      <c r="B3926" t="str">
        <f>IF(C3926="","",C3926&amp;COUNTIF(C$9:C3926,C3926))</f>
        <v/>
      </c>
    </row>
    <row r="3927" spans="2:2" x14ac:dyDescent="0.25">
      <c r="B3927" t="str">
        <f>IF(C3927="","",C3927&amp;COUNTIF(C$9:C3927,C3927))</f>
        <v/>
      </c>
    </row>
    <row r="3928" spans="2:2" x14ac:dyDescent="0.25">
      <c r="B3928" t="str">
        <f>IF(C3928="","",C3928&amp;COUNTIF(C$9:C3928,C3928))</f>
        <v/>
      </c>
    </row>
    <row r="3929" spans="2:2" x14ac:dyDescent="0.25">
      <c r="B3929" t="str">
        <f>IF(C3929="","",C3929&amp;COUNTIF(C$9:C3929,C3929))</f>
        <v/>
      </c>
    </row>
    <row r="3930" spans="2:2" x14ac:dyDescent="0.25">
      <c r="B3930" t="str">
        <f>IF(C3930="","",C3930&amp;COUNTIF(C$9:C3930,C3930))</f>
        <v/>
      </c>
    </row>
    <row r="3931" spans="2:2" x14ac:dyDescent="0.25">
      <c r="B3931" t="str">
        <f>IF(C3931="","",C3931&amp;COUNTIF(C$9:C3931,C3931))</f>
        <v/>
      </c>
    </row>
    <row r="3932" spans="2:2" x14ac:dyDescent="0.25">
      <c r="B3932" t="str">
        <f>IF(C3932="","",C3932&amp;COUNTIF(C$9:C3932,C3932))</f>
        <v/>
      </c>
    </row>
    <row r="3933" spans="2:2" x14ac:dyDescent="0.25">
      <c r="B3933" t="str">
        <f>IF(C3933="","",C3933&amp;COUNTIF(C$9:C3933,C3933))</f>
        <v/>
      </c>
    </row>
    <row r="3934" spans="2:2" x14ac:dyDescent="0.25">
      <c r="B3934" t="str">
        <f>IF(C3934="","",C3934&amp;COUNTIF(C$9:C3934,C3934))</f>
        <v/>
      </c>
    </row>
    <row r="3935" spans="2:2" x14ac:dyDescent="0.25">
      <c r="B3935" t="str">
        <f>IF(C3935="","",C3935&amp;COUNTIF(C$9:C3935,C3935))</f>
        <v/>
      </c>
    </row>
    <row r="3936" spans="2:2" x14ac:dyDescent="0.25">
      <c r="B3936" t="str">
        <f>IF(C3936="","",C3936&amp;COUNTIF(C$9:C3936,C3936))</f>
        <v/>
      </c>
    </row>
    <row r="3937" spans="2:2" x14ac:dyDescent="0.25">
      <c r="B3937" t="str">
        <f>IF(C3937="","",C3937&amp;COUNTIF(C$9:C3937,C3937))</f>
        <v/>
      </c>
    </row>
    <row r="3938" spans="2:2" x14ac:dyDescent="0.25">
      <c r="B3938" t="str">
        <f>IF(C3938="","",C3938&amp;COUNTIF(C$9:C3938,C3938))</f>
        <v/>
      </c>
    </row>
    <row r="3939" spans="2:2" x14ac:dyDescent="0.25">
      <c r="B3939" t="str">
        <f>IF(C3939="","",C3939&amp;COUNTIF(C$9:C3939,C3939))</f>
        <v/>
      </c>
    </row>
    <row r="3940" spans="2:2" x14ac:dyDescent="0.25">
      <c r="B3940" t="str">
        <f>IF(C3940="","",C3940&amp;COUNTIF(C$9:C3940,C3940))</f>
        <v/>
      </c>
    </row>
    <row r="3941" spans="2:2" x14ac:dyDescent="0.25">
      <c r="B3941" t="str">
        <f>IF(C3941="","",C3941&amp;COUNTIF(C$9:C3941,C3941))</f>
        <v/>
      </c>
    </row>
    <row r="3942" spans="2:2" x14ac:dyDescent="0.25">
      <c r="B3942" t="str">
        <f>IF(C3942="","",C3942&amp;COUNTIF(C$9:C3942,C3942))</f>
        <v/>
      </c>
    </row>
    <row r="3943" spans="2:2" x14ac:dyDescent="0.25">
      <c r="B3943" t="str">
        <f>IF(C3943="","",C3943&amp;COUNTIF(C$9:C3943,C3943))</f>
        <v/>
      </c>
    </row>
    <row r="3944" spans="2:2" x14ac:dyDescent="0.25">
      <c r="B3944" t="str">
        <f>IF(C3944="","",C3944&amp;COUNTIF(C$9:C3944,C3944))</f>
        <v/>
      </c>
    </row>
    <row r="3945" spans="2:2" x14ac:dyDescent="0.25">
      <c r="B3945" t="str">
        <f>IF(C3945="","",C3945&amp;COUNTIF(C$9:C3945,C3945))</f>
        <v/>
      </c>
    </row>
    <row r="3946" spans="2:2" x14ac:dyDescent="0.25">
      <c r="B3946" t="str">
        <f>IF(C3946="","",C3946&amp;COUNTIF(C$9:C3946,C3946))</f>
        <v/>
      </c>
    </row>
    <row r="3947" spans="2:2" x14ac:dyDescent="0.25">
      <c r="B3947" t="str">
        <f>IF(C3947="","",C3947&amp;COUNTIF(C$9:C3947,C3947))</f>
        <v/>
      </c>
    </row>
    <row r="3948" spans="2:2" x14ac:dyDescent="0.25">
      <c r="B3948" t="str">
        <f>IF(C3948="","",C3948&amp;COUNTIF(C$9:C3948,C3948))</f>
        <v/>
      </c>
    </row>
    <row r="3949" spans="2:2" x14ac:dyDescent="0.25">
      <c r="B3949" t="str">
        <f>IF(C3949="","",C3949&amp;COUNTIF(C$9:C3949,C3949))</f>
        <v/>
      </c>
    </row>
    <row r="3950" spans="2:2" x14ac:dyDescent="0.25">
      <c r="B3950" t="str">
        <f>IF(C3950="","",C3950&amp;COUNTIF(C$9:C3950,C3950))</f>
        <v/>
      </c>
    </row>
    <row r="3951" spans="2:2" x14ac:dyDescent="0.25">
      <c r="B3951" t="str">
        <f>IF(C3951="","",C3951&amp;COUNTIF(C$9:C3951,C3951))</f>
        <v/>
      </c>
    </row>
    <row r="3952" spans="2:2" x14ac:dyDescent="0.25">
      <c r="B3952" t="str">
        <f>IF(C3952="","",C3952&amp;COUNTIF(C$9:C3952,C3952))</f>
        <v/>
      </c>
    </row>
    <row r="3953" spans="2:2" x14ac:dyDescent="0.25">
      <c r="B3953" t="str">
        <f>IF(C3953="","",C3953&amp;COUNTIF(C$9:C3953,C3953))</f>
        <v/>
      </c>
    </row>
    <row r="3954" spans="2:2" x14ac:dyDescent="0.25">
      <c r="B3954" t="str">
        <f>IF(C3954="","",C3954&amp;COUNTIF(C$9:C3954,C3954))</f>
        <v/>
      </c>
    </row>
    <row r="3955" spans="2:2" x14ac:dyDescent="0.25">
      <c r="B3955" t="str">
        <f>IF(C3955="","",C3955&amp;COUNTIF(C$9:C3955,C3955))</f>
        <v/>
      </c>
    </row>
    <row r="3956" spans="2:2" x14ac:dyDescent="0.25">
      <c r="B3956" t="str">
        <f>IF(C3956="","",C3956&amp;COUNTIF(C$9:C3956,C3956))</f>
        <v/>
      </c>
    </row>
    <row r="3957" spans="2:2" x14ac:dyDescent="0.25">
      <c r="B3957" t="str">
        <f>IF(C3957="","",C3957&amp;COUNTIF(C$9:C3957,C3957))</f>
        <v/>
      </c>
    </row>
    <row r="3958" spans="2:2" x14ac:dyDescent="0.25">
      <c r="B3958" t="str">
        <f>IF(C3958="","",C3958&amp;COUNTIF(C$9:C3958,C3958))</f>
        <v/>
      </c>
    </row>
    <row r="3959" spans="2:2" x14ac:dyDescent="0.25">
      <c r="B3959" t="str">
        <f>IF(C3959="","",C3959&amp;COUNTIF(C$9:C3959,C3959))</f>
        <v/>
      </c>
    </row>
    <row r="3960" spans="2:2" x14ac:dyDescent="0.25">
      <c r="B3960" t="str">
        <f>IF(C3960="","",C3960&amp;COUNTIF(C$9:C3960,C3960))</f>
        <v/>
      </c>
    </row>
    <row r="3961" spans="2:2" x14ac:dyDescent="0.25">
      <c r="B3961" t="str">
        <f>IF(C3961="","",C3961&amp;COUNTIF(C$9:C3961,C3961))</f>
        <v/>
      </c>
    </row>
    <row r="3962" spans="2:2" x14ac:dyDescent="0.25">
      <c r="B3962" t="str">
        <f>IF(C3962="","",C3962&amp;COUNTIF(C$9:C3962,C3962))</f>
        <v/>
      </c>
    </row>
    <row r="3963" spans="2:2" x14ac:dyDescent="0.25">
      <c r="B3963" t="str">
        <f>IF(C3963="","",C3963&amp;COUNTIF(C$9:C3963,C3963))</f>
        <v/>
      </c>
    </row>
    <row r="3964" spans="2:2" x14ac:dyDescent="0.25">
      <c r="B3964" t="str">
        <f>IF(C3964="","",C3964&amp;COUNTIF(C$9:C3964,C3964))</f>
        <v/>
      </c>
    </row>
    <row r="3965" spans="2:2" x14ac:dyDescent="0.25">
      <c r="B3965" t="str">
        <f>IF(C3965="","",C3965&amp;COUNTIF(C$9:C3965,C3965))</f>
        <v/>
      </c>
    </row>
    <row r="3966" spans="2:2" x14ac:dyDescent="0.25">
      <c r="B3966" t="str">
        <f>IF(C3966="","",C3966&amp;COUNTIF(C$9:C3966,C3966))</f>
        <v/>
      </c>
    </row>
    <row r="3967" spans="2:2" x14ac:dyDescent="0.25">
      <c r="B3967" t="str">
        <f>IF(C3967="","",C3967&amp;COUNTIF(C$9:C3967,C3967))</f>
        <v/>
      </c>
    </row>
    <row r="3968" spans="2:2" x14ac:dyDescent="0.25">
      <c r="B3968" t="str">
        <f>IF(C3968="","",C3968&amp;COUNTIF(C$9:C3968,C3968))</f>
        <v/>
      </c>
    </row>
    <row r="3969" spans="2:2" x14ac:dyDescent="0.25">
      <c r="B3969" t="str">
        <f>IF(C3969="","",C3969&amp;COUNTIF(C$9:C3969,C3969))</f>
        <v/>
      </c>
    </row>
    <row r="3970" spans="2:2" x14ac:dyDescent="0.25">
      <c r="B3970" t="str">
        <f>IF(C3970="","",C3970&amp;COUNTIF(C$9:C3970,C3970))</f>
        <v/>
      </c>
    </row>
    <row r="3971" spans="2:2" x14ac:dyDescent="0.25">
      <c r="B3971" t="str">
        <f>IF(C3971="","",C3971&amp;COUNTIF(C$9:C3971,C3971))</f>
        <v/>
      </c>
    </row>
    <row r="3972" spans="2:2" x14ac:dyDescent="0.25">
      <c r="B3972" t="str">
        <f>IF(C3972="","",C3972&amp;COUNTIF(C$9:C3972,C3972))</f>
        <v/>
      </c>
    </row>
    <row r="3973" spans="2:2" x14ac:dyDescent="0.25">
      <c r="B3973" t="str">
        <f>IF(C3973="","",C3973&amp;COUNTIF(C$9:C3973,C3973))</f>
        <v/>
      </c>
    </row>
    <row r="3974" spans="2:2" x14ac:dyDescent="0.25">
      <c r="B3974" t="str">
        <f>IF(C3974="","",C3974&amp;COUNTIF(C$9:C3974,C3974))</f>
        <v/>
      </c>
    </row>
    <row r="3975" spans="2:2" x14ac:dyDescent="0.25">
      <c r="B3975" t="str">
        <f>IF(C3975="","",C3975&amp;COUNTIF(C$9:C3975,C3975))</f>
        <v/>
      </c>
    </row>
    <row r="3976" spans="2:2" x14ac:dyDescent="0.25">
      <c r="B3976" t="str">
        <f>IF(C3976="","",C3976&amp;COUNTIF(C$9:C3976,C3976))</f>
        <v/>
      </c>
    </row>
    <row r="3977" spans="2:2" x14ac:dyDescent="0.25">
      <c r="B3977" t="str">
        <f>IF(C3977="","",C3977&amp;COUNTIF(C$9:C3977,C3977))</f>
        <v/>
      </c>
    </row>
    <row r="3978" spans="2:2" x14ac:dyDescent="0.25">
      <c r="B3978" t="str">
        <f>IF(C3978="","",C3978&amp;COUNTIF(C$9:C3978,C3978))</f>
        <v/>
      </c>
    </row>
    <row r="3979" spans="2:2" x14ac:dyDescent="0.25">
      <c r="B3979" t="str">
        <f>IF(C3979="","",C3979&amp;COUNTIF(C$9:C3979,C3979))</f>
        <v/>
      </c>
    </row>
    <row r="3980" spans="2:2" x14ac:dyDescent="0.25">
      <c r="B3980" t="str">
        <f>IF(C3980="","",C3980&amp;COUNTIF(C$9:C3980,C3980))</f>
        <v/>
      </c>
    </row>
    <row r="3981" spans="2:2" x14ac:dyDescent="0.25">
      <c r="B3981" t="str">
        <f>IF(C3981="","",C3981&amp;COUNTIF(C$9:C3981,C3981))</f>
        <v/>
      </c>
    </row>
    <row r="3982" spans="2:2" x14ac:dyDescent="0.25">
      <c r="B3982" t="str">
        <f>IF(C3982="","",C3982&amp;COUNTIF(C$9:C3982,C3982))</f>
        <v/>
      </c>
    </row>
    <row r="3983" spans="2:2" x14ac:dyDescent="0.25">
      <c r="B3983" t="str">
        <f>IF(C3983="","",C3983&amp;COUNTIF(C$9:C3983,C3983))</f>
        <v/>
      </c>
    </row>
    <row r="3984" spans="2:2" x14ac:dyDescent="0.25">
      <c r="B3984" t="str">
        <f>IF(C3984="","",C3984&amp;COUNTIF(C$9:C3984,C3984))</f>
        <v/>
      </c>
    </row>
    <row r="3985" spans="2:2" x14ac:dyDescent="0.25">
      <c r="B3985" t="str">
        <f>IF(C3985="","",C3985&amp;COUNTIF(C$9:C3985,C3985))</f>
        <v/>
      </c>
    </row>
    <row r="3986" spans="2:2" x14ac:dyDescent="0.25">
      <c r="B3986" t="str">
        <f>IF(C3986="","",C3986&amp;COUNTIF(C$9:C3986,C3986))</f>
        <v/>
      </c>
    </row>
    <row r="3987" spans="2:2" x14ac:dyDescent="0.25">
      <c r="B3987" t="str">
        <f>IF(C3987="","",C3987&amp;COUNTIF(C$9:C3987,C3987))</f>
        <v/>
      </c>
    </row>
    <row r="3988" spans="2:2" x14ac:dyDescent="0.25">
      <c r="B3988" t="str">
        <f>IF(C3988="","",C3988&amp;COUNTIF(C$9:C3988,C3988))</f>
        <v/>
      </c>
    </row>
    <row r="3989" spans="2:2" x14ac:dyDescent="0.25">
      <c r="B3989" t="str">
        <f>IF(C3989="","",C3989&amp;COUNTIF(C$9:C3989,C3989))</f>
        <v/>
      </c>
    </row>
    <row r="3990" spans="2:2" x14ac:dyDescent="0.25">
      <c r="B3990" t="str">
        <f>IF(C3990="","",C3990&amp;COUNTIF(C$9:C3990,C3990))</f>
        <v/>
      </c>
    </row>
    <row r="3991" spans="2:2" x14ac:dyDescent="0.25">
      <c r="B3991" t="str">
        <f>IF(C3991="","",C3991&amp;COUNTIF(C$9:C3991,C3991))</f>
        <v/>
      </c>
    </row>
    <row r="3992" spans="2:2" x14ac:dyDescent="0.25">
      <c r="B3992" t="str">
        <f>IF(C3992="","",C3992&amp;COUNTIF(C$9:C3992,C3992))</f>
        <v/>
      </c>
    </row>
    <row r="3993" spans="2:2" x14ac:dyDescent="0.25">
      <c r="B3993" t="str">
        <f>IF(C3993="","",C3993&amp;COUNTIF(C$9:C3993,C3993))</f>
        <v/>
      </c>
    </row>
    <row r="3994" spans="2:2" x14ac:dyDescent="0.25">
      <c r="B3994" t="str">
        <f>IF(C3994="","",C3994&amp;COUNTIF(C$9:C3994,C3994))</f>
        <v/>
      </c>
    </row>
    <row r="3995" spans="2:2" x14ac:dyDescent="0.25">
      <c r="B3995" t="str">
        <f>IF(C3995="","",C3995&amp;COUNTIF(C$9:C3995,C3995))</f>
        <v/>
      </c>
    </row>
    <row r="3996" spans="2:2" x14ac:dyDescent="0.25">
      <c r="B3996" t="str">
        <f>IF(C3996="","",C3996&amp;COUNTIF(C$9:C3996,C3996))</f>
        <v/>
      </c>
    </row>
    <row r="3997" spans="2:2" x14ac:dyDescent="0.25">
      <c r="B3997" t="str">
        <f>IF(C3997="","",C3997&amp;COUNTIF(C$9:C3997,C3997))</f>
        <v/>
      </c>
    </row>
    <row r="3998" spans="2:2" x14ac:dyDescent="0.25">
      <c r="B3998" t="str">
        <f>IF(C3998="","",C3998&amp;COUNTIF(C$9:C3998,C3998))</f>
        <v/>
      </c>
    </row>
    <row r="3999" spans="2:2" x14ac:dyDescent="0.25">
      <c r="B3999" t="str">
        <f>IF(C3999="","",C3999&amp;COUNTIF(C$9:C3999,C3999))</f>
        <v/>
      </c>
    </row>
    <row r="4000" spans="2:2" x14ac:dyDescent="0.25">
      <c r="B4000" t="str">
        <f>IF(C4000="","",C4000&amp;COUNTIF(C$9:C4000,C4000))</f>
        <v/>
      </c>
    </row>
    <row r="4001" spans="2:2" x14ac:dyDescent="0.25">
      <c r="B4001" t="str">
        <f>IF(C4001="","",C4001&amp;COUNTIF(C$9:C4001,C4001))</f>
        <v/>
      </c>
    </row>
    <row r="4002" spans="2:2" x14ac:dyDescent="0.25">
      <c r="B4002" t="str">
        <f>IF(C4002="","",C4002&amp;COUNTIF(C$9:C4002,C4002))</f>
        <v/>
      </c>
    </row>
    <row r="4003" spans="2:2" x14ac:dyDescent="0.25">
      <c r="B4003" t="str">
        <f>IF(C4003="","",C4003&amp;COUNTIF(C$9:C4003,C4003))</f>
        <v/>
      </c>
    </row>
    <row r="4004" spans="2:2" x14ac:dyDescent="0.25">
      <c r="B4004" t="str">
        <f>IF(C4004="","",C4004&amp;COUNTIF(C$9:C4004,C4004))</f>
        <v/>
      </c>
    </row>
    <row r="4005" spans="2:2" x14ac:dyDescent="0.25">
      <c r="B4005" t="str">
        <f>IF(C4005="","",C4005&amp;COUNTIF(C$9:C4005,C4005))</f>
        <v/>
      </c>
    </row>
    <row r="4006" spans="2:2" x14ac:dyDescent="0.25">
      <c r="B4006" t="str">
        <f>IF(C4006="","",C4006&amp;COUNTIF(C$9:C4006,C4006))</f>
        <v/>
      </c>
    </row>
    <row r="4007" spans="2:2" x14ac:dyDescent="0.25">
      <c r="B4007" t="str">
        <f>IF(C4007="","",C4007&amp;COUNTIF(C$9:C4007,C4007))</f>
        <v/>
      </c>
    </row>
    <row r="4008" spans="2:2" x14ac:dyDescent="0.25">
      <c r="B4008" t="str">
        <f>IF(C4008="","",C4008&amp;COUNTIF(C$9:C4008,C4008))</f>
        <v/>
      </c>
    </row>
    <row r="4009" spans="2:2" x14ac:dyDescent="0.25">
      <c r="B4009" t="str">
        <f>IF(C4009="","",C4009&amp;COUNTIF(C$9:C4009,C4009))</f>
        <v/>
      </c>
    </row>
    <row r="4010" spans="2:2" x14ac:dyDescent="0.25">
      <c r="B4010" t="str">
        <f>IF(C4010="","",C4010&amp;COUNTIF(C$9:C4010,C4010))</f>
        <v/>
      </c>
    </row>
    <row r="4011" spans="2:2" x14ac:dyDescent="0.25">
      <c r="B4011" t="str">
        <f>IF(C4011="","",C4011&amp;COUNTIF(C$9:C4011,C4011))</f>
        <v/>
      </c>
    </row>
    <row r="4012" spans="2:2" x14ac:dyDescent="0.25">
      <c r="B4012" t="str">
        <f>IF(C4012="","",C4012&amp;COUNTIF(C$9:C4012,C4012))</f>
        <v/>
      </c>
    </row>
    <row r="4013" spans="2:2" x14ac:dyDescent="0.25">
      <c r="B4013" t="str">
        <f>IF(C4013="","",C4013&amp;COUNTIF(C$9:C4013,C4013))</f>
        <v/>
      </c>
    </row>
    <row r="4014" spans="2:2" x14ac:dyDescent="0.25">
      <c r="B4014" t="str">
        <f>IF(C4014="","",C4014&amp;COUNTIF(C$9:C4014,C4014))</f>
        <v/>
      </c>
    </row>
    <row r="4015" spans="2:2" x14ac:dyDescent="0.25">
      <c r="B4015" t="str">
        <f>IF(C4015="","",C4015&amp;COUNTIF(C$9:C4015,C4015))</f>
        <v/>
      </c>
    </row>
    <row r="4016" spans="2:2" x14ac:dyDescent="0.25">
      <c r="B4016" t="str">
        <f>IF(C4016="","",C4016&amp;COUNTIF(C$9:C4016,C4016))</f>
        <v/>
      </c>
    </row>
    <row r="4017" spans="2:2" x14ac:dyDescent="0.25">
      <c r="B4017" t="str">
        <f>IF(C4017="","",C4017&amp;COUNTIF(C$9:C4017,C4017))</f>
        <v/>
      </c>
    </row>
    <row r="4018" spans="2:2" x14ac:dyDescent="0.25">
      <c r="B4018" t="str">
        <f>IF(C4018="","",C4018&amp;COUNTIF(C$9:C4018,C4018))</f>
        <v/>
      </c>
    </row>
    <row r="4019" spans="2:2" x14ac:dyDescent="0.25">
      <c r="B4019" t="str">
        <f>IF(C4019="","",C4019&amp;COUNTIF(C$9:C4019,C4019))</f>
        <v/>
      </c>
    </row>
    <row r="4020" spans="2:2" x14ac:dyDescent="0.25">
      <c r="B4020" t="str">
        <f>IF(C4020="","",C4020&amp;COUNTIF(C$9:C4020,C4020))</f>
        <v/>
      </c>
    </row>
    <row r="4021" spans="2:2" x14ac:dyDescent="0.25">
      <c r="B4021" t="str">
        <f>IF(C4021="","",C4021&amp;COUNTIF(C$9:C4021,C4021))</f>
        <v/>
      </c>
    </row>
    <row r="4022" spans="2:2" x14ac:dyDescent="0.25">
      <c r="B4022" t="str">
        <f>IF(C4022="","",C4022&amp;COUNTIF(C$9:C4022,C4022))</f>
        <v/>
      </c>
    </row>
    <row r="4023" spans="2:2" x14ac:dyDescent="0.25">
      <c r="B4023" t="str">
        <f>IF(C4023="","",C4023&amp;COUNTIF(C$9:C4023,C4023))</f>
        <v/>
      </c>
    </row>
    <row r="4024" spans="2:2" x14ac:dyDescent="0.25">
      <c r="B4024" t="str">
        <f>IF(C4024="","",C4024&amp;COUNTIF(C$9:C4024,C4024))</f>
        <v/>
      </c>
    </row>
    <row r="4025" spans="2:2" x14ac:dyDescent="0.25">
      <c r="B4025" t="str">
        <f>IF(C4025="","",C4025&amp;COUNTIF(C$9:C4025,C4025))</f>
        <v/>
      </c>
    </row>
    <row r="4026" spans="2:2" x14ac:dyDescent="0.25">
      <c r="B4026" t="str">
        <f>IF(C4026="","",C4026&amp;COUNTIF(C$9:C4026,C4026))</f>
        <v/>
      </c>
    </row>
    <row r="4027" spans="2:2" x14ac:dyDescent="0.25">
      <c r="B4027" t="str">
        <f>IF(C4027="","",C4027&amp;COUNTIF(C$9:C4027,C4027))</f>
        <v/>
      </c>
    </row>
    <row r="4028" spans="2:2" x14ac:dyDescent="0.25">
      <c r="B4028" t="str">
        <f>IF(C4028="","",C4028&amp;COUNTIF(C$9:C4028,C4028))</f>
        <v/>
      </c>
    </row>
    <row r="4029" spans="2:2" x14ac:dyDescent="0.25">
      <c r="B4029" t="str">
        <f>IF(C4029="","",C4029&amp;COUNTIF(C$9:C4029,C4029))</f>
        <v/>
      </c>
    </row>
    <row r="4030" spans="2:2" x14ac:dyDescent="0.25">
      <c r="B4030" t="str">
        <f>IF(C4030="","",C4030&amp;COUNTIF(C$9:C4030,C4030))</f>
        <v/>
      </c>
    </row>
    <row r="4031" spans="2:2" x14ac:dyDescent="0.25">
      <c r="B4031" t="str">
        <f>IF(C4031="","",C4031&amp;COUNTIF(C$9:C4031,C4031))</f>
        <v/>
      </c>
    </row>
    <row r="4032" spans="2:2" x14ac:dyDescent="0.25">
      <c r="B4032" t="str">
        <f>IF(C4032="","",C4032&amp;COUNTIF(C$9:C4032,C4032))</f>
        <v/>
      </c>
    </row>
    <row r="4033" spans="2:2" x14ac:dyDescent="0.25">
      <c r="B4033" t="str">
        <f>IF(C4033="","",C4033&amp;COUNTIF(C$9:C4033,C4033))</f>
        <v/>
      </c>
    </row>
    <row r="4034" spans="2:2" x14ac:dyDescent="0.25">
      <c r="B4034" t="str">
        <f>IF(C4034="","",C4034&amp;COUNTIF(C$9:C4034,C4034))</f>
        <v/>
      </c>
    </row>
    <row r="4035" spans="2:2" x14ac:dyDescent="0.25">
      <c r="B4035" t="str">
        <f>IF(C4035="","",C4035&amp;COUNTIF(C$9:C4035,C4035))</f>
        <v/>
      </c>
    </row>
    <row r="4036" spans="2:2" x14ac:dyDescent="0.25">
      <c r="B4036" t="str">
        <f>IF(C4036="","",C4036&amp;COUNTIF(C$9:C4036,C4036))</f>
        <v/>
      </c>
    </row>
    <row r="4037" spans="2:2" x14ac:dyDescent="0.25">
      <c r="B4037" t="str">
        <f>IF(C4037="","",C4037&amp;COUNTIF(C$9:C4037,C4037))</f>
        <v/>
      </c>
    </row>
    <row r="4038" spans="2:2" x14ac:dyDescent="0.25">
      <c r="B4038" t="str">
        <f>IF(C4038="","",C4038&amp;COUNTIF(C$9:C4038,C4038))</f>
        <v/>
      </c>
    </row>
    <row r="4039" spans="2:2" x14ac:dyDescent="0.25">
      <c r="B4039" t="str">
        <f>IF(C4039="","",C4039&amp;COUNTIF(C$9:C4039,C4039))</f>
        <v/>
      </c>
    </row>
    <row r="4040" spans="2:2" x14ac:dyDescent="0.25">
      <c r="B4040" t="str">
        <f>IF(C4040="","",C4040&amp;COUNTIF(C$9:C4040,C4040))</f>
        <v/>
      </c>
    </row>
    <row r="4041" spans="2:2" x14ac:dyDescent="0.25">
      <c r="B4041" t="str">
        <f>IF(C4041="","",C4041&amp;COUNTIF(C$9:C4041,C4041))</f>
        <v/>
      </c>
    </row>
    <row r="4042" spans="2:2" x14ac:dyDescent="0.25">
      <c r="B4042" t="str">
        <f>IF(C4042="","",C4042&amp;COUNTIF(C$9:C4042,C4042))</f>
        <v/>
      </c>
    </row>
    <row r="4043" spans="2:2" x14ac:dyDescent="0.25">
      <c r="B4043" t="str">
        <f>IF(C4043="","",C4043&amp;COUNTIF(C$9:C4043,C4043))</f>
        <v/>
      </c>
    </row>
    <row r="4044" spans="2:2" x14ac:dyDescent="0.25">
      <c r="B4044" t="str">
        <f>IF(C4044="","",C4044&amp;COUNTIF(C$9:C4044,C4044))</f>
        <v/>
      </c>
    </row>
    <row r="4045" spans="2:2" x14ac:dyDescent="0.25">
      <c r="B4045" t="str">
        <f>IF(C4045="","",C4045&amp;COUNTIF(C$9:C4045,C4045))</f>
        <v/>
      </c>
    </row>
    <row r="4046" spans="2:2" x14ac:dyDescent="0.25">
      <c r="B4046" t="str">
        <f>IF(C4046="","",C4046&amp;COUNTIF(C$9:C4046,C4046))</f>
        <v/>
      </c>
    </row>
    <row r="4047" spans="2:2" x14ac:dyDescent="0.25">
      <c r="B4047" t="str">
        <f>IF(C4047="","",C4047&amp;COUNTIF(C$9:C4047,C4047))</f>
        <v/>
      </c>
    </row>
    <row r="4048" spans="2:2" x14ac:dyDescent="0.25">
      <c r="B4048" t="str">
        <f>IF(C4048="","",C4048&amp;COUNTIF(C$9:C4048,C4048))</f>
        <v/>
      </c>
    </row>
    <row r="4049" spans="2:2" x14ac:dyDescent="0.25">
      <c r="B4049" t="str">
        <f>IF(C4049="","",C4049&amp;COUNTIF(C$9:C4049,C4049))</f>
        <v/>
      </c>
    </row>
    <row r="4050" spans="2:2" x14ac:dyDescent="0.25">
      <c r="B4050" t="str">
        <f>IF(C4050="","",C4050&amp;COUNTIF(C$9:C4050,C4050))</f>
        <v/>
      </c>
    </row>
    <row r="4051" spans="2:2" x14ac:dyDescent="0.25">
      <c r="B4051" t="str">
        <f>IF(C4051="","",C4051&amp;COUNTIF(C$9:C4051,C4051))</f>
        <v/>
      </c>
    </row>
    <row r="4052" spans="2:2" x14ac:dyDescent="0.25">
      <c r="B4052" t="str">
        <f>IF(C4052="","",C4052&amp;COUNTIF(C$9:C4052,C4052))</f>
        <v/>
      </c>
    </row>
    <row r="4053" spans="2:2" x14ac:dyDescent="0.25">
      <c r="B4053" t="str">
        <f>IF(C4053="","",C4053&amp;COUNTIF(C$9:C4053,C4053))</f>
        <v/>
      </c>
    </row>
    <row r="4054" spans="2:2" x14ac:dyDescent="0.25">
      <c r="B4054" t="str">
        <f>IF(C4054="","",C4054&amp;COUNTIF(C$9:C4054,C4054))</f>
        <v/>
      </c>
    </row>
    <row r="4055" spans="2:2" x14ac:dyDescent="0.25">
      <c r="B4055" t="str">
        <f>IF(C4055="","",C4055&amp;COUNTIF(C$9:C4055,C4055))</f>
        <v/>
      </c>
    </row>
    <row r="4056" spans="2:2" x14ac:dyDescent="0.25">
      <c r="B4056" t="str">
        <f>IF(C4056="","",C4056&amp;COUNTIF(C$9:C4056,C4056))</f>
        <v/>
      </c>
    </row>
    <row r="4057" spans="2:2" x14ac:dyDescent="0.25">
      <c r="B4057" t="str">
        <f>IF(C4057="","",C4057&amp;COUNTIF(C$9:C4057,C4057))</f>
        <v/>
      </c>
    </row>
    <row r="4058" spans="2:2" x14ac:dyDescent="0.25">
      <c r="B4058" t="str">
        <f>IF(C4058="","",C4058&amp;COUNTIF(C$9:C4058,C4058))</f>
        <v/>
      </c>
    </row>
    <row r="4059" spans="2:2" x14ac:dyDescent="0.25">
      <c r="B4059" t="str">
        <f>IF(C4059="","",C4059&amp;COUNTIF(C$9:C4059,C4059))</f>
        <v/>
      </c>
    </row>
    <row r="4060" spans="2:2" x14ac:dyDescent="0.25">
      <c r="B4060" t="str">
        <f>IF(C4060="","",C4060&amp;COUNTIF(C$9:C4060,C4060))</f>
        <v/>
      </c>
    </row>
    <row r="4061" spans="2:2" x14ac:dyDescent="0.25">
      <c r="B4061" t="str">
        <f>IF(C4061="","",C4061&amp;COUNTIF(C$9:C4061,C4061))</f>
        <v/>
      </c>
    </row>
    <row r="4062" spans="2:2" x14ac:dyDescent="0.25">
      <c r="B4062" t="str">
        <f>IF(C4062="","",C4062&amp;COUNTIF(C$9:C4062,C4062))</f>
        <v/>
      </c>
    </row>
    <row r="4063" spans="2:2" x14ac:dyDescent="0.25">
      <c r="B4063" t="str">
        <f>IF(C4063="","",C4063&amp;COUNTIF(C$9:C4063,C4063))</f>
        <v/>
      </c>
    </row>
    <row r="4064" spans="2:2" x14ac:dyDescent="0.25">
      <c r="B4064" t="str">
        <f>IF(C4064="","",C4064&amp;COUNTIF(C$9:C4064,C4064))</f>
        <v/>
      </c>
    </row>
    <row r="4065" spans="2:2" x14ac:dyDescent="0.25">
      <c r="B4065" t="str">
        <f>IF(C4065="","",C4065&amp;COUNTIF(C$9:C4065,C4065))</f>
        <v/>
      </c>
    </row>
    <row r="4066" spans="2:2" x14ac:dyDescent="0.25">
      <c r="B4066" t="str">
        <f>IF(C4066="","",C4066&amp;COUNTIF(C$9:C4066,C4066))</f>
        <v/>
      </c>
    </row>
    <row r="4067" spans="2:2" x14ac:dyDescent="0.25">
      <c r="B4067" t="str">
        <f>IF(C4067="","",C4067&amp;COUNTIF(C$9:C4067,C4067))</f>
        <v/>
      </c>
    </row>
    <row r="4068" spans="2:2" x14ac:dyDescent="0.25">
      <c r="B4068" t="str">
        <f>IF(C4068="","",C4068&amp;COUNTIF(C$9:C4068,C4068))</f>
        <v/>
      </c>
    </row>
    <row r="4069" spans="2:2" x14ac:dyDescent="0.25">
      <c r="B4069" t="str">
        <f>IF(C4069="","",C4069&amp;COUNTIF(C$9:C4069,C4069))</f>
        <v/>
      </c>
    </row>
    <row r="4070" spans="2:2" x14ac:dyDescent="0.25">
      <c r="B4070" t="str">
        <f>IF(C4070="","",C4070&amp;COUNTIF(C$9:C4070,C4070))</f>
        <v/>
      </c>
    </row>
    <row r="4071" spans="2:2" x14ac:dyDescent="0.25">
      <c r="B4071" t="str">
        <f>IF(C4071="","",C4071&amp;COUNTIF(C$9:C4071,C4071))</f>
        <v/>
      </c>
    </row>
    <row r="4072" spans="2:2" x14ac:dyDescent="0.25">
      <c r="B4072" t="str">
        <f>IF(C4072="","",C4072&amp;COUNTIF(C$9:C4072,C4072))</f>
        <v/>
      </c>
    </row>
    <row r="4073" spans="2:2" x14ac:dyDescent="0.25">
      <c r="B4073" t="str">
        <f>IF(C4073="","",C4073&amp;COUNTIF(C$9:C4073,C4073))</f>
        <v/>
      </c>
    </row>
    <row r="4074" spans="2:2" x14ac:dyDescent="0.25">
      <c r="B4074" t="str">
        <f>IF(C4074="","",C4074&amp;COUNTIF(C$9:C4074,C4074))</f>
        <v/>
      </c>
    </row>
    <row r="4075" spans="2:2" x14ac:dyDescent="0.25">
      <c r="B4075" t="str">
        <f>IF(C4075="","",C4075&amp;COUNTIF(C$9:C4075,C4075))</f>
        <v/>
      </c>
    </row>
    <row r="4076" spans="2:2" x14ac:dyDescent="0.25">
      <c r="B4076" t="str">
        <f>IF(C4076="","",C4076&amp;COUNTIF(C$9:C4076,C4076))</f>
        <v/>
      </c>
    </row>
    <row r="4077" spans="2:2" x14ac:dyDescent="0.25">
      <c r="B4077" t="str">
        <f>IF(C4077="","",C4077&amp;COUNTIF(C$9:C4077,C4077))</f>
        <v/>
      </c>
    </row>
    <row r="4078" spans="2:2" x14ac:dyDescent="0.25">
      <c r="B4078" t="str">
        <f>IF(C4078="","",C4078&amp;COUNTIF(C$9:C4078,C4078))</f>
        <v/>
      </c>
    </row>
    <row r="4079" spans="2:2" x14ac:dyDescent="0.25">
      <c r="B4079" t="str">
        <f>IF(C4079="","",C4079&amp;COUNTIF(C$9:C4079,C4079))</f>
        <v/>
      </c>
    </row>
    <row r="4080" spans="2:2" x14ac:dyDescent="0.25">
      <c r="B4080" t="str">
        <f>IF(C4080="","",C4080&amp;COUNTIF(C$9:C4080,C4080))</f>
        <v/>
      </c>
    </row>
    <row r="4081" spans="2:2" x14ac:dyDescent="0.25">
      <c r="B4081" t="str">
        <f>IF(C4081="","",C4081&amp;COUNTIF(C$9:C4081,C4081))</f>
        <v/>
      </c>
    </row>
    <row r="4082" spans="2:2" x14ac:dyDescent="0.25">
      <c r="B4082" t="str">
        <f>IF(C4082="","",C4082&amp;COUNTIF(C$9:C4082,C4082))</f>
        <v/>
      </c>
    </row>
    <row r="4083" spans="2:2" x14ac:dyDescent="0.25">
      <c r="B4083" t="str">
        <f>IF(C4083="","",C4083&amp;COUNTIF(C$9:C4083,C4083))</f>
        <v/>
      </c>
    </row>
    <row r="4084" spans="2:2" x14ac:dyDescent="0.25">
      <c r="B4084" t="str">
        <f>IF(C4084="","",C4084&amp;COUNTIF(C$9:C4084,C4084))</f>
        <v/>
      </c>
    </row>
    <row r="4085" spans="2:2" x14ac:dyDescent="0.25">
      <c r="B4085" t="str">
        <f>IF(C4085="","",C4085&amp;COUNTIF(C$9:C4085,C4085))</f>
        <v/>
      </c>
    </row>
    <row r="4086" spans="2:2" x14ac:dyDescent="0.25">
      <c r="B4086" t="str">
        <f>IF(C4086="","",C4086&amp;COUNTIF(C$9:C4086,C4086))</f>
        <v/>
      </c>
    </row>
    <row r="4087" spans="2:2" x14ac:dyDescent="0.25">
      <c r="B4087" t="str">
        <f>IF(C4087="","",C4087&amp;COUNTIF(C$9:C4087,C4087))</f>
        <v/>
      </c>
    </row>
    <row r="4088" spans="2:2" x14ac:dyDescent="0.25">
      <c r="B4088" t="str">
        <f>IF(C4088="","",C4088&amp;COUNTIF(C$9:C4088,C4088))</f>
        <v/>
      </c>
    </row>
    <row r="4089" spans="2:2" x14ac:dyDescent="0.25">
      <c r="B4089" t="str">
        <f>IF(C4089="","",C4089&amp;COUNTIF(C$9:C4089,C4089))</f>
        <v/>
      </c>
    </row>
    <row r="4090" spans="2:2" x14ac:dyDescent="0.25">
      <c r="B4090" t="str">
        <f>IF(C4090="","",C4090&amp;COUNTIF(C$9:C4090,C4090))</f>
        <v/>
      </c>
    </row>
    <row r="4091" spans="2:2" x14ac:dyDescent="0.25">
      <c r="B4091" t="str">
        <f>IF(C4091="","",C4091&amp;COUNTIF(C$9:C4091,C4091))</f>
        <v/>
      </c>
    </row>
    <row r="4092" spans="2:2" x14ac:dyDescent="0.25">
      <c r="B4092" t="str">
        <f>IF(C4092="","",C4092&amp;COUNTIF(C$9:C4092,C4092))</f>
        <v/>
      </c>
    </row>
    <row r="4093" spans="2:2" x14ac:dyDescent="0.25">
      <c r="B4093" t="str">
        <f>IF(C4093="","",C4093&amp;COUNTIF(C$9:C4093,C4093))</f>
        <v/>
      </c>
    </row>
    <row r="4094" spans="2:2" x14ac:dyDescent="0.25">
      <c r="B4094" t="str">
        <f>IF(C4094="","",C4094&amp;COUNTIF(C$9:C4094,C4094))</f>
        <v/>
      </c>
    </row>
    <row r="4095" spans="2:2" x14ac:dyDescent="0.25">
      <c r="B4095" t="str">
        <f>IF(C4095="","",C4095&amp;COUNTIF(C$9:C4095,C4095))</f>
        <v/>
      </c>
    </row>
    <row r="4096" spans="2:2" x14ac:dyDescent="0.25">
      <c r="B4096" t="str">
        <f>IF(C4096="","",C4096&amp;COUNTIF(C$9:C4096,C4096))</f>
        <v/>
      </c>
    </row>
    <row r="4097" spans="2:2" x14ac:dyDescent="0.25">
      <c r="B4097" t="str">
        <f>IF(C4097="","",C4097&amp;COUNTIF(C$9:C4097,C4097))</f>
        <v/>
      </c>
    </row>
    <row r="4098" spans="2:2" x14ac:dyDescent="0.25">
      <c r="B4098" t="str">
        <f>IF(C4098="","",C4098&amp;COUNTIF(C$9:C4098,C4098))</f>
        <v/>
      </c>
    </row>
    <row r="4099" spans="2:2" x14ac:dyDescent="0.25">
      <c r="B4099" t="str">
        <f>IF(C4099="","",C4099&amp;COUNTIF(C$9:C4099,C4099))</f>
        <v/>
      </c>
    </row>
    <row r="4100" spans="2:2" x14ac:dyDescent="0.25">
      <c r="B4100" t="str">
        <f>IF(C4100="","",C4100&amp;COUNTIF(C$9:C4100,C4100))</f>
        <v/>
      </c>
    </row>
    <row r="4101" spans="2:2" x14ac:dyDescent="0.25">
      <c r="B4101" t="str">
        <f>IF(C4101="","",C4101&amp;COUNTIF(C$9:C4101,C4101))</f>
        <v/>
      </c>
    </row>
    <row r="4102" spans="2:2" x14ac:dyDescent="0.25">
      <c r="B4102" t="str">
        <f>IF(C4102="","",C4102&amp;COUNTIF(C$9:C4102,C4102))</f>
        <v/>
      </c>
    </row>
    <row r="4103" spans="2:2" x14ac:dyDescent="0.25">
      <c r="B4103" t="str">
        <f>IF(C4103="","",C4103&amp;COUNTIF(C$9:C4103,C4103))</f>
        <v/>
      </c>
    </row>
    <row r="4104" spans="2:2" x14ac:dyDescent="0.25">
      <c r="B4104" t="str">
        <f>IF(C4104="","",C4104&amp;COUNTIF(C$9:C4104,C4104))</f>
        <v/>
      </c>
    </row>
    <row r="4105" spans="2:2" x14ac:dyDescent="0.25">
      <c r="B4105" t="str">
        <f>IF(C4105="","",C4105&amp;COUNTIF(C$9:C4105,C4105))</f>
        <v/>
      </c>
    </row>
    <row r="4106" spans="2:2" x14ac:dyDescent="0.25">
      <c r="B4106" t="str">
        <f>IF(C4106="","",C4106&amp;COUNTIF(C$9:C4106,C4106))</f>
        <v/>
      </c>
    </row>
    <row r="4107" spans="2:2" x14ac:dyDescent="0.25">
      <c r="B4107" t="str">
        <f>IF(C4107="","",C4107&amp;COUNTIF(C$9:C4107,C4107))</f>
        <v/>
      </c>
    </row>
    <row r="4108" spans="2:2" x14ac:dyDescent="0.25">
      <c r="B4108" t="str">
        <f>IF(C4108="","",C4108&amp;COUNTIF(C$9:C4108,C4108))</f>
        <v/>
      </c>
    </row>
    <row r="4109" spans="2:2" x14ac:dyDescent="0.25">
      <c r="B4109" t="str">
        <f>IF(C4109="","",C4109&amp;COUNTIF(C$9:C4109,C4109))</f>
        <v/>
      </c>
    </row>
    <row r="4110" spans="2:2" x14ac:dyDescent="0.25">
      <c r="B4110" t="str">
        <f>IF(C4110="","",C4110&amp;COUNTIF(C$9:C4110,C4110))</f>
        <v/>
      </c>
    </row>
    <row r="4111" spans="2:2" x14ac:dyDescent="0.25">
      <c r="B4111" t="str">
        <f>IF(C4111="","",C4111&amp;COUNTIF(C$9:C4111,C4111))</f>
        <v/>
      </c>
    </row>
    <row r="4112" spans="2:2" x14ac:dyDescent="0.25">
      <c r="B4112" t="str">
        <f>IF(C4112="","",C4112&amp;COUNTIF(C$9:C4112,C4112))</f>
        <v/>
      </c>
    </row>
    <row r="4113" spans="2:2" x14ac:dyDescent="0.25">
      <c r="B4113" t="str">
        <f>IF(C4113="","",C4113&amp;COUNTIF(C$9:C4113,C4113))</f>
        <v/>
      </c>
    </row>
    <row r="4114" spans="2:2" x14ac:dyDescent="0.25">
      <c r="B4114" t="str">
        <f>IF(C4114="","",C4114&amp;COUNTIF(C$9:C4114,C4114))</f>
        <v/>
      </c>
    </row>
    <row r="4115" spans="2:2" x14ac:dyDescent="0.25">
      <c r="B4115" t="str">
        <f>IF(C4115="","",C4115&amp;COUNTIF(C$9:C4115,C4115))</f>
        <v/>
      </c>
    </row>
    <row r="4116" spans="2:2" x14ac:dyDescent="0.25">
      <c r="B4116" t="str">
        <f>IF(C4116="","",C4116&amp;COUNTIF(C$9:C4116,C4116))</f>
        <v/>
      </c>
    </row>
    <row r="4117" spans="2:2" x14ac:dyDescent="0.25">
      <c r="B4117" t="str">
        <f>IF(C4117="","",C4117&amp;COUNTIF(C$9:C4117,C4117))</f>
        <v/>
      </c>
    </row>
    <row r="4118" spans="2:2" x14ac:dyDescent="0.25">
      <c r="B4118" t="str">
        <f>IF(C4118="","",C4118&amp;COUNTIF(C$9:C4118,C4118))</f>
        <v/>
      </c>
    </row>
    <row r="4119" spans="2:2" x14ac:dyDescent="0.25">
      <c r="B4119" t="str">
        <f>IF(C4119="","",C4119&amp;COUNTIF(C$9:C4119,C4119))</f>
        <v/>
      </c>
    </row>
    <row r="4120" spans="2:2" x14ac:dyDescent="0.25">
      <c r="B4120" t="str">
        <f>IF(C4120="","",C4120&amp;COUNTIF(C$9:C4120,C4120))</f>
        <v/>
      </c>
    </row>
    <row r="4121" spans="2:2" x14ac:dyDescent="0.25">
      <c r="B4121" t="str">
        <f>IF(C4121="","",C4121&amp;COUNTIF(C$9:C4121,C4121))</f>
        <v/>
      </c>
    </row>
    <row r="4122" spans="2:2" x14ac:dyDescent="0.25">
      <c r="B4122" t="str">
        <f>IF(C4122="","",C4122&amp;COUNTIF(C$9:C4122,C4122))</f>
        <v/>
      </c>
    </row>
    <row r="4123" spans="2:2" x14ac:dyDescent="0.25">
      <c r="B4123" t="str">
        <f>IF(C4123="","",C4123&amp;COUNTIF(C$9:C4123,C4123))</f>
        <v/>
      </c>
    </row>
    <row r="4124" spans="2:2" x14ac:dyDescent="0.25">
      <c r="B4124" t="str">
        <f>IF(C4124="","",C4124&amp;COUNTIF(C$9:C4124,C4124))</f>
        <v/>
      </c>
    </row>
    <row r="4125" spans="2:2" x14ac:dyDescent="0.25">
      <c r="B4125" t="str">
        <f>IF(C4125="","",C4125&amp;COUNTIF(C$9:C4125,C4125))</f>
        <v/>
      </c>
    </row>
    <row r="4126" spans="2:2" x14ac:dyDescent="0.25">
      <c r="B4126" t="str">
        <f>IF(C4126="","",C4126&amp;COUNTIF(C$9:C4126,C4126))</f>
        <v/>
      </c>
    </row>
    <row r="4127" spans="2:2" x14ac:dyDescent="0.25">
      <c r="B4127" t="str">
        <f>IF(C4127="","",C4127&amp;COUNTIF(C$9:C4127,C4127))</f>
        <v/>
      </c>
    </row>
    <row r="4128" spans="2:2" x14ac:dyDescent="0.25">
      <c r="B4128" t="str">
        <f>IF(C4128="","",C4128&amp;COUNTIF(C$9:C4128,C4128))</f>
        <v/>
      </c>
    </row>
    <row r="4129" spans="2:2" x14ac:dyDescent="0.25">
      <c r="B4129" t="str">
        <f>IF(C4129="","",C4129&amp;COUNTIF(C$9:C4129,C4129))</f>
        <v/>
      </c>
    </row>
    <row r="4130" spans="2:2" x14ac:dyDescent="0.25">
      <c r="B4130" t="str">
        <f>IF(C4130="","",C4130&amp;COUNTIF(C$9:C4130,C4130))</f>
        <v/>
      </c>
    </row>
    <row r="4131" spans="2:2" x14ac:dyDescent="0.25">
      <c r="B4131" t="str">
        <f>IF(C4131="","",C4131&amp;COUNTIF(C$9:C4131,C4131))</f>
        <v/>
      </c>
    </row>
    <row r="4132" spans="2:2" x14ac:dyDescent="0.25">
      <c r="B4132" t="str">
        <f>IF(C4132="","",C4132&amp;COUNTIF(C$9:C4132,C4132))</f>
        <v/>
      </c>
    </row>
    <row r="4133" spans="2:2" x14ac:dyDescent="0.25">
      <c r="B4133" t="str">
        <f>IF(C4133="","",C4133&amp;COUNTIF(C$9:C4133,C4133))</f>
        <v/>
      </c>
    </row>
    <row r="4134" spans="2:2" x14ac:dyDescent="0.25">
      <c r="B4134" t="str">
        <f>IF(C4134="","",C4134&amp;COUNTIF(C$9:C4134,C4134))</f>
        <v/>
      </c>
    </row>
    <row r="4135" spans="2:2" x14ac:dyDescent="0.25">
      <c r="B4135" t="str">
        <f>IF(C4135="","",C4135&amp;COUNTIF(C$9:C4135,C4135))</f>
        <v/>
      </c>
    </row>
    <row r="4136" spans="2:2" x14ac:dyDescent="0.25">
      <c r="B4136" t="str">
        <f>IF(C4136="","",C4136&amp;COUNTIF(C$9:C4136,C4136))</f>
        <v/>
      </c>
    </row>
    <row r="4137" spans="2:2" x14ac:dyDescent="0.25">
      <c r="B4137" t="str">
        <f>IF(C4137="","",C4137&amp;COUNTIF(C$9:C4137,C4137))</f>
        <v/>
      </c>
    </row>
    <row r="4138" spans="2:2" x14ac:dyDescent="0.25">
      <c r="B4138" t="str">
        <f>IF(C4138="","",C4138&amp;COUNTIF(C$9:C4138,C4138))</f>
        <v/>
      </c>
    </row>
    <row r="4139" spans="2:2" x14ac:dyDescent="0.25">
      <c r="B4139" t="str">
        <f>IF(C4139="","",C4139&amp;COUNTIF(C$9:C4139,C4139))</f>
        <v/>
      </c>
    </row>
    <row r="4140" spans="2:2" x14ac:dyDescent="0.25">
      <c r="B4140" t="str">
        <f>IF(C4140="","",C4140&amp;COUNTIF(C$9:C4140,C4140))</f>
        <v/>
      </c>
    </row>
    <row r="4141" spans="2:2" x14ac:dyDescent="0.25">
      <c r="B4141" t="str">
        <f>IF(C4141="","",C4141&amp;COUNTIF(C$9:C4141,C4141))</f>
        <v/>
      </c>
    </row>
    <row r="4142" spans="2:2" x14ac:dyDescent="0.25">
      <c r="B4142" t="str">
        <f>IF(C4142="","",C4142&amp;COUNTIF(C$9:C4142,C4142))</f>
        <v/>
      </c>
    </row>
    <row r="4143" spans="2:2" x14ac:dyDescent="0.25">
      <c r="B4143" t="str">
        <f>IF(C4143="","",C4143&amp;COUNTIF(C$9:C4143,C4143))</f>
        <v/>
      </c>
    </row>
    <row r="4144" spans="2:2" x14ac:dyDescent="0.25">
      <c r="B4144" t="str">
        <f>IF(C4144="","",C4144&amp;COUNTIF(C$9:C4144,C4144))</f>
        <v/>
      </c>
    </row>
    <row r="4145" spans="2:2" x14ac:dyDescent="0.25">
      <c r="B4145" t="str">
        <f>IF(C4145="","",C4145&amp;COUNTIF(C$9:C4145,C4145))</f>
        <v/>
      </c>
    </row>
    <row r="4146" spans="2:2" x14ac:dyDescent="0.25">
      <c r="B4146" t="str">
        <f>IF(C4146="","",C4146&amp;COUNTIF(C$9:C4146,C4146))</f>
        <v/>
      </c>
    </row>
    <row r="4147" spans="2:2" x14ac:dyDescent="0.25">
      <c r="B4147" t="str">
        <f>IF(C4147="","",C4147&amp;COUNTIF(C$9:C4147,C4147))</f>
        <v/>
      </c>
    </row>
    <row r="4148" spans="2:2" x14ac:dyDescent="0.25">
      <c r="B4148" t="str">
        <f>IF(C4148="","",C4148&amp;COUNTIF(C$9:C4148,C4148))</f>
        <v/>
      </c>
    </row>
    <row r="4149" spans="2:2" x14ac:dyDescent="0.25">
      <c r="B4149" t="str">
        <f>IF(C4149="","",C4149&amp;COUNTIF(C$9:C4149,C4149))</f>
        <v/>
      </c>
    </row>
    <row r="4150" spans="2:2" x14ac:dyDescent="0.25">
      <c r="B4150" t="str">
        <f>IF(C4150="","",C4150&amp;COUNTIF(C$9:C4150,C4150))</f>
        <v/>
      </c>
    </row>
    <row r="4151" spans="2:2" x14ac:dyDescent="0.25">
      <c r="B4151" t="str">
        <f>IF(C4151="","",C4151&amp;COUNTIF(C$9:C4151,C4151))</f>
        <v/>
      </c>
    </row>
    <row r="4152" spans="2:2" x14ac:dyDescent="0.25">
      <c r="B4152" t="str">
        <f>IF(C4152="","",C4152&amp;COUNTIF(C$9:C4152,C4152))</f>
        <v/>
      </c>
    </row>
    <row r="4153" spans="2:2" x14ac:dyDescent="0.25">
      <c r="B4153" t="str">
        <f>IF(C4153="","",C4153&amp;COUNTIF(C$9:C4153,C4153))</f>
        <v/>
      </c>
    </row>
    <row r="4154" spans="2:2" x14ac:dyDescent="0.25">
      <c r="B4154" t="str">
        <f>IF(C4154="","",C4154&amp;COUNTIF(C$9:C4154,C4154))</f>
        <v/>
      </c>
    </row>
    <row r="4155" spans="2:2" x14ac:dyDescent="0.25">
      <c r="B4155" t="str">
        <f>IF(C4155="","",C4155&amp;COUNTIF(C$9:C4155,C4155))</f>
        <v/>
      </c>
    </row>
    <row r="4156" spans="2:2" x14ac:dyDescent="0.25">
      <c r="B4156" t="str">
        <f>IF(C4156="","",C4156&amp;COUNTIF(C$9:C4156,C4156))</f>
        <v/>
      </c>
    </row>
    <row r="4157" spans="2:2" x14ac:dyDescent="0.25">
      <c r="B4157" t="str">
        <f>IF(C4157="","",C4157&amp;COUNTIF(C$9:C4157,C4157))</f>
        <v/>
      </c>
    </row>
    <row r="4158" spans="2:2" x14ac:dyDescent="0.25">
      <c r="B4158" t="str">
        <f>IF(C4158="","",C4158&amp;COUNTIF(C$9:C4158,C4158))</f>
        <v/>
      </c>
    </row>
    <row r="4159" spans="2:2" x14ac:dyDescent="0.25">
      <c r="B4159" t="str">
        <f>IF(C4159="","",C4159&amp;COUNTIF(C$9:C4159,C4159))</f>
        <v/>
      </c>
    </row>
    <row r="4160" spans="2:2" x14ac:dyDescent="0.25">
      <c r="B4160" t="str">
        <f>IF(C4160="","",C4160&amp;COUNTIF(C$9:C4160,C4160))</f>
        <v/>
      </c>
    </row>
    <row r="4161" spans="2:2" x14ac:dyDescent="0.25">
      <c r="B4161" t="str">
        <f>IF(C4161="","",C4161&amp;COUNTIF(C$9:C4161,C4161))</f>
        <v/>
      </c>
    </row>
    <row r="4162" spans="2:2" x14ac:dyDescent="0.25">
      <c r="B4162" t="str">
        <f>IF(C4162="","",C4162&amp;COUNTIF(C$9:C4162,C4162))</f>
        <v/>
      </c>
    </row>
    <row r="4163" spans="2:2" x14ac:dyDescent="0.25">
      <c r="B4163" t="str">
        <f>IF(C4163="","",C4163&amp;COUNTIF(C$9:C4163,C4163))</f>
        <v/>
      </c>
    </row>
    <row r="4164" spans="2:2" x14ac:dyDescent="0.25">
      <c r="B4164" t="str">
        <f>IF(C4164="","",C4164&amp;COUNTIF(C$9:C4164,C4164))</f>
        <v/>
      </c>
    </row>
    <row r="4165" spans="2:2" x14ac:dyDescent="0.25">
      <c r="B4165" t="str">
        <f>IF(C4165="","",C4165&amp;COUNTIF(C$9:C4165,C4165))</f>
        <v/>
      </c>
    </row>
    <row r="4166" spans="2:2" x14ac:dyDescent="0.25">
      <c r="B4166" t="str">
        <f>IF(C4166="","",C4166&amp;COUNTIF(C$9:C4166,C4166))</f>
        <v/>
      </c>
    </row>
    <row r="4167" spans="2:2" x14ac:dyDescent="0.25">
      <c r="B4167" t="str">
        <f>IF(C4167="","",C4167&amp;COUNTIF(C$9:C4167,C4167))</f>
        <v/>
      </c>
    </row>
    <row r="4168" spans="2:2" x14ac:dyDescent="0.25">
      <c r="B4168" t="str">
        <f>IF(C4168="","",C4168&amp;COUNTIF(C$9:C4168,C4168))</f>
        <v/>
      </c>
    </row>
    <row r="4169" spans="2:2" x14ac:dyDescent="0.25">
      <c r="B4169" t="str">
        <f>IF(C4169="","",C4169&amp;COUNTIF(C$9:C4169,C4169))</f>
        <v/>
      </c>
    </row>
    <row r="4170" spans="2:2" x14ac:dyDescent="0.25">
      <c r="B4170" t="str">
        <f>IF(C4170="","",C4170&amp;COUNTIF(C$9:C4170,C4170))</f>
        <v/>
      </c>
    </row>
    <row r="4171" spans="2:2" x14ac:dyDescent="0.25">
      <c r="B4171" t="str">
        <f>IF(C4171="","",C4171&amp;COUNTIF(C$9:C4171,C4171))</f>
        <v/>
      </c>
    </row>
    <row r="4172" spans="2:2" x14ac:dyDescent="0.25">
      <c r="B4172" t="str">
        <f>IF(C4172="","",C4172&amp;COUNTIF(C$9:C4172,C4172))</f>
        <v/>
      </c>
    </row>
    <row r="4173" spans="2:2" x14ac:dyDescent="0.25">
      <c r="B4173" t="str">
        <f>IF(C4173="","",C4173&amp;COUNTIF(C$9:C4173,C4173))</f>
        <v/>
      </c>
    </row>
    <row r="4174" spans="2:2" x14ac:dyDescent="0.25">
      <c r="B4174" t="str">
        <f>IF(C4174="","",C4174&amp;COUNTIF(C$9:C4174,C4174))</f>
        <v/>
      </c>
    </row>
    <row r="4175" spans="2:2" x14ac:dyDescent="0.25">
      <c r="B4175" t="str">
        <f>IF(C4175="","",C4175&amp;COUNTIF(C$9:C4175,C4175))</f>
        <v/>
      </c>
    </row>
    <row r="4176" spans="2:2" x14ac:dyDescent="0.25">
      <c r="B4176" t="str">
        <f>IF(C4176="","",C4176&amp;COUNTIF(C$9:C4176,C4176))</f>
        <v/>
      </c>
    </row>
    <row r="4177" spans="2:2" x14ac:dyDescent="0.25">
      <c r="B4177" t="str">
        <f>IF(C4177="","",C4177&amp;COUNTIF(C$9:C4177,C4177))</f>
        <v/>
      </c>
    </row>
    <row r="4178" spans="2:2" x14ac:dyDescent="0.25">
      <c r="B4178" t="str">
        <f>IF(C4178="","",C4178&amp;COUNTIF(C$9:C4178,C4178))</f>
        <v/>
      </c>
    </row>
    <row r="4179" spans="2:2" x14ac:dyDescent="0.25">
      <c r="B4179" t="str">
        <f>IF(C4179="","",C4179&amp;COUNTIF(C$9:C4179,C4179))</f>
        <v/>
      </c>
    </row>
    <row r="4180" spans="2:2" x14ac:dyDescent="0.25">
      <c r="B4180" t="str">
        <f>IF(C4180="","",C4180&amp;COUNTIF(C$9:C4180,C4180))</f>
        <v/>
      </c>
    </row>
    <row r="4181" spans="2:2" x14ac:dyDescent="0.25">
      <c r="B4181" t="str">
        <f>IF(C4181="","",C4181&amp;COUNTIF(C$9:C4181,C4181))</f>
        <v/>
      </c>
    </row>
    <row r="4182" spans="2:2" x14ac:dyDescent="0.25">
      <c r="B4182" t="str">
        <f>IF(C4182="","",C4182&amp;COUNTIF(C$9:C4182,C4182))</f>
        <v/>
      </c>
    </row>
    <row r="4183" spans="2:2" x14ac:dyDescent="0.25">
      <c r="B4183" t="str">
        <f>IF(C4183="","",C4183&amp;COUNTIF(C$9:C4183,C4183))</f>
        <v/>
      </c>
    </row>
    <row r="4184" spans="2:2" x14ac:dyDescent="0.25">
      <c r="B4184" t="str">
        <f>IF(C4184="","",C4184&amp;COUNTIF(C$9:C4184,C4184))</f>
        <v/>
      </c>
    </row>
    <row r="4185" spans="2:2" x14ac:dyDescent="0.25">
      <c r="B4185" t="str">
        <f>IF(C4185="","",C4185&amp;COUNTIF(C$9:C4185,C4185))</f>
        <v/>
      </c>
    </row>
    <row r="4186" spans="2:2" x14ac:dyDescent="0.25">
      <c r="B4186" t="str">
        <f>IF(C4186="","",C4186&amp;COUNTIF(C$9:C4186,C4186))</f>
        <v/>
      </c>
    </row>
    <row r="4187" spans="2:2" x14ac:dyDescent="0.25">
      <c r="B4187" t="str">
        <f>IF(C4187="","",C4187&amp;COUNTIF(C$9:C4187,C4187))</f>
        <v/>
      </c>
    </row>
    <row r="4188" spans="2:2" x14ac:dyDescent="0.25">
      <c r="B4188" t="str">
        <f>IF(C4188="","",C4188&amp;COUNTIF(C$9:C4188,C4188))</f>
        <v/>
      </c>
    </row>
    <row r="4189" spans="2:2" x14ac:dyDescent="0.25">
      <c r="B4189" t="str">
        <f>IF(C4189="","",C4189&amp;COUNTIF(C$9:C4189,C4189))</f>
        <v/>
      </c>
    </row>
    <row r="4190" spans="2:2" x14ac:dyDescent="0.25">
      <c r="B4190" t="str">
        <f>IF(C4190="","",C4190&amp;COUNTIF(C$9:C4190,C4190))</f>
        <v/>
      </c>
    </row>
    <row r="4191" spans="2:2" x14ac:dyDescent="0.25">
      <c r="B4191" t="str">
        <f>IF(C4191="","",C4191&amp;COUNTIF(C$9:C4191,C4191))</f>
        <v/>
      </c>
    </row>
    <row r="4192" spans="2:2" x14ac:dyDescent="0.25">
      <c r="B4192" t="str">
        <f>IF(C4192="","",C4192&amp;COUNTIF(C$9:C4192,C4192))</f>
        <v/>
      </c>
    </row>
    <row r="4193" spans="2:2" x14ac:dyDescent="0.25">
      <c r="B4193" t="str">
        <f>IF(C4193="","",C4193&amp;COUNTIF(C$9:C4193,C4193))</f>
        <v/>
      </c>
    </row>
    <row r="4194" spans="2:2" x14ac:dyDescent="0.25">
      <c r="B4194" t="str">
        <f>IF(C4194="","",C4194&amp;COUNTIF(C$9:C4194,C4194))</f>
        <v/>
      </c>
    </row>
    <row r="4195" spans="2:2" x14ac:dyDescent="0.25">
      <c r="B4195" t="str">
        <f>IF(C4195="","",C4195&amp;COUNTIF(C$9:C4195,C4195))</f>
        <v/>
      </c>
    </row>
    <row r="4196" spans="2:2" x14ac:dyDescent="0.25">
      <c r="B4196" t="str">
        <f>IF(C4196="","",C4196&amp;COUNTIF(C$9:C4196,C4196))</f>
        <v/>
      </c>
    </row>
    <row r="4197" spans="2:2" x14ac:dyDescent="0.25">
      <c r="B4197" t="str">
        <f>IF(C4197="","",C4197&amp;COUNTIF(C$9:C4197,C4197))</f>
        <v/>
      </c>
    </row>
    <row r="4198" spans="2:2" x14ac:dyDescent="0.25">
      <c r="B4198" t="str">
        <f>IF(C4198="","",C4198&amp;COUNTIF(C$9:C4198,C4198))</f>
        <v/>
      </c>
    </row>
    <row r="4199" spans="2:2" x14ac:dyDescent="0.25">
      <c r="B4199" t="str">
        <f>IF(C4199="","",C4199&amp;COUNTIF(C$9:C4199,C4199))</f>
        <v/>
      </c>
    </row>
    <row r="4200" spans="2:2" x14ac:dyDescent="0.25">
      <c r="B4200" t="str">
        <f>IF(C4200="","",C4200&amp;COUNTIF(C$9:C4200,C4200))</f>
        <v/>
      </c>
    </row>
    <row r="4201" spans="2:2" x14ac:dyDescent="0.25">
      <c r="B4201" t="str">
        <f>IF(C4201="","",C4201&amp;COUNTIF(C$9:C4201,C4201))</f>
        <v/>
      </c>
    </row>
    <row r="4202" spans="2:2" x14ac:dyDescent="0.25">
      <c r="B4202" t="str">
        <f>IF(C4202="","",C4202&amp;COUNTIF(C$9:C4202,C4202))</f>
        <v/>
      </c>
    </row>
    <row r="4203" spans="2:2" x14ac:dyDescent="0.25">
      <c r="B4203" t="str">
        <f>IF(C4203="","",C4203&amp;COUNTIF(C$9:C4203,C4203))</f>
        <v/>
      </c>
    </row>
    <row r="4204" spans="2:2" x14ac:dyDescent="0.25">
      <c r="B4204" t="str">
        <f>IF(C4204="","",C4204&amp;COUNTIF(C$9:C4204,C4204))</f>
        <v/>
      </c>
    </row>
    <row r="4205" spans="2:2" x14ac:dyDescent="0.25">
      <c r="B4205" t="str">
        <f>IF(C4205="","",C4205&amp;COUNTIF(C$9:C4205,C4205))</f>
        <v/>
      </c>
    </row>
    <row r="4206" spans="2:2" x14ac:dyDescent="0.25">
      <c r="B4206" t="str">
        <f>IF(C4206="","",C4206&amp;COUNTIF(C$9:C4206,C4206))</f>
        <v/>
      </c>
    </row>
    <row r="4207" spans="2:2" x14ac:dyDescent="0.25">
      <c r="B4207" t="str">
        <f>IF(C4207="","",C4207&amp;COUNTIF(C$9:C4207,C4207))</f>
        <v/>
      </c>
    </row>
    <row r="4208" spans="2:2" x14ac:dyDescent="0.25">
      <c r="B4208" t="str">
        <f>IF(C4208="","",C4208&amp;COUNTIF(C$9:C4208,C4208))</f>
        <v/>
      </c>
    </row>
    <row r="4209" spans="2:2" x14ac:dyDescent="0.25">
      <c r="B4209" t="str">
        <f>IF(C4209="","",C4209&amp;COUNTIF(C$9:C4209,C4209))</f>
        <v/>
      </c>
    </row>
    <row r="4210" spans="2:2" x14ac:dyDescent="0.25">
      <c r="B4210" t="str">
        <f>IF(C4210="","",C4210&amp;COUNTIF(C$9:C4210,C4210))</f>
        <v/>
      </c>
    </row>
    <row r="4211" spans="2:2" x14ac:dyDescent="0.25">
      <c r="B4211" t="str">
        <f>IF(C4211="","",C4211&amp;COUNTIF(C$9:C4211,C4211))</f>
        <v/>
      </c>
    </row>
    <row r="4212" spans="2:2" x14ac:dyDescent="0.25">
      <c r="B4212" t="str">
        <f>IF(C4212="","",C4212&amp;COUNTIF(C$9:C4212,C4212))</f>
        <v/>
      </c>
    </row>
    <row r="4213" spans="2:2" x14ac:dyDescent="0.25">
      <c r="B4213" t="str">
        <f>IF(C4213="","",C4213&amp;COUNTIF(C$9:C4213,C4213))</f>
        <v/>
      </c>
    </row>
    <row r="4214" spans="2:2" x14ac:dyDescent="0.25">
      <c r="B4214" t="str">
        <f>IF(C4214="","",C4214&amp;COUNTIF(C$9:C4214,C4214))</f>
        <v/>
      </c>
    </row>
    <row r="4215" spans="2:2" x14ac:dyDescent="0.25">
      <c r="B4215" t="str">
        <f>IF(C4215="","",C4215&amp;COUNTIF(C$9:C4215,C4215))</f>
        <v/>
      </c>
    </row>
    <row r="4216" spans="2:2" x14ac:dyDescent="0.25">
      <c r="B4216" t="str">
        <f>IF(C4216="","",C4216&amp;COUNTIF(C$9:C4216,C4216))</f>
        <v/>
      </c>
    </row>
    <row r="4217" spans="2:2" x14ac:dyDescent="0.25">
      <c r="B4217" t="str">
        <f>IF(C4217="","",C4217&amp;COUNTIF(C$9:C4217,C4217))</f>
        <v/>
      </c>
    </row>
    <row r="4218" spans="2:2" x14ac:dyDescent="0.25">
      <c r="B4218" t="str">
        <f>IF(C4218="","",C4218&amp;COUNTIF(C$9:C4218,C4218))</f>
        <v/>
      </c>
    </row>
    <row r="4219" spans="2:2" x14ac:dyDescent="0.25">
      <c r="B4219" t="str">
        <f>IF(C4219="","",C4219&amp;COUNTIF(C$9:C4219,C4219))</f>
        <v/>
      </c>
    </row>
    <row r="4220" spans="2:2" x14ac:dyDescent="0.25">
      <c r="B4220" t="str">
        <f>IF(C4220="","",C4220&amp;COUNTIF(C$9:C4220,C4220))</f>
        <v/>
      </c>
    </row>
    <row r="4221" spans="2:2" x14ac:dyDescent="0.25">
      <c r="B4221" t="str">
        <f>IF(C4221="","",C4221&amp;COUNTIF(C$9:C4221,C4221))</f>
        <v/>
      </c>
    </row>
    <row r="4222" spans="2:2" x14ac:dyDescent="0.25">
      <c r="B4222" t="str">
        <f>IF(C4222="","",C4222&amp;COUNTIF(C$9:C4222,C4222))</f>
        <v/>
      </c>
    </row>
    <row r="4223" spans="2:2" x14ac:dyDescent="0.25">
      <c r="B4223" t="str">
        <f>IF(C4223="","",C4223&amp;COUNTIF(C$9:C4223,C4223))</f>
        <v/>
      </c>
    </row>
    <row r="4224" spans="2:2" x14ac:dyDescent="0.25">
      <c r="B4224" t="str">
        <f>IF(C4224="","",C4224&amp;COUNTIF(C$9:C4224,C4224))</f>
        <v/>
      </c>
    </row>
    <row r="4225" spans="2:2" x14ac:dyDescent="0.25">
      <c r="B4225" t="str">
        <f>IF(C4225="","",C4225&amp;COUNTIF(C$9:C4225,C4225))</f>
        <v/>
      </c>
    </row>
    <row r="4226" spans="2:2" x14ac:dyDescent="0.25">
      <c r="B4226" t="str">
        <f>IF(C4226="","",C4226&amp;COUNTIF(C$9:C4226,C4226))</f>
        <v/>
      </c>
    </row>
    <row r="4227" spans="2:2" x14ac:dyDescent="0.25">
      <c r="B4227" t="str">
        <f>IF(C4227="","",C4227&amp;COUNTIF(C$9:C4227,C4227))</f>
        <v/>
      </c>
    </row>
    <row r="4228" spans="2:2" x14ac:dyDescent="0.25">
      <c r="B4228" t="str">
        <f>IF(C4228="","",C4228&amp;COUNTIF(C$9:C4228,C4228))</f>
        <v/>
      </c>
    </row>
    <row r="4229" spans="2:2" x14ac:dyDescent="0.25">
      <c r="B4229" t="str">
        <f>IF(C4229="","",C4229&amp;COUNTIF(C$9:C4229,C4229))</f>
        <v/>
      </c>
    </row>
    <row r="4230" spans="2:2" x14ac:dyDescent="0.25">
      <c r="B4230" t="str">
        <f>IF(C4230="","",C4230&amp;COUNTIF(C$9:C4230,C4230))</f>
        <v/>
      </c>
    </row>
    <row r="4231" spans="2:2" x14ac:dyDescent="0.25">
      <c r="B4231" t="str">
        <f>IF(C4231="","",C4231&amp;COUNTIF(C$9:C4231,C4231))</f>
        <v/>
      </c>
    </row>
    <row r="4232" spans="2:2" x14ac:dyDescent="0.25">
      <c r="B4232" t="str">
        <f>IF(C4232="","",C4232&amp;COUNTIF(C$9:C4232,C4232))</f>
        <v/>
      </c>
    </row>
    <row r="4233" spans="2:2" x14ac:dyDescent="0.25">
      <c r="B4233" t="str">
        <f>IF(C4233="","",C4233&amp;COUNTIF(C$9:C4233,C4233))</f>
        <v/>
      </c>
    </row>
    <row r="4234" spans="2:2" x14ac:dyDescent="0.25">
      <c r="B4234" t="str">
        <f>IF(C4234="","",C4234&amp;COUNTIF(C$9:C4234,C4234))</f>
        <v/>
      </c>
    </row>
    <row r="4235" spans="2:2" x14ac:dyDescent="0.25">
      <c r="B4235" t="str">
        <f>IF(C4235="","",C4235&amp;COUNTIF(C$9:C4235,C4235))</f>
        <v/>
      </c>
    </row>
    <row r="4236" spans="2:2" x14ac:dyDescent="0.25">
      <c r="B4236" t="str">
        <f>IF(C4236="","",C4236&amp;COUNTIF(C$9:C4236,C4236))</f>
        <v/>
      </c>
    </row>
    <row r="4237" spans="2:2" x14ac:dyDescent="0.25">
      <c r="B4237" t="str">
        <f>IF(C4237="","",C4237&amp;COUNTIF(C$9:C4237,C4237))</f>
        <v/>
      </c>
    </row>
    <row r="4238" spans="2:2" x14ac:dyDescent="0.25">
      <c r="B4238" t="str">
        <f>IF(C4238="","",C4238&amp;COUNTIF(C$9:C4238,C4238))</f>
        <v/>
      </c>
    </row>
    <row r="4239" spans="2:2" x14ac:dyDescent="0.25">
      <c r="B4239" t="str">
        <f>IF(C4239="","",C4239&amp;COUNTIF(C$9:C4239,C4239))</f>
        <v/>
      </c>
    </row>
    <row r="4240" spans="2:2" x14ac:dyDescent="0.25">
      <c r="B4240" t="str">
        <f>IF(C4240="","",C4240&amp;COUNTIF(C$9:C4240,C4240))</f>
        <v/>
      </c>
    </row>
    <row r="4241" spans="2:2" x14ac:dyDescent="0.25">
      <c r="B4241" t="str">
        <f>IF(C4241="","",C4241&amp;COUNTIF(C$9:C4241,C4241))</f>
        <v/>
      </c>
    </row>
    <row r="4242" spans="2:2" x14ac:dyDescent="0.25">
      <c r="B4242" t="str">
        <f>IF(C4242="","",C4242&amp;COUNTIF(C$9:C4242,C4242))</f>
        <v/>
      </c>
    </row>
    <row r="4243" spans="2:2" x14ac:dyDescent="0.25">
      <c r="B4243" t="str">
        <f>IF(C4243="","",C4243&amp;COUNTIF(C$9:C4243,C4243))</f>
        <v/>
      </c>
    </row>
    <row r="4244" spans="2:2" x14ac:dyDescent="0.25">
      <c r="B4244" t="str">
        <f>IF(C4244="","",C4244&amp;COUNTIF(C$9:C4244,C4244))</f>
        <v/>
      </c>
    </row>
    <row r="4245" spans="2:2" x14ac:dyDescent="0.25">
      <c r="B4245" t="str">
        <f>IF(C4245="","",C4245&amp;COUNTIF(C$9:C4245,C4245))</f>
        <v/>
      </c>
    </row>
    <row r="4246" spans="2:2" x14ac:dyDescent="0.25">
      <c r="B4246" t="str">
        <f>IF(C4246="","",C4246&amp;COUNTIF(C$9:C4246,C4246))</f>
        <v/>
      </c>
    </row>
    <row r="4247" spans="2:2" x14ac:dyDescent="0.25">
      <c r="B4247" t="str">
        <f>IF(C4247="","",C4247&amp;COUNTIF(C$9:C4247,C4247))</f>
        <v/>
      </c>
    </row>
    <row r="4248" spans="2:2" x14ac:dyDescent="0.25">
      <c r="B4248" t="str">
        <f>IF(C4248="","",C4248&amp;COUNTIF(C$9:C4248,C4248))</f>
        <v/>
      </c>
    </row>
    <row r="4249" spans="2:2" x14ac:dyDescent="0.25">
      <c r="B4249" t="str">
        <f>IF(C4249="","",C4249&amp;COUNTIF(C$9:C4249,C4249))</f>
        <v/>
      </c>
    </row>
    <row r="4250" spans="2:2" x14ac:dyDescent="0.25">
      <c r="B4250" t="str">
        <f>IF(C4250="","",C4250&amp;COUNTIF(C$9:C4250,C4250))</f>
        <v/>
      </c>
    </row>
    <row r="4251" spans="2:2" x14ac:dyDescent="0.25">
      <c r="B4251" t="str">
        <f>IF(C4251="","",C4251&amp;COUNTIF(C$9:C4251,C4251))</f>
        <v/>
      </c>
    </row>
    <row r="4252" spans="2:2" x14ac:dyDescent="0.25">
      <c r="B4252" t="str">
        <f>IF(C4252="","",C4252&amp;COUNTIF(C$9:C4252,C4252))</f>
        <v/>
      </c>
    </row>
    <row r="4253" spans="2:2" x14ac:dyDescent="0.25">
      <c r="B4253" t="str">
        <f>IF(C4253="","",C4253&amp;COUNTIF(C$9:C4253,C4253))</f>
        <v/>
      </c>
    </row>
    <row r="4254" spans="2:2" x14ac:dyDescent="0.25">
      <c r="B4254" t="str">
        <f>IF(C4254="","",C4254&amp;COUNTIF(C$9:C4254,C4254))</f>
        <v/>
      </c>
    </row>
    <row r="4255" spans="2:2" x14ac:dyDescent="0.25">
      <c r="B4255" t="str">
        <f>IF(C4255="","",C4255&amp;COUNTIF(C$9:C4255,C4255))</f>
        <v/>
      </c>
    </row>
    <row r="4256" spans="2:2" x14ac:dyDescent="0.25">
      <c r="B4256" t="str">
        <f>IF(C4256="","",C4256&amp;COUNTIF(C$9:C4256,C4256))</f>
        <v/>
      </c>
    </row>
    <row r="4257" spans="2:2" x14ac:dyDescent="0.25">
      <c r="B4257" t="str">
        <f>IF(C4257="","",C4257&amp;COUNTIF(C$9:C4257,C4257))</f>
        <v/>
      </c>
    </row>
    <row r="4258" spans="2:2" x14ac:dyDescent="0.25">
      <c r="B4258" t="str">
        <f>IF(C4258="","",C4258&amp;COUNTIF(C$9:C4258,C4258))</f>
        <v/>
      </c>
    </row>
    <row r="4259" spans="2:2" x14ac:dyDescent="0.25">
      <c r="B4259" t="str">
        <f>IF(C4259="","",C4259&amp;COUNTIF(C$9:C4259,C4259))</f>
        <v/>
      </c>
    </row>
    <row r="4260" spans="2:2" x14ac:dyDescent="0.25">
      <c r="B4260" t="str">
        <f>IF(C4260="","",C4260&amp;COUNTIF(C$9:C4260,C4260))</f>
        <v/>
      </c>
    </row>
    <row r="4261" spans="2:2" x14ac:dyDescent="0.25">
      <c r="B4261" t="str">
        <f>IF(C4261="","",C4261&amp;COUNTIF(C$9:C4261,C4261))</f>
        <v/>
      </c>
    </row>
    <row r="4262" spans="2:2" x14ac:dyDescent="0.25">
      <c r="B4262" t="str">
        <f>IF(C4262="","",C4262&amp;COUNTIF(C$9:C4262,C4262))</f>
        <v/>
      </c>
    </row>
    <row r="4263" spans="2:2" x14ac:dyDescent="0.25">
      <c r="B4263" t="str">
        <f>IF(C4263="","",C4263&amp;COUNTIF(C$9:C4263,C4263))</f>
        <v/>
      </c>
    </row>
    <row r="4264" spans="2:2" x14ac:dyDescent="0.25">
      <c r="B4264" t="str">
        <f>IF(C4264="","",C4264&amp;COUNTIF(C$9:C4264,C4264))</f>
        <v/>
      </c>
    </row>
    <row r="4265" spans="2:2" x14ac:dyDescent="0.25">
      <c r="B4265" t="str">
        <f>IF(C4265="","",C4265&amp;COUNTIF(C$9:C4265,C4265))</f>
        <v/>
      </c>
    </row>
    <row r="4266" spans="2:2" x14ac:dyDescent="0.25">
      <c r="B4266" t="str">
        <f>IF(C4266="","",C4266&amp;COUNTIF(C$9:C4266,C4266))</f>
        <v/>
      </c>
    </row>
    <row r="4267" spans="2:2" x14ac:dyDescent="0.25">
      <c r="B4267" t="str">
        <f>IF(C4267="","",C4267&amp;COUNTIF(C$9:C4267,C4267))</f>
        <v/>
      </c>
    </row>
    <row r="4268" spans="2:2" x14ac:dyDescent="0.25">
      <c r="B4268" t="str">
        <f>IF(C4268="","",C4268&amp;COUNTIF(C$9:C4268,C4268))</f>
        <v/>
      </c>
    </row>
    <row r="4269" spans="2:2" x14ac:dyDescent="0.25">
      <c r="B4269" t="str">
        <f>IF(C4269="","",C4269&amp;COUNTIF(C$9:C4269,C4269))</f>
        <v/>
      </c>
    </row>
    <row r="4270" spans="2:2" x14ac:dyDescent="0.25">
      <c r="B4270" t="str">
        <f>IF(C4270="","",C4270&amp;COUNTIF(C$9:C4270,C4270))</f>
        <v/>
      </c>
    </row>
    <row r="4271" spans="2:2" x14ac:dyDescent="0.25">
      <c r="B4271" t="str">
        <f>IF(C4271="","",C4271&amp;COUNTIF(C$9:C4271,C4271))</f>
        <v/>
      </c>
    </row>
    <row r="4272" spans="2:2" x14ac:dyDescent="0.25">
      <c r="B4272" t="str">
        <f>IF(C4272="","",C4272&amp;COUNTIF(C$9:C4272,C4272))</f>
        <v/>
      </c>
    </row>
    <row r="4273" spans="2:2" x14ac:dyDescent="0.25">
      <c r="B4273" t="str">
        <f>IF(C4273="","",C4273&amp;COUNTIF(C$9:C4273,C4273))</f>
        <v/>
      </c>
    </row>
    <row r="4274" spans="2:2" x14ac:dyDescent="0.25">
      <c r="B4274" t="str">
        <f>IF(C4274="","",C4274&amp;COUNTIF(C$9:C4274,C4274))</f>
        <v/>
      </c>
    </row>
    <row r="4275" spans="2:2" x14ac:dyDescent="0.25">
      <c r="B4275" t="str">
        <f>IF(C4275="","",C4275&amp;COUNTIF(C$9:C4275,C4275))</f>
        <v/>
      </c>
    </row>
    <row r="4276" spans="2:2" x14ac:dyDescent="0.25">
      <c r="B4276" t="str">
        <f>IF(C4276="","",C4276&amp;COUNTIF(C$9:C4276,C4276))</f>
        <v/>
      </c>
    </row>
    <row r="4277" spans="2:2" x14ac:dyDescent="0.25">
      <c r="B4277" t="str">
        <f>IF(C4277="","",C4277&amp;COUNTIF(C$9:C4277,C4277))</f>
        <v/>
      </c>
    </row>
    <row r="4278" spans="2:2" x14ac:dyDescent="0.25">
      <c r="B4278" t="str">
        <f>IF(C4278="","",C4278&amp;COUNTIF(C$9:C4278,C4278))</f>
        <v/>
      </c>
    </row>
    <row r="4279" spans="2:2" x14ac:dyDescent="0.25">
      <c r="B4279" t="str">
        <f>IF(C4279="","",C4279&amp;COUNTIF(C$9:C4279,C4279))</f>
        <v/>
      </c>
    </row>
    <row r="4280" spans="2:2" x14ac:dyDescent="0.25">
      <c r="B4280" t="str">
        <f>IF(C4280="","",C4280&amp;COUNTIF(C$9:C4280,C4280))</f>
        <v/>
      </c>
    </row>
    <row r="4281" spans="2:2" x14ac:dyDescent="0.25">
      <c r="B4281" t="str">
        <f>IF(C4281="","",C4281&amp;COUNTIF(C$9:C4281,C4281))</f>
        <v/>
      </c>
    </row>
    <row r="4282" spans="2:2" x14ac:dyDescent="0.25">
      <c r="B4282" t="str">
        <f>IF(C4282="","",C4282&amp;COUNTIF(C$9:C4282,C4282))</f>
        <v/>
      </c>
    </row>
    <row r="4283" spans="2:2" x14ac:dyDescent="0.25">
      <c r="B4283" t="str">
        <f>IF(C4283="","",C4283&amp;COUNTIF(C$9:C4283,C4283))</f>
        <v/>
      </c>
    </row>
    <row r="4284" spans="2:2" x14ac:dyDescent="0.25">
      <c r="B4284" t="str">
        <f>IF(C4284="","",C4284&amp;COUNTIF(C$9:C4284,C4284))</f>
        <v/>
      </c>
    </row>
    <row r="4285" spans="2:2" x14ac:dyDescent="0.25">
      <c r="B4285" t="str">
        <f>IF(C4285="","",C4285&amp;COUNTIF(C$9:C4285,C4285))</f>
        <v/>
      </c>
    </row>
    <row r="4286" spans="2:2" x14ac:dyDescent="0.25">
      <c r="B4286" t="str">
        <f>IF(C4286="","",C4286&amp;COUNTIF(C$9:C4286,C4286))</f>
        <v/>
      </c>
    </row>
    <row r="4287" spans="2:2" x14ac:dyDescent="0.25">
      <c r="B4287" t="str">
        <f>IF(C4287="","",C4287&amp;COUNTIF(C$9:C4287,C4287))</f>
        <v/>
      </c>
    </row>
    <row r="4288" spans="2:2" x14ac:dyDescent="0.25">
      <c r="B4288" t="str">
        <f>IF(C4288="","",C4288&amp;COUNTIF(C$9:C4288,C4288))</f>
        <v/>
      </c>
    </row>
    <row r="4289" spans="2:2" x14ac:dyDescent="0.25">
      <c r="B4289" t="str">
        <f>IF(C4289="","",C4289&amp;COUNTIF(C$9:C4289,C4289))</f>
        <v/>
      </c>
    </row>
    <row r="4290" spans="2:2" x14ac:dyDescent="0.25">
      <c r="B4290" t="str">
        <f>IF(C4290="","",C4290&amp;COUNTIF(C$9:C4290,C4290))</f>
        <v/>
      </c>
    </row>
    <row r="4291" spans="2:2" x14ac:dyDescent="0.25">
      <c r="B4291" t="str">
        <f>IF(C4291="","",C4291&amp;COUNTIF(C$9:C4291,C4291))</f>
        <v/>
      </c>
    </row>
    <row r="4292" spans="2:2" x14ac:dyDescent="0.25">
      <c r="B4292" t="str">
        <f>IF(C4292="","",C4292&amp;COUNTIF(C$9:C4292,C4292))</f>
        <v/>
      </c>
    </row>
    <row r="4293" spans="2:2" x14ac:dyDescent="0.25">
      <c r="B4293" t="str">
        <f>IF(C4293="","",C4293&amp;COUNTIF(C$9:C4293,C4293))</f>
        <v/>
      </c>
    </row>
    <row r="4294" spans="2:2" x14ac:dyDescent="0.25">
      <c r="B4294" t="str">
        <f>IF(C4294="","",C4294&amp;COUNTIF(C$9:C4294,C4294))</f>
        <v/>
      </c>
    </row>
    <row r="4295" spans="2:2" x14ac:dyDescent="0.25">
      <c r="B4295" t="str">
        <f>IF(C4295="","",C4295&amp;COUNTIF(C$9:C4295,C4295))</f>
        <v/>
      </c>
    </row>
    <row r="4296" spans="2:2" x14ac:dyDescent="0.25">
      <c r="B4296" t="str">
        <f>IF(C4296="","",C4296&amp;COUNTIF(C$9:C4296,C4296))</f>
        <v/>
      </c>
    </row>
    <row r="4297" spans="2:2" x14ac:dyDescent="0.25">
      <c r="B4297" t="str">
        <f>IF(C4297="","",C4297&amp;COUNTIF(C$9:C4297,C4297))</f>
        <v/>
      </c>
    </row>
    <row r="4298" spans="2:2" x14ac:dyDescent="0.25">
      <c r="B4298" t="str">
        <f>IF(C4298="","",C4298&amp;COUNTIF(C$9:C4298,C4298))</f>
        <v/>
      </c>
    </row>
    <row r="4299" spans="2:2" x14ac:dyDescent="0.25">
      <c r="B4299" t="str">
        <f>IF(C4299="","",C4299&amp;COUNTIF(C$9:C4299,C4299))</f>
        <v/>
      </c>
    </row>
    <row r="4300" spans="2:2" x14ac:dyDescent="0.25">
      <c r="B4300" t="str">
        <f>IF(C4300="","",C4300&amp;COUNTIF(C$9:C4300,C4300))</f>
        <v/>
      </c>
    </row>
    <row r="4301" spans="2:2" x14ac:dyDescent="0.25">
      <c r="B4301" t="str">
        <f>IF(C4301="","",C4301&amp;COUNTIF(C$9:C4301,C4301))</f>
        <v/>
      </c>
    </row>
    <row r="4302" spans="2:2" x14ac:dyDescent="0.25">
      <c r="B4302" t="str">
        <f>IF(C4302="","",C4302&amp;COUNTIF(C$9:C4302,C4302))</f>
        <v/>
      </c>
    </row>
    <row r="4303" spans="2:2" x14ac:dyDescent="0.25">
      <c r="B4303" t="str">
        <f>IF(C4303="","",C4303&amp;COUNTIF(C$9:C4303,C4303))</f>
        <v/>
      </c>
    </row>
    <row r="4304" spans="2:2" x14ac:dyDescent="0.25">
      <c r="B4304" t="str">
        <f>IF(C4304="","",C4304&amp;COUNTIF(C$9:C4304,C4304))</f>
        <v/>
      </c>
    </row>
    <row r="4305" spans="2:2" x14ac:dyDescent="0.25">
      <c r="B4305" t="str">
        <f>IF(C4305="","",C4305&amp;COUNTIF(C$9:C4305,C4305))</f>
        <v/>
      </c>
    </row>
    <row r="4306" spans="2:2" x14ac:dyDescent="0.25">
      <c r="B4306" t="str">
        <f>IF(C4306="","",C4306&amp;COUNTIF(C$9:C4306,C4306))</f>
        <v/>
      </c>
    </row>
    <row r="4307" spans="2:2" x14ac:dyDescent="0.25">
      <c r="B4307" t="str">
        <f>IF(C4307="","",C4307&amp;COUNTIF(C$9:C4307,C4307))</f>
        <v/>
      </c>
    </row>
    <row r="4308" spans="2:2" x14ac:dyDescent="0.25">
      <c r="B4308" t="str">
        <f>IF(C4308="","",C4308&amp;COUNTIF(C$9:C4308,C4308))</f>
        <v/>
      </c>
    </row>
    <row r="4309" spans="2:2" x14ac:dyDescent="0.25">
      <c r="B4309" t="str">
        <f>IF(C4309="","",C4309&amp;COUNTIF(C$9:C4309,C4309))</f>
        <v/>
      </c>
    </row>
    <row r="4310" spans="2:2" x14ac:dyDescent="0.25">
      <c r="B4310" t="str">
        <f>IF(C4310="","",C4310&amp;COUNTIF(C$9:C4310,C4310))</f>
        <v/>
      </c>
    </row>
    <row r="4311" spans="2:2" x14ac:dyDescent="0.25">
      <c r="B4311" t="str">
        <f>IF(C4311="","",C4311&amp;COUNTIF(C$9:C4311,C4311))</f>
        <v/>
      </c>
    </row>
    <row r="4312" spans="2:2" x14ac:dyDescent="0.25">
      <c r="B4312" t="str">
        <f>IF(C4312="","",C4312&amp;COUNTIF(C$9:C4312,C4312))</f>
        <v/>
      </c>
    </row>
    <row r="4313" spans="2:2" x14ac:dyDescent="0.25">
      <c r="B4313" t="str">
        <f>IF(C4313="","",C4313&amp;COUNTIF(C$9:C4313,C4313))</f>
        <v/>
      </c>
    </row>
    <row r="4314" spans="2:2" x14ac:dyDescent="0.25">
      <c r="B4314" t="str">
        <f>IF(C4314="","",C4314&amp;COUNTIF(C$9:C4314,C4314))</f>
        <v/>
      </c>
    </row>
    <row r="4315" spans="2:2" x14ac:dyDescent="0.25">
      <c r="B4315" t="str">
        <f>IF(C4315="","",C4315&amp;COUNTIF(C$9:C4315,C4315))</f>
        <v/>
      </c>
    </row>
    <row r="4316" spans="2:2" x14ac:dyDescent="0.25">
      <c r="B4316" t="str">
        <f>IF(C4316="","",C4316&amp;COUNTIF(C$9:C4316,C4316))</f>
        <v/>
      </c>
    </row>
    <row r="4317" spans="2:2" x14ac:dyDescent="0.25">
      <c r="B4317" t="str">
        <f>IF(C4317="","",C4317&amp;COUNTIF(C$9:C4317,C4317))</f>
        <v/>
      </c>
    </row>
    <row r="4318" spans="2:2" x14ac:dyDescent="0.25">
      <c r="B4318" t="str">
        <f>IF(C4318="","",C4318&amp;COUNTIF(C$9:C4318,C4318))</f>
        <v/>
      </c>
    </row>
    <row r="4319" spans="2:2" x14ac:dyDescent="0.25">
      <c r="B4319" t="str">
        <f>IF(C4319="","",C4319&amp;COUNTIF(C$9:C4319,C4319))</f>
        <v/>
      </c>
    </row>
    <row r="4320" spans="2:2" x14ac:dyDescent="0.25">
      <c r="B4320" t="str">
        <f>IF(C4320="","",C4320&amp;COUNTIF(C$9:C4320,C4320))</f>
        <v/>
      </c>
    </row>
    <row r="4321" spans="2:2" x14ac:dyDescent="0.25">
      <c r="B4321" t="str">
        <f>IF(C4321="","",C4321&amp;COUNTIF(C$9:C4321,C4321))</f>
        <v/>
      </c>
    </row>
    <row r="4322" spans="2:2" x14ac:dyDescent="0.25">
      <c r="B4322" t="str">
        <f>IF(C4322="","",C4322&amp;COUNTIF(C$9:C4322,C4322))</f>
        <v/>
      </c>
    </row>
    <row r="4323" spans="2:2" x14ac:dyDescent="0.25">
      <c r="B4323" t="str">
        <f>IF(C4323="","",C4323&amp;COUNTIF(C$9:C4323,C4323))</f>
        <v/>
      </c>
    </row>
    <row r="4324" spans="2:2" x14ac:dyDescent="0.25">
      <c r="B4324" t="str">
        <f>IF(C4324="","",C4324&amp;COUNTIF(C$9:C4324,C4324))</f>
        <v/>
      </c>
    </row>
    <row r="4325" spans="2:2" x14ac:dyDescent="0.25">
      <c r="B4325" t="str">
        <f>IF(C4325="","",C4325&amp;COUNTIF(C$9:C4325,C4325))</f>
        <v/>
      </c>
    </row>
    <row r="4326" spans="2:2" x14ac:dyDescent="0.25">
      <c r="B4326" t="str">
        <f>IF(C4326="","",C4326&amp;COUNTIF(C$9:C4326,C4326))</f>
        <v/>
      </c>
    </row>
    <row r="4327" spans="2:2" x14ac:dyDescent="0.25">
      <c r="B4327" t="str">
        <f>IF(C4327="","",C4327&amp;COUNTIF(C$9:C4327,C4327))</f>
        <v/>
      </c>
    </row>
    <row r="4328" spans="2:2" x14ac:dyDescent="0.25">
      <c r="B4328" t="str">
        <f>IF(C4328="","",C4328&amp;COUNTIF(C$9:C4328,C4328))</f>
        <v/>
      </c>
    </row>
    <row r="4329" spans="2:2" x14ac:dyDescent="0.25">
      <c r="B4329" t="str">
        <f>IF(C4329="","",C4329&amp;COUNTIF(C$9:C4329,C4329))</f>
        <v/>
      </c>
    </row>
    <row r="4330" spans="2:2" x14ac:dyDescent="0.25">
      <c r="B4330" t="str">
        <f>IF(C4330="","",C4330&amp;COUNTIF(C$9:C4330,C4330))</f>
        <v/>
      </c>
    </row>
    <row r="4331" spans="2:2" x14ac:dyDescent="0.25">
      <c r="B4331" t="str">
        <f>IF(C4331="","",C4331&amp;COUNTIF(C$9:C4331,C4331))</f>
        <v/>
      </c>
    </row>
    <row r="4332" spans="2:2" x14ac:dyDescent="0.25">
      <c r="B4332" t="str">
        <f>IF(C4332="","",C4332&amp;COUNTIF(C$9:C4332,C4332))</f>
        <v/>
      </c>
    </row>
    <row r="4333" spans="2:2" x14ac:dyDescent="0.25">
      <c r="B4333" t="str">
        <f>IF(C4333="","",C4333&amp;COUNTIF(C$9:C4333,C4333))</f>
        <v/>
      </c>
    </row>
    <row r="4334" spans="2:2" x14ac:dyDescent="0.25">
      <c r="B4334" t="str">
        <f>IF(C4334="","",C4334&amp;COUNTIF(C$9:C4334,C4334))</f>
        <v/>
      </c>
    </row>
    <row r="4335" spans="2:2" x14ac:dyDescent="0.25">
      <c r="B4335" t="str">
        <f>IF(C4335="","",C4335&amp;COUNTIF(C$9:C4335,C4335))</f>
        <v/>
      </c>
    </row>
    <row r="4336" spans="2:2" x14ac:dyDescent="0.25">
      <c r="B4336" t="str">
        <f>IF(C4336="","",C4336&amp;COUNTIF(C$9:C4336,C4336))</f>
        <v/>
      </c>
    </row>
    <row r="4337" spans="2:2" x14ac:dyDescent="0.25">
      <c r="B4337" t="str">
        <f>IF(C4337="","",C4337&amp;COUNTIF(C$9:C4337,C4337))</f>
        <v/>
      </c>
    </row>
    <row r="4338" spans="2:2" x14ac:dyDescent="0.25">
      <c r="B4338" t="str">
        <f>IF(C4338="","",C4338&amp;COUNTIF(C$9:C4338,C4338))</f>
        <v/>
      </c>
    </row>
    <row r="4339" spans="2:2" x14ac:dyDescent="0.25">
      <c r="B4339" t="str">
        <f>IF(C4339="","",C4339&amp;COUNTIF(C$9:C4339,C4339))</f>
        <v/>
      </c>
    </row>
    <row r="4340" spans="2:2" x14ac:dyDescent="0.25">
      <c r="B4340" t="str">
        <f>IF(C4340="","",C4340&amp;COUNTIF(C$9:C4340,C4340))</f>
        <v/>
      </c>
    </row>
    <row r="4341" spans="2:2" x14ac:dyDescent="0.25">
      <c r="B4341" t="str">
        <f>IF(C4341="","",C4341&amp;COUNTIF(C$9:C4341,C4341))</f>
        <v/>
      </c>
    </row>
    <row r="4342" spans="2:2" x14ac:dyDescent="0.25">
      <c r="B4342" t="str">
        <f>IF(C4342="","",C4342&amp;COUNTIF(C$9:C4342,C4342))</f>
        <v/>
      </c>
    </row>
    <row r="4343" spans="2:2" x14ac:dyDescent="0.25">
      <c r="B4343" t="str">
        <f>IF(C4343="","",C4343&amp;COUNTIF(C$9:C4343,C4343))</f>
        <v/>
      </c>
    </row>
    <row r="4344" spans="2:2" x14ac:dyDescent="0.25">
      <c r="B4344" t="str">
        <f>IF(C4344="","",C4344&amp;COUNTIF(C$9:C4344,C4344))</f>
        <v/>
      </c>
    </row>
    <row r="4345" spans="2:2" x14ac:dyDescent="0.25">
      <c r="B4345" t="str">
        <f>IF(C4345="","",C4345&amp;COUNTIF(C$9:C4345,C4345))</f>
        <v/>
      </c>
    </row>
    <row r="4346" spans="2:2" x14ac:dyDescent="0.25">
      <c r="B4346" t="str">
        <f>IF(C4346="","",C4346&amp;COUNTIF(C$9:C4346,C4346))</f>
        <v/>
      </c>
    </row>
    <row r="4347" spans="2:2" x14ac:dyDescent="0.25">
      <c r="B4347" t="str">
        <f>IF(C4347="","",C4347&amp;COUNTIF(C$9:C4347,C4347))</f>
        <v/>
      </c>
    </row>
    <row r="4348" spans="2:2" x14ac:dyDescent="0.25">
      <c r="B4348" t="str">
        <f>IF(C4348="","",C4348&amp;COUNTIF(C$9:C4348,C4348))</f>
        <v/>
      </c>
    </row>
    <row r="4349" spans="2:2" x14ac:dyDescent="0.25">
      <c r="B4349" t="str">
        <f>IF(C4349="","",C4349&amp;COUNTIF(C$9:C4349,C4349))</f>
        <v/>
      </c>
    </row>
    <row r="4350" spans="2:2" x14ac:dyDescent="0.25">
      <c r="B4350" t="str">
        <f>IF(C4350="","",C4350&amp;COUNTIF(C$9:C4350,C4350))</f>
        <v/>
      </c>
    </row>
    <row r="4351" spans="2:2" x14ac:dyDescent="0.25">
      <c r="B4351" t="str">
        <f>IF(C4351="","",C4351&amp;COUNTIF(C$9:C4351,C4351))</f>
        <v/>
      </c>
    </row>
    <row r="4352" spans="2:2" x14ac:dyDescent="0.25">
      <c r="B4352" t="str">
        <f>IF(C4352="","",C4352&amp;COUNTIF(C$9:C4352,C4352))</f>
        <v/>
      </c>
    </row>
    <row r="4353" spans="2:2" x14ac:dyDescent="0.25">
      <c r="B4353" t="str">
        <f>IF(C4353="","",C4353&amp;COUNTIF(C$9:C4353,C4353))</f>
        <v/>
      </c>
    </row>
    <row r="4354" spans="2:2" x14ac:dyDescent="0.25">
      <c r="B4354" t="str">
        <f>IF(C4354="","",C4354&amp;COUNTIF(C$9:C4354,C4354))</f>
        <v/>
      </c>
    </row>
    <row r="4355" spans="2:2" x14ac:dyDescent="0.25">
      <c r="B4355" t="str">
        <f>IF(C4355="","",C4355&amp;COUNTIF(C$9:C4355,C4355))</f>
        <v/>
      </c>
    </row>
    <row r="4356" spans="2:2" x14ac:dyDescent="0.25">
      <c r="B4356" t="str">
        <f>IF(C4356="","",C4356&amp;COUNTIF(C$9:C4356,C4356))</f>
        <v/>
      </c>
    </row>
    <row r="4357" spans="2:2" x14ac:dyDescent="0.25">
      <c r="B4357" t="str">
        <f>IF(C4357="","",C4357&amp;COUNTIF(C$9:C4357,C4357))</f>
        <v/>
      </c>
    </row>
    <row r="4358" spans="2:2" x14ac:dyDescent="0.25">
      <c r="B4358" t="str">
        <f>IF(C4358="","",C4358&amp;COUNTIF(C$9:C4358,C4358))</f>
        <v/>
      </c>
    </row>
    <row r="4359" spans="2:2" x14ac:dyDescent="0.25">
      <c r="B4359" t="str">
        <f>IF(C4359="","",C4359&amp;COUNTIF(C$9:C4359,C4359))</f>
        <v/>
      </c>
    </row>
    <row r="4360" spans="2:2" x14ac:dyDescent="0.25">
      <c r="B4360" t="str">
        <f>IF(C4360="","",C4360&amp;COUNTIF(C$9:C4360,C4360))</f>
        <v/>
      </c>
    </row>
    <row r="4361" spans="2:2" x14ac:dyDescent="0.25">
      <c r="B4361" t="str">
        <f>IF(C4361="","",C4361&amp;COUNTIF(C$9:C4361,C4361))</f>
        <v/>
      </c>
    </row>
    <row r="4362" spans="2:2" x14ac:dyDescent="0.25">
      <c r="B4362" t="str">
        <f>IF(C4362="","",C4362&amp;COUNTIF(C$9:C4362,C4362))</f>
        <v/>
      </c>
    </row>
    <row r="4363" spans="2:2" x14ac:dyDescent="0.25">
      <c r="B4363" t="str">
        <f>IF(C4363="","",C4363&amp;COUNTIF(C$9:C4363,C4363))</f>
        <v/>
      </c>
    </row>
    <row r="4364" spans="2:2" x14ac:dyDescent="0.25">
      <c r="B4364" t="str">
        <f>IF(C4364="","",C4364&amp;COUNTIF(C$9:C4364,C4364))</f>
        <v/>
      </c>
    </row>
    <row r="4365" spans="2:2" x14ac:dyDescent="0.25">
      <c r="B4365" t="str">
        <f>IF(C4365="","",C4365&amp;COUNTIF(C$9:C4365,C4365))</f>
        <v/>
      </c>
    </row>
    <row r="4366" spans="2:2" x14ac:dyDescent="0.25">
      <c r="B4366" t="str">
        <f>IF(C4366="","",C4366&amp;COUNTIF(C$9:C4366,C4366))</f>
        <v/>
      </c>
    </row>
    <row r="4367" spans="2:2" x14ac:dyDescent="0.25">
      <c r="B4367" t="str">
        <f>IF(C4367="","",C4367&amp;COUNTIF(C$9:C4367,C4367))</f>
        <v/>
      </c>
    </row>
    <row r="4368" spans="2:2" x14ac:dyDescent="0.25">
      <c r="B4368" t="str">
        <f>IF(C4368="","",C4368&amp;COUNTIF(C$9:C4368,C4368))</f>
        <v/>
      </c>
    </row>
    <row r="4369" spans="2:2" x14ac:dyDescent="0.25">
      <c r="B4369" t="str">
        <f>IF(C4369="","",C4369&amp;COUNTIF(C$9:C4369,C4369))</f>
        <v/>
      </c>
    </row>
    <row r="4370" spans="2:2" x14ac:dyDescent="0.25">
      <c r="B4370" t="str">
        <f>IF(C4370="","",C4370&amp;COUNTIF(C$9:C4370,C4370))</f>
        <v/>
      </c>
    </row>
    <row r="4371" spans="2:2" x14ac:dyDescent="0.25">
      <c r="B4371" t="str">
        <f>IF(C4371="","",C4371&amp;COUNTIF(C$9:C4371,C4371))</f>
        <v/>
      </c>
    </row>
    <row r="4372" spans="2:2" x14ac:dyDescent="0.25">
      <c r="B4372" t="str">
        <f>IF(C4372="","",C4372&amp;COUNTIF(C$9:C4372,C4372))</f>
        <v/>
      </c>
    </row>
    <row r="4373" spans="2:2" x14ac:dyDescent="0.25">
      <c r="B4373" t="str">
        <f>IF(C4373="","",C4373&amp;COUNTIF(C$9:C4373,C4373))</f>
        <v/>
      </c>
    </row>
    <row r="4374" spans="2:2" x14ac:dyDescent="0.25">
      <c r="B4374" t="str">
        <f>IF(C4374="","",C4374&amp;COUNTIF(C$9:C4374,C4374))</f>
        <v/>
      </c>
    </row>
    <row r="4375" spans="2:2" x14ac:dyDescent="0.25">
      <c r="B4375" t="str">
        <f>IF(C4375="","",C4375&amp;COUNTIF(C$9:C4375,C4375))</f>
        <v/>
      </c>
    </row>
    <row r="4376" spans="2:2" x14ac:dyDescent="0.25">
      <c r="B4376" t="str">
        <f>IF(C4376="","",C4376&amp;COUNTIF(C$9:C4376,C4376))</f>
        <v/>
      </c>
    </row>
    <row r="4377" spans="2:2" x14ac:dyDescent="0.25">
      <c r="B4377" t="str">
        <f>IF(C4377="","",C4377&amp;COUNTIF(C$9:C4377,C4377))</f>
        <v/>
      </c>
    </row>
    <row r="4378" spans="2:2" x14ac:dyDescent="0.25">
      <c r="B4378" t="str">
        <f>IF(C4378="","",C4378&amp;COUNTIF(C$9:C4378,C4378))</f>
        <v/>
      </c>
    </row>
    <row r="4379" spans="2:2" x14ac:dyDescent="0.25">
      <c r="B4379" t="str">
        <f>IF(C4379="","",C4379&amp;COUNTIF(C$9:C4379,C4379))</f>
        <v/>
      </c>
    </row>
    <row r="4380" spans="2:2" x14ac:dyDescent="0.25">
      <c r="B4380" t="str">
        <f>IF(C4380="","",C4380&amp;COUNTIF(C$9:C4380,C4380))</f>
        <v/>
      </c>
    </row>
    <row r="4381" spans="2:2" x14ac:dyDescent="0.25">
      <c r="B4381" t="str">
        <f>IF(C4381="","",C4381&amp;COUNTIF(C$9:C4381,C4381))</f>
        <v/>
      </c>
    </row>
    <row r="4382" spans="2:2" x14ac:dyDescent="0.25">
      <c r="B4382" t="str">
        <f>IF(C4382="","",C4382&amp;COUNTIF(C$9:C4382,C4382))</f>
        <v/>
      </c>
    </row>
    <row r="4383" spans="2:2" x14ac:dyDescent="0.25">
      <c r="B4383" t="str">
        <f>IF(C4383="","",C4383&amp;COUNTIF(C$9:C4383,C4383))</f>
        <v/>
      </c>
    </row>
    <row r="4384" spans="2:2" x14ac:dyDescent="0.25">
      <c r="B4384" t="str">
        <f>IF(C4384="","",C4384&amp;COUNTIF(C$9:C4384,C4384))</f>
        <v/>
      </c>
    </row>
    <row r="4385" spans="2:2" x14ac:dyDescent="0.25">
      <c r="B4385" t="str">
        <f>IF(C4385="","",C4385&amp;COUNTIF(C$9:C4385,C4385))</f>
        <v/>
      </c>
    </row>
    <row r="4386" spans="2:2" x14ac:dyDescent="0.25">
      <c r="B4386" t="str">
        <f>IF(C4386="","",C4386&amp;COUNTIF(C$9:C4386,C4386))</f>
        <v/>
      </c>
    </row>
    <row r="4387" spans="2:2" x14ac:dyDescent="0.25">
      <c r="B4387" t="str">
        <f>IF(C4387="","",C4387&amp;COUNTIF(C$9:C4387,C4387))</f>
        <v/>
      </c>
    </row>
    <row r="4388" spans="2:2" x14ac:dyDescent="0.25">
      <c r="B4388" t="str">
        <f>IF(C4388="","",C4388&amp;COUNTIF(C$9:C4388,C4388))</f>
        <v/>
      </c>
    </row>
    <row r="4389" spans="2:2" x14ac:dyDescent="0.25">
      <c r="B4389" t="str">
        <f>IF(C4389="","",C4389&amp;COUNTIF(C$9:C4389,C4389))</f>
        <v/>
      </c>
    </row>
    <row r="4390" spans="2:2" x14ac:dyDescent="0.25">
      <c r="B4390" t="str">
        <f>IF(C4390="","",C4390&amp;COUNTIF(C$9:C4390,C4390))</f>
        <v/>
      </c>
    </row>
    <row r="4391" spans="2:2" x14ac:dyDescent="0.25">
      <c r="B4391" t="str">
        <f>IF(C4391="","",C4391&amp;COUNTIF(C$9:C4391,C4391))</f>
        <v/>
      </c>
    </row>
    <row r="4392" spans="2:2" x14ac:dyDescent="0.25">
      <c r="B4392" t="str">
        <f>IF(C4392="","",C4392&amp;COUNTIF(C$9:C4392,C4392))</f>
        <v/>
      </c>
    </row>
    <row r="4393" spans="2:2" x14ac:dyDescent="0.25">
      <c r="B4393" t="str">
        <f>IF(C4393="","",C4393&amp;COUNTIF(C$9:C4393,C4393))</f>
        <v/>
      </c>
    </row>
    <row r="4394" spans="2:2" x14ac:dyDescent="0.25">
      <c r="B4394" t="str">
        <f>IF(C4394="","",C4394&amp;COUNTIF(C$9:C4394,C4394))</f>
        <v/>
      </c>
    </row>
    <row r="4395" spans="2:2" x14ac:dyDescent="0.25">
      <c r="B4395" t="str">
        <f>IF(C4395="","",C4395&amp;COUNTIF(C$9:C4395,C4395))</f>
        <v/>
      </c>
    </row>
    <row r="4396" spans="2:2" x14ac:dyDescent="0.25">
      <c r="B4396" t="str">
        <f>IF(C4396="","",C4396&amp;COUNTIF(C$9:C4396,C4396))</f>
        <v/>
      </c>
    </row>
    <row r="4397" spans="2:2" x14ac:dyDescent="0.25">
      <c r="B4397" t="str">
        <f>IF(C4397="","",C4397&amp;COUNTIF(C$9:C4397,C4397))</f>
        <v/>
      </c>
    </row>
    <row r="4398" spans="2:2" x14ac:dyDescent="0.25">
      <c r="B4398" t="str">
        <f>IF(C4398="","",C4398&amp;COUNTIF(C$9:C4398,C4398))</f>
        <v/>
      </c>
    </row>
    <row r="4399" spans="2:2" x14ac:dyDescent="0.25">
      <c r="B4399" t="str">
        <f>IF(C4399="","",C4399&amp;COUNTIF(C$9:C4399,C4399))</f>
        <v/>
      </c>
    </row>
    <row r="4400" spans="2:2" x14ac:dyDescent="0.25">
      <c r="B4400" t="str">
        <f>IF(C4400="","",C4400&amp;COUNTIF(C$9:C4400,C4400))</f>
        <v/>
      </c>
    </row>
    <row r="4401" spans="2:2" x14ac:dyDescent="0.25">
      <c r="B4401" t="str">
        <f>IF(C4401="","",C4401&amp;COUNTIF(C$9:C4401,C4401))</f>
        <v/>
      </c>
    </row>
    <row r="4402" spans="2:2" x14ac:dyDescent="0.25">
      <c r="B4402" t="str">
        <f>IF(C4402="","",C4402&amp;COUNTIF(C$9:C4402,C4402))</f>
        <v/>
      </c>
    </row>
    <row r="4403" spans="2:2" x14ac:dyDescent="0.25">
      <c r="B4403" t="str">
        <f>IF(C4403="","",C4403&amp;COUNTIF(C$9:C4403,C4403))</f>
        <v/>
      </c>
    </row>
    <row r="4404" spans="2:2" x14ac:dyDescent="0.25">
      <c r="B4404" t="str">
        <f>IF(C4404="","",C4404&amp;COUNTIF(C$9:C4404,C4404))</f>
        <v/>
      </c>
    </row>
    <row r="4405" spans="2:2" x14ac:dyDescent="0.25">
      <c r="B4405" t="str">
        <f>IF(C4405="","",C4405&amp;COUNTIF(C$9:C4405,C4405))</f>
        <v/>
      </c>
    </row>
    <row r="4406" spans="2:2" x14ac:dyDescent="0.25">
      <c r="B4406" t="str">
        <f>IF(C4406="","",C4406&amp;COUNTIF(C$9:C4406,C4406))</f>
        <v/>
      </c>
    </row>
    <row r="4407" spans="2:2" x14ac:dyDescent="0.25">
      <c r="B4407" t="str">
        <f>IF(C4407="","",C4407&amp;COUNTIF(C$9:C4407,C4407))</f>
        <v/>
      </c>
    </row>
    <row r="4408" spans="2:2" x14ac:dyDescent="0.25">
      <c r="B4408" t="str">
        <f>IF(C4408="","",C4408&amp;COUNTIF(C$9:C4408,C4408))</f>
        <v/>
      </c>
    </row>
    <row r="4409" spans="2:2" x14ac:dyDescent="0.25">
      <c r="B4409" t="str">
        <f>IF(C4409="","",C4409&amp;COUNTIF(C$9:C4409,C4409))</f>
        <v/>
      </c>
    </row>
    <row r="4410" spans="2:2" x14ac:dyDescent="0.25">
      <c r="B4410" t="str">
        <f>IF(C4410="","",C4410&amp;COUNTIF(C$9:C4410,C4410))</f>
        <v/>
      </c>
    </row>
    <row r="4411" spans="2:2" x14ac:dyDescent="0.25">
      <c r="B4411" t="str">
        <f>IF(C4411="","",C4411&amp;COUNTIF(C$9:C4411,C4411))</f>
        <v/>
      </c>
    </row>
    <row r="4412" spans="2:2" x14ac:dyDescent="0.25">
      <c r="B4412" t="str">
        <f>IF(C4412="","",C4412&amp;COUNTIF(C$9:C4412,C4412))</f>
        <v/>
      </c>
    </row>
    <row r="4413" spans="2:2" x14ac:dyDescent="0.25">
      <c r="B4413" t="str">
        <f>IF(C4413="","",C4413&amp;COUNTIF(C$9:C4413,C4413))</f>
        <v/>
      </c>
    </row>
    <row r="4414" spans="2:2" x14ac:dyDescent="0.25">
      <c r="B4414" t="str">
        <f>IF(C4414="","",C4414&amp;COUNTIF(C$9:C4414,C4414))</f>
        <v/>
      </c>
    </row>
    <row r="4415" spans="2:2" x14ac:dyDescent="0.25">
      <c r="B4415" t="str">
        <f>IF(C4415="","",C4415&amp;COUNTIF(C$9:C4415,C4415))</f>
        <v/>
      </c>
    </row>
    <row r="4416" spans="2:2" x14ac:dyDescent="0.25">
      <c r="B4416" t="str">
        <f>IF(C4416="","",C4416&amp;COUNTIF(C$9:C4416,C4416))</f>
        <v/>
      </c>
    </row>
    <row r="4417" spans="2:2" x14ac:dyDescent="0.25">
      <c r="B4417" t="str">
        <f>IF(C4417="","",C4417&amp;COUNTIF(C$9:C4417,C4417))</f>
        <v/>
      </c>
    </row>
    <row r="4418" spans="2:2" x14ac:dyDescent="0.25">
      <c r="B4418" t="str">
        <f>IF(C4418="","",C4418&amp;COUNTIF(C$9:C4418,C4418))</f>
        <v/>
      </c>
    </row>
    <row r="4419" spans="2:2" x14ac:dyDescent="0.25">
      <c r="B4419" t="str">
        <f>IF(C4419="","",C4419&amp;COUNTIF(C$9:C4419,C4419))</f>
        <v/>
      </c>
    </row>
    <row r="4420" spans="2:2" x14ac:dyDescent="0.25">
      <c r="B4420" t="str">
        <f>IF(C4420="","",C4420&amp;COUNTIF(C$9:C4420,C4420))</f>
        <v/>
      </c>
    </row>
    <row r="4421" spans="2:2" x14ac:dyDescent="0.25">
      <c r="B4421" t="str">
        <f>IF(C4421="","",C4421&amp;COUNTIF(C$9:C4421,C4421))</f>
        <v/>
      </c>
    </row>
    <row r="4422" spans="2:2" x14ac:dyDescent="0.25">
      <c r="B4422" t="str">
        <f>IF(C4422="","",C4422&amp;COUNTIF(C$9:C4422,C4422))</f>
        <v/>
      </c>
    </row>
    <row r="4423" spans="2:2" x14ac:dyDescent="0.25">
      <c r="B4423" t="str">
        <f>IF(C4423="","",C4423&amp;COUNTIF(C$9:C4423,C4423))</f>
        <v/>
      </c>
    </row>
    <row r="4424" spans="2:2" x14ac:dyDescent="0.25">
      <c r="B4424" t="str">
        <f>IF(C4424="","",C4424&amp;COUNTIF(C$9:C4424,C4424))</f>
        <v/>
      </c>
    </row>
    <row r="4425" spans="2:2" x14ac:dyDescent="0.25">
      <c r="B4425" t="str">
        <f>IF(C4425="","",C4425&amp;COUNTIF(C$9:C4425,C4425))</f>
        <v/>
      </c>
    </row>
    <row r="4426" spans="2:2" x14ac:dyDescent="0.25">
      <c r="B4426" t="str">
        <f>IF(C4426="","",C4426&amp;COUNTIF(C$9:C4426,C4426))</f>
        <v/>
      </c>
    </row>
    <row r="4427" spans="2:2" x14ac:dyDescent="0.25">
      <c r="B4427" t="str">
        <f>IF(C4427="","",C4427&amp;COUNTIF(C$9:C4427,C4427))</f>
        <v/>
      </c>
    </row>
    <row r="4428" spans="2:2" x14ac:dyDescent="0.25">
      <c r="B4428" t="str">
        <f>IF(C4428="","",C4428&amp;COUNTIF(C$9:C4428,C4428))</f>
        <v/>
      </c>
    </row>
    <row r="4429" spans="2:2" x14ac:dyDescent="0.25">
      <c r="B4429" t="str">
        <f>IF(C4429="","",C4429&amp;COUNTIF(C$9:C4429,C4429))</f>
        <v/>
      </c>
    </row>
    <row r="4430" spans="2:2" x14ac:dyDescent="0.25">
      <c r="B4430" t="str">
        <f>IF(C4430="","",C4430&amp;COUNTIF(C$9:C4430,C4430))</f>
        <v/>
      </c>
    </row>
    <row r="4431" spans="2:2" x14ac:dyDescent="0.25">
      <c r="B4431" t="str">
        <f>IF(C4431="","",C4431&amp;COUNTIF(C$9:C4431,C4431))</f>
        <v/>
      </c>
    </row>
    <row r="4432" spans="2:2" x14ac:dyDescent="0.25">
      <c r="B4432" t="str">
        <f>IF(C4432="","",C4432&amp;COUNTIF(C$9:C4432,C4432))</f>
        <v/>
      </c>
    </row>
    <row r="4433" spans="2:2" x14ac:dyDescent="0.25">
      <c r="B4433" t="str">
        <f>IF(C4433="","",C4433&amp;COUNTIF(C$9:C4433,C4433))</f>
        <v/>
      </c>
    </row>
    <row r="4434" spans="2:2" x14ac:dyDescent="0.25">
      <c r="B4434" t="str">
        <f>IF(C4434="","",C4434&amp;COUNTIF(C$9:C4434,C4434))</f>
        <v/>
      </c>
    </row>
    <row r="4435" spans="2:2" x14ac:dyDescent="0.25">
      <c r="B4435" t="str">
        <f>IF(C4435="","",C4435&amp;COUNTIF(C$9:C4435,C4435))</f>
        <v/>
      </c>
    </row>
    <row r="4436" spans="2:2" x14ac:dyDescent="0.25">
      <c r="B4436" t="str">
        <f>IF(C4436="","",C4436&amp;COUNTIF(C$9:C4436,C4436))</f>
        <v/>
      </c>
    </row>
    <row r="4437" spans="2:2" x14ac:dyDescent="0.25">
      <c r="B4437" t="str">
        <f>IF(C4437="","",C4437&amp;COUNTIF(C$9:C4437,C4437))</f>
        <v/>
      </c>
    </row>
    <row r="4438" spans="2:2" x14ac:dyDescent="0.25">
      <c r="B4438" t="str">
        <f>IF(C4438="","",C4438&amp;COUNTIF(C$9:C4438,C4438))</f>
        <v/>
      </c>
    </row>
    <row r="4439" spans="2:2" x14ac:dyDescent="0.25">
      <c r="B4439" t="str">
        <f>IF(C4439="","",C4439&amp;COUNTIF(C$9:C4439,C4439))</f>
        <v/>
      </c>
    </row>
    <row r="4440" spans="2:2" x14ac:dyDescent="0.25">
      <c r="B4440" t="str">
        <f>IF(C4440="","",C4440&amp;COUNTIF(C$9:C4440,C4440))</f>
        <v/>
      </c>
    </row>
    <row r="4441" spans="2:2" x14ac:dyDescent="0.25">
      <c r="B4441" t="str">
        <f>IF(C4441="","",C4441&amp;COUNTIF(C$9:C4441,C4441))</f>
        <v/>
      </c>
    </row>
    <row r="4442" spans="2:2" x14ac:dyDescent="0.25">
      <c r="B4442" t="str">
        <f>IF(C4442="","",C4442&amp;COUNTIF(C$9:C4442,C4442))</f>
        <v/>
      </c>
    </row>
    <row r="4443" spans="2:2" x14ac:dyDescent="0.25">
      <c r="B4443" t="str">
        <f>IF(C4443="","",C4443&amp;COUNTIF(C$9:C4443,C4443))</f>
        <v/>
      </c>
    </row>
    <row r="4444" spans="2:2" x14ac:dyDescent="0.25">
      <c r="B4444" t="str">
        <f>IF(C4444="","",C4444&amp;COUNTIF(C$9:C4444,C4444))</f>
        <v/>
      </c>
    </row>
    <row r="4445" spans="2:2" x14ac:dyDescent="0.25">
      <c r="B4445" t="str">
        <f>IF(C4445="","",C4445&amp;COUNTIF(C$9:C4445,C4445))</f>
        <v/>
      </c>
    </row>
    <row r="4446" spans="2:2" x14ac:dyDescent="0.25">
      <c r="B4446" t="str">
        <f>IF(C4446="","",C4446&amp;COUNTIF(C$9:C4446,C4446))</f>
        <v/>
      </c>
    </row>
    <row r="4447" spans="2:2" x14ac:dyDescent="0.25">
      <c r="B4447" t="str">
        <f>IF(C4447="","",C4447&amp;COUNTIF(C$9:C4447,C4447))</f>
        <v/>
      </c>
    </row>
    <row r="4448" spans="2:2" x14ac:dyDescent="0.25">
      <c r="B4448" t="str">
        <f>IF(C4448="","",C4448&amp;COUNTIF(C$9:C4448,C4448))</f>
        <v/>
      </c>
    </row>
    <row r="4449" spans="2:2" x14ac:dyDescent="0.25">
      <c r="B4449" t="str">
        <f>IF(C4449="","",C4449&amp;COUNTIF(C$9:C4449,C4449))</f>
        <v/>
      </c>
    </row>
    <row r="4450" spans="2:2" x14ac:dyDescent="0.25">
      <c r="B4450" t="str">
        <f>IF(C4450="","",C4450&amp;COUNTIF(C$9:C4450,C4450))</f>
        <v/>
      </c>
    </row>
    <row r="4451" spans="2:2" x14ac:dyDescent="0.25">
      <c r="B4451" t="str">
        <f>IF(C4451="","",C4451&amp;COUNTIF(C$9:C4451,C4451))</f>
        <v/>
      </c>
    </row>
    <row r="4452" spans="2:2" x14ac:dyDescent="0.25">
      <c r="B4452" t="str">
        <f>IF(C4452="","",C4452&amp;COUNTIF(C$9:C4452,C4452))</f>
        <v/>
      </c>
    </row>
    <row r="4453" spans="2:2" x14ac:dyDescent="0.25">
      <c r="B4453" t="str">
        <f>IF(C4453="","",C4453&amp;COUNTIF(C$9:C4453,C4453))</f>
        <v/>
      </c>
    </row>
    <row r="4454" spans="2:2" x14ac:dyDescent="0.25">
      <c r="B4454" t="str">
        <f>IF(C4454="","",C4454&amp;COUNTIF(C$9:C4454,C4454))</f>
        <v/>
      </c>
    </row>
    <row r="4455" spans="2:2" x14ac:dyDescent="0.25">
      <c r="B4455" t="str">
        <f>IF(C4455="","",C4455&amp;COUNTIF(C$9:C4455,C4455))</f>
        <v/>
      </c>
    </row>
    <row r="4456" spans="2:2" x14ac:dyDescent="0.25">
      <c r="B4456" t="str">
        <f>IF(C4456="","",C4456&amp;COUNTIF(C$9:C4456,C4456))</f>
        <v/>
      </c>
    </row>
    <row r="4457" spans="2:2" x14ac:dyDescent="0.25">
      <c r="B4457" t="str">
        <f>IF(C4457="","",C4457&amp;COUNTIF(C$9:C4457,C4457))</f>
        <v/>
      </c>
    </row>
    <row r="4458" spans="2:2" x14ac:dyDescent="0.25">
      <c r="B4458" t="str">
        <f>IF(C4458="","",C4458&amp;COUNTIF(C$9:C4458,C4458))</f>
        <v/>
      </c>
    </row>
    <row r="4459" spans="2:2" x14ac:dyDescent="0.25">
      <c r="B4459" t="str">
        <f>IF(C4459="","",C4459&amp;COUNTIF(C$9:C4459,C4459))</f>
        <v/>
      </c>
    </row>
    <row r="4460" spans="2:2" x14ac:dyDescent="0.25">
      <c r="B4460" t="str">
        <f>IF(C4460="","",C4460&amp;COUNTIF(C$9:C4460,C4460))</f>
        <v/>
      </c>
    </row>
    <row r="4461" spans="2:2" x14ac:dyDescent="0.25">
      <c r="B4461" t="str">
        <f>IF(C4461="","",C4461&amp;COUNTIF(C$9:C4461,C4461))</f>
        <v/>
      </c>
    </row>
    <row r="4462" spans="2:2" x14ac:dyDescent="0.25">
      <c r="B4462" t="str">
        <f>IF(C4462="","",C4462&amp;COUNTIF(C$9:C4462,C4462))</f>
        <v/>
      </c>
    </row>
    <row r="4463" spans="2:2" x14ac:dyDescent="0.25">
      <c r="B4463" t="str">
        <f>IF(C4463="","",C4463&amp;COUNTIF(C$9:C4463,C4463))</f>
        <v/>
      </c>
    </row>
    <row r="4464" spans="2:2" x14ac:dyDescent="0.25">
      <c r="B4464" t="str">
        <f>IF(C4464="","",C4464&amp;COUNTIF(C$9:C4464,C4464))</f>
        <v/>
      </c>
    </row>
    <row r="4465" spans="2:2" x14ac:dyDescent="0.25">
      <c r="B4465" t="str">
        <f>IF(C4465="","",C4465&amp;COUNTIF(C$9:C4465,C4465))</f>
        <v/>
      </c>
    </row>
    <row r="4466" spans="2:2" x14ac:dyDescent="0.25">
      <c r="B4466" t="str">
        <f>IF(C4466="","",C4466&amp;COUNTIF(C$9:C4466,C4466))</f>
        <v/>
      </c>
    </row>
    <row r="4467" spans="2:2" x14ac:dyDescent="0.25">
      <c r="B4467" t="str">
        <f>IF(C4467="","",C4467&amp;COUNTIF(C$9:C4467,C4467))</f>
        <v/>
      </c>
    </row>
    <row r="4468" spans="2:2" x14ac:dyDescent="0.25">
      <c r="B4468" t="str">
        <f>IF(C4468="","",C4468&amp;COUNTIF(C$9:C4468,C4468))</f>
        <v/>
      </c>
    </row>
    <row r="4469" spans="2:2" x14ac:dyDescent="0.25">
      <c r="B4469" t="str">
        <f>IF(C4469="","",C4469&amp;COUNTIF(C$9:C4469,C4469))</f>
        <v/>
      </c>
    </row>
    <row r="4470" spans="2:2" x14ac:dyDescent="0.25">
      <c r="B4470" t="str">
        <f>IF(C4470="","",C4470&amp;COUNTIF(C$9:C4470,C4470))</f>
        <v/>
      </c>
    </row>
    <row r="4471" spans="2:2" x14ac:dyDescent="0.25">
      <c r="B4471" t="str">
        <f>IF(C4471="","",C4471&amp;COUNTIF(C$9:C4471,C4471))</f>
        <v/>
      </c>
    </row>
    <row r="4472" spans="2:2" x14ac:dyDescent="0.25">
      <c r="B4472" t="str">
        <f>IF(C4472="","",C4472&amp;COUNTIF(C$9:C4472,C4472))</f>
        <v/>
      </c>
    </row>
    <row r="4473" spans="2:2" x14ac:dyDescent="0.25">
      <c r="B4473" t="str">
        <f>IF(C4473="","",C4473&amp;COUNTIF(C$9:C4473,C4473))</f>
        <v/>
      </c>
    </row>
    <row r="4474" spans="2:2" x14ac:dyDescent="0.25">
      <c r="B4474" t="str">
        <f>IF(C4474="","",C4474&amp;COUNTIF(C$9:C4474,C4474))</f>
        <v/>
      </c>
    </row>
    <row r="4475" spans="2:2" x14ac:dyDescent="0.25">
      <c r="B4475" t="str">
        <f>IF(C4475="","",C4475&amp;COUNTIF(C$9:C4475,C4475))</f>
        <v/>
      </c>
    </row>
    <row r="4476" spans="2:2" x14ac:dyDescent="0.25">
      <c r="B4476" t="str">
        <f>IF(C4476="","",C4476&amp;COUNTIF(C$9:C4476,C4476))</f>
        <v/>
      </c>
    </row>
    <row r="4477" spans="2:2" x14ac:dyDescent="0.25">
      <c r="B4477" t="str">
        <f>IF(C4477="","",C4477&amp;COUNTIF(C$9:C4477,C4477))</f>
        <v/>
      </c>
    </row>
    <row r="4478" spans="2:2" x14ac:dyDescent="0.25">
      <c r="B4478" t="str">
        <f>IF(C4478="","",C4478&amp;COUNTIF(C$9:C4478,C4478))</f>
        <v/>
      </c>
    </row>
    <row r="4479" spans="2:2" x14ac:dyDescent="0.25">
      <c r="B4479" t="str">
        <f>IF(C4479="","",C4479&amp;COUNTIF(C$9:C4479,C4479))</f>
        <v/>
      </c>
    </row>
    <row r="4480" spans="2:2" x14ac:dyDescent="0.25">
      <c r="B4480" t="str">
        <f>IF(C4480="","",C4480&amp;COUNTIF(C$9:C4480,C4480))</f>
        <v/>
      </c>
    </row>
    <row r="4481" spans="2:2" x14ac:dyDescent="0.25">
      <c r="B4481" t="str">
        <f>IF(C4481="","",C4481&amp;COUNTIF(C$9:C4481,C4481))</f>
        <v/>
      </c>
    </row>
    <row r="4482" spans="2:2" x14ac:dyDescent="0.25">
      <c r="B4482" t="str">
        <f>IF(C4482="","",C4482&amp;COUNTIF(C$9:C4482,C4482))</f>
        <v/>
      </c>
    </row>
    <row r="4483" spans="2:2" x14ac:dyDescent="0.25">
      <c r="B4483" t="str">
        <f>IF(C4483="","",C4483&amp;COUNTIF(C$9:C4483,C4483))</f>
        <v/>
      </c>
    </row>
    <row r="4484" spans="2:2" x14ac:dyDescent="0.25">
      <c r="B4484" t="str">
        <f>IF(C4484="","",C4484&amp;COUNTIF(C$9:C4484,C4484))</f>
        <v/>
      </c>
    </row>
    <row r="4485" spans="2:2" x14ac:dyDescent="0.25">
      <c r="B4485" t="str">
        <f>IF(C4485="","",C4485&amp;COUNTIF(C$9:C4485,C4485))</f>
        <v/>
      </c>
    </row>
    <row r="4486" spans="2:2" x14ac:dyDescent="0.25">
      <c r="B4486" t="str">
        <f>IF(C4486="","",C4486&amp;COUNTIF(C$9:C4486,C4486))</f>
        <v/>
      </c>
    </row>
    <row r="4487" spans="2:2" x14ac:dyDescent="0.25">
      <c r="B4487" t="str">
        <f>IF(C4487="","",C4487&amp;COUNTIF(C$9:C4487,C4487))</f>
        <v/>
      </c>
    </row>
    <row r="4488" spans="2:2" x14ac:dyDescent="0.25">
      <c r="B4488" t="str">
        <f>IF(C4488="","",C4488&amp;COUNTIF(C$9:C4488,C4488))</f>
        <v/>
      </c>
    </row>
    <row r="4489" spans="2:2" x14ac:dyDescent="0.25">
      <c r="B4489" t="str">
        <f>IF(C4489="","",C4489&amp;COUNTIF(C$9:C4489,C4489))</f>
        <v/>
      </c>
    </row>
    <row r="4490" spans="2:2" x14ac:dyDescent="0.25">
      <c r="B4490" t="str">
        <f>IF(C4490="","",C4490&amp;COUNTIF(C$9:C4490,C4490))</f>
        <v/>
      </c>
    </row>
    <row r="4491" spans="2:2" x14ac:dyDescent="0.25">
      <c r="B4491" t="str">
        <f>IF(C4491="","",C4491&amp;COUNTIF(C$9:C4491,C4491))</f>
        <v/>
      </c>
    </row>
    <row r="4492" spans="2:2" x14ac:dyDescent="0.25">
      <c r="B4492" t="str">
        <f>IF(C4492="","",C4492&amp;COUNTIF(C$9:C4492,C4492))</f>
        <v/>
      </c>
    </row>
    <row r="4493" spans="2:2" x14ac:dyDescent="0.25">
      <c r="B4493" t="str">
        <f>IF(C4493="","",C4493&amp;COUNTIF(C$9:C4493,C4493))</f>
        <v/>
      </c>
    </row>
    <row r="4494" spans="2:2" x14ac:dyDescent="0.25">
      <c r="B4494" t="str">
        <f>IF(C4494="","",C4494&amp;COUNTIF(C$9:C4494,C4494))</f>
        <v/>
      </c>
    </row>
    <row r="4495" spans="2:2" x14ac:dyDescent="0.25">
      <c r="B4495" t="str">
        <f>IF(C4495="","",C4495&amp;COUNTIF(C$9:C4495,C4495))</f>
        <v/>
      </c>
    </row>
    <row r="4496" spans="2:2" x14ac:dyDescent="0.25">
      <c r="B4496" t="str">
        <f>IF(C4496="","",C4496&amp;COUNTIF(C$9:C4496,C4496))</f>
        <v/>
      </c>
    </row>
    <row r="4497" spans="2:2" x14ac:dyDescent="0.25">
      <c r="B4497" t="str">
        <f>IF(C4497="","",C4497&amp;COUNTIF(C$9:C4497,C4497))</f>
        <v/>
      </c>
    </row>
    <row r="4498" spans="2:2" x14ac:dyDescent="0.25">
      <c r="B4498" t="str">
        <f>IF(C4498="","",C4498&amp;COUNTIF(C$9:C4498,C4498))</f>
        <v/>
      </c>
    </row>
    <row r="4499" spans="2:2" x14ac:dyDescent="0.25">
      <c r="B4499" t="str">
        <f>IF(C4499="","",C4499&amp;COUNTIF(C$9:C4499,C4499))</f>
        <v/>
      </c>
    </row>
    <row r="4500" spans="2:2" x14ac:dyDescent="0.25">
      <c r="B4500" t="str">
        <f>IF(C4500="","",C4500&amp;COUNTIF(C$9:C4500,C4500))</f>
        <v/>
      </c>
    </row>
    <row r="4501" spans="2:2" x14ac:dyDescent="0.25">
      <c r="B4501" t="str">
        <f>IF(C4501="","",C4501&amp;COUNTIF(C$9:C4501,C4501))</f>
        <v/>
      </c>
    </row>
    <row r="4502" spans="2:2" x14ac:dyDescent="0.25">
      <c r="B4502" t="str">
        <f>IF(C4502="","",C4502&amp;COUNTIF(C$9:C4502,C4502))</f>
        <v/>
      </c>
    </row>
    <row r="4503" spans="2:2" x14ac:dyDescent="0.25">
      <c r="B4503" t="str">
        <f>IF(C4503="","",C4503&amp;COUNTIF(C$9:C4503,C4503))</f>
        <v/>
      </c>
    </row>
    <row r="4504" spans="2:2" x14ac:dyDescent="0.25">
      <c r="B4504" t="str">
        <f>IF(C4504="","",C4504&amp;COUNTIF(C$9:C4504,C4504))</f>
        <v/>
      </c>
    </row>
    <row r="4505" spans="2:2" x14ac:dyDescent="0.25">
      <c r="B4505" t="str">
        <f>IF(C4505="","",C4505&amp;COUNTIF(C$9:C4505,C4505))</f>
        <v/>
      </c>
    </row>
    <row r="4506" spans="2:2" x14ac:dyDescent="0.25">
      <c r="B4506" t="str">
        <f>IF(C4506="","",C4506&amp;COUNTIF(C$9:C4506,C4506))</f>
        <v/>
      </c>
    </row>
    <row r="4507" spans="2:2" x14ac:dyDescent="0.25">
      <c r="B4507" t="str">
        <f>IF(C4507="","",C4507&amp;COUNTIF(C$9:C4507,C4507))</f>
        <v/>
      </c>
    </row>
    <row r="4508" spans="2:2" x14ac:dyDescent="0.25">
      <c r="B4508" t="str">
        <f>IF(C4508="","",C4508&amp;COUNTIF(C$9:C4508,C4508))</f>
        <v/>
      </c>
    </row>
    <row r="4509" spans="2:2" x14ac:dyDescent="0.25">
      <c r="B4509" t="str">
        <f>IF(C4509="","",C4509&amp;COUNTIF(C$9:C4509,C4509))</f>
        <v/>
      </c>
    </row>
    <row r="4510" spans="2:2" x14ac:dyDescent="0.25">
      <c r="B4510" t="str">
        <f>IF(C4510="","",C4510&amp;COUNTIF(C$9:C4510,C4510))</f>
        <v/>
      </c>
    </row>
    <row r="4511" spans="2:2" x14ac:dyDescent="0.25">
      <c r="B4511" t="str">
        <f>IF(C4511="","",C4511&amp;COUNTIF(C$9:C4511,C4511))</f>
        <v/>
      </c>
    </row>
    <row r="4512" spans="2:2" x14ac:dyDescent="0.25">
      <c r="B4512" t="str">
        <f>IF(C4512="","",C4512&amp;COUNTIF(C$9:C4512,C4512))</f>
        <v/>
      </c>
    </row>
    <row r="4513" spans="2:2" x14ac:dyDescent="0.25">
      <c r="B4513" t="str">
        <f>IF(C4513="","",C4513&amp;COUNTIF(C$9:C4513,C4513))</f>
        <v/>
      </c>
    </row>
    <row r="4514" spans="2:2" x14ac:dyDescent="0.25">
      <c r="B4514" t="str">
        <f>IF(C4514="","",C4514&amp;COUNTIF(C$9:C4514,C4514))</f>
        <v/>
      </c>
    </row>
    <row r="4515" spans="2:2" x14ac:dyDescent="0.25">
      <c r="B4515" t="str">
        <f>IF(C4515="","",C4515&amp;COUNTIF(C$9:C4515,C4515))</f>
        <v/>
      </c>
    </row>
    <row r="4516" spans="2:2" x14ac:dyDescent="0.25">
      <c r="B4516" t="str">
        <f>IF(C4516="","",C4516&amp;COUNTIF(C$9:C4516,C4516))</f>
        <v/>
      </c>
    </row>
    <row r="4517" spans="2:2" x14ac:dyDescent="0.25">
      <c r="B4517" t="str">
        <f>IF(C4517="","",C4517&amp;COUNTIF(C$9:C4517,C4517))</f>
        <v/>
      </c>
    </row>
    <row r="4518" spans="2:2" x14ac:dyDescent="0.25">
      <c r="B4518" t="str">
        <f>IF(C4518="","",C4518&amp;COUNTIF(C$9:C4518,C4518))</f>
        <v/>
      </c>
    </row>
    <row r="4519" spans="2:2" x14ac:dyDescent="0.25">
      <c r="B4519" t="str">
        <f>IF(C4519="","",C4519&amp;COUNTIF(C$9:C4519,C4519))</f>
        <v/>
      </c>
    </row>
    <row r="4520" spans="2:2" x14ac:dyDescent="0.25">
      <c r="B4520" t="str">
        <f>IF(C4520="","",C4520&amp;COUNTIF(C$9:C4520,C4520))</f>
        <v/>
      </c>
    </row>
    <row r="4521" spans="2:2" x14ac:dyDescent="0.25">
      <c r="B4521" t="str">
        <f>IF(C4521="","",C4521&amp;COUNTIF(C$9:C4521,C4521))</f>
        <v/>
      </c>
    </row>
    <row r="4522" spans="2:2" x14ac:dyDescent="0.25">
      <c r="B4522" t="str">
        <f>IF(C4522="","",C4522&amp;COUNTIF(C$9:C4522,C4522))</f>
        <v/>
      </c>
    </row>
    <row r="4523" spans="2:2" x14ac:dyDescent="0.25">
      <c r="B4523" t="str">
        <f>IF(C4523="","",C4523&amp;COUNTIF(C$9:C4523,C4523))</f>
        <v/>
      </c>
    </row>
    <row r="4524" spans="2:2" x14ac:dyDescent="0.25">
      <c r="B4524" t="str">
        <f>IF(C4524="","",C4524&amp;COUNTIF(C$9:C4524,C4524))</f>
        <v/>
      </c>
    </row>
    <row r="4525" spans="2:2" x14ac:dyDescent="0.25">
      <c r="B4525" t="str">
        <f>IF(C4525="","",C4525&amp;COUNTIF(C$9:C4525,C4525))</f>
        <v/>
      </c>
    </row>
    <row r="4526" spans="2:2" x14ac:dyDescent="0.25">
      <c r="B4526" t="str">
        <f>IF(C4526="","",C4526&amp;COUNTIF(C$9:C4526,C4526))</f>
        <v/>
      </c>
    </row>
    <row r="4527" spans="2:2" x14ac:dyDescent="0.25">
      <c r="B4527" t="str">
        <f>IF(C4527="","",C4527&amp;COUNTIF(C$9:C4527,C4527))</f>
        <v/>
      </c>
    </row>
    <row r="4528" spans="2:2" x14ac:dyDescent="0.25">
      <c r="B4528" t="str">
        <f>IF(C4528="","",C4528&amp;COUNTIF(C$9:C4528,C4528))</f>
        <v/>
      </c>
    </row>
    <row r="4529" spans="2:2" x14ac:dyDescent="0.25">
      <c r="B4529" t="str">
        <f>IF(C4529="","",C4529&amp;COUNTIF(C$9:C4529,C4529))</f>
        <v/>
      </c>
    </row>
    <row r="4530" spans="2:2" x14ac:dyDescent="0.25">
      <c r="B4530" t="str">
        <f>IF(C4530="","",C4530&amp;COUNTIF(C$9:C4530,C4530))</f>
        <v/>
      </c>
    </row>
    <row r="4531" spans="2:2" x14ac:dyDescent="0.25">
      <c r="B4531" t="str">
        <f>IF(C4531="","",C4531&amp;COUNTIF(C$9:C4531,C4531))</f>
        <v/>
      </c>
    </row>
    <row r="4532" spans="2:2" x14ac:dyDescent="0.25">
      <c r="B4532" t="str">
        <f>IF(C4532="","",C4532&amp;COUNTIF(C$9:C4532,C4532))</f>
        <v/>
      </c>
    </row>
    <row r="4533" spans="2:2" x14ac:dyDescent="0.25">
      <c r="B4533" t="str">
        <f>IF(C4533="","",C4533&amp;COUNTIF(C$9:C4533,C4533))</f>
        <v/>
      </c>
    </row>
    <row r="4534" spans="2:2" x14ac:dyDescent="0.25">
      <c r="B4534" t="str">
        <f>IF(C4534="","",C4534&amp;COUNTIF(C$9:C4534,C4534))</f>
        <v/>
      </c>
    </row>
    <row r="4535" spans="2:2" x14ac:dyDescent="0.25">
      <c r="B4535" t="str">
        <f>IF(C4535="","",C4535&amp;COUNTIF(C$9:C4535,C4535))</f>
        <v/>
      </c>
    </row>
    <row r="4536" spans="2:2" x14ac:dyDescent="0.25">
      <c r="B4536" t="str">
        <f>IF(C4536="","",C4536&amp;COUNTIF(C$9:C4536,C4536))</f>
        <v/>
      </c>
    </row>
    <row r="4537" spans="2:2" x14ac:dyDescent="0.25">
      <c r="B4537" t="str">
        <f>IF(C4537="","",C4537&amp;COUNTIF(C$9:C4537,C4537))</f>
        <v/>
      </c>
    </row>
    <row r="4538" spans="2:2" x14ac:dyDescent="0.25">
      <c r="B4538" t="str">
        <f>IF(C4538="","",C4538&amp;COUNTIF(C$9:C4538,C4538))</f>
        <v/>
      </c>
    </row>
    <row r="4539" spans="2:2" x14ac:dyDescent="0.25">
      <c r="B4539" t="str">
        <f>IF(C4539="","",C4539&amp;COUNTIF(C$9:C4539,C4539))</f>
        <v/>
      </c>
    </row>
    <row r="4540" spans="2:2" x14ac:dyDescent="0.25">
      <c r="B4540" t="str">
        <f>IF(C4540="","",C4540&amp;COUNTIF(C$9:C4540,C4540))</f>
        <v/>
      </c>
    </row>
    <row r="4541" spans="2:2" x14ac:dyDescent="0.25">
      <c r="B4541" t="str">
        <f>IF(C4541="","",C4541&amp;COUNTIF(C$9:C4541,C4541))</f>
        <v/>
      </c>
    </row>
    <row r="4542" spans="2:2" x14ac:dyDescent="0.25">
      <c r="B4542" t="str">
        <f>IF(C4542="","",C4542&amp;COUNTIF(C$9:C4542,C4542))</f>
        <v/>
      </c>
    </row>
    <row r="4543" spans="2:2" x14ac:dyDescent="0.25">
      <c r="B4543" t="str">
        <f>IF(C4543="","",C4543&amp;COUNTIF(C$9:C4543,C4543))</f>
        <v/>
      </c>
    </row>
    <row r="4544" spans="2:2" x14ac:dyDescent="0.25">
      <c r="B4544" t="str">
        <f>IF(C4544="","",C4544&amp;COUNTIF(C$9:C4544,C4544))</f>
        <v/>
      </c>
    </row>
    <row r="4545" spans="2:2" x14ac:dyDescent="0.25">
      <c r="B4545" t="str">
        <f>IF(C4545="","",C4545&amp;COUNTIF(C$9:C4545,C4545))</f>
        <v/>
      </c>
    </row>
    <row r="4546" spans="2:2" x14ac:dyDescent="0.25">
      <c r="B4546" t="str">
        <f>IF(C4546="","",C4546&amp;COUNTIF(C$9:C4546,C4546))</f>
        <v/>
      </c>
    </row>
    <row r="4547" spans="2:2" x14ac:dyDescent="0.25">
      <c r="B4547" t="str">
        <f>IF(C4547="","",C4547&amp;COUNTIF(C$9:C4547,C4547))</f>
        <v/>
      </c>
    </row>
    <row r="4548" spans="2:2" x14ac:dyDescent="0.25">
      <c r="B4548" t="str">
        <f>IF(C4548="","",C4548&amp;COUNTIF(C$9:C4548,C4548))</f>
        <v/>
      </c>
    </row>
    <row r="4549" spans="2:2" x14ac:dyDescent="0.25">
      <c r="B4549" t="str">
        <f>IF(C4549="","",C4549&amp;COUNTIF(C$9:C4549,C4549))</f>
        <v/>
      </c>
    </row>
    <row r="4550" spans="2:2" x14ac:dyDescent="0.25">
      <c r="B4550" t="str">
        <f>IF(C4550="","",C4550&amp;COUNTIF(C$9:C4550,C4550))</f>
        <v/>
      </c>
    </row>
    <row r="4551" spans="2:2" x14ac:dyDescent="0.25">
      <c r="B4551" t="str">
        <f>IF(C4551="","",C4551&amp;COUNTIF(C$9:C4551,C4551))</f>
        <v/>
      </c>
    </row>
    <row r="4552" spans="2:2" x14ac:dyDescent="0.25">
      <c r="B4552" t="str">
        <f>IF(C4552="","",C4552&amp;COUNTIF(C$9:C4552,C4552))</f>
        <v/>
      </c>
    </row>
    <row r="4553" spans="2:2" x14ac:dyDescent="0.25">
      <c r="B4553" t="str">
        <f>IF(C4553="","",C4553&amp;COUNTIF(C$9:C4553,C4553))</f>
        <v/>
      </c>
    </row>
    <row r="4554" spans="2:2" x14ac:dyDescent="0.25">
      <c r="B4554" t="str">
        <f>IF(C4554="","",C4554&amp;COUNTIF(C$9:C4554,C4554))</f>
        <v/>
      </c>
    </row>
    <row r="4555" spans="2:2" x14ac:dyDescent="0.25">
      <c r="B4555" t="str">
        <f>IF(C4555="","",C4555&amp;COUNTIF(C$9:C4555,C4555))</f>
        <v/>
      </c>
    </row>
    <row r="4556" spans="2:2" x14ac:dyDescent="0.25">
      <c r="B4556" t="str">
        <f>IF(C4556="","",C4556&amp;COUNTIF(C$9:C4556,C4556))</f>
        <v/>
      </c>
    </row>
    <row r="4557" spans="2:2" x14ac:dyDescent="0.25">
      <c r="B4557" t="str">
        <f>IF(C4557="","",C4557&amp;COUNTIF(C$9:C4557,C4557))</f>
        <v/>
      </c>
    </row>
    <row r="4558" spans="2:2" x14ac:dyDescent="0.25">
      <c r="B4558" t="str">
        <f>IF(C4558="","",C4558&amp;COUNTIF(C$9:C4558,C4558))</f>
        <v/>
      </c>
    </row>
    <row r="4559" spans="2:2" x14ac:dyDescent="0.25">
      <c r="B4559" t="str">
        <f>IF(C4559="","",C4559&amp;COUNTIF(C$9:C4559,C4559))</f>
        <v/>
      </c>
    </row>
    <row r="4560" spans="2:2" x14ac:dyDescent="0.25">
      <c r="B4560" t="str">
        <f>IF(C4560="","",C4560&amp;COUNTIF(C$9:C4560,C4560))</f>
        <v/>
      </c>
    </row>
    <row r="4561" spans="2:2" x14ac:dyDescent="0.25">
      <c r="B4561" t="str">
        <f>IF(C4561="","",C4561&amp;COUNTIF(C$9:C4561,C4561))</f>
        <v/>
      </c>
    </row>
    <row r="4562" spans="2:2" x14ac:dyDescent="0.25">
      <c r="B4562" t="str">
        <f>IF(C4562="","",C4562&amp;COUNTIF(C$9:C4562,C4562))</f>
        <v/>
      </c>
    </row>
    <row r="4563" spans="2:2" x14ac:dyDescent="0.25">
      <c r="B4563" t="str">
        <f>IF(C4563="","",C4563&amp;COUNTIF(C$9:C4563,C4563))</f>
        <v/>
      </c>
    </row>
    <row r="4564" spans="2:2" x14ac:dyDescent="0.25">
      <c r="B4564" t="str">
        <f>IF(C4564="","",C4564&amp;COUNTIF(C$9:C4564,C4564))</f>
        <v/>
      </c>
    </row>
    <row r="4565" spans="2:2" x14ac:dyDescent="0.25">
      <c r="B4565" t="str">
        <f>IF(C4565="","",C4565&amp;COUNTIF(C$9:C4565,C4565))</f>
        <v/>
      </c>
    </row>
    <row r="4566" spans="2:2" x14ac:dyDescent="0.25">
      <c r="B4566" t="str">
        <f>IF(C4566="","",C4566&amp;COUNTIF(C$9:C4566,C4566))</f>
        <v/>
      </c>
    </row>
    <row r="4567" spans="2:2" x14ac:dyDescent="0.25">
      <c r="B4567" t="str">
        <f>IF(C4567="","",C4567&amp;COUNTIF(C$9:C4567,C4567))</f>
        <v/>
      </c>
    </row>
    <row r="4568" spans="2:2" x14ac:dyDescent="0.25">
      <c r="B4568" t="str">
        <f>IF(C4568="","",C4568&amp;COUNTIF(C$9:C4568,C4568))</f>
        <v/>
      </c>
    </row>
    <row r="4569" spans="2:2" x14ac:dyDescent="0.25">
      <c r="B4569" t="str">
        <f>IF(C4569="","",C4569&amp;COUNTIF(C$9:C4569,C4569))</f>
        <v/>
      </c>
    </row>
    <row r="4570" spans="2:2" x14ac:dyDescent="0.25">
      <c r="B4570" t="str">
        <f>IF(C4570="","",C4570&amp;COUNTIF(C$9:C4570,C4570))</f>
        <v/>
      </c>
    </row>
    <row r="4571" spans="2:2" x14ac:dyDescent="0.25">
      <c r="B4571" t="str">
        <f>IF(C4571="","",C4571&amp;COUNTIF(C$9:C4571,C4571))</f>
        <v/>
      </c>
    </row>
    <row r="4572" spans="2:2" x14ac:dyDescent="0.25">
      <c r="B4572" t="str">
        <f>IF(C4572="","",C4572&amp;COUNTIF(C$9:C4572,C4572))</f>
        <v/>
      </c>
    </row>
    <row r="4573" spans="2:2" x14ac:dyDescent="0.25">
      <c r="B4573" t="str">
        <f>IF(C4573="","",C4573&amp;COUNTIF(C$9:C4573,C4573))</f>
        <v/>
      </c>
    </row>
    <row r="4574" spans="2:2" x14ac:dyDescent="0.25">
      <c r="B4574" t="str">
        <f>IF(C4574="","",C4574&amp;COUNTIF(C$9:C4574,C4574))</f>
        <v/>
      </c>
    </row>
    <row r="4575" spans="2:2" x14ac:dyDescent="0.25">
      <c r="B4575" t="str">
        <f>IF(C4575="","",C4575&amp;COUNTIF(C$9:C4575,C4575))</f>
        <v/>
      </c>
    </row>
    <row r="4576" spans="2:2" x14ac:dyDescent="0.25">
      <c r="B4576" t="str">
        <f>IF(C4576="","",C4576&amp;COUNTIF(C$9:C4576,C4576))</f>
        <v/>
      </c>
    </row>
    <row r="4577" spans="2:2" x14ac:dyDescent="0.25">
      <c r="B4577" t="str">
        <f>IF(C4577="","",C4577&amp;COUNTIF(C$9:C4577,C4577))</f>
        <v/>
      </c>
    </row>
    <row r="4578" spans="2:2" x14ac:dyDescent="0.25">
      <c r="B4578" t="str">
        <f>IF(C4578="","",C4578&amp;COUNTIF(C$9:C4578,C4578))</f>
        <v/>
      </c>
    </row>
    <row r="4579" spans="2:2" x14ac:dyDescent="0.25">
      <c r="B4579" t="str">
        <f>IF(C4579="","",C4579&amp;COUNTIF(C$9:C4579,C4579))</f>
        <v/>
      </c>
    </row>
    <row r="4580" spans="2:2" x14ac:dyDescent="0.25">
      <c r="B4580" t="str">
        <f>IF(C4580="","",C4580&amp;COUNTIF(C$9:C4580,C4580))</f>
        <v/>
      </c>
    </row>
    <row r="4581" spans="2:2" x14ac:dyDescent="0.25">
      <c r="B4581" t="str">
        <f>IF(C4581="","",C4581&amp;COUNTIF(C$9:C4581,C4581))</f>
        <v/>
      </c>
    </row>
    <row r="4582" spans="2:2" x14ac:dyDescent="0.25">
      <c r="B4582" t="str">
        <f>IF(C4582="","",C4582&amp;COUNTIF(C$9:C4582,C4582))</f>
        <v/>
      </c>
    </row>
    <row r="4583" spans="2:2" x14ac:dyDescent="0.25">
      <c r="B4583" t="str">
        <f>IF(C4583="","",C4583&amp;COUNTIF(C$9:C4583,C4583))</f>
        <v/>
      </c>
    </row>
    <row r="4584" spans="2:2" x14ac:dyDescent="0.25">
      <c r="B4584" t="str">
        <f>IF(C4584="","",C4584&amp;COUNTIF(C$9:C4584,C4584))</f>
        <v/>
      </c>
    </row>
    <row r="4585" spans="2:2" x14ac:dyDescent="0.25">
      <c r="B4585" t="str">
        <f>IF(C4585="","",C4585&amp;COUNTIF(C$9:C4585,C4585))</f>
        <v/>
      </c>
    </row>
    <row r="4586" spans="2:2" x14ac:dyDescent="0.25">
      <c r="B4586" t="str">
        <f>IF(C4586="","",C4586&amp;COUNTIF(C$9:C4586,C4586))</f>
        <v/>
      </c>
    </row>
    <row r="4587" spans="2:2" x14ac:dyDescent="0.25">
      <c r="B4587" t="str">
        <f>IF(C4587="","",C4587&amp;COUNTIF(C$9:C4587,C4587))</f>
        <v/>
      </c>
    </row>
    <row r="4588" spans="2:2" x14ac:dyDescent="0.25">
      <c r="B4588" t="str">
        <f>IF(C4588="","",C4588&amp;COUNTIF(C$9:C4588,C4588))</f>
        <v/>
      </c>
    </row>
    <row r="4589" spans="2:2" x14ac:dyDescent="0.25">
      <c r="B4589" t="str">
        <f>IF(C4589="","",C4589&amp;COUNTIF(C$9:C4589,C4589))</f>
        <v/>
      </c>
    </row>
    <row r="4590" spans="2:2" x14ac:dyDescent="0.25">
      <c r="B4590" t="str">
        <f>IF(C4590="","",C4590&amp;COUNTIF(C$9:C4590,C4590))</f>
        <v/>
      </c>
    </row>
    <row r="4591" spans="2:2" x14ac:dyDescent="0.25">
      <c r="B4591" t="str">
        <f>IF(C4591="","",C4591&amp;COUNTIF(C$9:C4591,C4591))</f>
        <v/>
      </c>
    </row>
    <row r="4592" spans="2:2" x14ac:dyDescent="0.25">
      <c r="B4592" t="str">
        <f>IF(C4592="","",C4592&amp;COUNTIF(C$9:C4592,C4592))</f>
        <v/>
      </c>
    </row>
    <row r="4593" spans="2:2" x14ac:dyDescent="0.25">
      <c r="B4593" t="str">
        <f>IF(C4593="","",C4593&amp;COUNTIF(C$9:C4593,C4593))</f>
        <v/>
      </c>
    </row>
    <row r="4594" spans="2:2" x14ac:dyDescent="0.25">
      <c r="B4594" t="str">
        <f>IF(C4594="","",C4594&amp;COUNTIF(C$9:C4594,C4594))</f>
        <v/>
      </c>
    </row>
    <row r="4595" spans="2:2" x14ac:dyDescent="0.25">
      <c r="B4595" t="str">
        <f>IF(C4595="","",C4595&amp;COUNTIF(C$9:C4595,C4595))</f>
        <v/>
      </c>
    </row>
    <row r="4596" spans="2:2" x14ac:dyDescent="0.25">
      <c r="B4596" t="str">
        <f>IF(C4596="","",C4596&amp;COUNTIF(C$9:C4596,C4596))</f>
        <v/>
      </c>
    </row>
    <row r="4597" spans="2:2" x14ac:dyDescent="0.25">
      <c r="B4597" t="str">
        <f>IF(C4597="","",C4597&amp;COUNTIF(C$9:C4597,C4597))</f>
        <v/>
      </c>
    </row>
    <row r="4598" spans="2:2" x14ac:dyDescent="0.25">
      <c r="B4598" t="str">
        <f>IF(C4598="","",C4598&amp;COUNTIF(C$9:C4598,C4598))</f>
        <v/>
      </c>
    </row>
    <row r="4599" spans="2:2" x14ac:dyDescent="0.25">
      <c r="B4599" t="str">
        <f>IF(C4599="","",C4599&amp;COUNTIF(C$9:C4599,C4599))</f>
        <v/>
      </c>
    </row>
    <row r="4600" spans="2:2" x14ac:dyDescent="0.25">
      <c r="B4600" t="str">
        <f>IF(C4600="","",C4600&amp;COUNTIF(C$9:C4600,C4600))</f>
        <v/>
      </c>
    </row>
    <row r="4601" spans="2:2" x14ac:dyDescent="0.25">
      <c r="B4601" t="str">
        <f>IF(C4601="","",C4601&amp;COUNTIF(C$9:C4601,C4601))</f>
        <v/>
      </c>
    </row>
    <row r="4602" spans="2:2" x14ac:dyDescent="0.25">
      <c r="B4602" t="str">
        <f>IF(C4602="","",C4602&amp;COUNTIF(C$9:C4602,C4602))</f>
        <v/>
      </c>
    </row>
    <row r="4603" spans="2:2" x14ac:dyDescent="0.25">
      <c r="B4603" t="str">
        <f>IF(C4603="","",C4603&amp;COUNTIF(C$9:C4603,C4603))</f>
        <v/>
      </c>
    </row>
    <row r="4604" spans="2:2" x14ac:dyDescent="0.25">
      <c r="B4604" t="str">
        <f>IF(C4604="","",C4604&amp;COUNTIF(C$9:C4604,C4604))</f>
        <v/>
      </c>
    </row>
    <row r="4605" spans="2:2" x14ac:dyDescent="0.25">
      <c r="B4605" t="str">
        <f>IF(C4605="","",C4605&amp;COUNTIF(C$9:C4605,C4605))</f>
        <v/>
      </c>
    </row>
    <row r="4606" spans="2:2" x14ac:dyDescent="0.25">
      <c r="B4606" t="str">
        <f>IF(C4606="","",C4606&amp;COUNTIF(C$9:C4606,C4606))</f>
        <v/>
      </c>
    </row>
    <row r="4607" spans="2:2" x14ac:dyDescent="0.25">
      <c r="B4607" t="str">
        <f>IF(C4607="","",C4607&amp;COUNTIF(C$9:C4607,C4607))</f>
        <v/>
      </c>
    </row>
    <row r="4608" spans="2:2" x14ac:dyDescent="0.25">
      <c r="B4608" t="str">
        <f>IF(C4608="","",C4608&amp;COUNTIF(C$9:C4608,C4608))</f>
        <v/>
      </c>
    </row>
    <row r="4609" spans="2:2" x14ac:dyDescent="0.25">
      <c r="B4609" t="str">
        <f>IF(C4609="","",C4609&amp;COUNTIF(C$9:C4609,C4609))</f>
        <v/>
      </c>
    </row>
    <row r="4610" spans="2:2" x14ac:dyDescent="0.25">
      <c r="B4610" t="str">
        <f>IF(C4610="","",C4610&amp;COUNTIF(C$9:C4610,C4610))</f>
        <v/>
      </c>
    </row>
    <row r="4611" spans="2:2" x14ac:dyDescent="0.25">
      <c r="B4611" t="str">
        <f>IF(C4611="","",C4611&amp;COUNTIF(C$9:C4611,C4611))</f>
        <v/>
      </c>
    </row>
    <row r="4612" spans="2:2" x14ac:dyDescent="0.25">
      <c r="B4612" t="str">
        <f>IF(C4612="","",C4612&amp;COUNTIF(C$9:C4612,C4612))</f>
        <v/>
      </c>
    </row>
    <row r="4613" spans="2:2" x14ac:dyDescent="0.25">
      <c r="B4613" t="str">
        <f>IF(C4613="","",C4613&amp;COUNTIF(C$9:C4613,C4613))</f>
        <v/>
      </c>
    </row>
    <row r="4614" spans="2:2" x14ac:dyDescent="0.25">
      <c r="B4614" t="str">
        <f>IF(C4614="","",C4614&amp;COUNTIF(C$9:C4614,C4614))</f>
        <v/>
      </c>
    </row>
    <row r="4615" spans="2:2" x14ac:dyDescent="0.25">
      <c r="B4615" t="str">
        <f>IF(C4615="","",C4615&amp;COUNTIF(C$9:C4615,C4615))</f>
        <v/>
      </c>
    </row>
    <row r="4616" spans="2:2" x14ac:dyDescent="0.25">
      <c r="B4616" t="str">
        <f>IF(C4616="","",C4616&amp;COUNTIF(C$9:C4616,C4616))</f>
        <v/>
      </c>
    </row>
    <row r="4617" spans="2:2" x14ac:dyDescent="0.25">
      <c r="B4617" t="str">
        <f>IF(C4617="","",C4617&amp;COUNTIF(C$9:C4617,C4617))</f>
        <v/>
      </c>
    </row>
    <row r="4618" spans="2:2" x14ac:dyDescent="0.25">
      <c r="B4618" t="str">
        <f>IF(C4618="","",C4618&amp;COUNTIF(C$9:C4618,C4618))</f>
        <v/>
      </c>
    </row>
    <row r="4619" spans="2:2" x14ac:dyDescent="0.25">
      <c r="B4619" t="str">
        <f>IF(C4619="","",C4619&amp;COUNTIF(C$9:C4619,C4619))</f>
        <v/>
      </c>
    </row>
    <row r="4620" spans="2:2" x14ac:dyDescent="0.25">
      <c r="B4620" t="str">
        <f>IF(C4620="","",C4620&amp;COUNTIF(C$9:C4620,C4620))</f>
        <v/>
      </c>
    </row>
    <row r="4621" spans="2:2" x14ac:dyDescent="0.25">
      <c r="B4621" t="str">
        <f>IF(C4621="","",C4621&amp;COUNTIF(C$9:C4621,C4621))</f>
        <v/>
      </c>
    </row>
    <row r="4622" spans="2:2" x14ac:dyDescent="0.25">
      <c r="B4622" t="str">
        <f>IF(C4622="","",C4622&amp;COUNTIF(C$9:C4622,C4622))</f>
        <v/>
      </c>
    </row>
    <row r="4623" spans="2:2" x14ac:dyDescent="0.25">
      <c r="B4623" t="str">
        <f>IF(C4623="","",C4623&amp;COUNTIF(C$9:C4623,C4623))</f>
        <v/>
      </c>
    </row>
    <row r="4624" spans="2:2" x14ac:dyDescent="0.25">
      <c r="B4624" t="str">
        <f>IF(C4624="","",C4624&amp;COUNTIF(C$9:C4624,C4624))</f>
        <v/>
      </c>
    </row>
    <row r="4625" spans="2:2" x14ac:dyDescent="0.25">
      <c r="B4625" t="str">
        <f>IF(C4625="","",C4625&amp;COUNTIF(C$9:C4625,C4625))</f>
        <v/>
      </c>
    </row>
    <row r="4626" spans="2:2" x14ac:dyDescent="0.25">
      <c r="B4626" t="str">
        <f>IF(C4626="","",C4626&amp;COUNTIF(C$9:C4626,C4626))</f>
        <v/>
      </c>
    </row>
    <row r="4627" spans="2:2" x14ac:dyDescent="0.25">
      <c r="B4627" t="str">
        <f>IF(C4627="","",C4627&amp;COUNTIF(C$9:C4627,C4627))</f>
        <v/>
      </c>
    </row>
    <row r="4628" spans="2:2" x14ac:dyDescent="0.25">
      <c r="B4628" t="str">
        <f>IF(C4628="","",C4628&amp;COUNTIF(C$9:C4628,C4628))</f>
        <v/>
      </c>
    </row>
    <row r="4629" spans="2:2" x14ac:dyDescent="0.25">
      <c r="B4629" t="str">
        <f>IF(C4629="","",C4629&amp;COUNTIF(C$9:C4629,C4629))</f>
        <v/>
      </c>
    </row>
    <row r="4630" spans="2:2" x14ac:dyDescent="0.25">
      <c r="B4630" t="str">
        <f>IF(C4630="","",C4630&amp;COUNTIF(C$9:C4630,C4630))</f>
        <v/>
      </c>
    </row>
    <row r="4631" spans="2:2" x14ac:dyDescent="0.25">
      <c r="B4631" t="str">
        <f>IF(C4631="","",C4631&amp;COUNTIF(C$9:C4631,C4631))</f>
        <v/>
      </c>
    </row>
    <row r="4632" spans="2:2" x14ac:dyDescent="0.25">
      <c r="B4632" t="str">
        <f>IF(C4632="","",C4632&amp;COUNTIF(C$9:C4632,C4632))</f>
        <v/>
      </c>
    </row>
    <row r="4633" spans="2:2" x14ac:dyDescent="0.25">
      <c r="B4633" t="str">
        <f>IF(C4633="","",C4633&amp;COUNTIF(C$9:C4633,C4633))</f>
        <v/>
      </c>
    </row>
    <row r="4634" spans="2:2" x14ac:dyDescent="0.25">
      <c r="B4634" t="str">
        <f>IF(C4634="","",C4634&amp;COUNTIF(C$9:C4634,C4634))</f>
        <v/>
      </c>
    </row>
    <row r="4635" spans="2:2" x14ac:dyDescent="0.25">
      <c r="B4635" t="str">
        <f>IF(C4635="","",C4635&amp;COUNTIF(C$9:C4635,C4635))</f>
        <v/>
      </c>
    </row>
    <row r="4636" spans="2:2" x14ac:dyDescent="0.25">
      <c r="B4636" t="str">
        <f>IF(C4636="","",C4636&amp;COUNTIF(C$9:C4636,C4636))</f>
        <v/>
      </c>
    </row>
    <row r="4637" spans="2:2" x14ac:dyDescent="0.25">
      <c r="B4637" t="str">
        <f>IF(C4637="","",C4637&amp;COUNTIF(C$9:C4637,C4637))</f>
        <v/>
      </c>
    </row>
    <row r="4638" spans="2:2" x14ac:dyDescent="0.25">
      <c r="B4638" t="str">
        <f>IF(C4638="","",C4638&amp;COUNTIF(C$9:C4638,C4638))</f>
        <v/>
      </c>
    </row>
    <row r="4639" spans="2:2" x14ac:dyDescent="0.25">
      <c r="B4639" t="str">
        <f>IF(C4639="","",C4639&amp;COUNTIF(C$9:C4639,C4639))</f>
        <v/>
      </c>
    </row>
    <row r="4640" spans="2:2" x14ac:dyDescent="0.25">
      <c r="B4640" t="str">
        <f>IF(C4640="","",C4640&amp;COUNTIF(C$9:C4640,C4640))</f>
        <v/>
      </c>
    </row>
    <row r="4641" spans="2:2" x14ac:dyDescent="0.25">
      <c r="B4641" t="str">
        <f>IF(C4641="","",C4641&amp;COUNTIF(C$9:C4641,C4641))</f>
        <v/>
      </c>
    </row>
    <row r="4642" spans="2:2" x14ac:dyDescent="0.25">
      <c r="B4642" t="str">
        <f>IF(C4642="","",C4642&amp;COUNTIF(C$9:C4642,C4642))</f>
        <v/>
      </c>
    </row>
    <row r="4643" spans="2:2" x14ac:dyDescent="0.25">
      <c r="B4643" t="str">
        <f>IF(C4643="","",C4643&amp;COUNTIF(C$9:C4643,C4643))</f>
        <v/>
      </c>
    </row>
    <row r="4644" spans="2:2" x14ac:dyDescent="0.25">
      <c r="B4644" t="str">
        <f>IF(C4644="","",C4644&amp;COUNTIF(C$9:C4644,C4644))</f>
        <v/>
      </c>
    </row>
    <row r="4645" spans="2:2" x14ac:dyDescent="0.25">
      <c r="B4645" t="str">
        <f>IF(C4645="","",C4645&amp;COUNTIF(C$9:C4645,C4645))</f>
        <v/>
      </c>
    </row>
    <row r="4646" spans="2:2" x14ac:dyDescent="0.25">
      <c r="B4646" t="str">
        <f>IF(C4646="","",C4646&amp;COUNTIF(C$9:C4646,C4646))</f>
        <v/>
      </c>
    </row>
    <row r="4647" spans="2:2" x14ac:dyDescent="0.25">
      <c r="B4647" t="str">
        <f>IF(C4647="","",C4647&amp;COUNTIF(C$9:C4647,C4647))</f>
        <v/>
      </c>
    </row>
    <row r="4648" spans="2:2" x14ac:dyDescent="0.25">
      <c r="B4648" t="str">
        <f>IF(C4648="","",C4648&amp;COUNTIF(C$9:C4648,C4648))</f>
        <v/>
      </c>
    </row>
    <row r="4649" spans="2:2" x14ac:dyDescent="0.25">
      <c r="B4649" t="str">
        <f>IF(C4649="","",C4649&amp;COUNTIF(C$9:C4649,C4649))</f>
        <v/>
      </c>
    </row>
    <row r="4650" spans="2:2" x14ac:dyDescent="0.25">
      <c r="B4650" t="str">
        <f>IF(C4650="","",C4650&amp;COUNTIF(C$9:C4650,C4650))</f>
        <v/>
      </c>
    </row>
    <row r="4651" spans="2:2" x14ac:dyDescent="0.25">
      <c r="B4651" t="str">
        <f>IF(C4651="","",C4651&amp;COUNTIF(C$9:C4651,C4651))</f>
        <v/>
      </c>
    </row>
    <row r="4652" spans="2:2" x14ac:dyDescent="0.25">
      <c r="B4652" t="str">
        <f>IF(C4652="","",C4652&amp;COUNTIF(C$9:C4652,C4652))</f>
        <v/>
      </c>
    </row>
    <row r="4653" spans="2:2" x14ac:dyDescent="0.25">
      <c r="B4653" t="str">
        <f>IF(C4653="","",C4653&amp;COUNTIF(C$9:C4653,C4653))</f>
        <v/>
      </c>
    </row>
    <row r="4654" spans="2:2" x14ac:dyDescent="0.25">
      <c r="B4654" t="str">
        <f>IF(C4654="","",C4654&amp;COUNTIF(C$9:C4654,C4654))</f>
        <v/>
      </c>
    </row>
    <row r="4655" spans="2:2" x14ac:dyDescent="0.25">
      <c r="B4655" t="str">
        <f>IF(C4655="","",C4655&amp;COUNTIF(C$9:C4655,C4655))</f>
        <v/>
      </c>
    </row>
    <row r="4656" spans="2:2" x14ac:dyDescent="0.25">
      <c r="B4656" t="str">
        <f>IF(C4656="","",C4656&amp;COUNTIF(C$9:C4656,C4656))</f>
        <v/>
      </c>
    </row>
    <row r="4657" spans="2:2" x14ac:dyDescent="0.25">
      <c r="B4657" t="str">
        <f>IF(C4657="","",C4657&amp;COUNTIF(C$9:C4657,C4657))</f>
        <v/>
      </c>
    </row>
    <row r="4658" spans="2:2" x14ac:dyDescent="0.25">
      <c r="B4658" t="str">
        <f>IF(C4658="","",C4658&amp;COUNTIF(C$9:C4658,C4658))</f>
        <v/>
      </c>
    </row>
    <row r="4659" spans="2:2" x14ac:dyDescent="0.25">
      <c r="B4659" t="str">
        <f>IF(C4659="","",C4659&amp;COUNTIF(C$9:C4659,C4659))</f>
        <v/>
      </c>
    </row>
    <row r="4660" spans="2:2" x14ac:dyDescent="0.25">
      <c r="B4660" t="str">
        <f>IF(C4660="","",C4660&amp;COUNTIF(C$9:C4660,C4660))</f>
        <v/>
      </c>
    </row>
    <row r="4661" spans="2:2" x14ac:dyDescent="0.25">
      <c r="B4661" t="str">
        <f>IF(C4661="","",C4661&amp;COUNTIF(C$9:C4661,C4661))</f>
        <v/>
      </c>
    </row>
    <row r="4662" spans="2:2" x14ac:dyDescent="0.25">
      <c r="B4662" t="str">
        <f>IF(C4662="","",C4662&amp;COUNTIF(C$9:C4662,C4662))</f>
        <v/>
      </c>
    </row>
    <row r="4663" spans="2:2" x14ac:dyDescent="0.25">
      <c r="B4663" t="str">
        <f>IF(C4663="","",C4663&amp;COUNTIF(C$9:C4663,C4663))</f>
        <v/>
      </c>
    </row>
    <row r="4664" spans="2:2" x14ac:dyDescent="0.25">
      <c r="B4664" t="str">
        <f>IF(C4664="","",C4664&amp;COUNTIF(C$9:C4664,C4664))</f>
        <v/>
      </c>
    </row>
    <row r="4665" spans="2:2" x14ac:dyDescent="0.25">
      <c r="B4665" t="str">
        <f>IF(C4665="","",C4665&amp;COUNTIF(C$9:C4665,C4665))</f>
        <v/>
      </c>
    </row>
    <row r="4666" spans="2:2" x14ac:dyDescent="0.25">
      <c r="B4666" t="str">
        <f>IF(C4666="","",C4666&amp;COUNTIF(C$9:C4666,C4666))</f>
        <v/>
      </c>
    </row>
    <row r="4667" spans="2:2" x14ac:dyDescent="0.25">
      <c r="B4667" t="str">
        <f>IF(C4667="","",C4667&amp;COUNTIF(C$9:C4667,C4667))</f>
        <v/>
      </c>
    </row>
    <row r="4668" spans="2:2" x14ac:dyDescent="0.25">
      <c r="B4668" t="str">
        <f>IF(C4668="","",C4668&amp;COUNTIF(C$9:C4668,C4668))</f>
        <v/>
      </c>
    </row>
    <row r="4669" spans="2:2" x14ac:dyDescent="0.25">
      <c r="B4669" t="str">
        <f>IF(C4669="","",C4669&amp;COUNTIF(C$9:C4669,C4669))</f>
        <v/>
      </c>
    </row>
    <row r="4670" spans="2:2" x14ac:dyDescent="0.25">
      <c r="B4670" t="str">
        <f>IF(C4670="","",C4670&amp;COUNTIF(C$9:C4670,C4670))</f>
        <v/>
      </c>
    </row>
    <row r="4671" spans="2:2" x14ac:dyDescent="0.25">
      <c r="B4671" t="str">
        <f>IF(C4671="","",C4671&amp;COUNTIF(C$9:C4671,C4671))</f>
        <v/>
      </c>
    </row>
    <row r="4672" spans="2:2" x14ac:dyDescent="0.25">
      <c r="B4672" t="str">
        <f>IF(C4672="","",C4672&amp;COUNTIF(C$9:C4672,C4672))</f>
        <v/>
      </c>
    </row>
    <row r="4673" spans="2:2" x14ac:dyDescent="0.25">
      <c r="B4673" t="str">
        <f>IF(C4673="","",C4673&amp;COUNTIF(C$9:C4673,C4673))</f>
        <v/>
      </c>
    </row>
    <row r="4674" spans="2:2" x14ac:dyDescent="0.25">
      <c r="B4674" t="str">
        <f>IF(C4674="","",C4674&amp;COUNTIF(C$9:C4674,C4674))</f>
        <v/>
      </c>
    </row>
    <row r="4675" spans="2:2" x14ac:dyDescent="0.25">
      <c r="B4675" t="str">
        <f>IF(C4675="","",C4675&amp;COUNTIF(C$9:C4675,C4675))</f>
        <v/>
      </c>
    </row>
    <row r="4676" spans="2:2" x14ac:dyDescent="0.25">
      <c r="B4676" t="str">
        <f>IF(C4676="","",C4676&amp;COUNTIF(C$9:C4676,C4676))</f>
        <v/>
      </c>
    </row>
    <row r="4677" spans="2:2" x14ac:dyDescent="0.25">
      <c r="B4677" t="str">
        <f>IF(C4677="","",C4677&amp;COUNTIF(C$9:C4677,C4677))</f>
        <v/>
      </c>
    </row>
    <row r="4678" spans="2:2" x14ac:dyDescent="0.25">
      <c r="B4678" t="str">
        <f>IF(C4678="","",C4678&amp;COUNTIF(C$9:C4678,C4678))</f>
        <v/>
      </c>
    </row>
    <row r="4679" spans="2:2" x14ac:dyDescent="0.25">
      <c r="B4679" t="str">
        <f>IF(C4679="","",C4679&amp;COUNTIF(C$9:C4679,C4679))</f>
        <v/>
      </c>
    </row>
    <row r="4680" spans="2:2" x14ac:dyDescent="0.25">
      <c r="B4680" t="str">
        <f>IF(C4680="","",C4680&amp;COUNTIF(C$9:C4680,C4680))</f>
        <v/>
      </c>
    </row>
    <row r="4681" spans="2:2" x14ac:dyDescent="0.25">
      <c r="B4681" t="str">
        <f>IF(C4681="","",C4681&amp;COUNTIF(C$9:C4681,C4681))</f>
        <v/>
      </c>
    </row>
    <row r="4682" spans="2:2" x14ac:dyDescent="0.25">
      <c r="B4682" t="str">
        <f>IF(C4682="","",C4682&amp;COUNTIF(C$9:C4682,C4682))</f>
        <v/>
      </c>
    </row>
    <row r="4683" spans="2:2" x14ac:dyDescent="0.25">
      <c r="B4683" t="str">
        <f>IF(C4683="","",C4683&amp;COUNTIF(C$9:C4683,C4683))</f>
        <v/>
      </c>
    </row>
    <row r="4684" spans="2:2" x14ac:dyDescent="0.25">
      <c r="B4684" t="str">
        <f>IF(C4684="","",C4684&amp;COUNTIF(C$9:C4684,C4684))</f>
        <v/>
      </c>
    </row>
    <row r="4685" spans="2:2" x14ac:dyDescent="0.25">
      <c r="B4685" t="str">
        <f>IF(C4685="","",C4685&amp;COUNTIF(C$9:C4685,C4685))</f>
        <v/>
      </c>
    </row>
    <row r="4686" spans="2:2" x14ac:dyDescent="0.25">
      <c r="B4686" t="str">
        <f>IF(C4686="","",C4686&amp;COUNTIF(C$9:C4686,C4686))</f>
        <v/>
      </c>
    </row>
    <row r="4687" spans="2:2" x14ac:dyDescent="0.25">
      <c r="B4687" t="str">
        <f>IF(C4687="","",C4687&amp;COUNTIF(C$9:C4687,C4687))</f>
        <v/>
      </c>
    </row>
    <row r="4688" spans="2:2" x14ac:dyDescent="0.25">
      <c r="B4688" t="str">
        <f>IF(C4688="","",C4688&amp;COUNTIF(C$9:C4688,C4688))</f>
        <v/>
      </c>
    </row>
    <row r="4689" spans="2:2" x14ac:dyDescent="0.25">
      <c r="B4689" t="str">
        <f>IF(C4689="","",C4689&amp;COUNTIF(C$9:C4689,C4689))</f>
        <v/>
      </c>
    </row>
    <row r="4690" spans="2:2" x14ac:dyDescent="0.25">
      <c r="B4690" t="str">
        <f>IF(C4690="","",C4690&amp;COUNTIF(C$9:C4690,C4690))</f>
        <v/>
      </c>
    </row>
    <row r="4691" spans="2:2" x14ac:dyDescent="0.25">
      <c r="B4691" t="str">
        <f>IF(C4691="","",C4691&amp;COUNTIF(C$9:C4691,C4691))</f>
        <v/>
      </c>
    </row>
    <row r="4692" spans="2:2" x14ac:dyDescent="0.25">
      <c r="B4692" t="str">
        <f>IF(C4692="","",C4692&amp;COUNTIF(C$9:C4692,C4692))</f>
        <v/>
      </c>
    </row>
    <row r="4693" spans="2:2" x14ac:dyDescent="0.25">
      <c r="B4693" t="str">
        <f>IF(C4693="","",C4693&amp;COUNTIF(C$9:C4693,C4693))</f>
        <v/>
      </c>
    </row>
    <row r="4694" spans="2:2" x14ac:dyDescent="0.25">
      <c r="B4694" t="str">
        <f>IF(C4694="","",C4694&amp;COUNTIF(C$9:C4694,C4694))</f>
        <v/>
      </c>
    </row>
    <row r="4695" spans="2:2" x14ac:dyDescent="0.25">
      <c r="B4695" t="str">
        <f>IF(C4695="","",C4695&amp;COUNTIF(C$9:C4695,C4695))</f>
        <v/>
      </c>
    </row>
    <row r="4696" spans="2:2" x14ac:dyDescent="0.25">
      <c r="B4696" t="str">
        <f>IF(C4696="","",C4696&amp;COUNTIF(C$9:C4696,C4696))</f>
        <v/>
      </c>
    </row>
    <row r="4697" spans="2:2" x14ac:dyDescent="0.25">
      <c r="B4697" t="str">
        <f>IF(C4697="","",C4697&amp;COUNTIF(C$9:C4697,C4697))</f>
        <v/>
      </c>
    </row>
    <row r="4698" spans="2:2" x14ac:dyDescent="0.25">
      <c r="B4698" t="str">
        <f>IF(C4698="","",C4698&amp;COUNTIF(C$9:C4698,C4698))</f>
        <v/>
      </c>
    </row>
    <row r="4699" spans="2:2" x14ac:dyDescent="0.25">
      <c r="B4699" t="str">
        <f>IF(C4699="","",C4699&amp;COUNTIF(C$9:C4699,C4699))</f>
        <v/>
      </c>
    </row>
    <row r="4700" spans="2:2" x14ac:dyDescent="0.25">
      <c r="B4700" t="str">
        <f>IF(C4700="","",C4700&amp;COUNTIF(C$9:C4700,C4700))</f>
        <v/>
      </c>
    </row>
    <row r="4701" spans="2:2" x14ac:dyDescent="0.25">
      <c r="B4701" t="str">
        <f>IF(C4701="","",C4701&amp;COUNTIF(C$9:C4701,C4701))</f>
        <v/>
      </c>
    </row>
    <row r="4702" spans="2:2" x14ac:dyDescent="0.25">
      <c r="B4702" t="str">
        <f>IF(C4702="","",C4702&amp;COUNTIF(C$9:C4702,C4702))</f>
        <v/>
      </c>
    </row>
    <row r="4703" spans="2:2" x14ac:dyDescent="0.25">
      <c r="B4703" t="str">
        <f>IF(C4703="","",C4703&amp;COUNTIF(C$9:C4703,C4703))</f>
        <v/>
      </c>
    </row>
    <row r="4704" spans="2:2" x14ac:dyDescent="0.25">
      <c r="B4704" t="str">
        <f>IF(C4704="","",C4704&amp;COUNTIF(C$9:C4704,C4704))</f>
        <v/>
      </c>
    </row>
    <row r="4705" spans="2:2" x14ac:dyDescent="0.25">
      <c r="B4705" t="str">
        <f>IF(C4705="","",C4705&amp;COUNTIF(C$9:C4705,C4705))</f>
        <v/>
      </c>
    </row>
    <row r="4706" spans="2:2" x14ac:dyDescent="0.25">
      <c r="B4706" t="str">
        <f>IF(C4706="","",C4706&amp;COUNTIF(C$9:C4706,C4706))</f>
        <v/>
      </c>
    </row>
    <row r="4707" spans="2:2" x14ac:dyDescent="0.25">
      <c r="B4707" t="str">
        <f>IF(C4707="","",C4707&amp;COUNTIF(C$9:C4707,C4707))</f>
        <v/>
      </c>
    </row>
    <row r="4708" spans="2:2" x14ac:dyDescent="0.25">
      <c r="B4708" t="str">
        <f>IF(C4708="","",C4708&amp;COUNTIF(C$9:C4708,C4708))</f>
        <v/>
      </c>
    </row>
    <row r="4709" spans="2:2" x14ac:dyDescent="0.25">
      <c r="B4709" t="str">
        <f>IF(C4709="","",C4709&amp;COUNTIF(C$9:C4709,C4709))</f>
        <v/>
      </c>
    </row>
    <row r="4710" spans="2:2" x14ac:dyDescent="0.25">
      <c r="B4710" t="str">
        <f>IF(C4710="","",C4710&amp;COUNTIF(C$9:C4710,C4710))</f>
        <v/>
      </c>
    </row>
    <row r="4711" spans="2:2" x14ac:dyDescent="0.25">
      <c r="B4711" t="str">
        <f>IF(C4711="","",C4711&amp;COUNTIF(C$9:C4711,C4711))</f>
        <v/>
      </c>
    </row>
    <row r="4712" spans="2:2" x14ac:dyDescent="0.25">
      <c r="B4712" t="str">
        <f>IF(C4712="","",C4712&amp;COUNTIF(C$9:C4712,C4712))</f>
        <v/>
      </c>
    </row>
    <row r="4713" spans="2:2" x14ac:dyDescent="0.25">
      <c r="B4713" t="str">
        <f>IF(C4713="","",C4713&amp;COUNTIF(C$9:C4713,C4713))</f>
        <v/>
      </c>
    </row>
    <row r="4714" spans="2:2" x14ac:dyDescent="0.25">
      <c r="B4714" t="str">
        <f>IF(C4714="","",C4714&amp;COUNTIF(C$9:C4714,C4714))</f>
        <v/>
      </c>
    </row>
    <row r="4715" spans="2:2" x14ac:dyDescent="0.25">
      <c r="B4715" t="str">
        <f>IF(C4715="","",C4715&amp;COUNTIF(C$9:C4715,C4715))</f>
        <v/>
      </c>
    </row>
    <row r="4716" spans="2:2" x14ac:dyDescent="0.25">
      <c r="B4716" t="str">
        <f>IF(C4716="","",C4716&amp;COUNTIF(C$9:C4716,C4716))</f>
        <v/>
      </c>
    </row>
    <row r="4717" spans="2:2" x14ac:dyDescent="0.25">
      <c r="B4717" t="str">
        <f>IF(C4717="","",C4717&amp;COUNTIF(C$9:C4717,C4717))</f>
        <v/>
      </c>
    </row>
    <row r="4718" spans="2:2" x14ac:dyDescent="0.25">
      <c r="B4718" t="str">
        <f>IF(C4718="","",C4718&amp;COUNTIF(C$9:C4718,C4718))</f>
        <v/>
      </c>
    </row>
    <row r="4719" spans="2:2" x14ac:dyDescent="0.25">
      <c r="B4719" t="str">
        <f>IF(C4719="","",C4719&amp;COUNTIF(C$9:C4719,C4719))</f>
        <v/>
      </c>
    </row>
    <row r="4720" spans="2:2" x14ac:dyDescent="0.25">
      <c r="B4720" t="str">
        <f>IF(C4720="","",C4720&amp;COUNTIF(C$9:C4720,C4720))</f>
        <v/>
      </c>
    </row>
    <row r="4721" spans="2:2" x14ac:dyDescent="0.25">
      <c r="B4721" t="str">
        <f>IF(C4721="","",C4721&amp;COUNTIF(C$9:C4721,C4721))</f>
        <v/>
      </c>
    </row>
    <row r="4722" spans="2:2" x14ac:dyDescent="0.25">
      <c r="B4722" t="str">
        <f>IF(C4722="","",C4722&amp;COUNTIF(C$9:C4722,C4722))</f>
        <v/>
      </c>
    </row>
    <row r="4723" spans="2:2" x14ac:dyDescent="0.25">
      <c r="B4723" t="str">
        <f>IF(C4723="","",C4723&amp;COUNTIF(C$9:C4723,C4723))</f>
        <v/>
      </c>
    </row>
    <row r="4724" spans="2:2" x14ac:dyDescent="0.25">
      <c r="B4724" t="str">
        <f>IF(C4724="","",C4724&amp;COUNTIF(C$9:C4724,C4724))</f>
        <v/>
      </c>
    </row>
    <row r="4725" spans="2:2" x14ac:dyDescent="0.25">
      <c r="B4725" t="str">
        <f>IF(C4725="","",C4725&amp;COUNTIF(C$9:C4725,C4725))</f>
        <v/>
      </c>
    </row>
    <row r="4726" spans="2:2" x14ac:dyDescent="0.25">
      <c r="B4726" t="str">
        <f>IF(C4726="","",C4726&amp;COUNTIF(C$9:C4726,C4726))</f>
        <v/>
      </c>
    </row>
    <row r="4727" spans="2:2" x14ac:dyDescent="0.25">
      <c r="B4727" t="str">
        <f>IF(C4727="","",C4727&amp;COUNTIF(C$9:C4727,C4727))</f>
        <v/>
      </c>
    </row>
    <row r="4728" spans="2:2" x14ac:dyDescent="0.25">
      <c r="B4728" t="str">
        <f>IF(C4728="","",C4728&amp;COUNTIF(C$9:C4728,C4728))</f>
        <v/>
      </c>
    </row>
    <row r="4729" spans="2:2" x14ac:dyDescent="0.25">
      <c r="B4729" t="str">
        <f>IF(C4729="","",C4729&amp;COUNTIF(C$9:C4729,C4729))</f>
        <v/>
      </c>
    </row>
    <row r="4730" spans="2:2" x14ac:dyDescent="0.25">
      <c r="B4730" t="str">
        <f>IF(C4730="","",C4730&amp;COUNTIF(C$9:C4730,C4730))</f>
        <v/>
      </c>
    </row>
    <row r="4731" spans="2:2" x14ac:dyDescent="0.25">
      <c r="B4731" t="str">
        <f>IF(C4731="","",C4731&amp;COUNTIF(C$9:C4731,C4731))</f>
        <v/>
      </c>
    </row>
    <row r="4732" spans="2:2" x14ac:dyDescent="0.25">
      <c r="B4732" t="str">
        <f>IF(C4732="","",C4732&amp;COUNTIF(C$9:C4732,C4732))</f>
        <v/>
      </c>
    </row>
    <row r="4733" spans="2:2" x14ac:dyDescent="0.25">
      <c r="B4733" t="str">
        <f>IF(C4733="","",C4733&amp;COUNTIF(C$9:C4733,C4733))</f>
        <v/>
      </c>
    </row>
    <row r="4734" spans="2:2" x14ac:dyDescent="0.25">
      <c r="B4734" t="str">
        <f>IF(C4734="","",C4734&amp;COUNTIF(C$9:C4734,C4734))</f>
        <v/>
      </c>
    </row>
    <row r="4735" spans="2:2" x14ac:dyDescent="0.25">
      <c r="B4735" t="str">
        <f>IF(C4735="","",C4735&amp;COUNTIF(C$9:C4735,C4735))</f>
        <v/>
      </c>
    </row>
    <row r="4736" spans="2:2" x14ac:dyDescent="0.25">
      <c r="B4736" t="str">
        <f>IF(C4736="","",C4736&amp;COUNTIF(C$9:C4736,C4736))</f>
        <v/>
      </c>
    </row>
    <row r="4737" spans="2:2" x14ac:dyDescent="0.25">
      <c r="B4737" t="str">
        <f>IF(C4737="","",C4737&amp;COUNTIF(C$9:C4737,C4737))</f>
        <v/>
      </c>
    </row>
    <row r="4738" spans="2:2" x14ac:dyDescent="0.25">
      <c r="B4738" t="str">
        <f>IF(C4738="","",C4738&amp;COUNTIF(C$9:C4738,C4738))</f>
        <v/>
      </c>
    </row>
    <row r="4739" spans="2:2" x14ac:dyDescent="0.25">
      <c r="B4739" t="str">
        <f>IF(C4739="","",C4739&amp;COUNTIF(C$9:C4739,C4739))</f>
        <v/>
      </c>
    </row>
    <row r="4740" spans="2:2" x14ac:dyDescent="0.25">
      <c r="B4740" t="str">
        <f>IF(C4740="","",C4740&amp;COUNTIF(C$9:C4740,C4740))</f>
        <v/>
      </c>
    </row>
    <row r="4741" spans="2:2" x14ac:dyDescent="0.25">
      <c r="B4741" t="str">
        <f>IF(C4741="","",C4741&amp;COUNTIF(C$9:C4741,C4741))</f>
        <v/>
      </c>
    </row>
    <row r="4742" spans="2:2" x14ac:dyDescent="0.25">
      <c r="B4742" t="str">
        <f>IF(C4742="","",C4742&amp;COUNTIF(C$9:C4742,C4742))</f>
        <v/>
      </c>
    </row>
    <row r="4743" spans="2:2" x14ac:dyDescent="0.25">
      <c r="B4743" t="str">
        <f>IF(C4743="","",C4743&amp;COUNTIF(C$9:C4743,C4743))</f>
        <v/>
      </c>
    </row>
    <row r="4744" spans="2:2" x14ac:dyDescent="0.25">
      <c r="B4744" t="str">
        <f>IF(C4744="","",C4744&amp;COUNTIF(C$9:C4744,C4744))</f>
        <v/>
      </c>
    </row>
    <row r="4745" spans="2:2" x14ac:dyDescent="0.25">
      <c r="B4745" t="str">
        <f>IF(C4745="","",C4745&amp;COUNTIF(C$9:C4745,C4745))</f>
        <v/>
      </c>
    </row>
    <row r="4746" spans="2:2" x14ac:dyDescent="0.25">
      <c r="B4746" t="str">
        <f>IF(C4746="","",C4746&amp;COUNTIF(C$9:C4746,C4746))</f>
        <v/>
      </c>
    </row>
    <row r="4747" spans="2:2" x14ac:dyDescent="0.25">
      <c r="B4747" t="str">
        <f>IF(C4747="","",C4747&amp;COUNTIF(C$9:C4747,C4747))</f>
        <v/>
      </c>
    </row>
    <row r="4748" spans="2:2" x14ac:dyDescent="0.25">
      <c r="B4748" t="str">
        <f>IF(C4748="","",C4748&amp;COUNTIF(C$9:C4748,C4748))</f>
        <v/>
      </c>
    </row>
    <row r="4749" spans="2:2" x14ac:dyDescent="0.25">
      <c r="B4749" t="str">
        <f>IF(C4749="","",C4749&amp;COUNTIF(C$9:C4749,C4749))</f>
        <v/>
      </c>
    </row>
    <row r="4750" spans="2:2" x14ac:dyDescent="0.25">
      <c r="B4750" t="str">
        <f>IF(C4750="","",C4750&amp;COUNTIF(C$9:C4750,C4750))</f>
        <v/>
      </c>
    </row>
    <row r="4751" spans="2:2" x14ac:dyDescent="0.25">
      <c r="B4751" t="str">
        <f>IF(C4751="","",C4751&amp;COUNTIF(C$9:C4751,C4751))</f>
        <v/>
      </c>
    </row>
    <row r="4752" spans="2:2" x14ac:dyDescent="0.25">
      <c r="B4752" t="str">
        <f>IF(C4752="","",C4752&amp;COUNTIF(C$9:C4752,C4752))</f>
        <v/>
      </c>
    </row>
    <row r="4753" spans="2:2" x14ac:dyDescent="0.25">
      <c r="B4753" t="str">
        <f>IF(C4753="","",C4753&amp;COUNTIF(C$9:C4753,C4753))</f>
        <v/>
      </c>
    </row>
    <row r="4754" spans="2:2" x14ac:dyDescent="0.25">
      <c r="B4754" t="str">
        <f>IF(C4754="","",C4754&amp;COUNTIF(C$9:C4754,C4754))</f>
        <v/>
      </c>
    </row>
    <row r="4755" spans="2:2" x14ac:dyDescent="0.25">
      <c r="B4755" t="str">
        <f>IF(C4755="","",C4755&amp;COUNTIF(C$9:C4755,C4755))</f>
        <v/>
      </c>
    </row>
    <row r="4756" spans="2:2" x14ac:dyDescent="0.25">
      <c r="B4756" t="str">
        <f>IF(C4756="","",C4756&amp;COUNTIF(C$9:C4756,C4756))</f>
        <v/>
      </c>
    </row>
    <row r="4757" spans="2:2" x14ac:dyDescent="0.25">
      <c r="B4757" t="str">
        <f>IF(C4757="","",C4757&amp;COUNTIF(C$9:C4757,C4757))</f>
        <v/>
      </c>
    </row>
    <row r="4758" spans="2:2" x14ac:dyDescent="0.25">
      <c r="B4758" t="str">
        <f>IF(C4758="","",C4758&amp;COUNTIF(C$9:C4758,C4758))</f>
        <v/>
      </c>
    </row>
    <row r="4759" spans="2:2" x14ac:dyDescent="0.25">
      <c r="B4759" t="str">
        <f>IF(C4759="","",C4759&amp;COUNTIF(C$9:C4759,C4759))</f>
        <v/>
      </c>
    </row>
    <row r="4760" spans="2:2" x14ac:dyDescent="0.25">
      <c r="B4760" t="str">
        <f>IF(C4760="","",C4760&amp;COUNTIF(C$9:C4760,C4760))</f>
        <v/>
      </c>
    </row>
    <row r="4761" spans="2:2" x14ac:dyDescent="0.25">
      <c r="B4761" t="str">
        <f>IF(C4761="","",C4761&amp;COUNTIF(C$9:C4761,C4761))</f>
        <v/>
      </c>
    </row>
    <row r="4762" spans="2:2" x14ac:dyDescent="0.25">
      <c r="B4762" t="str">
        <f>IF(C4762="","",C4762&amp;COUNTIF(C$9:C4762,C4762))</f>
        <v/>
      </c>
    </row>
    <row r="4763" spans="2:2" x14ac:dyDescent="0.25">
      <c r="B4763" t="str">
        <f>IF(C4763="","",C4763&amp;COUNTIF(C$9:C4763,C4763))</f>
        <v/>
      </c>
    </row>
    <row r="4764" spans="2:2" x14ac:dyDescent="0.25">
      <c r="B4764" t="str">
        <f>IF(C4764="","",C4764&amp;COUNTIF(C$9:C4764,C4764))</f>
        <v/>
      </c>
    </row>
    <row r="4765" spans="2:2" x14ac:dyDescent="0.25">
      <c r="B4765" t="str">
        <f>IF(C4765="","",C4765&amp;COUNTIF(C$9:C4765,C4765))</f>
        <v/>
      </c>
    </row>
    <row r="4766" spans="2:2" x14ac:dyDescent="0.25">
      <c r="B4766" t="str">
        <f>IF(C4766="","",C4766&amp;COUNTIF(C$9:C4766,C4766))</f>
        <v/>
      </c>
    </row>
    <row r="4767" spans="2:2" x14ac:dyDescent="0.25">
      <c r="B4767" t="str">
        <f>IF(C4767="","",C4767&amp;COUNTIF(C$9:C4767,C4767))</f>
        <v/>
      </c>
    </row>
    <row r="4768" spans="2:2" x14ac:dyDescent="0.25">
      <c r="B4768" t="str">
        <f>IF(C4768="","",C4768&amp;COUNTIF(C$9:C4768,C4768))</f>
        <v/>
      </c>
    </row>
    <row r="4769" spans="2:2" x14ac:dyDescent="0.25">
      <c r="B4769" t="str">
        <f>IF(C4769="","",C4769&amp;COUNTIF(C$9:C4769,C4769))</f>
        <v/>
      </c>
    </row>
    <row r="4770" spans="2:2" x14ac:dyDescent="0.25">
      <c r="B4770" t="str">
        <f>IF(C4770="","",C4770&amp;COUNTIF(C$9:C4770,C4770))</f>
        <v/>
      </c>
    </row>
    <row r="4771" spans="2:2" x14ac:dyDescent="0.25">
      <c r="B4771" t="str">
        <f>IF(C4771="","",C4771&amp;COUNTIF(C$9:C4771,C4771))</f>
        <v/>
      </c>
    </row>
    <row r="4772" spans="2:2" x14ac:dyDescent="0.25">
      <c r="B4772" t="str">
        <f>IF(C4772="","",C4772&amp;COUNTIF(C$9:C4772,C4772))</f>
        <v/>
      </c>
    </row>
    <row r="4773" spans="2:2" x14ac:dyDescent="0.25">
      <c r="B4773" t="str">
        <f>IF(C4773="","",C4773&amp;COUNTIF(C$9:C4773,C4773))</f>
        <v/>
      </c>
    </row>
    <row r="4774" spans="2:2" x14ac:dyDescent="0.25">
      <c r="B4774" t="str">
        <f>IF(C4774="","",C4774&amp;COUNTIF(C$9:C4774,C4774))</f>
        <v/>
      </c>
    </row>
    <row r="4775" spans="2:2" x14ac:dyDescent="0.25">
      <c r="B4775" t="str">
        <f>IF(C4775="","",C4775&amp;COUNTIF(C$9:C4775,C4775))</f>
        <v/>
      </c>
    </row>
    <row r="4776" spans="2:2" x14ac:dyDescent="0.25">
      <c r="B4776" t="str">
        <f>IF(C4776="","",C4776&amp;COUNTIF(C$9:C4776,C4776))</f>
        <v/>
      </c>
    </row>
    <row r="4777" spans="2:2" x14ac:dyDescent="0.25">
      <c r="B4777" t="str">
        <f>IF(C4777="","",C4777&amp;COUNTIF(C$9:C4777,C4777))</f>
        <v/>
      </c>
    </row>
    <row r="4778" spans="2:2" x14ac:dyDescent="0.25">
      <c r="B4778" t="str">
        <f>IF(C4778="","",C4778&amp;COUNTIF(C$9:C4778,C4778))</f>
        <v/>
      </c>
    </row>
    <row r="4779" spans="2:2" x14ac:dyDescent="0.25">
      <c r="B4779" t="str">
        <f>IF(C4779="","",C4779&amp;COUNTIF(C$9:C4779,C4779))</f>
        <v/>
      </c>
    </row>
    <row r="4780" spans="2:2" x14ac:dyDescent="0.25">
      <c r="B4780" t="str">
        <f>IF(C4780="","",C4780&amp;COUNTIF(C$9:C4780,C4780))</f>
        <v/>
      </c>
    </row>
    <row r="4781" spans="2:2" x14ac:dyDescent="0.25">
      <c r="B4781" t="str">
        <f>IF(C4781="","",C4781&amp;COUNTIF(C$9:C4781,C4781))</f>
        <v/>
      </c>
    </row>
    <row r="4782" spans="2:2" x14ac:dyDescent="0.25">
      <c r="B4782" t="str">
        <f>IF(C4782="","",C4782&amp;COUNTIF(C$9:C4782,C4782))</f>
        <v/>
      </c>
    </row>
    <row r="4783" spans="2:2" x14ac:dyDescent="0.25">
      <c r="B4783" t="str">
        <f>IF(C4783="","",C4783&amp;COUNTIF(C$9:C4783,C4783))</f>
        <v/>
      </c>
    </row>
    <row r="4784" spans="2:2" x14ac:dyDescent="0.25">
      <c r="B4784" t="str">
        <f>IF(C4784="","",C4784&amp;COUNTIF(C$9:C4784,C4784))</f>
        <v/>
      </c>
    </row>
    <row r="4785" spans="2:2" x14ac:dyDescent="0.25">
      <c r="B4785" t="str">
        <f>IF(C4785="","",C4785&amp;COUNTIF(C$9:C4785,C4785))</f>
        <v/>
      </c>
    </row>
    <row r="4786" spans="2:2" x14ac:dyDescent="0.25">
      <c r="B4786" t="str">
        <f>IF(C4786="","",C4786&amp;COUNTIF(C$9:C4786,C4786))</f>
        <v/>
      </c>
    </row>
    <row r="4787" spans="2:2" x14ac:dyDescent="0.25">
      <c r="B4787" t="str">
        <f>IF(C4787="","",C4787&amp;COUNTIF(C$9:C4787,C4787))</f>
        <v/>
      </c>
    </row>
    <row r="4788" spans="2:2" x14ac:dyDescent="0.25">
      <c r="B4788" t="str">
        <f>IF(C4788="","",C4788&amp;COUNTIF(C$9:C4788,C4788))</f>
        <v/>
      </c>
    </row>
    <row r="4789" spans="2:2" x14ac:dyDescent="0.25">
      <c r="B4789" t="str">
        <f>IF(C4789="","",C4789&amp;COUNTIF(C$9:C4789,C4789))</f>
        <v/>
      </c>
    </row>
    <row r="4790" spans="2:2" x14ac:dyDescent="0.25">
      <c r="B4790" t="str">
        <f>IF(C4790="","",C4790&amp;COUNTIF(C$9:C4790,C4790))</f>
        <v/>
      </c>
    </row>
    <row r="4791" spans="2:2" x14ac:dyDescent="0.25">
      <c r="B4791" t="str">
        <f>IF(C4791="","",C4791&amp;COUNTIF(C$9:C4791,C4791))</f>
        <v/>
      </c>
    </row>
    <row r="4792" spans="2:2" x14ac:dyDescent="0.25">
      <c r="B4792" t="str">
        <f>IF(C4792="","",C4792&amp;COUNTIF(C$9:C4792,C4792))</f>
        <v/>
      </c>
    </row>
    <row r="4793" spans="2:2" x14ac:dyDescent="0.25">
      <c r="B4793" t="str">
        <f>IF(C4793="","",C4793&amp;COUNTIF(C$9:C4793,C4793))</f>
        <v/>
      </c>
    </row>
    <row r="4794" spans="2:2" x14ac:dyDescent="0.25">
      <c r="B4794" t="str">
        <f>IF(C4794="","",C4794&amp;COUNTIF(C$9:C4794,C4794))</f>
        <v/>
      </c>
    </row>
    <row r="4795" spans="2:2" x14ac:dyDescent="0.25">
      <c r="B4795" t="str">
        <f>IF(C4795="","",C4795&amp;COUNTIF(C$9:C4795,C4795))</f>
        <v/>
      </c>
    </row>
    <row r="4796" spans="2:2" x14ac:dyDescent="0.25">
      <c r="B4796" t="str">
        <f>IF(C4796="","",C4796&amp;COUNTIF(C$9:C4796,C4796))</f>
        <v/>
      </c>
    </row>
    <row r="4797" spans="2:2" x14ac:dyDescent="0.25">
      <c r="B4797" t="str">
        <f>IF(C4797="","",C4797&amp;COUNTIF(C$9:C4797,C4797))</f>
        <v/>
      </c>
    </row>
    <row r="4798" spans="2:2" x14ac:dyDescent="0.25">
      <c r="B4798" t="str">
        <f>IF(C4798="","",C4798&amp;COUNTIF(C$9:C4798,C4798))</f>
        <v/>
      </c>
    </row>
    <row r="4799" spans="2:2" x14ac:dyDescent="0.25">
      <c r="B4799" t="str">
        <f>IF(C4799="","",C4799&amp;COUNTIF(C$9:C4799,C4799))</f>
        <v/>
      </c>
    </row>
    <row r="4800" spans="2:2" x14ac:dyDescent="0.25">
      <c r="B4800" t="str">
        <f>IF(C4800="","",C4800&amp;COUNTIF(C$9:C4800,C4800))</f>
        <v/>
      </c>
    </row>
    <row r="4801" spans="2:2" x14ac:dyDescent="0.25">
      <c r="B4801" t="str">
        <f>IF(C4801="","",C4801&amp;COUNTIF(C$9:C4801,C4801))</f>
        <v/>
      </c>
    </row>
    <row r="4802" spans="2:2" x14ac:dyDescent="0.25">
      <c r="B4802" t="str">
        <f>IF(C4802="","",C4802&amp;COUNTIF(C$9:C4802,C4802))</f>
        <v/>
      </c>
    </row>
    <row r="4803" spans="2:2" x14ac:dyDescent="0.25">
      <c r="B4803" t="str">
        <f>IF(C4803="","",C4803&amp;COUNTIF(C$9:C4803,C4803))</f>
        <v/>
      </c>
    </row>
    <row r="4804" spans="2:2" x14ac:dyDescent="0.25">
      <c r="B4804" t="str">
        <f>IF(C4804="","",C4804&amp;COUNTIF(C$9:C4804,C4804))</f>
        <v/>
      </c>
    </row>
    <row r="4805" spans="2:2" x14ac:dyDescent="0.25">
      <c r="B4805" t="str">
        <f>IF(C4805="","",C4805&amp;COUNTIF(C$9:C4805,C4805))</f>
        <v/>
      </c>
    </row>
    <row r="4806" spans="2:2" x14ac:dyDescent="0.25">
      <c r="B4806" t="str">
        <f>IF(C4806="","",C4806&amp;COUNTIF(C$9:C4806,C4806))</f>
        <v/>
      </c>
    </row>
    <row r="4807" spans="2:2" x14ac:dyDescent="0.25">
      <c r="B4807" t="str">
        <f>IF(C4807="","",C4807&amp;COUNTIF(C$9:C4807,C4807))</f>
        <v/>
      </c>
    </row>
    <row r="4808" spans="2:2" x14ac:dyDescent="0.25">
      <c r="B4808" t="str">
        <f>IF(C4808="","",C4808&amp;COUNTIF(C$9:C4808,C4808))</f>
        <v/>
      </c>
    </row>
    <row r="4809" spans="2:2" x14ac:dyDescent="0.25">
      <c r="B4809" t="str">
        <f>IF(C4809="","",C4809&amp;COUNTIF(C$9:C4809,C4809))</f>
        <v/>
      </c>
    </row>
    <row r="4810" spans="2:2" x14ac:dyDescent="0.25">
      <c r="B4810" t="str">
        <f>IF(C4810="","",C4810&amp;COUNTIF(C$9:C4810,C4810))</f>
        <v/>
      </c>
    </row>
    <row r="4811" spans="2:2" x14ac:dyDescent="0.25">
      <c r="B4811" t="str">
        <f>IF(C4811="","",C4811&amp;COUNTIF(C$9:C4811,C4811))</f>
        <v/>
      </c>
    </row>
    <row r="4812" spans="2:2" x14ac:dyDescent="0.25">
      <c r="B4812" t="str">
        <f>IF(C4812="","",C4812&amp;COUNTIF(C$9:C4812,C4812))</f>
        <v/>
      </c>
    </row>
    <row r="4813" spans="2:2" x14ac:dyDescent="0.25">
      <c r="B4813" t="str">
        <f>IF(C4813="","",C4813&amp;COUNTIF(C$9:C4813,C4813))</f>
        <v/>
      </c>
    </row>
    <row r="4814" spans="2:2" x14ac:dyDescent="0.25">
      <c r="B4814" t="str">
        <f>IF(C4814="","",C4814&amp;COUNTIF(C$9:C4814,C4814))</f>
        <v/>
      </c>
    </row>
    <row r="4815" spans="2:2" x14ac:dyDescent="0.25">
      <c r="B4815" t="str">
        <f>IF(C4815="","",C4815&amp;COUNTIF(C$9:C4815,C4815))</f>
        <v/>
      </c>
    </row>
    <row r="4816" spans="2:2" x14ac:dyDescent="0.25">
      <c r="B4816" t="str">
        <f>IF(C4816="","",C4816&amp;COUNTIF(C$9:C4816,C4816))</f>
        <v/>
      </c>
    </row>
    <row r="4817" spans="2:2" x14ac:dyDescent="0.25">
      <c r="B4817" t="str">
        <f>IF(C4817="","",C4817&amp;COUNTIF(C$9:C4817,C4817))</f>
        <v/>
      </c>
    </row>
    <row r="4818" spans="2:2" x14ac:dyDescent="0.25">
      <c r="B4818" t="str">
        <f>IF(C4818="","",C4818&amp;COUNTIF(C$9:C4818,C4818))</f>
        <v/>
      </c>
    </row>
    <row r="4819" spans="2:2" x14ac:dyDescent="0.25">
      <c r="B4819" t="str">
        <f>IF(C4819="","",C4819&amp;COUNTIF(C$9:C4819,C4819))</f>
        <v/>
      </c>
    </row>
    <row r="4820" spans="2:2" x14ac:dyDescent="0.25">
      <c r="B4820" t="str">
        <f>IF(C4820="","",C4820&amp;COUNTIF(C$9:C4820,C4820))</f>
        <v/>
      </c>
    </row>
    <row r="4821" spans="2:2" x14ac:dyDescent="0.25">
      <c r="B4821" t="str">
        <f>IF(C4821="","",C4821&amp;COUNTIF(C$9:C4821,C4821))</f>
        <v/>
      </c>
    </row>
    <row r="4822" spans="2:2" x14ac:dyDescent="0.25">
      <c r="B4822" t="str">
        <f>IF(C4822="","",C4822&amp;COUNTIF(C$9:C4822,C4822))</f>
        <v/>
      </c>
    </row>
    <row r="4823" spans="2:2" x14ac:dyDescent="0.25">
      <c r="B4823" t="str">
        <f>IF(C4823="","",C4823&amp;COUNTIF(C$9:C4823,C4823))</f>
        <v/>
      </c>
    </row>
    <row r="4824" spans="2:2" x14ac:dyDescent="0.25">
      <c r="B4824" t="str">
        <f>IF(C4824="","",C4824&amp;COUNTIF(C$9:C4824,C4824))</f>
        <v/>
      </c>
    </row>
    <row r="4825" spans="2:2" x14ac:dyDescent="0.25">
      <c r="B4825" t="str">
        <f>IF(C4825="","",C4825&amp;COUNTIF(C$9:C4825,C4825))</f>
        <v/>
      </c>
    </row>
    <row r="4826" spans="2:2" x14ac:dyDescent="0.25">
      <c r="B4826" t="str">
        <f>IF(C4826="","",C4826&amp;COUNTIF(C$9:C4826,C4826))</f>
        <v/>
      </c>
    </row>
    <row r="4827" spans="2:2" x14ac:dyDescent="0.25">
      <c r="B4827" t="str">
        <f>IF(C4827="","",C4827&amp;COUNTIF(C$9:C4827,C4827))</f>
        <v/>
      </c>
    </row>
    <row r="4828" spans="2:2" x14ac:dyDescent="0.25">
      <c r="B4828" t="str">
        <f>IF(C4828="","",C4828&amp;COUNTIF(C$9:C4828,C4828))</f>
        <v/>
      </c>
    </row>
    <row r="4829" spans="2:2" x14ac:dyDescent="0.25">
      <c r="B4829" t="str">
        <f>IF(C4829="","",C4829&amp;COUNTIF(C$9:C4829,C4829))</f>
        <v/>
      </c>
    </row>
    <row r="4830" spans="2:2" x14ac:dyDescent="0.25">
      <c r="B4830" t="str">
        <f>IF(C4830="","",C4830&amp;COUNTIF(C$9:C4830,C4830))</f>
        <v/>
      </c>
    </row>
    <row r="4831" spans="2:2" x14ac:dyDescent="0.25">
      <c r="B4831" t="str">
        <f>IF(C4831="","",C4831&amp;COUNTIF(C$9:C4831,C4831))</f>
        <v/>
      </c>
    </row>
    <row r="4832" spans="2:2" x14ac:dyDescent="0.25">
      <c r="B4832" t="str">
        <f>IF(C4832="","",C4832&amp;COUNTIF(C$9:C4832,C4832))</f>
        <v/>
      </c>
    </row>
    <row r="4833" spans="2:2" x14ac:dyDescent="0.25">
      <c r="B4833" t="str">
        <f>IF(C4833="","",C4833&amp;COUNTIF(C$9:C4833,C4833))</f>
        <v/>
      </c>
    </row>
    <row r="4834" spans="2:2" x14ac:dyDescent="0.25">
      <c r="B4834" t="str">
        <f>IF(C4834="","",C4834&amp;COUNTIF(C$9:C4834,C4834))</f>
        <v/>
      </c>
    </row>
    <row r="4835" spans="2:2" x14ac:dyDescent="0.25">
      <c r="B4835" t="str">
        <f>IF(C4835="","",C4835&amp;COUNTIF(C$9:C4835,C4835))</f>
        <v/>
      </c>
    </row>
    <row r="4836" spans="2:2" x14ac:dyDescent="0.25">
      <c r="B4836" t="str">
        <f>IF(C4836="","",C4836&amp;COUNTIF(C$9:C4836,C4836))</f>
        <v/>
      </c>
    </row>
    <row r="4837" spans="2:2" x14ac:dyDescent="0.25">
      <c r="B4837" t="str">
        <f>IF(C4837="","",C4837&amp;COUNTIF(C$9:C4837,C4837))</f>
        <v/>
      </c>
    </row>
    <row r="4838" spans="2:2" x14ac:dyDescent="0.25">
      <c r="B4838" t="str">
        <f>IF(C4838="","",C4838&amp;COUNTIF(C$9:C4838,C4838))</f>
        <v/>
      </c>
    </row>
    <row r="4839" spans="2:2" x14ac:dyDescent="0.25">
      <c r="B4839" t="str">
        <f>IF(C4839="","",C4839&amp;COUNTIF(C$9:C4839,C4839))</f>
        <v/>
      </c>
    </row>
    <row r="4840" spans="2:2" x14ac:dyDescent="0.25">
      <c r="B4840" t="str">
        <f>IF(C4840="","",C4840&amp;COUNTIF(C$9:C4840,C4840))</f>
        <v/>
      </c>
    </row>
    <row r="4841" spans="2:2" x14ac:dyDescent="0.25">
      <c r="B4841" t="str">
        <f>IF(C4841="","",C4841&amp;COUNTIF(C$9:C4841,C4841))</f>
        <v/>
      </c>
    </row>
    <row r="4842" spans="2:2" x14ac:dyDescent="0.25">
      <c r="B4842" t="str">
        <f>IF(C4842="","",C4842&amp;COUNTIF(C$9:C4842,C4842))</f>
        <v/>
      </c>
    </row>
    <row r="4843" spans="2:2" x14ac:dyDescent="0.25">
      <c r="B4843" t="str">
        <f>IF(C4843="","",C4843&amp;COUNTIF(C$9:C4843,C4843))</f>
        <v/>
      </c>
    </row>
    <row r="4844" spans="2:2" x14ac:dyDescent="0.25">
      <c r="B4844" t="str">
        <f>IF(C4844="","",C4844&amp;COUNTIF(C$9:C4844,C4844))</f>
        <v/>
      </c>
    </row>
    <row r="4845" spans="2:2" x14ac:dyDescent="0.25">
      <c r="B4845" t="str">
        <f>IF(C4845="","",C4845&amp;COUNTIF(C$9:C4845,C4845))</f>
        <v/>
      </c>
    </row>
    <row r="4846" spans="2:2" x14ac:dyDescent="0.25">
      <c r="B4846" t="str">
        <f>IF(C4846="","",C4846&amp;COUNTIF(C$9:C4846,C4846))</f>
        <v/>
      </c>
    </row>
    <row r="4847" spans="2:2" x14ac:dyDescent="0.25">
      <c r="B4847" t="str">
        <f>IF(C4847="","",C4847&amp;COUNTIF(C$9:C4847,C4847))</f>
        <v/>
      </c>
    </row>
    <row r="4848" spans="2:2" x14ac:dyDescent="0.25">
      <c r="B4848" t="str">
        <f>IF(C4848="","",C4848&amp;COUNTIF(C$9:C4848,C4848))</f>
        <v/>
      </c>
    </row>
    <row r="4849" spans="2:2" x14ac:dyDescent="0.25">
      <c r="B4849" t="str">
        <f>IF(C4849="","",C4849&amp;COUNTIF(C$9:C4849,C4849))</f>
        <v/>
      </c>
    </row>
    <row r="4850" spans="2:2" x14ac:dyDescent="0.25">
      <c r="B4850" t="str">
        <f>IF(C4850="","",C4850&amp;COUNTIF(C$9:C4850,C4850))</f>
        <v/>
      </c>
    </row>
    <row r="4851" spans="2:2" x14ac:dyDescent="0.25">
      <c r="B4851" t="str">
        <f>IF(C4851="","",C4851&amp;COUNTIF(C$9:C4851,C4851))</f>
        <v/>
      </c>
    </row>
    <row r="4852" spans="2:2" x14ac:dyDescent="0.25">
      <c r="B4852" t="str">
        <f>IF(C4852="","",C4852&amp;COUNTIF(C$9:C4852,C4852))</f>
        <v/>
      </c>
    </row>
    <row r="4853" spans="2:2" x14ac:dyDescent="0.25">
      <c r="B4853" t="str">
        <f>IF(C4853="","",C4853&amp;COUNTIF(C$9:C4853,C4853))</f>
        <v/>
      </c>
    </row>
    <row r="4854" spans="2:2" x14ac:dyDescent="0.25">
      <c r="B4854" t="str">
        <f>IF(C4854="","",C4854&amp;COUNTIF(C$9:C4854,C4854))</f>
        <v/>
      </c>
    </row>
    <row r="4855" spans="2:2" x14ac:dyDescent="0.25">
      <c r="B4855" t="str">
        <f>IF(C4855="","",C4855&amp;COUNTIF(C$9:C4855,C4855))</f>
        <v/>
      </c>
    </row>
    <row r="4856" spans="2:2" x14ac:dyDescent="0.25">
      <c r="B4856" t="str">
        <f>IF(C4856="","",C4856&amp;COUNTIF(C$9:C4856,C4856))</f>
        <v/>
      </c>
    </row>
    <row r="4857" spans="2:2" x14ac:dyDescent="0.25">
      <c r="B4857" t="str">
        <f>IF(C4857="","",C4857&amp;COUNTIF(C$9:C4857,C4857))</f>
        <v/>
      </c>
    </row>
    <row r="4858" spans="2:2" x14ac:dyDescent="0.25">
      <c r="B4858" t="str">
        <f>IF(C4858="","",C4858&amp;COUNTIF(C$9:C4858,C4858))</f>
        <v/>
      </c>
    </row>
    <row r="4859" spans="2:2" x14ac:dyDescent="0.25">
      <c r="B4859" t="str">
        <f>IF(C4859="","",C4859&amp;COUNTIF(C$9:C4859,C4859))</f>
        <v/>
      </c>
    </row>
    <row r="4860" spans="2:2" x14ac:dyDescent="0.25">
      <c r="B4860" t="str">
        <f>IF(C4860="","",C4860&amp;COUNTIF(C$9:C4860,C4860))</f>
        <v/>
      </c>
    </row>
    <row r="4861" spans="2:2" x14ac:dyDescent="0.25">
      <c r="B4861" t="str">
        <f>IF(C4861="","",C4861&amp;COUNTIF(C$9:C4861,C4861))</f>
        <v/>
      </c>
    </row>
    <row r="4862" spans="2:2" x14ac:dyDescent="0.25">
      <c r="B4862" t="str">
        <f>IF(C4862="","",C4862&amp;COUNTIF(C$9:C4862,C4862))</f>
        <v/>
      </c>
    </row>
    <row r="4863" spans="2:2" x14ac:dyDescent="0.25">
      <c r="B4863" t="str">
        <f>IF(C4863="","",C4863&amp;COUNTIF(C$9:C4863,C4863))</f>
        <v/>
      </c>
    </row>
    <row r="4864" spans="2:2" x14ac:dyDescent="0.25">
      <c r="B4864" t="str">
        <f>IF(C4864="","",C4864&amp;COUNTIF(C$9:C4864,C4864))</f>
        <v/>
      </c>
    </row>
    <row r="4865" spans="2:2" x14ac:dyDescent="0.25">
      <c r="B4865" t="str">
        <f>IF(C4865="","",C4865&amp;COUNTIF(C$9:C4865,C4865))</f>
        <v/>
      </c>
    </row>
    <row r="4866" spans="2:2" x14ac:dyDescent="0.25">
      <c r="B4866" t="str">
        <f>IF(C4866="","",C4866&amp;COUNTIF(C$9:C4866,C4866))</f>
        <v/>
      </c>
    </row>
    <row r="4867" spans="2:2" x14ac:dyDescent="0.25">
      <c r="B4867" t="str">
        <f>IF(C4867="","",C4867&amp;COUNTIF(C$9:C4867,C4867))</f>
        <v/>
      </c>
    </row>
    <row r="4868" spans="2:2" x14ac:dyDescent="0.25">
      <c r="B4868" t="str">
        <f>IF(C4868="","",C4868&amp;COUNTIF(C$9:C4868,C4868))</f>
        <v/>
      </c>
    </row>
    <row r="4869" spans="2:2" x14ac:dyDescent="0.25">
      <c r="B4869" t="str">
        <f>IF(C4869="","",C4869&amp;COUNTIF(C$9:C4869,C4869))</f>
        <v/>
      </c>
    </row>
    <row r="4870" spans="2:2" x14ac:dyDescent="0.25">
      <c r="B4870" t="str">
        <f>IF(C4870="","",C4870&amp;COUNTIF(C$9:C4870,C4870))</f>
        <v/>
      </c>
    </row>
    <row r="4871" spans="2:2" x14ac:dyDescent="0.25">
      <c r="B4871" t="str">
        <f>IF(C4871="","",C4871&amp;COUNTIF(C$9:C4871,C4871))</f>
        <v/>
      </c>
    </row>
    <row r="4872" spans="2:2" x14ac:dyDescent="0.25">
      <c r="B4872" t="str">
        <f>IF(C4872="","",C4872&amp;COUNTIF(C$9:C4872,C4872))</f>
        <v/>
      </c>
    </row>
    <row r="4873" spans="2:2" x14ac:dyDescent="0.25">
      <c r="B4873" t="str">
        <f>IF(C4873="","",C4873&amp;COUNTIF(C$9:C4873,C4873))</f>
        <v/>
      </c>
    </row>
    <row r="4874" spans="2:2" x14ac:dyDescent="0.25">
      <c r="B4874" t="str">
        <f>IF(C4874="","",C4874&amp;COUNTIF(C$9:C4874,C4874))</f>
        <v/>
      </c>
    </row>
    <row r="4875" spans="2:2" x14ac:dyDescent="0.25">
      <c r="B4875" t="str">
        <f>IF(C4875="","",C4875&amp;COUNTIF(C$9:C4875,C4875))</f>
        <v/>
      </c>
    </row>
    <row r="4876" spans="2:2" x14ac:dyDescent="0.25">
      <c r="B4876" t="str">
        <f>IF(C4876="","",C4876&amp;COUNTIF(C$9:C4876,C4876))</f>
        <v/>
      </c>
    </row>
    <row r="4877" spans="2:2" x14ac:dyDescent="0.25">
      <c r="B4877" t="str">
        <f>IF(C4877="","",C4877&amp;COUNTIF(C$9:C4877,C4877))</f>
        <v/>
      </c>
    </row>
    <row r="4878" spans="2:2" x14ac:dyDescent="0.25">
      <c r="B4878" t="str">
        <f>IF(C4878="","",C4878&amp;COUNTIF(C$9:C4878,C4878))</f>
        <v/>
      </c>
    </row>
    <row r="4879" spans="2:2" x14ac:dyDescent="0.25">
      <c r="B4879" t="str">
        <f>IF(C4879="","",C4879&amp;COUNTIF(C$9:C4879,C4879))</f>
        <v/>
      </c>
    </row>
    <row r="4880" spans="2:2" x14ac:dyDescent="0.25">
      <c r="B4880" t="str">
        <f>IF(C4880="","",C4880&amp;COUNTIF(C$9:C4880,C4880))</f>
        <v/>
      </c>
    </row>
    <row r="4881" spans="2:2" x14ac:dyDescent="0.25">
      <c r="B4881" t="str">
        <f>IF(C4881="","",C4881&amp;COUNTIF(C$9:C4881,C4881))</f>
        <v/>
      </c>
    </row>
    <row r="4882" spans="2:2" x14ac:dyDescent="0.25">
      <c r="B4882" t="str">
        <f>IF(C4882="","",C4882&amp;COUNTIF(C$9:C4882,C4882))</f>
        <v/>
      </c>
    </row>
    <row r="4883" spans="2:2" x14ac:dyDescent="0.25">
      <c r="B4883" t="str">
        <f>IF(C4883="","",C4883&amp;COUNTIF(C$9:C4883,C4883))</f>
        <v/>
      </c>
    </row>
    <row r="4884" spans="2:2" x14ac:dyDescent="0.25">
      <c r="B4884" t="str">
        <f>IF(C4884="","",C4884&amp;COUNTIF(C$9:C4884,C4884))</f>
        <v/>
      </c>
    </row>
    <row r="4885" spans="2:2" x14ac:dyDescent="0.25">
      <c r="B4885" t="str">
        <f>IF(C4885="","",C4885&amp;COUNTIF(C$9:C4885,C4885))</f>
        <v/>
      </c>
    </row>
    <row r="4886" spans="2:2" x14ac:dyDescent="0.25">
      <c r="B4886" t="str">
        <f>IF(C4886="","",C4886&amp;COUNTIF(C$9:C4886,C4886))</f>
        <v/>
      </c>
    </row>
    <row r="4887" spans="2:2" x14ac:dyDescent="0.25">
      <c r="B4887" t="str">
        <f>IF(C4887="","",C4887&amp;COUNTIF(C$9:C4887,C4887))</f>
        <v/>
      </c>
    </row>
    <row r="4888" spans="2:2" x14ac:dyDescent="0.25">
      <c r="B4888" t="str">
        <f>IF(C4888="","",C4888&amp;COUNTIF(C$9:C4888,C4888))</f>
        <v/>
      </c>
    </row>
    <row r="4889" spans="2:2" x14ac:dyDescent="0.25">
      <c r="B4889" t="str">
        <f>IF(C4889="","",C4889&amp;COUNTIF(C$9:C4889,C4889))</f>
        <v/>
      </c>
    </row>
    <row r="4890" spans="2:2" x14ac:dyDescent="0.25">
      <c r="B4890" t="str">
        <f>IF(C4890="","",C4890&amp;COUNTIF(C$9:C4890,C4890))</f>
        <v/>
      </c>
    </row>
    <row r="4891" spans="2:2" x14ac:dyDescent="0.25">
      <c r="B4891" t="str">
        <f>IF(C4891="","",C4891&amp;COUNTIF(C$9:C4891,C4891))</f>
        <v/>
      </c>
    </row>
    <row r="4892" spans="2:2" x14ac:dyDescent="0.25">
      <c r="B4892" t="str">
        <f>IF(C4892="","",C4892&amp;COUNTIF(C$9:C4892,C4892))</f>
        <v/>
      </c>
    </row>
    <row r="4893" spans="2:2" x14ac:dyDescent="0.25">
      <c r="B4893" t="str">
        <f>IF(C4893="","",C4893&amp;COUNTIF(C$9:C4893,C4893))</f>
        <v/>
      </c>
    </row>
    <row r="4894" spans="2:2" x14ac:dyDescent="0.25">
      <c r="B4894" t="str">
        <f>IF(C4894="","",C4894&amp;COUNTIF(C$9:C4894,C4894))</f>
        <v/>
      </c>
    </row>
    <row r="4895" spans="2:2" x14ac:dyDescent="0.25">
      <c r="B4895" t="str">
        <f>IF(C4895="","",C4895&amp;COUNTIF(C$9:C4895,C4895))</f>
        <v/>
      </c>
    </row>
    <row r="4896" spans="2:2" x14ac:dyDescent="0.25">
      <c r="B4896" t="str">
        <f>IF(C4896="","",C4896&amp;COUNTIF(C$9:C4896,C4896))</f>
        <v/>
      </c>
    </row>
    <row r="4897" spans="2:2" x14ac:dyDescent="0.25">
      <c r="B4897" t="str">
        <f>IF(C4897="","",C4897&amp;COUNTIF(C$9:C4897,C4897))</f>
        <v/>
      </c>
    </row>
    <row r="4898" spans="2:2" x14ac:dyDescent="0.25">
      <c r="B4898" t="str">
        <f>IF(C4898="","",C4898&amp;COUNTIF(C$9:C4898,C4898))</f>
        <v/>
      </c>
    </row>
    <row r="4899" spans="2:2" x14ac:dyDescent="0.25">
      <c r="B4899" t="str">
        <f>IF(C4899="","",C4899&amp;COUNTIF(C$9:C4899,C4899))</f>
        <v/>
      </c>
    </row>
    <row r="4900" spans="2:2" x14ac:dyDescent="0.25">
      <c r="B4900" t="str">
        <f>IF(C4900="","",C4900&amp;COUNTIF(C$9:C4900,C4900))</f>
        <v/>
      </c>
    </row>
    <row r="4901" spans="2:2" x14ac:dyDescent="0.25">
      <c r="B4901" t="str">
        <f>IF(C4901="","",C4901&amp;COUNTIF(C$9:C4901,C4901))</f>
        <v/>
      </c>
    </row>
    <row r="4902" spans="2:2" x14ac:dyDescent="0.25">
      <c r="B4902" t="str">
        <f>IF(C4902="","",C4902&amp;COUNTIF(C$9:C4902,C4902))</f>
        <v/>
      </c>
    </row>
    <row r="4903" spans="2:2" x14ac:dyDescent="0.25">
      <c r="B4903" t="str">
        <f>IF(C4903="","",C4903&amp;COUNTIF(C$9:C4903,C4903))</f>
        <v/>
      </c>
    </row>
    <row r="4904" spans="2:2" x14ac:dyDescent="0.25">
      <c r="B4904" t="str">
        <f>IF(C4904="","",C4904&amp;COUNTIF(C$9:C4904,C4904))</f>
        <v/>
      </c>
    </row>
    <row r="4905" spans="2:2" x14ac:dyDescent="0.25">
      <c r="B4905" t="str">
        <f>IF(C4905="","",C4905&amp;COUNTIF(C$9:C4905,C4905))</f>
        <v/>
      </c>
    </row>
    <row r="4906" spans="2:2" x14ac:dyDescent="0.25">
      <c r="B4906" t="str">
        <f>IF(C4906="","",C4906&amp;COUNTIF(C$9:C4906,C4906))</f>
        <v/>
      </c>
    </row>
    <row r="4907" spans="2:2" x14ac:dyDescent="0.25">
      <c r="B4907" t="str">
        <f>IF(C4907="","",C4907&amp;COUNTIF(C$9:C4907,C4907))</f>
        <v/>
      </c>
    </row>
    <row r="4908" spans="2:2" x14ac:dyDescent="0.25">
      <c r="B4908" t="str">
        <f>IF(C4908="","",C4908&amp;COUNTIF(C$9:C4908,C4908))</f>
        <v/>
      </c>
    </row>
    <row r="4909" spans="2:2" x14ac:dyDescent="0.25">
      <c r="B4909" t="str">
        <f>IF(C4909="","",C4909&amp;COUNTIF(C$9:C4909,C4909))</f>
        <v/>
      </c>
    </row>
    <row r="4910" spans="2:2" x14ac:dyDescent="0.25">
      <c r="B4910" t="str">
        <f>IF(C4910="","",C4910&amp;COUNTIF(C$9:C4910,C4910))</f>
        <v/>
      </c>
    </row>
    <row r="4911" spans="2:2" x14ac:dyDescent="0.25">
      <c r="B4911" t="str">
        <f>IF(C4911="","",C4911&amp;COUNTIF(C$9:C4911,C4911))</f>
        <v/>
      </c>
    </row>
    <row r="4912" spans="2:2" x14ac:dyDescent="0.25">
      <c r="B4912" t="str">
        <f>IF(C4912="","",C4912&amp;COUNTIF(C$9:C4912,C4912))</f>
        <v/>
      </c>
    </row>
    <row r="4913" spans="2:2" x14ac:dyDescent="0.25">
      <c r="B4913" t="str">
        <f>IF(C4913="","",C4913&amp;COUNTIF(C$9:C4913,C4913))</f>
        <v/>
      </c>
    </row>
    <row r="4914" spans="2:2" x14ac:dyDescent="0.25">
      <c r="B4914" t="str">
        <f>IF(C4914="","",C4914&amp;COUNTIF(C$9:C4914,C4914))</f>
        <v/>
      </c>
    </row>
    <row r="4915" spans="2:2" x14ac:dyDescent="0.25">
      <c r="B4915" t="str">
        <f>IF(C4915="","",C4915&amp;COUNTIF(C$9:C4915,C4915))</f>
        <v/>
      </c>
    </row>
    <row r="4916" spans="2:2" x14ac:dyDescent="0.25">
      <c r="B4916" t="str">
        <f>IF(C4916="","",C4916&amp;COUNTIF(C$9:C4916,C4916))</f>
        <v/>
      </c>
    </row>
    <row r="4917" spans="2:2" x14ac:dyDescent="0.25">
      <c r="B4917" t="str">
        <f>IF(C4917="","",C4917&amp;COUNTIF(C$9:C4917,C4917))</f>
        <v/>
      </c>
    </row>
    <row r="4918" spans="2:2" x14ac:dyDescent="0.25">
      <c r="B4918" t="str">
        <f>IF(C4918="","",C4918&amp;COUNTIF(C$9:C4918,C4918))</f>
        <v/>
      </c>
    </row>
    <row r="4919" spans="2:2" x14ac:dyDescent="0.25">
      <c r="B4919" t="str">
        <f>IF(C4919="","",C4919&amp;COUNTIF(C$9:C4919,C4919))</f>
        <v/>
      </c>
    </row>
    <row r="4920" spans="2:2" x14ac:dyDescent="0.25">
      <c r="B4920" t="str">
        <f>IF(C4920="","",C4920&amp;COUNTIF(C$9:C4920,C4920))</f>
        <v/>
      </c>
    </row>
    <row r="4921" spans="2:2" x14ac:dyDescent="0.25">
      <c r="B4921" t="str">
        <f>IF(C4921="","",C4921&amp;COUNTIF(C$9:C4921,C4921))</f>
        <v/>
      </c>
    </row>
    <row r="4922" spans="2:2" x14ac:dyDescent="0.25">
      <c r="B4922" t="str">
        <f>IF(C4922="","",C4922&amp;COUNTIF(C$9:C4922,C4922))</f>
        <v/>
      </c>
    </row>
    <row r="4923" spans="2:2" x14ac:dyDescent="0.25">
      <c r="B4923" t="str">
        <f>IF(C4923="","",C4923&amp;COUNTIF(C$9:C4923,C4923))</f>
        <v/>
      </c>
    </row>
    <row r="4924" spans="2:2" x14ac:dyDescent="0.25">
      <c r="B4924" t="str">
        <f>IF(C4924="","",C4924&amp;COUNTIF(C$9:C4924,C4924))</f>
        <v/>
      </c>
    </row>
    <row r="4925" spans="2:2" x14ac:dyDescent="0.25">
      <c r="B4925" t="str">
        <f>IF(C4925="","",C4925&amp;COUNTIF(C$9:C4925,C4925))</f>
        <v/>
      </c>
    </row>
    <row r="4926" spans="2:2" x14ac:dyDescent="0.25">
      <c r="B4926" t="str">
        <f>IF(C4926="","",C4926&amp;COUNTIF(C$9:C4926,C4926))</f>
        <v/>
      </c>
    </row>
    <row r="4927" spans="2:2" x14ac:dyDescent="0.25">
      <c r="B4927" t="str">
        <f>IF(C4927="","",C4927&amp;COUNTIF(C$9:C4927,C4927))</f>
        <v/>
      </c>
    </row>
    <row r="4928" spans="2:2" x14ac:dyDescent="0.25">
      <c r="B4928" t="str">
        <f>IF(C4928="","",C4928&amp;COUNTIF(C$9:C4928,C4928))</f>
        <v/>
      </c>
    </row>
    <row r="4929" spans="2:2" x14ac:dyDescent="0.25">
      <c r="B4929" t="str">
        <f>IF(C4929="","",C4929&amp;COUNTIF(C$9:C4929,C4929))</f>
        <v/>
      </c>
    </row>
    <row r="4930" spans="2:2" x14ac:dyDescent="0.25">
      <c r="B4930" t="str">
        <f>IF(C4930="","",C4930&amp;COUNTIF(C$9:C4930,C4930))</f>
        <v/>
      </c>
    </row>
    <row r="4931" spans="2:2" x14ac:dyDescent="0.25">
      <c r="B4931" t="str">
        <f>IF(C4931="","",C4931&amp;COUNTIF(C$9:C4931,C4931))</f>
        <v/>
      </c>
    </row>
    <row r="4932" spans="2:2" x14ac:dyDescent="0.25">
      <c r="B4932" t="str">
        <f>IF(C4932="","",C4932&amp;COUNTIF(C$9:C4932,C4932))</f>
        <v/>
      </c>
    </row>
    <row r="4933" spans="2:2" x14ac:dyDescent="0.25">
      <c r="B4933" t="str">
        <f>IF(C4933="","",C4933&amp;COUNTIF(C$9:C4933,C4933))</f>
        <v/>
      </c>
    </row>
    <row r="4934" spans="2:2" x14ac:dyDescent="0.25">
      <c r="B4934" t="str">
        <f>IF(C4934="","",C4934&amp;COUNTIF(C$9:C4934,C4934))</f>
        <v/>
      </c>
    </row>
    <row r="4935" spans="2:2" x14ac:dyDescent="0.25">
      <c r="B4935" t="str">
        <f>IF(C4935="","",C4935&amp;COUNTIF(C$9:C4935,C4935))</f>
        <v/>
      </c>
    </row>
    <row r="4936" spans="2:2" x14ac:dyDescent="0.25">
      <c r="B4936" t="str">
        <f>IF(C4936="","",C4936&amp;COUNTIF(C$9:C4936,C4936))</f>
        <v/>
      </c>
    </row>
    <row r="4937" spans="2:2" x14ac:dyDescent="0.25">
      <c r="B4937" t="str">
        <f>IF(C4937="","",C4937&amp;COUNTIF(C$9:C4937,C4937))</f>
        <v/>
      </c>
    </row>
    <row r="4938" spans="2:2" x14ac:dyDescent="0.25">
      <c r="B4938" t="str">
        <f>IF(C4938="","",C4938&amp;COUNTIF(C$9:C4938,C4938))</f>
        <v/>
      </c>
    </row>
    <row r="4939" spans="2:2" x14ac:dyDescent="0.25">
      <c r="B4939" t="str">
        <f>IF(C4939="","",C4939&amp;COUNTIF(C$9:C4939,C4939))</f>
        <v/>
      </c>
    </row>
    <row r="4940" spans="2:2" x14ac:dyDescent="0.25">
      <c r="B4940" t="str">
        <f>IF(C4940="","",C4940&amp;COUNTIF(C$9:C4940,C4940))</f>
        <v/>
      </c>
    </row>
    <row r="4941" spans="2:2" x14ac:dyDescent="0.25">
      <c r="B4941" t="str">
        <f>IF(C4941="","",C4941&amp;COUNTIF(C$9:C4941,C4941))</f>
        <v/>
      </c>
    </row>
    <row r="4942" spans="2:2" x14ac:dyDescent="0.25">
      <c r="B4942" t="str">
        <f>IF(C4942="","",C4942&amp;COUNTIF(C$9:C4942,C4942))</f>
        <v/>
      </c>
    </row>
    <row r="4943" spans="2:2" x14ac:dyDescent="0.25">
      <c r="B4943" t="str">
        <f>IF(C4943="","",C4943&amp;COUNTIF(C$9:C4943,C4943))</f>
        <v/>
      </c>
    </row>
    <row r="4944" spans="2:2" x14ac:dyDescent="0.25">
      <c r="B4944" t="str">
        <f>IF(C4944="","",C4944&amp;COUNTIF(C$9:C4944,C4944))</f>
        <v/>
      </c>
    </row>
    <row r="4945" spans="2:2" x14ac:dyDescent="0.25">
      <c r="B4945" t="str">
        <f>IF(C4945="","",C4945&amp;COUNTIF(C$9:C4945,C4945))</f>
        <v/>
      </c>
    </row>
    <row r="4946" spans="2:2" x14ac:dyDescent="0.25">
      <c r="B4946" t="str">
        <f>IF(C4946="","",C4946&amp;COUNTIF(C$9:C4946,C4946))</f>
        <v/>
      </c>
    </row>
    <row r="4947" spans="2:2" x14ac:dyDescent="0.25">
      <c r="B4947" t="str">
        <f>IF(C4947="","",C4947&amp;COUNTIF(C$9:C4947,C4947))</f>
        <v/>
      </c>
    </row>
    <row r="4948" spans="2:2" x14ac:dyDescent="0.25">
      <c r="B4948" t="str">
        <f>IF(C4948="","",C4948&amp;COUNTIF(C$9:C4948,C4948))</f>
        <v/>
      </c>
    </row>
    <row r="4949" spans="2:2" x14ac:dyDescent="0.25">
      <c r="B4949" t="str">
        <f>IF(C4949="","",C4949&amp;COUNTIF(C$9:C4949,C4949))</f>
        <v/>
      </c>
    </row>
    <row r="4950" spans="2:2" x14ac:dyDescent="0.25">
      <c r="B4950" t="str">
        <f>IF(C4950="","",C4950&amp;COUNTIF(C$9:C4950,C4950))</f>
        <v/>
      </c>
    </row>
    <row r="4951" spans="2:2" x14ac:dyDescent="0.25">
      <c r="B4951" t="str">
        <f>IF(C4951="","",C4951&amp;COUNTIF(C$9:C4951,C4951))</f>
        <v/>
      </c>
    </row>
    <row r="4952" spans="2:2" x14ac:dyDescent="0.25">
      <c r="B4952" t="str">
        <f>IF(C4952="","",C4952&amp;COUNTIF(C$9:C4952,C4952))</f>
        <v/>
      </c>
    </row>
    <row r="4953" spans="2:2" x14ac:dyDescent="0.25">
      <c r="B4953" t="str">
        <f>IF(C4953="","",C4953&amp;COUNTIF(C$9:C4953,C4953))</f>
        <v/>
      </c>
    </row>
    <row r="4954" spans="2:2" x14ac:dyDescent="0.25">
      <c r="B4954" t="str">
        <f>IF(C4954="","",C4954&amp;COUNTIF(C$9:C4954,C4954))</f>
        <v/>
      </c>
    </row>
    <row r="4955" spans="2:2" x14ac:dyDescent="0.25">
      <c r="B4955" t="str">
        <f>IF(C4955="","",C4955&amp;COUNTIF(C$9:C4955,C4955))</f>
        <v/>
      </c>
    </row>
    <row r="4956" spans="2:2" x14ac:dyDescent="0.25">
      <c r="B4956" t="str">
        <f>IF(C4956="","",C4956&amp;COUNTIF(C$9:C4956,C4956))</f>
        <v/>
      </c>
    </row>
    <row r="4957" spans="2:2" x14ac:dyDescent="0.25">
      <c r="B4957" t="str">
        <f>IF(C4957="","",C4957&amp;COUNTIF(C$9:C4957,C4957))</f>
        <v/>
      </c>
    </row>
    <row r="4958" spans="2:2" x14ac:dyDescent="0.25">
      <c r="B4958" t="str">
        <f>IF(C4958="","",C4958&amp;COUNTIF(C$9:C4958,C4958))</f>
        <v/>
      </c>
    </row>
    <row r="4959" spans="2:2" x14ac:dyDescent="0.25">
      <c r="B4959" t="str">
        <f>IF(C4959="","",C4959&amp;COUNTIF(C$9:C4959,C4959))</f>
        <v/>
      </c>
    </row>
    <row r="4960" spans="2:2" x14ac:dyDescent="0.25">
      <c r="B4960" t="str">
        <f>IF(C4960="","",C4960&amp;COUNTIF(C$9:C4960,C4960))</f>
        <v/>
      </c>
    </row>
    <row r="4961" spans="2:2" x14ac:dyDescent="0.25">
      <c r="B4961" t="str">
        <f>IF(C4961="","",C4961&amp;COUNTIF(C$9:C4961,C4961))</f>
        <v/>
      </c>
    </row>
    <row r="4962" spans="2:2" x14ac:dyDescent="0.25">
      <c r="B4962" t="str">
        <f>IF(C4962="","",C4962&amp;COUNTIF(C$9:C4962,C4962))</f>
        <v/>
      </c>
    </row>
    <row r="4963" spans="2:2" x14ac:dyDescent="0.25">
      <c r="B4963" t="str">
        <f>IF(C4963="","",C4963&amp;COUNTIF(C$9:C4963,C4963))</f>
        <v/>
      </c>
    </row>
    <row r="4964" spans="2:2" x14ac:dyDescent="0.25">
      <c r="B4964" t="str">
        <f>IF(C4964="","",C4964&amp;COUNTIF(C$9:C4964,C4964))</f>
        <v/>
      </c>
    </row>
    <row r="4965" spans="2:2" x14ac:dyDescent="0.25">
      <c r="B4965" t="str">
        <f>IF(C4965="","",C4965&amp;COUNTIF(C$9:C4965,C4965))</f>
        <v/>
      </c>
    </row>
    <row r="4966" spans="2:2" x14ac:dyDescent="0.25">
      <c r="B4966" t="str">
        <f>IF(C4966="","",C4966&amp;COUNTIF(C$9:C4966,C4966))</f>
        <v/>
      </c>
    </row>
    <row r="4967" spans="2:2" x14ac:dyDescent="0.25">
      <c r="B4967" t="str">
        <f>IF(C4967="","",C4967&amp;COUNTIF(C$9:C4967,C4967))</f>
        <v/>
      </c>
    </row>
    <row r="4968" spans="2:2" x14ac:dyDescent="0.25">
      <c r="B4968" t="str">
        <f>IF(C4968="","",C4968&amp;COUNTIF(C$9:C4968,C4968))</f>
        <v/>
      </c>
    </row>
    <row r="4969" spans="2:2" x14ac:dyDescent="0.25">
      <c r="B4969" t="str">
        <f>IF(C4969="","",C4969&amp;COUNTIF(C$9:C4969,C4969))</f>
        <v/>
      </c>
    </row>
    <row r="4970" spans="2:2" x14ac:dyDescent="0.25">
      <c r="B4970" t="str">
        <f>IF(C4970="","",C4970&amp;COUNTIF(C$9:C4970,C4970))</f>
        <v/>
      </c>
    </row>
    <row r="4971" spans="2:2" x14ac:dyDescent="0.25">
      <c r="B4971" t="str">
        <f>IF(C4971="","",C4971&amp;COUNTIF(C$9:C4971,C4971))</f>
        <v/>
      </c>
    </row>
    <row r="4972" spans="2:2" x14ac:dyDescent="0.25">
      <c r="B4972" t="str">
        <f>IF(C4972="","",C4972&amp;COUNTIF(C$9:C4972,C4972))</f>
        <v/>
      </c>
    </row>
    <row r="4973" spans="2:2" x14ac:dyDescent="0.25">
      <c r="B4973" t="str">
        <f>IF(C4973="","",C4973&amp;COUNTIF(C$9:C4973,C4973))</f>
        <v/>
      </c>
    </row>
    <row r="4974" spans="2:2" x14ac:dyDescent="0.25">
      <c r="B4974" t="str">
        <f>IF(C4974="","",C4974&amp;COUNTIF(C$9:C4974,C4974))</f>
        <v/>
      </c>
    </row>
    <row r="4975" spans="2:2" x14ac:dyDescent="0.25">
      <c r="B4975" t="str">
        <f>IF(C4975="","",C4975&amp;COUNTIF(C$9:C4975,C4975))</f>
        <v/>
      </c>
    </row>
    <row r="4976" spans="2:2" x14ac:dyDescent="0.25">
      <c r="B4976" t="str">
        <f>IF(C4976="","",C4976&amp;COUNTIF(C$9:C4976,C4976))</f>
        <v/>
      </c>
    </row>
    <row r="4977" spans="2:2" x14ac:dyDescent="0.25">
      <c r="B4977" t="str">
        <f>IF(C4977="","",C4977&amp;COUNTIF(C$9:C4977,C4977))</f>
        <v/>
      </c>
    </row>
    <row r="4978" spans="2:2" x14ac:dyDescent="0.25">
      <c r="B4978" t="str">
        <f>IF(C4978="","",C4978&amp;COUNTIF(C$9:C4978,C4978))</f>
        <v/>
      </c>
    </row>
    <row r="4979" spans="2:2" x14ac:dyDescent="0.25">
      <c r="B4979" t="str">
        <f>IF(C4979="","",C4979&amp;COUNTIF(C$9:C4979,C4979))</f>
        <v/>
      </c>
    </row>
    <row r="4980" spans="2:2" x14ac:dyDescent="0.25">
      <c r="B4980" t="str">
        <f>IF(C4980="","",C4980&amp;COUNTIF(C$9:C4980,C4980))</f>
        <v/>
      </c>
    </row>
    <row r="4981" spans="2:2" x14ac:dyDescent="0.25">
      <c r="B4981" t="str">
        <f>IF(C4981="","",C4981&amp;COUNTIF(C$9:C4981,C4981))</f>
        <v/>
      </c>
    </row>
    <row r="4982" spans="2:2" x14ac:dyDescent="0.25">
      <c r="B4982" t="str">
        <f>IF(C4982="","",C4982&amp;COUNTIF(C$9:C4982,C4982))</f>
        <v/>
      </c>
    </row>
    <row r="4983" spans="2:2" x14ac:dyDescent="0.25">
      <c r="B4983" t="str">
        <f>IF(C4983="","",C4983&amp;COUNTIF(C$9:C4983,C4983))</f>
        <v/>
      </c>
    </row>
    <row r="4984" spans="2:2" x14ac:dyDescent="0.25">
      <c r="B4984" t="str">
        <f>IF(C4984="","",C4984&amp;COUNTIF(C$9:C4984,C4984))</f>
        <v/>
      </c>
    </row>
    <row r="4985" spans="2:2" x14ac:dyDescent="0.25">
      <c r="B4985" t="str">
        <f>IF(C4985="","",C4985&amp;COUNTIF(C$9:C4985,C4985))</f>
        <v/>
      </c>
    </row>
    <row r="4986" spans="2:2" x14ac:dyDescent="0.25">
      <c r="B4986" t="str">
        <f>IF(C4986="","",C4986&amp;COUNTIF(C$9:C4986,C4986))</f>
        <v/>
      </c>
    </row>
    <row r="4987" spans="2:2" x14ac:dyDescent="0.25">
      <c r="B4987" t="str">
        <f>IF(C4987="","",C4987&amp;COUNTIF(C$9:C4987,C4987))</f>
        <v/>
      </c>
    </row>
    <row r="4988" spans="2:2" x14ac:dyDescent="0.25">
      <c r="B4988" t="str">
        <f>IF(C4988="","",C4988&amp;COUNTIF(C$9:C4988,C4988))</f>
        <v/>
      </c>
    </row>
    <row r="4989" spans="2:2" x14ac:dyDescent="0.25">
      <c r="B4989" t="str">
        <f>IF(C4989="","",C4989&amp;COUNTIF(C$9:C4989,C4989))</f>
        <v/>
      </c>
    </row>
    <row r="4990" spans="2:2" x14ac:dyDescent="0.25">
      <c r="B4990" t="str">
        <f>IF(C4990="","",C4990&amp;COUNTIF(C$9:C4990,C4990))</f>
        <v/>
      </c>
    </row>
    <row r="4991" spans="2:2" x14ac:dyDescent="0.25">
      <c r="B4991" t="str">
        <f>IF(C4991="","",C4991&amp;COUNTIF(C$9:C4991,C4991))</f>
        <v/>
      </c>
    </row>
    <row r="4992" spans="2:2" x14ac:dyDescent="0.25">
      <c r="B4992" t="str">
        <f>IF(C4992="","",C4992&amp;COUNTIF(C$9:C4992,C4992))</f>
        <v/>
      </c>
    </row>
    <row r="4993" spans="2:2" x14ac:dyDescent="0.25">
      <c r="B4993" t="str">
        <f>IF(C4993="","",C4993&amp;COUNTIF(C$9:C4993,C4993))</f>
        <v/>
      </c>
    </row>
    <row r="4994" spans="2:2" x14ac:dyDescent="0.25">
      <c r="B4994" t="str">
        <f>IF(C4994="","",C4994&amp;COUNTIF(C$9:C4994,C4994))</f>
        <v/>
      </c>
    </row>
    <row r="4995" spans="2:2" x14ac:dyDescent="0.25">
      <c r="B4995" t="str">
        <f>IF(C4995="","",C4995&amp;COUNTIF(C$9:C4995,C4995))</f>
        <v/>
      </c>
    </row>
    <row r="4996" spans="2:2" x14ac:dyDescent="0.25">
      <c r="B4996" t="str">
        <f>IF(C4996="","",C4996&amp;COUNTIF(C$9:C4996,C4996))</f>
        <v/>
      </c>
    </row>
    <row r="4997" spans="2:2" x14ac:dyDescent="0.25">
      <c r="B4997" t="str">
        <f>IF(C4997="","",C4997&amp;COUNTIF(C$9:C4997,C4997))</f>
        <v/>
      </c>
    </row>
    <row r="4998" spans="2:2" x14ac:dyDescent="0.25">
      <c r="B4998" t="str">
        <f>IF(C4998="","",C4998&amp;COUNTIF(C$9:C4998,C4998))</f>
        <v/>
      </c>
    </row>
    <row r="4999" spans="2:2" x14ac:dyDescent="0.25">
      <c r="B4999" t="str">
        <f>IF(C4999="","",C4999&amp;COUNTIF(C$9:C4999,C4999))</f>
        <v/>
      </c>
    </row>
    <row r="5000" spans="2:2" x14ac:dyDescent="0.25">
      <c r="B5000" t="str">
        <f>IF(C5000="","",C5000&amp;COUNTIF(C$9:C5000,C5000))</f>
        <v/>
      </c>
    </row>
    <row r="5001" spans="2:2" x14ac:dyDescent="0.25">
      <c r="B5001" t="str">
        <f>IF(C5001="","",C5001&amp;COUNTIF(C$9:C5001,C5001))</f>
        <v/>
      </c>
    </row>
    <row r="5002" spans="2:2" x14ac:dyDescent="0.25">
      <c r="B5002" t="str">
        <f>IF(C5002="","",C5002&amp;COUNTIF(C$9:C5002,C5002))</f>
        <v/>
      </c>
    </row>
    <row r="5003" spans="2:2" x14ac:dyDescent="0.25">
      <c r="B5003" t="str">
        <f>IF(C5003="","",C5003&amp;COUNTIF(C$9:C5003,C5003))</f>
        <v/>
      </c>
    </row>
    <row r="5004" spans="2:2" x14ac:dyDescent="0.25">
      <c r="B5004" t="str">
        <f>IF(C5004="","",C5004&amp;COUNTIF(C$9:C5004,C5004))</f>
        <v/>
      </c>
    </row>
    <row r="5005" spans="2:2" x14ac:dyDescent="0.25">
      <c r="B5005" t="str">
        <f>IF(C5005="","",C5005&amp;COUNTIF(C$9:C5005,C5005))</f>
        <v/>
      </c>
    </row>
    <row r="5006" spans="2:2" x14ac:dyDescent="0.25">
      <c r="B5006" t="str">
        <f>IF(C5006="","",C5006&amp;COUNTIF(C$9:C5006,C5006))</f>
        <v/>
      </c>
    </row>
    <row r="5007" spans="2:2" x14ac:dyDescent="0.25">
      <c r="B5007" t="str">
        <f>IF(C5007="","",C5007&amp;COUNTIF(C$9:C5007,C5007))</f>
        <v/>
      </c>
    </row>
    <row r="5008" spans="2:2" x14ac:dyDescent="0.25">
      <c r="B5008" t="str">
        <f>IF(C5008="","",C5008&amp;COUNTIF(C$9:C5008,C5008))</f>
        <v/>
      </c>
    </row>
    <row r="5009" spans="2:2" x14ac:dyDescent="0.25">
      <c r="B5009" t="str">
        <f>IF(C5009="","",C5009&amp;COUNTIF(C$9:C5009,C5009))</f>
        <v/>
      </c>
    </row>
    <row r="5010" spans="2:2" x14ac:dyDescent="0.25">
      <c r="B5010" t="str">
        <f>IF(C5010="","",C5010&amp;COUNTIF(C$9:C5010,C5010))</f>
        <v/>
      </c>
    </row>
    <row r="5011" spans="2:2" x14ac:dyDescent="0.25">
      <c r="B5011" t="str">
        <f>IF(C5011="","",C5011&amp;COUNTIF(C$9:C5011,C5011))</f>
        <v/>
      </c>
    </row>
    <row r="5012" spans="2:2" x14ac:dyDescent="0.25">
      <c r="B5012" t="str">
        <f>IF(C5012="","",C5012&amp;COUNTIF(C$9:C5012,C5012))</f>
        <v/>
      </c>
    </row>
    <row r="5013" spans="2:2" x14ac:dyDescent="0.25">
      <c r="B5013" t="str">
        <f>IF(C5013="","",C5013&amp;COUNTIF(C$9:C5013,C5013))</f>
        <v/>
      </c>
    </row>
    <row r="5014" spans="2:2" x14ac:dyDescent="0.25">
      <c r="B5014" t="str">
        <f>IF(C5014="","",C5014&amp;COUNTIF(C$9:C5014,C5014))</f>
        <v/>
      </c>
    </row>
    <row r="5015" spans="2:2" x14ac:dyDescent="0.25">
      <c r="B5015" t="str">
        <f>IF(C5015="","",C5015&amp;COUNTIF(C$9:C5015,C5015))</f>
        <v/>
      </c>
    </row>
    <row r="5016" spans="2:2" x14ac:dyDescent="0.25">
      <c r="B5016" t="str">
        <f>IF(C5016="","",C5016&amp;COUNTIF(C$9:C5016,C5016))</f>
        <v/>
      </c>
    </row>
    <row r="5017" spans="2:2" x14ac:dyDescent="0.25">
      <c r="B5017" t="str">
        <f>IF(C5017="","",C5017&amp;COUNTIF(C$9:C5017,C5017))</f>
        <v/>
      </c>
    </row>
    <row r="5018" spans="2:2" x14ac:dyDescent="0.25">
      <c r="B5018" t="str">
        <f>IF(C5018="","",C5018&amp;COUNTIF(C$9:C5018,C5018))</f>
        <v/>
      </c>
    </row>
    <row r="5019" spans="2:2" x14ac:dyDescent="0.25">
      <c r="B5019" t="str">
        <f>IF(C5019="","",C5019&amp;COUNTIF(C$9:C5019,C5019))</f>
        <v/>
      </c>
    </row>
    <row r="5020" spans="2:2" x14ac:dyDescent="0.25">
      <c r="B5020" t="str">
        <f>IF(C5020="","",C5020&amp;COUNTIF(C$9:C5020,C5020))</f>
        <v/>
      </c>
    </row>
    <row r="5021" spans="2:2" x14ac:dyDescent="0.25">
      <c r="B5021" t="str">
        <f>IF(C5021="","",C5021&amp;COUNTIF(C$9:C5021,C5021))</f>
        <v/>
      </c>
    </row>
    <row r="5022" spans="2:2" x14ac:dyDescent="0.25">
      <c r="B5022" t="str">
        <f>IF(C5022="","",C5022&amp;COUNTIF(C$9:C5022,C5022))</f>
        <v/>
      </c>
    </row>
    <row r="5023" spans="2:2" x14ac:dyDescent="0.25">
      <c r="B5023" t="str">
        <f>IF(C5023="","",C5023&amp;COUNTIF(C$9:C5023,C5023))</f>
        <v/>
      </c>
    </row>
    <row r="5024" spans="2:2" x14ac:dyDescent="0.25">
      <c r="B5024" t="str">
        <f>IF(C5024="","",C5024&amp;COUNTIF(C$9:C5024,C5024))</f>
        <v/>
      </c>
    </row>
    <row r="5025" spans="2:2" x14ac:dyDescent="0.25">
      <c r="B5025" t="str">
        <f>IF(C5025="","",C5025&amp;COUNTIF(C$9:C5025,C5025))</f>
        <v/>
      </c>
    </row>
    <row r="5026" spans="2:2" x14ac:dyDescent="0.25">
      <c r="B5026" t="str">
        <f>IF(C5026="","",C5026&amp;COUNTIF(C$9:C5026,C5026))</f>
        <v/>
      </c>
    </row>
    <row r="5027" spans="2:2" x14ac:dyDescent="0.25">
      <c r="B5027" t="str">
        <f>IF(C5027="","",C5027&amp;COUNTIF(C$9:C5027,C5027))</f>
        <v/>
      </c>
    </row>
    <row r="5028" spans="2:2" x14ac:dyDescent="0.25">
      <c r="B5028" t="str">
        <f>IF(C5028="","",C5028&amp;COUNTIF(C$9:C5028,C5028))</f>
        <v/>
      </c>
    </row>
    <row r="5029" spans="2:2" x14ac:dyDescent="0.25">
      <c r="B5029" t="str">
        <f>IF(C5029="","",C5029&amp;COUNTIF(C$9:C5029,C5029))</f>
        <v/>
      </c>
    </row>
    <row r="5030" spans="2:2" x14ac:dyDescent="0.25">
      <c r="B5030" t="str">
        <f>IF(C5030="","",C5030&amp;COUNTIF(C$9:C5030,C5030))</f>
        <v/>
      </c>
    </row>
    <row r="5031" spans="2:2" x14ac:dyDescent="0.25">
      <c r="B5031" t="str">
        <f>IF(C5031="","",C5031&amp;COUNTIF(C$9:C5031,C5031))</f>
        <v/>
      </c>
    </row>
    <row r="5032" spans="2:2" x14ac:dyDescent="0.25">
      <c r="B5032" t="str">
        <f>IF(C5032="","",C5032&amp;COUNTIF(C$9:C5032,C5032))</f>
        <v/>
      </c>
    </row>
    <row r="5033" spans="2:2" x14ac:dyDescent="0.25">
      <c r="B5033" t="str">
        <f>IF(C5033="","",C5033&amp;COUNTIF(C$9:C5033,C5033))</f>
        <v/>
      </c>
    </row>
    <row r="5034" spans="2:2" x14ac:dyDescent="0.25">
      <c r="B5034" t="str">
        <f>IF(C5034="","",C5034&amp;COUNTIF(C$9:C5034,C5034))</f>
        <v/>
      </c>
    </row>
    <row r="5035" spans="2:2" x14ac:dyDescent="0.25">
      <c r="B5035" t="str">
        <f>IF(C5035="","",C5035&amp;COUNTIF(C$9:C5035,C5035))</f>
        <v/>
      </c>
    </row>
    <row r="5036" spans="2:2" x14ac:dyDescent="0.25">
      <c r="B5036" t="str">
        <f>IF(C5036="","",C5036&amp;COUNTIF(C$9:C5036,C5036))</f>
        <v/>
      </c>
    </row>
    <row r="5037" spans="2:2" x14ac:dyDescent="0.25">
      <c r="B5037" t="str">
        <f>IF(C5037="","",C5037&amp;COUNTIF(C$9:C5037,C5037))</f>
        <v/>
      </c>
    </row>
    <row r="5038" spans="2:2" x14ac:dyDescent="0.25">
      <c r="B5038" t="str">
        <f>IF(C5038="","",C5038&amp;COUNTIF(C$9:C5038,C5038))</f>
        <v/>
      </c>
    </row>
    <row r="5039" spans="2:2" x14ac:dyDescent="0.25">
      <c r="B5039" t="str">
        <f>IF(C5039="","",C5039&amp;COUNTIF(C$9:C5039,C5039))</f>
        <v/>
      </c>
    </row>
    <row r="5040" spans="2:2" x14ac:dyDescent="0.25">
      <c r="B5040" t="str">
        <f>IF(C5040="","",C5040&amp;COUNTIF(C$9:C5040,C5040))</f>
        <v/>
      </c>
    </row>
    <row r="5041" spans="2:2" x14ac:dyDescent="0.25">
      <c r="B5041" t="str">
        <f>IF(C5041="","",C5041&amp;COUNTIF(C$9:C5041,C5041))</f>
        <v/>
      </c>
    </row>
    <row r="5042" spans="2:2" x14ac:dyDescent="0.25">
      <c r="B5042" t="str">
        <f>IF(C5042="","",C5042&amp;COUNTIF(C$9:C5042,C5042))</f>
        <v/>
      </c>
    </row>
    <row r="5043" spans="2:2" x14ac:dyDescent="0.25">
      <c r="B5043" t="str">
        <f>IF(C5043="","",C5043&amp;COUNTIF(C$9:C5043,C5043))</f>
        <v/>
      </c>
    </row>
    <row r="5044" spans="2:2" x14ac:dyDescent="0.25">
      <c r="B5044" t="str">
        <f>IF(C5044="","",C5044&amp;COUNTIF(C$9:C5044,C5044))</f>
        <v/>
      </c>
    </row>
    <row r="5045" spans="2:2" x14ac:dyDescent="0.25">
      <c r="B5045" t="str">
        <f>IF(C5045="","",C5045&amp;COUNTIF(C$9:C5045,C5045))</f>
        <v/>
      </c>
    </row>
    <row r="5046" spans="2:2" x14ac:dyDescent="0.25">
      <c r="B5046" t="str">
        <f>IF(C5046="","",C5046&amp;COUNTIF(C$9:C5046,C5046))</f>
        <v/>
      </c>
    </row>
    <row r="5047" spans="2:2" x14ac:dyDescent="0.25">
      <c r="B5047" t="str">
        <f>IF(C5047="","",C5047&amp;COUNTIF(C$9:C5047,C5047))</f>
        <v/>
      </c>
    </row>
    <row r="5048" spans="2:2" x14ac:dyDescent="0.25">
      <c r="B5048" t="str">
        <f>IF(C5048="","",C5048&amp;COUNTIF(C$9:C5048,C5048))</f>
        <v/>
      </c>
    </row>
    <row r="5049" spans="2:2" x14ac:dyDescent="0.25">
      <c r="B5049" t="str">
        <f>IF(C5049="","",C5049&amp;COUNTIF(C$9:C5049,C5049))</f>
        <v/>
      </c>
    </row>
    <row r="5050" spans="2:2" x14ac:dyDescent="0.25">
      <c r="B5050" t="str">
        <f>IF(C5050="","",C5050&amp;COUNTIF(C$9:C5050,C5050))</f>
        <v/>
      </c>
    </row>
    <row r="5051" spans="2:2" x14ac:dyDescent="0.25">
      <c r="B5051" t="str">
        <f>IF(C5051="","",C5051&amp;COUNTIF(C$9:C5051,C5051))</f>
        <v/>
      </c>
    </row>
    <row r="5052" spans="2:2" x14ac:dyDescent="0.25">
      <c r="B5052" t="str">
        <f>IF(C5052="","",C5052&amp;COUNTIF(C$9:C5052,C5052))</f>
        <v/>
      </c>
    </row>
    <row r="5053" spans="2:2" x14ac:dyDescent="0.25">
      <c r="B5053" t="str">
        <f>IF(C5053="","",C5053&amp;COUNTIF(C$9:C5053,C5053))</f>
        <v/>
      </c>
    </row>
    <row r="5054" spans="2:2" x14ac:dyDescent="0.25">
      <c r="B5054" t="str">
        <f>IF(C5054="","",C5054&amp;COUNTIF(C$9:C5054,C5054))</f>
        <v/>
      </c>
    </row>
    <row r="5055" spans="2:2" x14ac:dyDescent="0.25">
      <c r="B5055" t="str">
        <f>IF(C5055="","",C5055&amp;COUNTIF(C$9:C5055,C5055))</f>
        <v/>
      </c>
    </row>
    <row r="5056" spans="2:2" x14ac:dyDescent="0.25">
      <c r="B5056" t="str">
        <f>IF(C5056="","",C5056&amp;COUNTIF(C$9:C5056,C5056))</f>
        <v/>
      </c>
    </row>
    <row r="5057" spans="2:2" x14ac:dyDescent="0.25">
      <c r="B5057" t="str">
        <f>IF(C5057="","",C5057&amp;COUNTIF(C$9:C5057,C5057))</f>
        <v/>
      </c>
    </row>
    <row r="5058" spans="2:2" x14ac:dyDescent="0.25">
      <c r="B5058" t="str">
        <f>IF(C5058="","",C5058&amp;COUNTIF(C$9:C5058,C5058))</f>
        <v/>
      </c>
    </row>
    <row r="5059" spans="2:2" x14ac:dyDescent="0.25">
      <c r="B5059" t="str">
        <f>IF(C5059="","",C5059&amp;COUNTIF(C$9:C5059,C5059))</f>
        <v/>
      </c>
    </row>
    <row r="5060" spans="2:2" x14ac:dyDescent="0.25">
      <c r="B5060" t="str">
        <f>IF(C5060="","",C5060&amp;COUNTIF(C$9:C5060,C5060))</f>
        <v/>
      </c>
    </row>
    <row r="5061" spans="2:2" x14ac:dyDescent="0.25">
      <c r="B5061" t="str">
        <f>IF(C5061="","",C5061&amp;COUNTIF(C$9:C5061,C5061))</f>
        <v/>
      </c>
    </row>
    <row r="5062" spans="2:2" x14ac:dyDescent="0.25">
      <c r="B5062" t="str">
        <f>IF(C5062="","",C5062&amp;COUNTIF(C$9:C5062,C5062))</f>
        <v/>
      </c>
    </row>
    <row r="5063" spans="2:2" x14ac:dyDescent="0.25">
      <c r="B5063" t="str">
        <f>IF(C5063="","",C5063&amp;COUNTIF(C$9:C5063,C5063))</f>
        <v/>
      </c>
    </row>
    <row r="5064" spans="2:2" x14ac:dyDescent="0.25">
      <c r="B5064" t="str">
        <f>IF(C5064="","",C5064&amp;COUNTIF(C$9:C5064,C5064))</f>
        <v/>
      </c>
    </row>
    <row r="5065" spans="2:2" x14ac:dyDescent="0.25">
      <c r="B5065" t="str">
        <f>IF(C5065="","",C5065&amp;COUNTIF(C$9:C5065,C5065))</f>
        <v/>
      </c>
    </row>
    <row r="5066" spans="2:2" x14ac:dyDescent="0.25">
      <c r="B5066" t="str">
        <f>IF(C5066="","",C5066&amp;COUNTIF(C$9:C5066,C5066))</f>
        <v/>
      </c>
    </row>
    <row r="5067" spans="2:2" x14ac:dyDescent="0.25">
      <c r="B5067" t="str">
        <f>IF(C5067="","",C5067&amp;COUNTIF(C$9:C5067,C5067))</f>
        <v/>
      </c>
    </row>
    <row r="5068" spans="2:2" x14ac:dyDescent="0.25">
      <c r="B5068" t="str">
        <f>IF(C5068="","",C5068&amp;COUNTIF(C$9:C5068,C5068))</f>
        <v/>
      </c>
    </row>
    <row r="5069" spans="2:2" x14ac:dyDescent="0.25">
      <c r="B5069" t="str">
        <f>IF(C5069="","",C5069&amp;COUNTIF(C$9:C5069,C5069))</f>
        <v/>
      </c>
    </row>
    <row r="5070" spans="2:2" x14ac:dyDescent="0.25">
      <c r="B5070" t="str">
        <f>IF(C5070="","",C5070&amp;COUNTIF(C$9:C5070,C5070))</f>
        <v/>
      </c>
    </row>
    <row r="5071" spans="2:2" x14ac:dyDescent="0.25">
      <c r="B5071" t="str">
        <f>IF(C5071="","",C5071&amp;COUNTIF(C$9:C5071,C5071))</f>
        <v/>
      </c>
    </row>
    <row r="5072" spans="2:2" x14ac:dyDescent="0.25">
      <c r="B5072" t="str">
        <f>IF(C5072="","",C5072&amp;COUNTIF(C$9:C5072,C5072))</f>
        <v/>
      </c>
    </row>
    <row r="5073" spans="2:2" x14ac:dyDescent="0.25">
      <c r="B5073" t="str">
        <f>IF(C5073="","",C5073&amp;COUNTIF(C$9:C5073,C5073))</f>
        <v/>
      </c>
    </row>
    <row r="5074" spans="2:2" x14ac:dyDescent="0.25">
      <c r="B5074" t="str">
        <f>IF(C5074="","",C5074&amp;COUNTIF(C$9:C5074,C5074))</f>
        <v/>
      </c>
    </row>
    <row r="5075" spans="2:2" x14ac:dyDescent="0.25">
      <c r="B5075" t="str">
        <f>IF(C5075="","",C5075&amp;COUNTIF(C$9:C5075,C5075))</f>
        <v/>
      </c>
    </row>
    <row r="5076" spans="2:2" x14ac:dyDescent="0.25">
      <c r="B5076" t="str">
        <f>IF(C5076="","",C5076&amp;COUNTIF(C$9:C5076,C5076))</f>
        <v/>
      </c>
    </row>
    <row r="5077" spans="2:2" x14ac:dyDescent="0.25">
      <c r="B5077" t="str">
        <f>IF(C5077="","",C5077&amp;COUNTIF(C$9:C5077,C5077))</f>
        <v/>
      </c>
    </row>
    <row r="5078" spans="2:2" x14ac:dyDescent="0.25">
      <c r="B5078" t="str">
        <f>IF(C5078="","",C5078&amp;COUNTIF(C$9:C5078,C5078))</f>
        <v/>
      </c>
    </row>
    <row r="5079" spans="2:2" x14ac:dyDescent="0.25">
      <c r="B5079" t="str">
        <f>IF(C5079="","",C5079&amp;COUNTIF(C$9:C5079,C5079))</f>
        <v/>
      </c>
    </row>
    <row r="5080" spans="2:2" x14ac:dyDescent="0.25">
      <c r="B5080" t="str">
        <f>IF(C5080="","",C5080&amp;COUNTIF(C$9:C5080,C5080))</f>
        <v/>
      </c>
    </row>
    <row r="5081" spans="2:2" x14ac:dyDescent="0.25">
      <c r="B5081" t="str">
        <f>IF(C5081="","",C5081&amp;COUNTIF(C$9:C5081,C5081))</f>
        <v/>
      </c>
    </row>
    <row r="5082" spans="2:2" x14ac:dyDescent="0.25">
      <c r="B5082" t="str">
        <f>IF(C5082="","",C5082&amp;COUNTIF(C$9:C5082,C5082))</f>
        <v/>
      </c>
    </row>
    <row r="5083" spans="2:2" x14ac:dyDescent="0.25">
      <c r="B5083" t="str">
        <f>IF(C5083="","",C5083&amp;COUNTIF(C$9:C5083,C5083))</f>
        <v/>
      </c>
    </row>
    <row r="5084" spans="2:2" x14ac:dyDescent="0.25">
      <c r="B5084" t="str">
        <f>IF(C5084="","",C5084&amp;COUNTIF(C$9:C5084,C5084))</f>
        <v/>
      </c>
    </row>
    <row r="5085" spans="2:2" x14ac:dyDescent="0.25">
      <c r="B5085" t="str">
        <f>IF(C5085="","",C5085&amp;COUNTIF(C$9:C5085,C5085))</f>
        <v/>
      </c>
    </row>
    <row r="5086" spans="2:2" x14ac:dyDescent="0.25">
      <c r="B5086" t="str">
        <f>IF(C5086="","",C5086&amp;COUNTIF(C$9:C5086,C5086))</f>
        <v/>
      </c>
    </row>
    <row r="5087" spans="2:2" x14ac:dyDescent="0.25">
      <c r="B5087" t="str">
        <f>IF(C5087="","",C5087&amp;COUNTIF(C$9:C5087,C5087))</f>
        <v/>
      </c>
    </row>
    <row r="5088" spans="2:2" x14ac:dyDescent="0.25">
      <c r="B5088" t="str">
        <f>IF(C5088="","",C5088&amp;COUNTIF(C$9:C5088,C5088))</f>
        <v/>
      </c>
    </row>
    <row r="5089" spans="2:2" x14ac:dyDescent="0.25">
      <c r="B5089" t="str">
        <f>IF(C5089="","",C5089&amp;COUNTIF(C$9:C5089,C5089))</f>
        <v/>
      </c>
    </row>
    <row r="5090" spans="2:2" x14ac:dyDescent="0.25">
      <c r="B5090" t="str">
        <f>IF(C5090="","",C5090&amp;COUNTIF(C$9:C5090,C5090))</f>
        <v/>
      </c>
    </row>
    <row r="5091" spans="2:2" x14ac:dyDescent="0.25">
      <c r="B5091" t="str">
        <f>IF(C5091="","",C5091&amp;COUNTIF(C$9:C5091,C5091))</f>
        <v/>
      </c>
    </row>
    <row r="5092" spans="2:2" x14ac:dyDescent="0.25">
      <c r="B5092" t="str">
        <f>IF(C5092="","",C5092&amp;COUNTIF(C$9:C5092,C5092))</f>
        <v/>
      </c>
    </row>
    <row r="5093" spans="2:2" x14ac:dyDescent="0.25">
      <c r="B5093" t="str">
        <f>IF(C5093="","",C5093&amp;COUNTIF(C$9:C5093,C5093))</f>
        <v/>
      </c>
    </row>
    <row r="5094" spans="2:2" x14ac:dyDescent="0.25">
      <c r="B5094" t="str">
        <f>IF(C5094="","",C5094&amp;COUNTIF(C$9:C5094,C5094))</f>
        <v/>
      </c>
    </row>
    <row r="5095" spans="2:2" x14ac:dyDescent="0.25">
      <c r="B5095" t="str">
        <f>IF(C5095="","",C5095&amp;COUNTIF(C$9:C5095,C5095))</f>
        <v/>
      </c>
    </row>
    <row r="5096" spans="2:2" x14ac:dyDescent="0.25">
      <c r="B5096" t="str">
        <f>IF(C5096="","",C5096&amp;COUNTIF(C$9:C5096,C5096))</f>
        <v/>
      </c>
    </row>
    <row r="5097" spans="2:2" x14ac:dyDescent="0.25">
      <c r="B5097" t="str">
        <f>IF(C5097="","",C5097&amp;COUNTIF(C$9:C5097,C5097))</f>
        <v/>
      </c>
    </row>
    <row r="5098" spans="2:2" x14ac:dyDescent="0.25">
      <c r="B5098" t="str">
        <f>IF(C5098="","",C5098&amp;COUNTIF(C$9:C5098,C5098))</f>
        <v/>
      </c>
    </row>
    <row r="5099" spans="2:2" x14ac:dyDescent="0.25">
      <c r="B5099" t="str">
        <f>IF(C5099="","",C5099&amp;COUNTIF(C$9:C5099,C5099))</f>
        <v/>
      </c>
    </row>
    <row r="5100" spans="2:2" x14ac:dyDescent="0.25">
      <c r="B5100" t="str">
        <f>IF(C5100="","",C5100&amp;COUNTIF(C$9:C5100,C5100))</f>
        <v/>
      </c>
    </row>
    <row r="5101" spans="2:2" x14ac:dyDescent="0.25">
      <c r="B5101" t="str">
        <f>IF(C5101="","",C5101&amp;COUNTIF(C$9:C5101,C5101))</f>
        <v/>
      </c>
    </row>
    <row r="5102" spans="2:2" x14ac:dyDescent="0.25">
      <c r="B5102" t="str">
        <f>IF(C5102="","",C5102&amp;COUNTIF(C$9:C5102,C5102))</f>
        <v/>
      </c>
    </row>
    <row r="5103" spans="2:2" x14ac:dyDescent="0.25">
      <c r="B5103" t="str">
        <f>IF(C5103="","",C5103&amp;COUNTIF(C$9:C5103,C5103))</f>
        <v/>
      </c>
    </row>
    <row r="5104" spans="2:2" x14ac:dyDescent="0.25">
      <c r="B5104" t="str">
        <f>IF(C5104="","",C5104&amp;COUNTIF(C$9:C5104,C5104))</f>
        <v/>
      </c>
    </row>
    <row r="5105" spans="2:2" x14ac:dyDescent="0.25">
      <c r="B5105" t="str">
        <f>IF(C5105="","",C5105&amp;COUNTIF(C$9:C5105,C5105))</f>
        <v/>
      </c>
    </row>
    <row r="5106" spans="2:2" x14ac:dyDescent="0.25">
      <c r="B5106" t="str">
        <f>IF(C5106="","",C5106&amp;COUNTIF(C$9:C5106,C5106))</f>
        <v/>
      </c>
    </row>
    <row r="5107" spans="2:2" x14ac:dyDescent="0.25">
      <c r="B5107" t="str">
        <f>IF(C5107="","",C5107&amp;COUNTIF(C$9:C5107,C5107))</f>
        <v/>
      </c>
    </row>
    <row r="5108" spans="2:2" x14ac:dyDescent="0.25">
      <c r="B5108" t="str">
        <f>IF(C5108="","",C5108&amp;COUNTIF(C$9:C5108,C5108))</f>
        <v/>
      </c>
    </row>
    <row r="5109" spans="2:2" x14ac:dyDescent="0.25">
      <c r="B5109" t="str">
        <f>IF(C5109="","",C5109&amp;COUNTIF(C$9:C5109,C5109))</f>
        <v/>
      </c>
    </row>
    <row r="5110" spans="2:2" x14ac:dyDescent="0.25">
      <c r="B5110" t="str">
        <f>IF(C5110="","",C5110&amp;COUNTIF(C$9:C5110,C5110))</f>
        <v/>
      </c>
    </row>
    <row r="5111" spans="2:2" x14ac:dyDescent="0.25">
      <c r="B5111" t="str">
        <f>IF(C5111="","",C5111&amp;COUNTIF(C$9:C5111,C5111))</f>
        <v/>
      </c>
    </row>
    <row r="5112" spans="2:2" x14ac:dyDescent="0.25">
      <c r="B5112" t="str">
        <f>IF(C5112="","",C5112&amp;COUNTIF(C$9:C5112,C5112))</f>
        <v/>
      </c>
    </row>
    <row r="5113" spans="2:2" x14ac:dyDescent="0.25">
      <c r="B5113" t="str">
        <f>IF(C5113="","",C5113&amp;COUNTIF(C$9:C5113,C5113))</f>
        <v/>
      </c>
    </row>
    <row r="5114" spans="2:2" x14ac:dyDescent="0.25">
      <c r="B5114" t="str">
        <f>IF(C5114="","",C5114&amp;COUNTIF(C$9:C5114,C5114))</f>
        <v/>
      </c>
    </row>
    <row r="5115" spans="2:2" x14ac:dyDescent="0.25">
      <c r="B5115" t="str">
        <f>IF(C5115="","",C5115&amp;COUNTIF(C$9:C5115,C5115))</f>
        <v/>
      </c>
    </row>
    <row r="5116" spans="2:2" x14ac:dyDescent="0.25">
      <c r="B5116" t="str">
        <f>IF(C5116="","",C5116&amp;COUNTIF(C$9:C5116,C5116))</f>
        <v/>
      </c>
    </row>
    <row r="5117" spans="2:2" x14ac:dyDescent="0.25">
      <c r="B5117" t="str">
        <f>IF(C5117="","",C5117&amp;COUNTIF(C$9:C5117,C5117))</f>
        <v/>
      </c>
    </row>
    <row r="5118" spans="2:2" x14ac:dyDescent="0.25">
      <c r="B5118" t="str">
        <f>IF(C5118="","",C5118&amp;COUNTIF(C$9:C5118,C5118))</f>
        <v/>
      </c>
    </row>
    <row r="5119" spans="2:2" x14ac:dyDescent="0.25">
      <c r="B5119" t="str">
        <f>IF(C5119="","",C5119&amp;COUNTIF(C$9:C5119,C5119))</f>
        <v/>
      </c>
    </row>
    <row r="5120" spans="2:2" x14ac:dyDescent="0.25">
      <c r="B5120" t="str">
        <f>IF(C5120="","",C5120&amp;COUNTIF(C$9:C5120,C5120))</f>
        <v/>
      </c>
    </row>
    <row r="5121" spans="2:2" x14ac:dyDescent="0.25">
      <c r="B5121" t="str">
        <f>IF(C5121="","",C5121&amp;COUNTIF(C$9:C5121,C5121))</f>
        <v/>
      </c>
    </row>
    <row r="5122" spans="2:2" x14ac:dyDescent="0.25">
      <c r="B5122" t="str">
        <f>IF(C5122="","",C5122&amp;COUNTIF(C$9:C5122,C5122))</f>
        <v/>
      </c>
    </row>
    <row r="5123" spans="2:2" x14ac:dyDescent="0.25">
      <c r="B5123" t="str">
        <f>IF(C5123="","",C5123&amp;COUNTIF(C$9:C5123,C5123))</f>
        <v/>
      </c>
    </row>
    <row r="5124" spans="2:2" x14ac:dyDescent="0.25">
      <c r="B5124" t="str">
        <f>IF(C5124="","",C5124&amp;COUNTIF(C$9:C5124,C5124))</f>
        <v/>
      </c>
    </row>
    <row r="5125" spans="2:2" x14ac:dyDescent="0.25">
      <c r="B5125" t="str">
        <f>IF(C5125="","",C5125&amp;COUNTIF(C$9:C5125,C5125))</f>
        <v/>
      </c>
    </row>
    <row r="5126" spans="2:2" x14ac:dyDescent="0.25">
      <c r="B5126" t="str">
        <f>IF(C5126="","",C5126&amp;COUNTIF(C$9:C5126,C5126))</f>
        <v/>
      </c>
    </row>
    <row r="5127" spans="2:2" x14ac:dyDescent="0.25">
      <c r="B5127" t="str">
        <f>IF(C5127="","",C5127&amp;COUNTIF(C$9:C5127,C5127))</f>
        <v/>
      </c>
    </row>
    <row r="5128" spans="2:2" x14ac:dyDescent="0.25">
      <c r="B5128" t="str">
        <f>IF(C5128="","",C5128&amp;COUNTIF(C$9:C5128,C5128))</f>
        <v/>
      </c>
    </row>
    <row r="5129" spans="2:2" x14ac:dyDescent="0.25">
      <c r="B5129" t="str">
        <f>IF(C5129="","",C5129&amp;COUNTIF(C$9:C5129,C5129))</f>
        <v/>
      </c>
    </row>
    <row r="5130" spans="2:2" x14ac:dyDescent="0.25">
      <c r="B5130" t="str">
        <f>IF(C5130="","",C5130&amp;COUNTIF(C$9:C5130,C5130))</f>
        <v/>
      </c>
    </row>
    <row r="5131" spans="2:2" x14ac:dyDescent="0.25">
      <c r="B5131" t="str">
        <f>IF(C5131="","",C5131&amp;COUNTIF(C$9:C5131,C5131))</f>
        <v/>
      </c>
    </row>
    <row r="5132" spans="2:2" x14ac:dyDescent="0.25">
      <c r="B5132" t="str">
        <f>IF(C5132="","",C5132&amp;COUNTIF(C$9:C5132,C5132))</f>
        <v/>
      </c>
    </row>
    <row r="5133" spans="2:2" x14ac:dyDescent="0.25">
      <c r="B5133" t="str">
        <f>IF(C5133="","",C5133&amp;COUNTIF(C$9:C5133,C5133))</f>
        <v/>
      </c>
    </row>
    <row r="5134" spans="2:2" x14ac:dyDescent="0.25">
      <c r="B5134" t="str">
        <f>IF(C5134="","",C5134&amp;COUNTIF(C$9:C5134,C5134))</f>
        <v/>
      </c>
    </row>
    <row r="5135" spans="2:2" x14ac:dyDescent="0.25">
      <c r="B5135" t="str">
        <f>IF(C5135="","",C5135&amp;COUNTIF(C$9:C5135,C5135))</f>
        <v/>
      </c>
    </row>
    <row r="5136" spans="2:2" x14ac:dyDescent="0.25">
      <c r="B5136" t="str">
        <f>IF(C5136="","",C5136&amp;COUNTIF(C$9:C5136,C5136))</f>
        <v/>
      </c>
    </row>
    <row r="5137" spans="2:2" x14ac:dyDescent="0.25">
      <c r="B5137" t="str">
        <f>IF(C5137="","",C5137&amp;COUNTIF(C$9:C5137,C5137))</f>
        <v/>
      </c>
    </row>
    <row r="5138" spans="2:2" x14ac:dyDescent="0.25">
      <c r="B5138" t="str">
        <f>IF(C5138="","",C5138&amp;COUNTIF(C$9:C5138,C5138))</f>
        <v/>
      </c>
    </row>
    <row r="5139" spans="2:2" x14ac:dyDescent="0.25">
      <c r="B5139" t="str">
        <f>IF(C5139="","",C5139&amp;COUNTIF(C$9:C5139,C5139))</f>
        <v/>
      </c>
    </row>
    <row r="5140" spans="2:2" x14ac:dyDescent="0.25">
      <c r="B5140" t="str">
        <f>IF(C5140="","",C5140&amp;COUNTIF(C$9:C5140,C5140))</f>
        <v/>
      </c>
    </row>
    <row r="5141" spans="2:2" x14ac:dyDescent="0.25">
      <c r="B5141" t="str">
        <f>IF(C5141="","",C5141&amp;COUNTIF(C$9:C5141,C5141))</f>
        <v/>
      </c>
    </row>
    <row r="5142" spans="2:2" x14ac:dyDescent="0.25">
      <c r="B5142" t="str">
        <f>IF(C5142="","",C5142&amp;COUNTIF(C$9:C5142,C5142))</f>
        <v/>
      </c>
    </row>
    <row r="5143" spans="2:2" x14ac:dyDescent="0.25">
      <c r="B5143" t="str">
        <f>IF(C5143="","",C5143&amp;COUNTIF(C$9:C5143,C5143))</f>
        <v/>
      </c>
    </row>
    <row r="5144" spans="2:2" x14ac:dyDescent="0.25">
      <c r="B5144" t="str">
        <f>IF(C5144="","",C5144&amp;COUNTIF(C$9:C5144,C5144))</f>
        <v/>
      </c>
    </row>
    <row r="5145" spans="2:2" x14ac:dyDescent="0.25">
      <c r="B5145" t="str">
        <f>IF(C5145="","",C5145&amp;COUNTIF(C$9:C5145,C5145))</f>
        <v/>
      </c>
    </row>
    <row r="5146" spans="2:2" x14ac:dyDescent="0.25">
      <c r="B5146" t="str">
        <f>IF(C5146="","",C5146&amp;COUNTIF(C$9:C5146,C5146))</f>
        <v/>
      </c>
    </row>
    <row r="5147" spans="2:2" x14ac:dyDescent="0.25">
      <c r="B5147" t="str">
        <f>IF(C5147="","",C5147&amp;COUNTIF(C$9:C5147,C5147))</f>
        <v/>
      </c>
    </row>
    <row r="5148" spans="2:2" x14ac:dyDescent="0.25">
      <c r="B5148" t="str">
        <f>IF(C5148="","",C5148&amp;COUNTIF(C$9:C5148,C5148))</f>
        <v/>
      </c>
    </row>
    <row r="5149" spans="2:2" x14ac:dyDescent="0.25">
      <c r="B5149" t="str">
        <f>IF(C5149="","",C5149&amp;COUNTIF(C$9:C5149,C5149))</f>
        <v/>
      </c>
    </row>
    <row r="5150" spans="2:2" x14ac:dyDescent="0.25">
      <c r="B5150" t="str">
        <f>IF(C5150="","",C5150&amp;COUNTIF(C$9:C5150,C5150))</f>
        <v/>
      </c>
    </row>
    <row r="5151" spans="2:2" x14ac:dyDescent="0.25">
      <c r="B5151" t="str">
        <f>IF(C5151="","",C5151&amp;COUNTIF(C$9:C5151,C5151))</f>
        <v/>
      </c>
    </row>
    <row r="5152" spans="2:2" x14ac:dyDescent="0.25">
      <c r="B5152" t="str">
        <f>IF(C5152="","",C5152&amp;COUNTIF(C$9:C5152,C5152))</f>
        <v/>
      </c>
    </row>
    <row r="5153" spans="2:2" x14ac:dyDescent="0.25">
      <c r="B5153" t="str">
        <f>IF(C5153="","",C5153&amp;COUNTIF(C$9:C5153,C5153))</f>
        <v/>
      </c>
    </row>
    <row r="5154" spans="2:2" x14ac:dyDescent="0.25">
      <c r="B5154" t="str">
        <f>IF(C5154="","",C5154&amp;COUNTIF(C$9:C5154,C5154))</f>
        <v/>
      </c>
    </row>
    <row r="5155" spans="2:2" x14ac:dyDescent="0.25">
      <c r="B5155" t="str">
        <f>IF(C5155="","",C5155&amp;COUNTIF(C$9:C5155,C5155))</f>
        <v/>
      </c>
    </row>
    <row r="5156" spans="2:2" x14ac:dyDescent="0.25">
      <c r="B5156" t="str">
        <f>IF(C5156="","",C5156&amp;COUNTIF(C$9:C5156,C5156))</f>
        <v/>
      </c>
    </row>
    <row r="5157" spans="2:2" x14ac:dyDescent="0.25">
      <c r="B5157" t="str">
        <f>IF(C5157="","",C5157&amp;COUNTIF(C$9:C5157,C5157))</f>
        <v/>
      </c>
    </row>
    <row r="5158" spans="2:2" x14ac:dyDescent="0.25">
      <c r="B5158" t="str">
        <f>IF(C5158="","",C5158&amp;COUNTIF(C$9:C5158,C5158))</f>
        <v/>
      </c>
    </row>
    <row r="5159" spans="2:2" x14ac:dyDescent="0.25">
      <c r="B5159" t="str">
        <f>IF(C5159="","",C5159&amp;COUNTIF(C$9:C5159,C5159))</f>
        <v/>
      </c>
    </row>
    <row r="5160" spans="2:2" x14ac:dyDescent="0.25">
      <c r="B5160" t="str">
        <f>IF(C5160="","",C5160&amp;COUNTIF(C$9:C5160,C5160))</f>
        <v/>
      </c>
    </row>
    <row r="5161" spans="2:2" x14ac:dyDescent="0.25">
      <c r="B5161" t="str">
        <f>IF(C5161="","",C5161&amp;COUNTIF(C$9:C5161,C5161))</f>
        <v/>
      </c>
    </row>
    <row r="5162" spans="2:2" x14ac:dyDescent="0.25">
      <c r="B5162" t="str">
        <f>IF(C5162="","",C5162&amp;COUNTIF(C$9:C5162,C5162))</f>
        <v/>
      </c>
    </row>
    <row r="5163" spans="2:2" x14ac:dyDescent="0.25">
      <c r="B5163" t="str">
        <f>IF(C5163="","",C5163&amp;COUNTIF(C$9:C5163,C5163))</f>
        <v/>
      </c>
    </row>
    <row r="5164" spans="2:2" x14ac:dyDescent="0.25">
      <c r="B5164" t="str">
        <f>IF(C5164="","",C5164&amp;COUNTIF(C$9:C5164,C5164))</f>
        <v/>
      </c>
    </row>
    <row r="5165" spans="2:2" x14ac:dyDescent="0.25">
      <c r="B5165" t="str">
        <f>IF(C5165="","",C5165&amp;COUNTIF(C$9:C5165,C5165))</f>
        <v/>
      </c>
    </row>
    <row r="5166" spans="2:2" x14ac:dyDescent="0.25">
      <c r="B5166" t="str">
        <f>IF(C5166="","",C5166&amp;COUNTIF(C$9:C5166,C5166))</f>
        <v/>
      </c>
    </row>
    <row r="5167" spans="2:2" x14ac:dyDescent="0.25">
      <c r="B5167" t="str">
        <f>IF(C5167="","",C5167&amp;COUNTIF(C$9:C5167,C5167))</f>
        <v/>
      </c>
    </row>
    <row r="5168" spans="2:2" x14ac:dyDescent="0.25">
      <c r="B5168" t="str">
        <f>IF(C5168="","",C5168&amp;COUNTIF(C$9:C5168,C5168))</f>
        <v/>
      </c>
    </row>
    <row r="5169" spans="2:2" x14ac:dyDescent="0.25">
      <c r="B5169" t="str">
        <f>IF(C5169="","",C5169&amp;COUNTIF(C$9:C5169,C5169))</f>
        <v/>
      </c>
    </row>
    <row r="5170" spans="2:2" x14ac:dyDescent="0.25">
      <c r="B5170" t="str">
        <f>IF(C5170="","",C5170&amp;COUNTIF(C$9:C5170,C5170))</f>
        <v/>
      </c>
    </row>
    <row r="5171" spans="2:2" x14ac:dyDescent="0.25">
      <c r="B5171" t="str">
        <f>IF(C5171="","",C5171&amp;COUNTIF(C$9:C5171,C5171))</f>
        <v/>
      </c>
    </row>
    <row r="5172" spans="2:2" x14ac:dyDescent="0.25">
      <c r="B5172" t="str">
        <f>IF(C5172="","",C5172&amp;COUNTIF(C$9:C5172,C5172))</f>
        <v/>
      </c>
    </row>
    <row r="5173" spans="2:2" x14ac:dyDescent="0.25">
      <c r="B5173" t="str">
        <f>IF(C5173="","",C5173&amp;COUNTIF(C$9:C5173,C5173))</f>
        <v/>
      </c>
    </row>
    <row r="5174" spans="2:2" x14ac:dyDescent="0.25">
      <c r="B5174" t="str">
        <f>IF(C5174="","",C5174&amp;COUNTIF(C$9:C5174,C5174))</f>
        <v/>
      </c>
    </row>
    <row r="5175" spans="2:2" x14ac:dyDescent="0.25">
      <c r="B5175" t="str">
        <f>IF(C5175="","",C5175&amp;COUNTIF(C$9:C5175,C5175))</f>
        <v/>
      </c>
    </row>
    <row r="5176" spans="2:2" x14ac:dyDescent="0.25">
      <c r="B5176" t="str">
        <f>IF(C5176="","",C5176&amp;COUNTIF(C$9:C5176,C5176))</f>
        <v/>
      </c>
    </row>
    <row r="5177" spans="2:2" x14ac:dyDescent="0.25">
      <c r="B5177" t="str">
        <f>IF(C5177="","",C5177&amp;COUNTIF(C$9:C5177,C5177))</f>
        <v/>
      </c>
    </row>
    <row r="5178" spans="2:2" x14ac:dyDescent="0.25">
      <c r="B5178" t="str">
        <f>IF(C5178="","",C5178&amp;COUNTIF(C$9:C5178,C5178))</f>
        <v/>
      </c>
    </row>
    <row r="5179" spans="2:2" x14ac:dyDescent="0.25">
      <c r="B5179" t="str">
        <f>IF(C5179="","",C5179&amp;COUNTIF(C$9:C5179,C5179))</f>
        <v/>
      </c>
    </row>
    <row r="5180" spans="2:2" x14ac:dyDescent="0.25">
      <c r="B5180" t="str">
        <f>IF(C5180="","",C5180&amp;COUNTIF(C$9:C5180,C5180))</f>
        <v/>
      </c>
    </row>
    <row r="5181" spans="2:2" x14ac:dyDescent="0.25">
      <c r="B5181" t="str">
        <f>IF(C5181="","",C5181&amp;COUNTIF(C$9:C5181,C5181))</f>
        <v/>
      </c>
    </row>
    <row r="5182" spans="2:2" x14ac:dyDescent="0.25">
      <c r="B5182" t="str">
        <f>IF(C5182="","",C5182&amp;COUNTIF(C$9:C5182,C5182))</f>
        <v/>
      </c>
    </row>
    <row r="5183" spans="2:2" x14ac:dyDescent="0.25">
      <c r="B5183" t="str">
        <f>IF(C5183="","",C5183&amp;COUNTIF(C$9:C5183,C5183))</f>
        <v/>
      </c>
    </row>
    <row r="5184" spans="2:2" x14ac:dyDescent="0.25">
      <c r="B5184" t="str">
        <f>IF(C5184="","",C5184&amp;COUNTIF(C$9:C5184,C5184))</f>
        <v/>
      </c>
    </row>
    <row r="5185" spans="2:2" x14ac:dyDescent="0.25">
      <c r="B5185" t="str">
        <f>IF(C5185="","",C5185&amp;COUNTIF(C$9:C5185,C5185))</f>
        <v/>
      </c>
    </row>
    <row r="5186" spans="2:2" x14ac:dyDescent="0.25">
      <c r="B5186" t="str">
        <f>IF(C5186="","",C5186&amp;COUNTIF(C$9:C5186,C5186))</f>
        <v/>
      </c>
    </row>
    <row r="5187" spans="2:2" x14ac:dyDescent="0.25">
      <c r="B5187" t="str">
        <f>IF(C5187="","",C5187&amp;COUNTIF(C$9:C5187,C5187))</f>
        <v/>
      </c>
    </row>
    <row r="5188" spans="2:2" x14ac:dyDescent="0.25">
      <c r="B5188" t="str">
        <f>IF(C5188="","",C5188&amp;COUNTIF(C$9:C5188,C5188))</f>
        <v/>
      </c>
    </row>
    <row r="5189" spans="2:2" x14ac:dyDescent="0.25">
      <c r="B5189" t="str">
        <f>IF(C5189="","",C5189&amp;COUNTIF(C$9:C5189,C5189))</f>
        <v/>
      </c>
    </row>
    <row r="5190" spans="2:2" x14ac:dyDescent="0.25">
      <c r="B5190" t="str">
        <f>IF(C5190="","",C5190&amp;COUNTIF(C$9:C5190,C5190))</f>
        <v/>
      </c>
    </row>
    <row r="5191" spans="2:2" x14ac:dyDescent="0.25">
      <c r="B5191" t="str">
        <f>IF(C5191="","",C5191&amp;COUNTIF(C$9:C5191,C5191))</f>
        <v/>
      </c>
    </row>
    <row r="5192" spans="2:2" x14ac:dyDescent="0.25">
      <c r="B5192" t="str">
        <f>IF(C5192="","",C5192&amp;COUNTIF(C$9:C5192,C5192))</f>
        <v/>
      </c>
    </row>
    <row r="5193" spans="2:2" x14ac:dyDescent="0.25">
      <c r="B5193" t="str">
        <f>IF(C5193="","",C5193&amp;COUNTIF(C$9:C5193,C5193))</f>
        <v/>
      </c>
    </row>
    <row r="5194" spans="2:2" x14ac:dyDescent="0.25">
      <c r="B5194" t="str">
        <f>IF(C5194="","",C5194&amp;COUNTIF(C$9:C5194,C5194))</f>
        <v/>
      </c>
    </row>
    <row r="5195" spans="2:2" x14ac:dyDescent="0.25">
      <c r="B5195" t="str">
        <f>IF(C5195="","",C5195&amp;COUNTIF(C$9:C5195,C5195))</f>
        <v/>
      </c>
    </row>
    <row r="5196" spans="2:2" x14ac:dyDescent="0.25">
      <c r="B5196" t="str">
        <f>IF(C5196="","",C5196&amp;COUNTIF(C$9:C5196,C5196))</f>
        <v/>
      </c>
    </row>
    <row r="5197" spans="2:2" x14ac:dyDescent="0.25">
      <c r="B5197" t="str">
        <f>IF(C5197="","",C5197&amp;COUNTIF(C$9:C5197,C5197))</f>
        <v/>
      </c>
    </row>
    <row r="5198" spans="2:2" x14ac:dyDescent="0.25">
      <c r="B5198" t="str">
        <f>IF(C5198="","",C5198&amp;COUNTIF(C$9:C5198,C5198))</f>
        <v/>
      </c>
    </row>
    <row r="5199" spans="2:2" x14ac:dyDescent="0.25">
      <c r="B5199" t="str">
        <f>IF(C5199="","",C5199&amp;COUNTIF(C$9:C5199,C5199))</f>
        <v/>
      </c>
    </row>
    <row r="5200" spans="2:2" x14ac:dyDescent="0.25">
      <c r="B5200" t="str">
        <f>IF(C5200="","",C5200&amp;COUNTIF(C$9:C5200,C5200))</f>
        <v/>
      </c>
    </row>
    <row r="5201" spans="2:2" x14ac:dyDescent="0.25">
      <c r="B5201" t="str">
        <f>IF(C5201="","",C5201&amp;COUNTIF(C$9:C5201,C5201))</f>
        <v/>
      </c>
    </row>
    <row r="5202" spans="2:2" x14ac:dyDescent="0.25">
      <c r="B5202" t="str">
        <f>IF(C5202="","",C5202&amp;COUNTIF(C$9:C5202,C5202))</f>
        <v/>
      </c>
    </row>
    <row r="5203" spans="2:2" x14ac:dyDescent="0.25">
      <c r="B5203" t="str">
        <f>IF(C5203="","",C5203&amp;COUNTIF(C$9:C5203,C5203))</f>
        <v/>
      </c>
    </row>
    <row r="5204" spans="2:2" x14ac:dyDescent="0.25">
      <c r="B5204" t="str">
        <f>IF(C5204="","",C5204&amp;COUNTIF(C$9:C5204,C5204))</f>
        <v/>
      </c>
    </row>
    <row r="5205" spans="2:2" x14ac:dyDescent="0.25">
      <c r="B5205" t="str">
        <f>IF(C5205="","",C5205&amp;COUNTIF(C$9:C5205,C5205))</f>
        <v/>
      </c>
    </row>
    <row r="5206" spans="2:2" x14ac:dyDescent="0.25">
      <c r="B5206" t="str">
        <f>IF(C5206="","",C5206&amp;COUNTIF(C$9:C5206,C5206))</f>
        <v/>
      </c>
    </row>
    <row r="5207" spans="2:2" x14ac:dyDescent="0.25">
      <c r="B5207" t="str">
        <f>IF(C5207="","",C5207&amp;COUNTIF(C$9:C5207,C5207))</f>
        <v/>
      </c>
    </row>
    <row r="5208" spans="2:2" x14ac:dyDescent="0.25">
      <c r="B5208" t="str">
        <f>IF(C5208="","",C5208&amp;COUNTIF(C$9:C5208,C5208))</f>
        <v/>
      </c>
    </row>
    <row r="5209" spans="2:2" x14ac:dyDescent="0.25">
      <c r="B5209" t="str">
        <f>IF(C5209="","",C5209&amp;COUNTIF(C$9:C5209,C5209))</f>
        <v/>
      </c>
    </row>
    <row r="5210" spans="2:2" x14ac:dyDescent="0.25">
      <c r="B5210" t="str">
        <f>IF(C5210="","",C5210&amp;COUNTIF(C$9:C5210,C5210))</f>
        <v/>
      </c>
    </row>
    <row r="5211" spans="2:2" x14ac:dyDescent="0.25">
      <c r="B5211" t="str">
        <f>IF(C5211="","",C5211&amp;COUNTIF(C$9:C5211,C5211))</f>
        <v/>
      </c>
    </row>
    <row r="5212" spans="2:2" x14ac:dyDescent="0.25">
      <c r="B5212" t="str">
        <f>IF(C5212="","",C5212&amp;COUNTIF(C$9:C5212,C5212))</f>
        <v/>
      </c>
    </row>
    <row r="5213" spans="2:2" x14ac:dyDescent="0.25">
      <c r="B5213" t="str">
        <f>IF(C5213="","",C5213&amp;COUNTIF(C$9:C5213,C5213))</f>
        <v/>
      </c>
    </row>
    <row r="5214" spans="2:2" x14ac:dyDescent="0.25">
      <c r="B5214" t="str">
        <f>IF(C5214="","",C5214&amp;COUNTIF(C$9:C5214,C5214))</f>
        <v/>
      </c>
    </row>
    <row r="5215" spans="2:2" x14ac:dyDescent="0.25">
      <c r="B5215" t="str">
        <f>IF(C5215="","",C5215&amp;COUNTIF(C$9:C5215,C5215))</f>
        <v/>
      </c>
    </row>
    <row r="5216" spans="2:2" x14ac:dyDescent="0.25">
      <c r="B5216" t="str">
        <f>IF(C5216="","",C5216&amp;COUNTIF(C$9:C5216,C5216))</f>
        <v/>
      </c>
    </row>
    <row r="5217" spans="2:2" x14ac:dyDescent="0.25">
      <c r="B5217" t="str">
        <f>IF(C5217="","",C5217&amp;COUNTIF(C$9:C5217,C5217))</f>
        <v/>
      </c>
    </row>
    <row r="5218" spans="2:2" x14ac:dyDescent="0.25">
      <c r="B5218" t="str">
        <f>IF(C5218="","",C5218&amp;COUNTIF(C$9:C5218,C5218))</f>
        <v/>
      </c>
    </row>
    <row r="5219" spans="2:2" x14ac:dyDescent="0.25">
      <c r="B5219" t="str">
        <f>IF(C5219="","",C5219&amp;COUNTIF(C$9:C5219,C5219))</f>
        <v/>
      </c>
    </row>
    <row r="5220" spans="2:2" x14ac:dyDescent="0.25">
      <c r="B5220" t="str">
        <f>IF(C5220="","",C5220&amp;COUNTIF(C$9:C5220,C5220))</f>
        <v/>
      </c>
    </row>
    <row r="5221" spans="2:2" x14ac:dyDescent="0.25">
      <c r="B5221" t="str">
        <f>IF(C5221="","",C5221&amp;COUNTIF(C$9:C5221,C5221))</f>
        <v/>
      </c>
    </row>
    <row r="5222" spans="2:2" x14ac:dyDescent="0.25">
      <c r="B5222" t="str">
        <f>IF(C5222="","",C5222&amp;COUNTIF(C$9:C5222,C5222))</f>
        <v/>
      </c>
    </row>
    <row r="5223" spans="2:2" x14ac:dyDescent="0.25">
      <c r="B5223" t="str">
        <f>IF(C5223="","",C5223&amp;COUNTIF(C$9:C5223,C5223))</f>
        <v/>
      </c>
    </row>
    <row r="5224" spans="2:2" x14ac:dyDescent="0.25">
      <c r="B5224" t="str">
        <f>IF(C5224="","",C5224&amp;COUNTIF(C$9:C5224,C5224))</f>
        <v/>
      </c>
    </row>
    <row r="5225" spans="2:2" x14ac:dyDescent="0.25">
      <c r="B5225" t="str">
        <f>IF(C5225="","",C5225&amp;COUNTIF(C$9:C5225,C5225))</f>
        <v/>
      </c>
    </row>
    <row r="5226" spans="2:2" x14ac:dyDescent="0.25">
      <c r="B5226" t="str">
        <f>IF(C5226="","",C5226&amp;COUNTIF(C$9:C5226,C5226))</f>
        <v/>
      </c>
    </row>
    <row r="5227" spans="2:2" x14ac:dyDescent="0.25">
      <c r="B5227" t="str">
        <f>IF(C5227="","",C5227&amp;COUNTIF(C$9:C5227,C5227))</f>
        <v/>
      </c>
    </row>
    <row r="5228" spans="2:2" x14ac:dyDescent="0.25">
      <c r="B5228" t="str">
        <f>IF(C5228="","",C5228&amp;COUNTIF(C$9:C5228,C5228))</f>
        <v/>
      </c>
    </row>
    <row r="5229" spans="2:2" x14ac:dyDescent="0.25">
      <c r="B5229" t="str">
        <f>IF(C5229="","",C5229&amp;COUNTIF(C$9:C5229,C5229))</f>
        <v/>
      </c>
    </row>
    <row r="5230" spans="2:2" x14ac:dyDescent="0.25">
      <c r="B5230" t="str">
        <f>IF(C5230="","",C5230&amp;COUNTIF(C$9:C5230,C5230))</f>
        <v/>
      </c>
    </row>
    <row r="5231" spans="2:2" x14ac:dyDescent="0.25">
      <c r="B5231" t="str">
        <f>IF(C5231="","",C5231&amp;COUNTIF(C$9:C5231,C5231))</f>
        <v/>
      </c>
    </row>
    <row r="5232" spans="2:2" x14ac:dyDescent="0.25">
      <c r="B5232" t="str">
        <f>IF(C5232="","",C5232&amp;COUNTIF(C$9:C5232,C5232))</f>
        <v/>
      </c>
    </row>
    <row r="5233" spans="2:2" x14ac:dyDescent="0.25">
      <c r="B5233" t="str">
        <f>IF(C5233="","",C5233&amp;COUNTIF(C$9:C5233,C5233))</f>
        <v/>
      </c>
    </row>
    <row r="5234" spans="2:2" x14ac:dyDescent="0.25">
      <c r="B5234" t="str">
        <f>IF(C5234="","",C5234&amp;COUNTIF(C$9:C5234,C5234))</f>
        <v/>
      </c>
    </row>
    <row r="5235" spans="2:2" x14ac:dyDescent="0.25">
      <c r="B5235" t="str">
        <f>IF(C5235="","",C5235&amp;COUNTIF(C$9:C5235,C5235))</f>
        <v/>
      </c>
    </row>
    <row r="5236" spans="2:2" x14ac:dyDescent="0.25">
      <c r="B5236" t="str">
        <f>IF(C5236="","",C5236&amp;COUNTIF(C$9:C5236,C5236))</f>
        <v/>
      </c>
    </row>
    <row r="5237" spans="2:2" x14ac:dyDescent="0.25">
      <c r="B5237" t="str">
        <f>IF(C5237="","",C5237&amp;COUNTIF(C$9:C5237,C5237))</f>
        <v/>
      </c>
    </row>
    <row r="5238" spans="2:2" x14ac:dyDescent="0.25">
      <c r="B5238" t="str">
        <f>IF(C5238="","",C5238&amp;COUNTIF(C$9:C5238,C5238))</f>
        <v/>
      </c>
    </row>
    <row r="5239" spans="2:2" x14ac:dyDescent="0.25">
      <c r="B5239" t="str">
        <f>IF(C5239="","",C5239&amp;COUNTIF(C$9:C5239,C5239))</f>
        <v/>
      </c>
    </row>
    <row r="5240" spans="2:2" x14ac:dyDescent="0.25">
      <c r="B5240" t="str">
        <f>IF(C5240="","",C5240&amp;COUNTIF(C$9:C5240,C5240))</f>
        <v/>
      </c>
    </row>
    <row r="5241" spans="2:2" x14ac:dyDescent="0.25">
      <c r="B5241" t="str">
        <f>IF(C5241="","",C5241&amp;COUNTIF(C$9:C5241,C5241))</f>
        <v/>
      </c>
    </row>
    <row r="5242" spans="2:2" x14ac:dyDescent="0.25">
      <c r="B5242" t="str">
        <f>IF(C5242="","",C5242&amp;COUNTIF(C$9:C5242,C5242))</f>
        <v/>
      </c>
    </row>
    <row r="5243" spans="2:2" x14ac:dyDescent="0.25">
      <c r="B5243" t="str">
        <f>IF(C5243="","",C5243&amp;COUNTIF(C$9:C5243,C5243))</f>
        <v/>
      </c>
    </row>
    <row r="5244" spans="2:2" x14ac:dyDescent="0.25">
      <c r="B5244" t="str">
        <f>IF(C5244="","",C5244&amp;COUNTIF(C$9:C5244,C5244))</f>
        <v/>
      </c>
    </row>
    <row r="5245" spans="2:2" x14ac:dyDescent="0.25">
      <c r="B5245" t="str">
        <f>IF(C5245="","",C5245&amp;COUNTIF(C$9:C5245,C5245))</f>
        <v/>
      </c>
    </row>
    <row r="5246" spans="2:2" x14ac:dyDescent="0.25">
      <c r="B5246" t="str">
        <f>IF(C5246="","",C5246&amp;COUNTIF(C$9:C5246,C5246))</f>
        <v/>
      </c>
    </row>
    <row r="5247" spans="2:2" x14ac:dyDescent="0.25">
      <c r="B5247" t="str">
        <f>IF(C5247="","",C5247&amp;COUNTIF(C$9:C5247,C5247))</f>
        <v/>
      </c>
    </row>
    <row r="5248" spans="2:2" x14ac:dyDescent="0.25">
      <c r="B5248" t="str">
        <f>IF(C5248="","",C5248&amp;COUNTIF(C$9:C5248,C5248))</f>
        <v/>
      </c>
    </row>
    <row r="5249" spans="2:2" x14ac:dyDescent="0.25">
      <c r="B5249" t="str">
        <f>IF(C5249="","",C5249&amp;COUNTIF(C$9:C5249,C5249))</f>
        <v/>
      </c>
    </row>
    <row r="5250" spans="2:2" x14ac:dyDescent="0.25">
      <c r="B5250" t="str">
        <f>IF(C5250="","",C5250&amp;COUNTIF(C$9:C5250,C5250))</f>
        <v/>
      </c>
    </row>
    <row r="5251" spans="2:2" x14ac:dyDescent="0.25">
      <c r="B5251" t="str">
        <f>IF(C5251="","",C5251&amp;COUNTIF(C$9:C5251,C5251))</f>
        <v/>
      </c>
    </row>
    <row r="5252" spans="2:2" x14ac:dyDescent="0.25">
      <c r="B5252" t="str">
        <f>IF(C5252="","",C5252&amp;COUNTIF(C$9:C5252,C5252))</f>
        <v/>
      </c>
    </row>
    <row r="5253" spans="2:2" x14ac:dyDescent="0.25">
      <c r="B5253" t="str">
        <f>IF(C5253="","",C5253&amp;COUNTIF(C$9:C5253,C5253))</f>
        <v/>
      </c>
    </row>
    <row r="5254" spans="2:2" x14ac:dyDescent="0.25">
      <c r="B5254" t="str">
        <f>IF(C5254="","",C5254&amp;COUNTIF(C$9:C5254,C5254))</f>
        <v/>
      </c>
    </row>
    <row r="5255" spans="2:2" x14ac:dyDescent="0.25">
      <c r="B5255" t="str">
        <f>IF(C5255="","",C5255&amp;COUNTIF(C$9:C5255,C5255))</f>
        <v/>
      </c>
    </row>
    <row r="5256" spans="2:2" x14ac:dyDescent="0.25">
      <c r="B5256" t="str">
        <f>IF(C5256="","",C5256&amp;COUNTIF(C$9:C5256,C5256))</f>
        <v/>
      </c>
    </row>
    <row r="5257" spans="2:2" x14ac:dyDescent="0.25">
      <c r="B5257" t="str">
        <f>IF(C5257="","",C5257&amp;COUNTIF(C$9:C5257,C5257))</f>
        <v/>
      </c>
    </row>
    <row r="5258" spans="2:2" x14ac:dyDescent="0.25">
      <c r="B5258" t="str">
        <f>IF(C5258="","",C5258&amp;COUNTIF(C$9:C5258,C5258))</f>
        <v/>
      </c>
    </row>
    <row r="5259" spans="2:2" x14ac:dyDescent="0.25">
      <c r="B5259" t="str">
        <f>IF(C5259="","",C5259&amp;COUNTIF(C$9:C5259,C5259))</f>
        <v/>
      </c>
    </row>
    <row r="5260" spans="2:2" x14ac:dyDescent="0.25">
      <c r="B5260" t="str">
        <f>IF(C5260="","",C5260&amp;COUNTIF(C$9:C5260,C5260))</f>
        <v/>
      </c>
    </row>
    <row r="5261" spans="2:2" x14ac:dyDescent="0.25">
      <c r="B5261" t="str">
        <f>IF(C5261="","",C5261&amp;COUNTIF(C$9:C5261,C5261))</f>
        <v/>
      </c>
    </row>
    <row r="5262" spans="2:2" x14ac:dyDescent="0.25">
      <c r="B5262" t="str">
        <f>IF(C5262="","",C5262&amp;COUNTIF(C$9:C5262,C5262))</f>
        <v/>
      </c>
    </row>
    <row r="5263" spans="2:2" x14ac:dyDescent="0.25">
      <c r="B5263" t="str">
        <f>IF(C5263="","",C5263&amp;COUNTIF(C$9:C5263,C5263))</f>
        <v/>
      </c>
    </row>
    <row r="5264" spans="2:2" x14ac:dyDescent="0.25">
      <c r="B5264" t="str">
        <f>IF(C5264="","",C5264&amp;COUNTIF(C$9:C5264,C5264))</f>
        <v/>
      </c>
    </row>
    <row r="5265" spans="2:2" x14ac:dyDescent="0.25">
      <c r="B5265" t="str">
        <f>IF(C5265="","",C5265&amp;COUNTIF(C$9:C5265,C5265))</f>
        <v/>
      </c>
    </row>
    <row r="5266" spans="2:2" x14ac:dyDescent="0.25">
      <c r="B5266" t="str">
        <f>IF(C5266="","",C5266&amp;COUNTIF(C$9:C5266,C5266))</f>
        <v/>
      </c>
    </row>
    <row r="5267" spans="2:2" x14ac:dyDescent="0.25">
      <c r="B5267" t="str">
        <f>IF(C5267="","",C5267&amp;COUNTIF(C$9:C5267,C5267))</f>
        <v/>
      </c>
    </row>
    <row r="5268" spans="2:2" x14ac:dyDescent="0.25">
      <c r="B5268" t="str">
        <f>IF(C5268="","",C5268&amp;COUNTIF(C$9:C5268,C5268))</f>
        <v/>
      </c>
    </row>
    <row r="5269" spans="2:2" x14ac:dyDescent="0.25">
      <c r="B5269" t="str">
        <f>IF(C5269="","",C5269&amp;COUNTIF(C$9:C5269,C5269))</f>
        <v/>
      </c>
    </row>
    <row r="5270" spans="2:2" x14ac:dyDescent="0.25">
      <c r="B5270" t="str">
        <f>IF(C5270="","",C5270&amp;COUNTIF(C$9:C5270,C5270))</f>
        <v/>
      </c>
    </row>
    <row r="5271" spans="2:2" x14ac:dyDescent="0.25">
      <c r="B5271" t="str">
        <f>IF(C5271="","",C5271&amp;COUNTIF(C$9:C5271,C5271))</f>
        <v/>
      </c>
    </row>
    <row r="5272" spans="2:2" x14ac:dyDescent="0.25">
      <c r="B5272" t="str">
        <f>IF(C5272="","",C5272&amp;COUNTIF(C$9:C5272,C5272))</f>
        <v/>
      </c>
    </row>
    <row r="5273" spans="2:2" x14ac:dyDescent="0.25">
      <c r="B5273" t="str">
        <f>IF(C5273="","",C5273&amp;COUNTIF(C$9:C5273,C5273))</f>
        <v/>
      </c>
    </row>
    <row r="5274" spans="2:2" x14ac:dyDescent="0.25">
      <c r="B5274" t="str">
        <f>IF(C5274="","",C5274&amp;COUNTIF(C$9:C5274,C5274))</f>
        <v/>
      </c>
    </row>
    <row r="5275" spans="2:2" x14ac:dyDescent="0.25">
      <c r="B5275" t="str">
        <f>IF(C5275="","",C5275&amp;COUNTIF(C$9:C5275,C5275))</f>
        <v/>
      </c>
    </row>
    <row r="5276" spans="2:2" x14ac:dyDescent="0.25">
      <c r="B5276" t="str">
        <f>IF(C5276="","",C5276&amp;COUNTIF(C$9:C5276,C5276))</f>
        <v/>
      </c>
    </row>
    <row r="5277" spans="2:2" x14ac:dyDescent="0.25">
      <c r="B5277" t="str">
        <f>IF(C5277="","",C5277&amp;COUNTIF(C$9:C5277,C5277))</f>
        <v/>
      </c>
    </row>
    <row r="5278" spans="2:2" x14ac:dyDescent="0.25">
      <c r="B5278" t="str">
        <f>IF(C5278="","",C5278&amp;COUNTIF(C$9:C5278,C5278))</f>
        <v/>
      </c>
    </row>
    <row r="5279" spans="2:2" x14ac:dyDescent="0.25">
      <c r="B5279" t="str">
        <f>IF(C5279="","",C5279&amp;COUNTIF(C$9:C5279,C5279))</f>
        <v/>
      </c>
    </row>
    <row r="5280" spans="2:2" x14ac:dyDescent="0.25">
      <c r="B5280" t="str">
        <f>IF(C5280="","",C5280&amp;COUNTIF(C$9:C5280,C5280))</f>
        <v/>
      </c>
    </row>
    <row r="5281" spans="2:2" x14ac:dyDescent="0.25">
      <c r="B5281" t="str">
        <f>IF(C5281="","",C5281&amp;COUNTIF(C$9:C5281,C5281))</f>
        <v/>
      </c>
    </row>
    <row r="5282" spans="2:2" x14ac:dyDescent="0.25">
      <c r="B5282" t="str">
        <f>IF(C5282="","",C5282&amp;COUNTIF(C$9:C5282,C5282))</f>
        <v/>
      </c>
    </row>
    <row r="5283" spans="2:2" x14ac:dyDescent="0.25">
      <c r="B5283" t="str">
        <f>IF(C5283="","",C5283&amp;COUNTIF(C$9:C5283,C5283))</f>
        <v/>
      </c>
    </row>
    <row r="5284" spans="2:2" x14ac:dyDescent="0.25">
      <c r="B5284" t="str">
        <f>IF(C5284="","",C5284&amp;COUNTIF(C$9:C5284,C5284))</f>
        <v/>
      </c>
    </row>
    <row r="5285" spans="2:2" x14ac:dyDescent="0.25">
      <c r="B5285" t="str">
        <f>IF(C5285="","",C5285&amp;COUNTIF(C$9:C5285,C5285))</f>
        <v/>
      </c>
    </row>
    <row r="5286" spans="2:2" x14ac:dyDescent="0.25">
      <c r="B5286" t="str">
        <f>IF(C5286="","",C5286&amp;COUNTIF(C$9:C5286,C5286))</f>
        <v/>
      </c>
    </row>
    <row r="5287" spans="2:2" x14ac:dyDescent="0.25">
      <c r="B5287" t="str">
        <f>IF(C5287="","",C5287&amp;COUNTIF(C$9:C5287,C5287))</f>
        <v/>
      </c>
    </row>
    <row r="5288" spans="2:2" x14ac:dyDescent="0.25">
      <c r="B5288" t="str">
        <f>IF(C5288="","",C5288&amp;COUNTIF(C$9:C5288,C5288))</f>
        <v/>
      </c>
    </row>
    <row r="5289" spans="2:2" x14ac:dyDescent="0.25">
      <c r="B5289" t="str">
        <f>IF(C5289="","",C5289&amp;COUNTIF(C$9:C5289,C5289))</f>
        <v/>
      </c>
    </row>
    <row r="5290" spans="2:2" x14ac:dyDescent="0.25">
      <c r="B5290" t="str">
        <f>IF(C5290="","",C5290&amp;COUNTIF(C$9:C5290,C5290))</f>
        <v/>
      </c>
    </row>
    <row r="5291" spans="2:2" x14ac:dyDescent="0.25">
      <c r="B5291" t="str">
        <f>IF(C5291="","",C5291&amp;COUNTIF(C$9:C5291,C5291))</f>
        <v/>
      </c>
    </row>
    <row r="5292" spans="2:2" x14ac:dyDescent="0.25">
      <c r="B5292" t="str">
        <f>IF(C5292="","",C5292&amp;COUNTIF(C$9:C5292,C5292))</f>
        <v/>
      </c>
    </row>
    <row r="5293" spans="2:2" x14ac:dyDescent="0.25">
      <c r="B5293" t="str">
        <f>IF(C5293="","",C5293&amp;COUNTIF(C$9:C5293,C5293))</f>
        <v/>
      </c>
    </row>
    <row r="5294" spans="2:2" x14ac:dyDescent="0.25">
      <c r="B5294" t="str">
        <f>IF(C5294="","",C5294&amp;COUNTIF(C$9:C5294,C5294))</f>
        <v/>
      </c>
    </row>
    <row r="5295" spans="2:2" x14ac:dyDescent="0.25">
      <c r="B5295" t="str">
        <f>IF(C5295="","",C5295&amp;COUNTIF(C$9:C5295,C5295))</f>
        <v/>
      </c>
    </row>
    <row r="5296" spans="2:2" x14ac:dyDescent="0.25">
      <c r="B5296" t="str">
        <f>IF(C5296="","",C5296&amp;COUNTIF(C$9:C5296,C5296))</f>
        <v/>
      </c>
    </row>
    <row r="5297" spans="2:2" x14ac:dyDescent="0.25">
      <c r="B5297" t="str">
        <f>IF(C5297="","",C5297&amp;COUNTIF(C$9:C5297,C5297))</f>
        <v/>
      </c>
    </row>
    <row r="5298" spans="2:2" x14ac:dyDescent="0.25">
      <c r="B5298" t="str">
        <f>IF(C5298="","",C5298&amp;COUNTIF(C$9:C5298,C5298))</f>
        <v/>
      </c>
    </row>
    <row r="5299" spans="2:2" x14ac:dyDescent="0.25">
      <c r="B5299" t="str">
        <f>IF(C5299="","",C5299&amp;COUNTIF(C$9:C5299,C5299))</f>
        <v/>
      </c>
    </row>
    <row r="5300" spans="2:2" x14ac:dyDescent="0.25">
      <c r="B5300" t="str">
        <f>IF(C5300="","",C5300&amp;COUNTIF(C$9:C5300,C5300))</f>
        <v/>
      </c>
    </row>
    <row r="5301" spans="2:2" x14ac:dyDescent="0.25">
      <c r="B5301" t="str">
        <f>IF(C5301="","",C5301&amp;COUNTIF(C$9:C5301,C5301))</f>
        <v/>
      </c>
    </row>
    <row r="5302" spans="2:2" x14ac:dyDescent="0.25">
      <c r="B5302" t="str">
        <f>IF(C5302="","",C5302&amp;COUNTIF(C$9:C5302,C5302))</f>
        <v/>
      </c>
    </row>
    <row r="5303" spans="2:2" x14ac:dyDescent="0.25">
      <c r="B5303" t="str">
        <f>IF(C5303="","",C5303&amp;COUNTIF(C$9:C5303,C5303))</f>
        <v/>
      </c>
    </row>
    <row r="5304" spans="2:2" x14ac:dyDescent="0.25">
      <c r="B5304" t="str">
        <f>IF(C5304="","",C5304&amp;COUNTIF(C$9:C5304,C5304))</f>
        <v/>
      </c>
    </row>
    <row r="5305" spans="2:2" x14ac:dyDescent="0.25">
      <c r="B5305" t="str">
        <f>IF(C5305="","",C5305&amp;COUNTIF(C$9:C5305,C5305))</f>
        <v/>
      </c>
    </row>
    <row r="5306" spans="2:2" x14ac:dyDescent="0.25">
      <c r="B5306" t="str">
        <f>IF(C5306="","",C5306&amp;COUNTIF(C$9:C5306,C5306))</f>
        <v/>
      </c>
    </row>
    <row r="5307" spans="2:2" x14ac:dyDescent="0.25">
      <c r="B5307" t="str">
        <f>IF(C5307="","",C5307&amp;COUNTIF(C$9:C5307,C5307))</f>
        <v/>
      </c>
    </row>
    <row r="5308" spans="2:2" x14ac:dyDescent="0.25">
      <c r="B5308" t="str">
        <f>IF(C5308="","",C5308&amp;COUNTIF(C$9:C5308,C5308))</f>
        <v/>
      </c>
    </row>
    <row r="5309" spans="2:2" x14ac:dyDescent="0.25">
      <c r="B5309" t="str">
        <f>IF(C5309="","",C5309&amp;COUNTIF(C$9:C5309,C5309))</f>
        <v/>
      </c>
    </row>
    <row r="5310" spans="2:2" x14ac:dyDescent="0.25">
      <c r="B5310" t="str">
        <f>IF(C5310="","",C5310&amp;COUNTIF(C$9:C5310,C5310))</f>
        <v/>
      </c>
    </row>
    <row r="5311" spans="2:2" x14ac:dyDescent="0.25">
      <c r="B5311" t="str">
        <f>IF(C5311="","",C5311&amp;COUNTIF(C$9:C5311,C5311))</f>
        <v/>
      </c>
    </row>
    <row r="5312" spans="2:2" x14ac:dyDescent="0.25">
      <c r="B5312" t="str">
        <f>IF(C5312="","",C5312&amp;COUNTIF(C$9:C5312,C5312))</f>
        <v/>
      </c>
    </row>
    <row r="5313" spans="2:2" x14ac:dyDescent="0.25">
      <c r="B5313" t="str">
        <f>IF(C5313="","",C5313&amp;COUNTIF(C$9:C5313,C5313))</f>
        <v/>
      </c>
    </row>
    <row r="5314" spans="2:2" x14ac:dyDescent="0.25">
      <c r="B5314" t="str">
        <f>IF(C5314="","",C5314&amp;COUNTIF(C$9:C5314,C5314))</f>
        <v/>
      </c>
    </row>
    <row r="5315" spans="2:2" x14ac:dyDescent="0.25">
      <c r="B5315" t="str">
        <f>IF(C5315="","",C5315&amp;COUNTIF(C$9:C5315,C5315))</f>
        <v/>
      </c>
    </row>
    <row r="5316" spans="2:2" x14ac:dyDescent="0.25">
      <c r="B5316" t="str">
        <f>IF(C5316="","",C5316&amp;COUNTIF(C$9:C5316,C5316))</f>
        <v/>
      </c>
    </row>
    <row r="5317" spans="2:2" x14ac:dyDescent="0.25">
      <c r="B5317" t="str">
        <f>IF(C5317="","",C5317&amp;COUNTIF(C$9:C5317,C5317))</f>
        <v/>
      </c>
    </row>
    <row r="5318" spans="2:2" x14ac:dyDescent="0.25">
      <c r="B5318" t="str">
        <f>IF(C5318="","",C5318&amp;COUNTIF(C$9:C5318,C5318))</f>
        <v/>
      </c>
    </row>
    <row r="5319" spans="2:2" x14ac:dyDescent="0.25">
      <c r="B5319" t="str">
        <f>IF(C5319="","",C5319&amp;COUNTIF(C$9:C5319,C5319))</f>
        <v/>
      </c>
    </row>
    <row r="5320" spans="2:2" x14ac:dyDescent="0.25">
      <c r="B5320" t="str">
        <f>IF(C5320="","",C5320&amp;COUNTIF(C$9:C5320,C5320))</f>
        <v/>
      </c>
    </row>
    <row r="5321" spans="2:2" x14ac:dyDescent="0.25">
      <c r="B5321" t="str">
        <f>IF(C5321="","",C5321&amp;COUNTIF(C$9:C5321,C5321))</f>
        <v/>
      </c>
    </row>
    <row r="5322" spans="2:2" x14ac:dyDescent="0.25">
      <c r="B5322" t="str">
        <f>IF(C5322="","",C5322&amp;COUNTIF(C$9:C5322,C5322))</f>
        <v/>
      </c>
    </row>
    <row r="5323" spans="2:2" x14ac:dyDescent="0.25">
      <c r="B5323" t="str">
        <f>IF(C5323="","",C5323&amp;COUNTIF(C$9:C5323,C5323))</f>
        <v/>
      </c>
    </row>
    <row r="5324" spans="2:2" x14ac:dyDescent="0.25">
      <c r="B5324" t="str">
        <f>IF(C5324="","",C5324&amp;COUNTIF(C$9:C5324,C5324))</f>
        <v/>
      </c>
    </row>
    <row r="5325" spans="2:2" x14ac:dyDescent="0.25">
      <c r="B5325" t="str">
        <f>IF(C5325="","",C5325&amp;COUNTIF(C$9:C5325,C5325))</f>
        <v/>
      </c>
    </row>
    <row r="5326" spans="2:2" x14ac:dyDescent="0.25">
      <c r="B5326" t="str">
        <f>IF(C5326="","",C5326&amp;COUNTIF(C$9:C5326,C5326))</f>
        <v/>
      </c>
    </row>
    <row r="5327" spans="2:2" x14ac:dyDescent="0.25">
      <c r="B5327" t="str">
        <f>IF(C5327="","",C5327&amp;COUNTIF(C$9:C5327,C5327))</f>
        <v/>
      </c>
    </row>
    <row r="5328" spans="2:2" x14ac:dyDescent="0.25">
      <c r="B5328" t="str">
        <f>IF(C5328="","",C5328&amp;COUNTIF(C$9:C5328,C5328))</f>
        <v/>
      </c>
    </row>
    <row r="5329" spans="2:2" x14ac:dyDescent="0.25">
      <c r="B5329" t="str">
        <f>IF(C5329="","",C5329&amp;COUNTIF(C$9:C5329,C5329))</f>
        <v/>
      </c>
    </row>
    <row r="5330" spans="2:2" x14ac:dyDescent="0.25">
      <c r="B5330" t="str">
        <f>IF(C5330="","",C5330&amp;COUNTIF(C$9:C5330,C5330))</f>
        <v/>
      </c>
    </row>
    <row r="5331" spans="2:2" x14ac:dyDescent="0.25">
      <c r="B5331" t="str">
        <f>IF(C5331="","",C5331&amp;COUNTIF(C$9:C5331,C5331))</f>
        <v/>
      </c>
    </row>
    <row r="5332" spans="2:2" x14ac:dyDescent="0.25">
      <c r="B5332" t="str">
        <f>IF(C5332="","",C5332&amp;COUNTIF(C$9:C5332,C5332))</f>
        <v/>
      </c>
    </row>
    <row r="5333" spans="2:2" x14ac:dyDescent="0.25">
      <c r="B5333" t="str">
        <f>IF(C5333="","",C5333&amp;COUNTIF(C$9:C5333,C5333))</f>
        <v/>
      </c>
    </row>
    <row r="5334" spans="2:2" x14ac:dyDescent="0.25">
      <c r="B5334" t="str">
        <f>IF(C5334="","",C5334&amp;COUNTIF(C$9:C5334,C5334))</f>
        <v/>
      </c>
    </row>
    <row r="5335" spans="2:2" x14ac:dyDescent="0.25">
      <c r="B5335" t="str">
        <f>IF(C5335="","",C5335&amp;COUNTIF(C$9:C5335,C5335))</f>
        <v/>
      </c>
    </row>
    <row r="5336" spans="2:2" x14ac:dyDescent="0.25">
      <c r="B5336" t="str">
        <f>IF(C5336="","",C5336&amp;COUNTIF(C$9:C5336,C5336))</f>
        <v/>
      </c>
    </row>
    <row r="5337" spans="2:2" x14ac:dyDescent="0.25">
      <c r="B5337" t="str">
        <f>IF(C5337="","",C5337&amp;COUNTIF(C$9:C5337,C5337))</f>
        <v/>
      </c>
    </row>
    <row r="5338" spans="2:2" x14ac:dyDescent="0.25">
      <c r="B5338" t="str">
        <f>IF(C5338="","",C5338&amp;COUNTIF(C$9:C5338,C5338))</f>
        <v/>
      </c>
    </row>
    <row r="5339" spans="2:2" x14ac:dyDescent="0.25">
      <c r="B5339" t="str">
        <f>IF(C5339="","",C5339&amp;COUNTIF(C$9:C5339,C5339))</f>
        <v/>
      </c>
    </row>
    <row r="5340" spans="2:2" x14ac:dyDescent="0.25">
      <c r="B5340" t="str">
        <f>IF(C5340="","",C5340&amp;COUNTIF(C$9:C5340,C5340))</f>
        <v/>
      </c>
    </row>
    <row r="5341" spans="2:2" x14ac:dyDescent="0.25">
      <c r="B5341" t="str">
        <f>IF(C5341="","",C5341&amp;COUNTIF(C$9:C5341,C5341))</f>
        <v/>
      </c>
    </row>
    <row r="5342" spans="2:2" x14ac:dyDescent="0.25">
      <c r="B5342" t="str">
        <f>IF(C5342="","",C5342&amp;COUNTIF(C$9:C5342,C5342))</f>
        <v/>
      </c>
    </row>
    <row r="5343" spans="2:2" x14ac:dyDescent="0.25">
      <c r="B5343" t="str">
        <f>IF(C5343="","",C5343&amp;COUNTIF(C$9:C5343,C5343))</f>
        <v/>
      </c>
    </row>
    <row r="5344" spans="2:2" x14ac:dyDescent="0.25">
      <c r="B5344" t="str">
        <f>IF(C5344="","",C5344&amp;COUNTIF(C$9:C5344,C5344))</f>
        <v/>
      </c>
    </row>
    <row r="5345" spans="2:2" x14ac:dyDescent="0.25">
      <c r="B5345" t="str">
        <f>IF(C5345="","",C5345&amp;COUNTIF(C$9:C5345,C5345))</f>
        <v/>
      </c>
    </row>
    <row r="5346" spans="2:2" x14ac:dyDescent="0.25">
      <c r="B5346" t="str">
        <f>IF(C5346="","",C5346&amp;COUNTIF(C$9:C5346,C5346))</f>
        <v/>
      </c>
    </row>
    <row r="5347" spans="2:2" x14ac:dyDescent="0.25">
      <c r="B5347" t="str">
        <f>IF(C5347="","",C5347&amp;COUNTIF(C$9:C5347,C5347))</f>
        <v/>
      </c>
    </row>
    <row r="5348" spans="2:2" x14ac:dyDescent="0.25">
      <c r="B5348" t="str">
        <f>IF(C5348="","",C5348&amp;COUNTIF(C$9:C5348,C5348))</f>
        <v/>
      </c>
    </row>
    <row r="5349" spans="2:2" x14ac:dyDescent="0.25">
      <c r="B5349" t="str">
        <f>IF(C5349="","",C5349&amp;COUNTIF(C$9:C5349,C5349))</f>
        <v/>
      </c>
    </row>
    <row r="5350" spans="2:2" x14ac:dyDescent="0.25">
      <c r="B5350" t="str">
        <f>IF(C5350="","",C5350&amp;COUNTIF(C$9:C5350,C5350))</f>
        <v/>
      </c>
    </row>
    <row r="5351" spans="2:2" x14ac:dyDescent="0.25">
      <c r="B5351" t="str">
        <f>IF(C5351="","",C5351&amp;COUNTIF(C$9:C5351,C5351))</f>
        <v/>
      </c>
    </row>
    <row r="5352" spans="2:2" x14ac:dyDescent="0.25">
      <c r="B5352" t="str">
        <f>IF(C5352="","",C5352&amp;COUNTIF(C$9:C5352,C5352))</f>
        <v/>
      </c>
    </row>
    <row r="5353" spans="2:2" x14ac:dyDescent="0.25">
      <c r="B5353" t="str">
        <f>IF(C5353="","",C5353&amp;COUNTIF(C$9:C5353,C5353))</f>
        <v/>
      </c>
    </row>
    <row r="5354" spans="2:2" x14ac:dyDescent="0.25">
      <c r="B5354" t="str">
        <f>IF(C5354="","",C5354&amp;COUNTIF(C$9:C5354,C5354))</f>
        <v/>
      </c>
    </row>
    <row r="5355" spans="2:2" x14ac:dyDescent="0.25">
      <c r="B5355" t="str">
        <f>IF(C5355="","",C5355&amp;COUNTIF(C$9:C5355,C5355))</f>
        <v/>
      </c>
    </row>
    <row r="5356" spans="2:2" x14ac:dyDescent="0.25">
      <c r="B5356" t="str">
        <f>IF(C5356="","",C5356&amp;COUNTIF(C$9:C5356,C5356))</f>
        <v/>
      </c>
    </row>
    <row r="5357" spans="2:2" x14ac:dyDescent="0.25">
      <c r="B5357" t="str">
        <f>IF(C5357="","",C5357&amp;COUNTIF(C$9:C5357,C5357))</f>
        <v/>
      </c>
    </row>
    <row r="5358" spans="2:2" x14ac:dyDescent="0.25">
      <c r="B5358" t="str">
        <f>IF(C5358="","",C5358&amp;COUNTIF(C$9:C5358,C5358))</f>
        <v/>
      </c>
    </row>
    <row r="5359" spans="2:2" x14ac:dyDescent="0.25">
      <c r="B5359" t="str">
        <f>IF(C5359="","",C5359&amp;COUNTIF(C$9:C5359,C5359))</f>
        <v/>
      </c>
    </row>
    <row r="5360" spans="2:2" x14ac:dyDescent="0.25">
      <c r="B5360" t="str">
        <f>IF(C5360="","",C5360&amp;COUNTIF(C$9:C5360,C5360))</f>
        <v/>
      </c>
    </row>
    <row r="5361" spans="2:2" x14ac:dyDescent="0.25">
      <c r="B5361" t="str">
        <f>IF(C5361="","",C5361&amp;COUNTIF(C$9:C5361,C5361))</f>
        <v/>
      </c>
    </row>
    <row r="5362" spans="2:2" x14ac:dyDescent="0.25">
      <c r="B5362" t="str">
        <f>IF(C5362="","",C5362&amp;COUNTIF(C$9:C5362,C5362))</f>
        <v/>
      </c>
    </row>
    <row r="5363" spans="2:2" x14ac:dyDescent="0.25">
      <c r="B5363" t="str">
        <f>IF(C5363="","",C5363&amp;COUNTIF(C$9:C5363,C5363))</f>
        <v/>
      </c>
    </row>
    <row r="5364" spans="2:2" x14ac:dyDescent="0.25">
      <c r="B5364" t="str">
        <f>IF(C5364="","",C5364&amp;COUNTIF(C$9:C5364,C5364))</f>
        <v/>
      </c>
    </row>
    <row r="5365" spans="2:2" x14ac:dyDescent="0.25">
      <c r="B5365" t="str">
        <f>IF(C5365="","",C5365&amp;COUNTIF(C$9:C5365,C5365))</f>
        <v/>
      </c>
    </row>
    <row r="5366" spans="2:2" x14ac:dyDescent="0.25">
      <c r="B5366" t="str">
        <f>IF(C5366="","",C5366&amp;COUNTIF(C$9:C5366,C5366))</f>
        <v/>
      </c>
    </row>
    <row r="5367" spans="2:2" x14ac:dyDescent="0.25">
      <c r="B5367" t="str">
        <f>IF(C5367="","",C5367&amp;COUNTIF(C$9:C5367,C5367))</f>
        <v/>
      </c>
    </row>
    <row r="5368" spans="2:2" x14ac:dyDescent="0.25">
      <c r="B5368" t="str">
        <f>IF(C5368="","",C5368&amp;COUNTIF(C$9:C5368,C5368))</f>
        <v/>
      </c>
    </row>
    <row r="5369" spans="2:2" x14ac:dyDescent="0.25">
      <c r="B5369" t="str">
        <f>IF(C5369="","",C5369&amp;COUNTIF(C$9:C5369,C5369))</f>
        <v/>
      </c>
    </row>
    <row r="5370" spans="2:2" x14ac:dyDescent="0.25">
      <c r="B5370" t="str">
        <f>IF(C5370="","",C5370&amp;COUNTIF(C$9:C5370,C5370))</f>
        <v/>
      </c>
    </row>
    <row r="5371" spans="2:2" x14ac:dyDescent="0.25">
      <c r="B5371" t="str">
        <f>IF(C5371="","",C5371&amp;COUNTIF(C$9:C5371,C5371))</f>
        <v/>
      </c>
    </row>
    <row r="5372" spans="2:2" x14ac:dyDescent="0.25">
      <c r="B5372" t="str">
        <f>IF(C5372="","",C5372&amp;COUNTIF(C$9:C5372,C5372))</f>
        <v/>
      </c>
    </row>
    <row r="5373" spans="2:2" x14ac:dyDescent="0.25">
      <c r="B5373" t="str">
        <f>IF(C5373="","",C5373&amp;COUNTIF(C$9:C5373,C5373))</f>
        <v/>
      </c>
    </row>
    <row r="5374" spans="2:2" x14ac:dyDescent="0.25">
      <c r="B5374" t="str">
        <f>IF(C5374="","",C5374&amp;COUNTIF(C$9:C5374,C5374))</f>
        <v/>
      </c>
    </row>
    <row r="5375" spans="2:2" x14ac:dyDescent="0.25">
      <c r="B5375" t="str">
        <f>IF(C5375="","",C5375&amp;COUNTIF(C$9:C5375,C5375))</f>
        <v/>
      </c>
    </row>
    <row r="5376" spans="2:2" x14ac:dyDescent="0.25">
      <c r="B5376" t="str">
        <f>IF(C5376="","",C5376&amp;COUNTIF(C$9:C5376,C5376))</f>
        <v/>
      </c>
    </row>
    <row r="5377" spans="2:2" x14ac:dyDescent="0.25">
      <c r="B5377" t="str">
        <f>IF(C5377="","",C5377&amp;COUNTIF(C$9:C5377,C5377))</f>
        <v/>
      </c>
    </row>
    <row r="5378" spans="2:2" x14ac:dyDescent="0.25">
      <c r="B5378" t="str">
        <f>IF(C5378="","",C5378&amp;COUNTIF(C$9:C5378,C5378))</f>
        <v/>
      </c>
    </row>
    <row r="5379" spans="2:2" x14ac:dyDescent="0.25">
      <c r="B5379" t="str">
        <f>IF(C5379="","",C5379&amp;COUNTIF(C$9:C5379,C5379))</f>
        <v/>
      </c>
    </row>
    <row r="5380" spans="2:2" x14ac:dyDescent="0.25">
      <c r="B5380" t="str">
        <f>IF(C5380="","",C5380&amp;COUNTIF(C$9:C5380,C5380))</f>
        <v/>
      </c>
    </row>
    <row r="5381" spans="2:2" x14ac:dyDescent="0.25">
      <c r="B5381" t="str">
        <f>IF(C5381="","",C5381&amp;COUNTIF(C$9:C5381,C5381))</f>
        <v/>
      </c>
    </row>
    <row r="5382" spans="2:2" x14ac:dyDescent="0.25">
      <c r="B5382" t="str">
        <f>IF(C5382="","",C5382&amp;COUNTIF(C$9:C5382,C5382))</f>
        <v/>
      </c>
    </row>
    <row r="5383" spans="2:2" x14ac:dyDescent="0.25">
      <c r="B5383" t="str">
        <f>IF(C5383="","",C5383&amp;COUNTIF(C$9:C5383,C5383))</f>
        <v/>
      </c>
    </row>
    <row r="5384" spans="2:2" x14ac:dyDescent="0.25">
      <c r="B5384" t="str">
        <f>IF(C5384="","",C5384&amp;COUNTIF(C$9:C5384,C5384))</f>
        <v/>
      </c>
    </row>
    <row r="5385" spans="2:2" x14ac:dyDescent="0.25">
      <c r="B5385" t="str">
        <f>IF(C5385="","",C5385&amp;COUNTIF(C$9:C5385,C5385))</f>
        <v/>
      </c>
    </row>
    <row r="5386" spans="2:2" x14ac:dyDescent="0.25">
      <c r="B5386" t="str">
        <f>IF(C5386="","",C5386&amp;COUNTIF(C$9:C5386,C5386))</f>
        <v/>
      </c>
    </row>
    <row r="5387" spans="2:2" x14ac:dyDescent="0.25">
      <c r="B5387" t="str">
        <f>IF(C5387="","",C5387&amp;COUNTIF(C$9:C5387,C5387))</f>
        <v/>
      </c>
    </row>
    <row r="5388" spans="2:2" x14ac:dyDescent="0.25">
      <c r="B5388" t="str">
        <f>IF(C5388="","",C5388&amp;COUNTIF(C$9:C5388,C5388))</f>
        <v/>
      </c>
    </row>
    <row r="5389" spans="2:2" x14ac:dyDescent="0.25">
      <c r="B5389" t="str">
        <f>IF(C5389="","",C5389&amp;COUNTIF(C$9:C5389,C5389))</f>
        <v/>
      </c>
    </row>
    <row r="5390" spans="2:2" x14ac:dyDescent="0.25">
      <c r="B5390" t="str">
        <f>IF(C5390="","",C5390&amp;COUNTIF(C$9:C5390,C5390))</f>
        <v/>
      </c>
    </row>
    <row r="5391" spans="2:2" x14ac:dyDescent="0.25">
      <c r="B5391" t="str">
        <f>IF(C5391="","",C5391&amp;COUNTIF(C$9:C5391,C5391))</f>
        <v/>
      </c>
    </row>
    <row r="5392" spans="2:2" x14ac:dyDescent="0.25">
      <c r="B5392" t="str">
        <f>IF(C5392="","",C5392&amp;COUNTIF(C$9:C5392,C5392))</f>
        <v/>
      </c>
    </row>
    <row r="5393" spans="2:2" x14ac:dyDescent="0.25">
      <c r="B5393" t="str">
        <f>IF(C5393="","",C5393&amp;COUNTIF(C$9:C5393,C5393))</f>
        <v/>
      </c>
    </row>
    <row r="5394" spans="2:2" x14ac:dyDescent="0.25">
      <c r="B5394" t="str">
        <f>IF(C5394="","",C5394&amp;COUNTIF(C$9:C5394,C5394))</f>
        <v/>
      </c>
    </row>
    <row r="5395" spans="2:2" x14ac:dyDescent="0.25">
      <c r="B5395" t="str">
        <f>IF(C5395="","",C5395&amp;COUNTIF(C$9:C5395,C5395))</f>
        <v/>
      </c>
    </row>
    <row r="5396" spans="2:2" x14ac:dyDescent="0.25">
      <c r="B5396" t="str">
        <f>IF(C5396="","",C5396&amp;COUNTIF(C$9:C5396,C5396))</f>
        <v/>
      </c>
    </row>
    <row r="5397" spans="2:2" x14ac:dyDescent="0.25">
      <c r="B5397" t="str">
        <f>IF(C5397="","",C5397&amp;COUNTIF(C$9:C5397,C5397))</f>
        <v/>
      </c>
    </row>
    <row r="5398" spans="2:2" x14ac:dyDescent="0.25">
      <c r="B5398" t="str">
        <f>IF(C5398="","",C5398&amp;COUNTIF(C$9:C5398,C5398))</f>
        <v/>
      </c>
    </row>
    <row r="5399" spans="2:2" x14ac:dyDescent="0.25">
      <c r="B5399" t="str">
        <f>IF(C5399="","",C5399&amp;COUNTIF(C$9:C5399,C5399))</f>
        <v/>
      </c>
    </row>
    <row r="5400" spans="2:2" x14ac:dyDescent="0.25">
      <c r="B5400" t="str">
        <f>IF(C5400="","",C5400&amp;COUNTIF(C$9:C5400,C5400))</f>
        <v/>
      </c>
    </row>
    <row r="5401" spans="2:2" x14ac:dyDescent="0.25">
      <c r="B5401" t="str">
        <f>IF(C5401="","",C5401&amp;COUNTIF(C$9:C5401,C5401))</f>
        <v/>
      </c>
    </row>
    <row r="5402" spans="2:2" x14ac:dyDescent="0.25">
      <c r="B5402" t="str">
        <f>IF(C5402="","",C5402&amp;COUNTIF(C$9:C5402,C5402))</f>
        <v/>
      </c>
    </row>
    <row r="5403" spans="2:2" x14ac:dyDescent="0.25">
      <c r="B5403" t="str">
        <f>IF(C5403="","",C5403&amp;COUNTIF(C$9:C5403,C5403))</f>
        <v/>
      </c>
    </row>
    <row r="5404" spans="2:2" x14ac:dyDescent="0.25">
      <c r="B5404" t="str">
        <f>IF(C5404="","",C5404&amp;COUNTIF(C$9:C5404,C5404))</f>
        <v/>
      </c>
    </row>
    <row r="5405" spans="2:2" x14ac:dyDescent="0.25">
      <c r="B5405" t="str">
        <f>IF(C5405="","",C5405&amp;COUNTIF(C$9:C5405,C5405))</f>
        <v/>
      </c>
    </row>
    <row r="5406" spans="2:2" x14ac:dyDescent="0.25">
      <c r="B5406" t="str">
        <f>IF(C5406="","",C5406&amp;COUNTIF(C$9:C5406,C5406))</f>
        <v/>
      </c>
    </row>
    <row r="5407" spans="2:2" x14ac:dyDescent="0.25">
      <c r="B5407" t="str">
        <f>IF(C5407="","",C5407&amp;COUNTIF(C$9:C5407,C5407))</f>
        <v/>
      </c>
    </row>
    <row r="5408" spans="2:2" x14ac:dyDescent="0.25">
      <c r="B5408" t="str">
        <f>IF(C5408="","",C5408&amp;COUNTIF(C$9:C5408,C5408))</f>
        <v/>
      </c>
    </row>
    <row r="5409" spans="2:2" x14ac:dyDescent="0.25">
      <c r="B5409" t="str">
        <f>IF(C5409="","",C5409&amp;COUNTIF(C$9:C5409,C5409))</f>
        <v/>
      </c>
    </row>
    <row r="5410" spans="2:2" x14ac:dyDescent="0.25">
      <c r="B5410" t="str">
        <f>IF(C5410="","",C5410&amp;COUNTIF(C$9:C5410,C5410))</f>
        <v/>
      </c>
    </row>
    <row r="5411" spans="2:2" x14ac:dyDescent="0.25">
      <c r="B5411" t="str">
        <f>IF(C5411="","",C5411&amp;COUNTIF(C$9:C5411,C5411))</f>
        <v/>
      </c>
    </row>
    <row r="5412" spans="2:2" x14ac:dyDescent="0.25">
      <c r="B5412" t="str">
        <f>IF(C5412="","",C5412&amp;COUNTIF(C$9:C5412,C5412))</f>
        <v/>
      </c>
    </row>
    <row r="5413" spans="2:2" x14ac:dyDescent="0.25">
      <c r="B5413" t="str">
        <f>IF(C5413="","",C5413&amp;COUNTIF(C$9:C5413,C5413))</f>
        <v/>
      </c>
    </row>
    <row r="5414" spans="2:2" x14ac:dyDescent="0.25">
      <c r="B5414" t="str">
        <f>IF(C5414="","",C5414&amp;COUNTIF(C$9:C5414,C5414))</f>
        <v/>
      </c>
    </row>
    <row r="5415" spans="2:2" x14ac:dyDescent="0.25">
      <c r="B5415" t="str">
        <f>IF(C5415="","",C5415&amp;COUNTIF(C$9:C5415,C5415))</f>
        <v/>
      </c>
    </row>
    <row r="5416" spans="2:2" x14ac:dyDescent="0.25">
      <c r="B5416" t="str">
        <f>IF(C5416="","",C5416&amp;COUNTIF(C$9:C5416,C5416))</f>
        <v/>
      </c>
    </row>
    <row r="5417" spans="2:2" x14ac:dyDescent="0.25">
      <c r="B5417" t="str">
        <f>IF(C5417="","",C5417&amp;COUNTIF(C$9:C5417,C5417))</f>
        <v/>
      </c>
    </row>
    <row r="5418" spans="2:2" x14ac:dyDescent="0.25">
      <c r="B5418" t="str">
        <f>IF(C5418="","",C5418&amp;COUNTIF(C$9:C5418,C5418))</f>
        <v/>
      </c>
    </row>
    <row r="5419" spans="2:2" x14ac:dyDescent="0.25">
      <c r="B5419" t="str">
        <f>IF(C5419="","",C5419&amp;COUNTIF(C$9:C5419,C5419))</f>
        <v/>
      </c>
    </row>
    <row r="5420" spans="2:2" x14ac:dyDescent="0.25">
      <c r="B5420" t="str">
        <f>IF(C5420="","",C5420&amp;COUNTIF(C$9:C5420,C5420))</f>
        <v/>
      </c>
    </row>
    <row r="5421" spans="2:2" x14ac:dyDescent="0.25">
      <c r="B5421" t="str">
        <f>IF(C5421="","",C5421&amp;COUNTIF(C$9:C5421,C5421))</f>
        <v/>
      </c>
    </row>
    <row r="5422" spans="2:2" x14ac:dyDescent="0.25">
      <c r="B5422" t="str">
        <f>IF(C5422="","",C5422&amp;COUNTIF(C$9:C5422,C5422))</f>
        <v/>
      </c>
    </row>
    <row r="5423" spans="2:2" x14ac:dyDescent="0.25">
      <c r="B5423" t="str">
        <f>IF(C5423="","",C5423&amp;COUNTIF(C$9:C5423,C5423))</f>
        <v/>
      </c>
    </row>
    <row r="5424" spans="2:2" x14ac:dyDescent="0.25">
      <c r="B5424" t="str">
        <f>IF(C5424="","",C5424&amp;COUNTIF(C$9:C5424,C5424))</f>
        <v/>
      </c>
    </row>
    <row r="5425" spans="2:2" x14ac:dyDescent="0.25">
      <c r="B5425" t="str">
        <f>IF(C5425="","",C5425&amp;COUNTIF(C$9:C5425,C5425))</f>
        <v/>
      </c>
    </row>
    <row r="5426" spans="2:2" x14ac:dyDescent="0.25">
      <c r="B5426" t="str">
        <f>IF(C5426="","",C5426&amp;COUNTIF(C$9:C5426,C5426))</f>
        <v/>
      </c>
    </row>
    <row r="5427" spans="2:2" x14ac:dyDescent="0.25">
      <c r="B5427" t="str">
        <f>IF(C5427="","",C5427&amp;COUNTIF(C$9:C5427,C5427))</f>
        <v/>
      </c>
    </row>
    <row r="5428" spans="2:2" x14ac:dyDescent="0.25">
      <c r="B5428" t="str">
        <f>IF(C5428="","",C5428&amp;COUNTIF(C$9:C5428,C5428))</f>
        <v/>
      </c>
    </row>
    <row r="5429" spans="2:2" x14ac:dyDescent="0.25">
      <c r="B5429" t="str">
        <f>IF(C5429="","",C5429&amp;COUNTIF(C$9:C5429,C5429))</f>
        <v/>
      </c>
    </row>
    <row r="5430" spans="2:2" x14ac:dyDescent="0.25">
      <c r="B5430" t="str">
        <f>IF(C5430="","",C5430&amp;COUNTIF(C$9:C5430,C5430))</f>
        <v/>
      </c>
    </row>
    <row r="5431" spans="2:2" x14ac:dyDescent="0.25">
      <c r="B5431" t="str">
        <f>IF(C5431="","",C5431&amp;COUNTIF(C$9:C5431,C5431))</f>
        <v/>
      </c>
    </row>
    <row r="5432" spans="2:2" x14ac:dyDescent="0.25">
      <c r="B5432" t="str">
        <f>IF(C5432="","",C5432&amp;COUNTIF(C$9:C5432,C5432))</f>
        <v/>
      </c>
    </row>
    <row r="5433" spans="2:2" x14ac:dyDescent="0.25">
      <c r="B5433" t="str">
        <f>IF(C5433="","",C5433&amp;COUNTIF(C$9:C5433,C5433))</f>
        <v/>
      </c>
    </row>
    <row r="5434" spans="2:2" x14ac:dyDescent="0.25">
      <c r="B5434" t="str">
        <f>IF(C5434="","",C5434&amp;COUNTIF(C$9:C5434,C5434))</f>
        <v/>
      </c>
    </row>
    <row r="5435" spans="2:2" x14ac:dyDescent="0.25">
      <c r="B5435" t="str">
        <f>IF(C5435="","",C5435&amp;COUNTIF(C$9:C5435,C5435))</f>
        <v/>
      </c>
    </row>
    <row r="5436" spans="2:2" x14ac:dyDescent="0.25">
      <c r="B5436" t="str">
        <f>IF(C5436="","",C5436&amp;COUNTIF(C$9:C5436,C5436))</f>
        <v/>
      </c>
    </row>
    <row r="5437" spans="2:2" x14ac:dyDescent="0.25">
      <c r="B5437" t="str">
        <f>IF(C5437="","",C5437&amp;COUNTIF(C$9:C5437,C5437))</f>
        <v/>
      </c>
    </row>
    <row r="5438" spans="2:2" x14ac:dyDescent="0.25">
      <c r="B5438" t="str">
        <f>IF(C5438="","",C5438&amp;COUNTIF(C$9:C5438,C5438))</f>
        <v/>
      </c>
    </row>
    <row r="5439" spans="2:2" x14ac:dyDescent="0.25">
      <c r="B5439" t="str">
        <f>IF(C5439="","",C5439&amp;COUNTIF(C$9:C5439,C5439))</f>
        <v/>
      </c>
    </row>
    <row r="5440" spans="2:2" x14ac:dyDescent="0.25">
      <c r="B5440" t="str">
        <f>IF(C5440="","",C5440&amp;COUNTIF(C$9:C5440,C5440))</f>
        <v/>
      </c>
    </row>
    <row r="5441" spans="2:2" x14ac:dyDescent="0.25">
      <c r="B5441" t="str">
        <f>IF(C5441="","",C5441&amp;COUNTIF(C$9:C5441,C5441))</f>
        <v/>
      </c>
    </row>
    <row r="5442" spans="2:2" x14ac:dyDescent="0.25">
      <c r="B5442" t="str">
        <f>IF(C5442="","",C5442&amp;COUNTIF(C$9:C5442,C5442))</f>
        <v/>
      </c>
    </row>
    <row r="5443" spans="2:2" x14ac:dyDescent="0.25">
      <c r="B5443" t="str">
        <f>IF(C5443="","",C5443&amp;COUNTIF(C$9:C5443,C5443))</f>
        <v/>
      </c>
    </row>
    <row r="5444" spans="2:2" x14ac:dyDescent="0.25">
      <c r="B5444" t="str">
        <f>IF(C5444="","",C5444&amp;COUNTIF(C$9:C5444,C5444))</f>
        <v/>
      </c>
    </row>
    <row r="5445" spans="2:2" x14ac:dyDescent="0.25">
      <c r="B5445" t="str">
        <f>IF(C5445="","",C5445&amp;COUNTIF(C$9:C5445,C5445))</f>
        <v/>
      </c>
    </row>
    <row r="5446" spans="2:2" x14ac:dyDescent="0.25">
      <c r="B5446" t="str">
        <f>IF(C5446="","",C5446&amp;COUNTIF(C$9:C5446,C5446))</f>
        <v/>
      </c>
    </row>
    <row r="5447" spans="2:2" x14ac:dyDescent="0.25">
      <c r="B5447" t="str">
        <f>IF(C5447="","",C5447&amp;COUNTIF(C$9:C5447,C5447))</f>
        <v/>
      </c>
    </row>
    <row r="5448" spans="2:2" x14ac:dyDescent="0.25">
      <c r="B5448" t="str">
        <f>IF(C5448="","",C5448&amp;COUNTIF(C$9:C5448,C5448))</f>
        <v/>
      </c>
    </row>
    <row r="5449" spans="2:2" x14ac:dyDescent="0.25">
      <c r="B5449" t="str">
        <f>IF(C5449="","",C5449&amp;COUNTIF(C$9:C5449,C5449))</f>
        <v/>
      </c>
    </row>
    <row r="5450" spans="2:2" x14ac:dyDescent="0.25">
      <c r="B5450" t="str">
        <f>IF(C5450="","",C5450&amp;COUNTIF(C$9:C5450,C5450))</f>
        <v/>
      </c>
    </row>
    <row r="5451" spans="2:2" x14ac:dyDescent="0.25">
      <c r="B5451" t="str">
        <f>IF(C5451="","",C5451&amp;COUNTIF(C$9:C5451,C5451))</f>
        <v/>
      </c>
    </row>
    <row r="5452" spans="2:2" x14ac:dyDescent="0.25">
      <c r="B5452" t="str">
        <f>IF(C5452="","",C5452&amp;COUNTIF(C$9:C5452,C5452))</f>
        <v/>
      </c>
    </row>
    <row r="5453" spans="2:2" x14ac:dyDescent="0.25">
      <c r="B5453" t="str">
        <f>IF(C5453="","",C5453&amp;COUNTIF(C$9:C5453,C5453))</f>
        <v/>
      </c>
    </row>
    <row r="5454" spans="2:2" x14ac:dyDescent="0.25">
      <c r="B5454" t="str">
        <f>IF(C5454="","",C5454&amp;COUNTIF(C$9:C5454,C5454))</f>
        <v/>
      </c>
    </row>
    <row r="5455" spans="2:2" x14ac:dyDescent="0.25">
      <c r="B5455" t="str">
        <f>IF(C5455="","",C5455&amp;COUNTIF(C$9:C5455,C5455))</f>
        <v/>
      </c>
    </row>
    <row r="5456" spans="2:2" x14ac:dyDescent="0.25">
      <c r="B5456" t="str">
        <f>IF(C5456="","",C5456&amp;COUNTIF(C$9:C5456,C5456))</f>
        <v/>
      </c>
    </row>
    <row r="5457" spans="2:2" x14ac:dyDescent="0.25">
      <c r="B5457" t="str">
        <f>IF(C5457="","",C5457&amp;COUNTIF(C$9:C5457,C5457))</f>
        <v/>
      </c>
    </row>
    <row r="5458" spans="2:2" x14ac:dyDescent="0.25">
      <c r="B5458" t="str">
        <f>IF(C5458="","",C5458&amp;COUNTIF(C$9:C5458,C5458))</f>
        <v/>
      </c>
    </row>
    <row r="5459" spans="2:2" x14ac:dyDescent="0.25">
      <c r="B5459" t="str">
        <f>IF(C5459="","",C5459&amp;COUNTIF(C$9:C5459,C5459))</f>
        <v/>
      </c>
    </row>
    <row r="5460" spans="2:2" x14ac:dyDescent="0.25">
      <c r="B5460" t="str">
        <f>IF(C5460="","",C5460&amp;COUNTIF(C$9:C5460,C5460))</f>
        <v/>
      </c>
    </row>
    <row r="5461" spans="2:2" x14ac:dyDescent="0.25">
      <c r="B5461" t="str">
        <f>IF(C5461="","",C5461&amp;COUNTIF(C$9:C5461,C5461))</f>
        <v/>
      </c>
    </row>
    <row r="5462" spans="2:2" x14ac:dyDescent="0.25">
      <c r="B5462" t="str">
        <f>IF(C5462="","",C5462&amp;COUNTIF(C$9:C5462,C5462))</f>
        <v/>
      </c>
    </row>
    <row r="5463" spans="2:2" x14ac:dyDescent="0.25">
      <c r="B5463" t="str">
        <f>IF(C5463="","",C5463&amp;COUNTIF(C$9:C5463,C5463))</f>
        <v/>
      </c>
    </row>
    <row r="5464" spans="2:2" x14ac:dyDescent="0.25">
      <c r="B5464" t="str">
        <f>IF(C5464="","",C5464&amp;COUNTIF(C$9:C5464,C5464))</f>
        <v/>
      </c>
    </row>
    <row r="5465" spans="2:2" x14ac:dyDescent="0.25">
      <c r="B5465" t="str">
        <f>IF(C5465="","",C5465&amp;COUNTIF(C$9:C5465,C5465))</f>
        <v/>
      </c>
    </row>
    <row r="5466" spans="2:2" x14ac:dyDescent="0.25">
      <c r="B5466" t="str">
        <f>IF(C5466="","",C5466&amp;COUNTIF(C$9:C5466,C5466))</f>
        <v/>
      </c>
    </row>
    <row r="5467" spans="2:2" x14ac:dyDescent="0.25">
      <c r="B5467" t="str">
        <f>IF(C5467="","",C5467&amp;COUNTIF(C$9:C5467,C5467))</f>
        <v/>
      </c>
    </row>
    <row r="5468" spans="2:2" x14ac:dyDescent="0.25">
      <c r="B5468" t="str">
        <f>IF(C5468="","",C5468&amp;COUNTIF(C$9:C5468,C5468))</f>
        <v/>
      </c>
    </row>
    <row r="5469" spans="2:2" x14ac:dyDescent="0.25">
      <c r="B5469" t="str">
        <f>IF(C5469="","",C5469&amp;COUNTIF(C$9:C5469,C5469))</f>
        <v/>
      </c>
    </row>
    <row r="5470" spans="2:2" x14ac:dyDescent="0.25">
      <c r="B5470" t="str">
        <f>IF(C5470="","",C5470&amp;COUNTIF(C$9:C5470,C5470))</f>
        <v/>
      </c>
    </row>
    <row r="5471" spans="2:2" x14ac:dyDescent="0.25">
      <c r="B5471" t="str">
        <f>IF(C5471="","",C5471&amp;COUNTIF(C$9:C5471,C5471))</f>
        <v/>
      </c>
    </row>
    <row r="5472" spans="2:2" x14ac:dyDescent="0.25">
      <c r="B5472" t="str">
        <f>IF(C5472="","",C5472&amp;COUNTIF(C$9:C5472,C5472))</f>
        <v/>
      </c>
    </row>
    <row r="5473" spans="2:2" x14ac:dyDescent="0.25">
      <c r="B5473" t="str">
        <f>IF(C5473="","",C5473&amp;COUNTIF(C$9:C5473,C5473))</f>
        <v/>
      </c>
    </row>
    <row r="5474" spans="2:2" x14ac:dyDescent="0.25">
      <c r="B5474" t="str">
        <f>IF(C5474="","",C5474&amp;COUNTIF(C$9:C5474,C5474))</f>
        <v/>
      </c>
    </row>
    <row r="5475" spans="2:2" x14ac:dyDescent="0.25">
      <c r="B5475" t="str">
        <f>IF(C5475="","",C5475&amp;COUNTIF(C$9:C5475,C5475))</f>
        <v/>
      </c>
    </row>
    <row r="5476" spans="2:2" x14ac:dyDescent="0.25">
      <c r="B5476" t="str">
        <f>IF(C5476="","",C5476&amp;COUNTIF(C$9:C5476,C5476))</f>
        <v/>
      </c>
    </row>
    <row r="5477" spans="2:2" x14ac:dyDescent="0.25">
      <c r="B5477" t="str">
        <f>IF(C5477="","",C5477&amp;COUNTIF(C$9:C5477,C5477))</f>
        <v/>
      </c>
    </row>
    <row r="5478" spans="2:2" x14ac:dyDescent="0.25">
      <c r="B5478" t="str">
        <f>IF(C5478="","",C5478&amp;COUNTIF(C$9:C5478,C5478))</f>
        <v/>
      </c>
    </row>
    <row r="5479" spans="2:2" x14ac:dyDescent="0.25">
      <c r="B5479" t="str">
        <f>IF(C5479="","",C5479&amp;COUNTIF(C$9:C5479,C5479))</f>
        <v/>
      </c>
    </row>
    <row r="5480" spans="2:2" x14ac:dyDescent="0.25">
      <c r="B5480" t="str">
        <f>IF(C5480="","",C5480&amp;COUNTIF(C$9:C5480,C5480))</f>
        <v/>
      </c>
    </row>
    <row r="5481" spans="2:2" x14ac:dyDescent="0.25">
      <c r="B5481" t="str">
        <f>IF(C5481="","",C5481&amp;COUNTIF(C$9:C5481,C5481))</f>
        <v/>
      </c>
    </row>
    <row r="5482" spans="2:2" x14ac:dyDescent="0.25">
      <c r="B5482" t="str">
        <f>IF(C5482="","",C5482&amp;COUNTIF(C$9:C5482,C5482))</f>
        <v/>
      </c>
    </row>
    <row r="5483" spans="2:2" x14ac:dyDescent="0.25">
      <c r="B5483" t="str">
        <f>IF(C5483="","",C5483&amp;COUNTIF(C$9:C5483,C5483))</f>
        <v/>
      </c>
    </row>
    <row r="5484" spans="2:2" x14ac:dyDescent="0.25">
      <c r="B5484" t="str">
        <f>IF(C5484="","",C5484&amp;COUNTIF(C$9:C5484,C5484))</f>
        <v/>
      </c>
    </row>
    <row r="5485" spans="2:2" x14ac:dyDescent="0.25">
      <c r="B5485" t="str">
        <f>IF(C5485="","",C5485&amp;COUNTIF(C$9:C5485,C5485))</f>
        <v/>
      </c>
    </row>
    <row r="5486" spans="2:2" x14ac:dyDescent="0.25">
      <c r="B5486" t="str">
        <f>IF(C5486="","",C5486&amp;COUNTIF(C$9:C5486,C5486))</f>
        <v/>
      </c>
    </row>
    <row r="5487" spans="2:2" x14ac:dyDescent="0.25">
      <c r="B5487" t="str">
        <f>IF(C5487="","",C5487&amp;COUNTIF(C$9:C5487,C5487))</f>
        <v/>
      </c>
    </row>
    <row r="5488" spans="2:2" x14ac:dyDescent="0.25">
      <c r="B5488" t="str">
        <f>IF(C5488="","",C5488&amp;COUNTIF(C$9:C5488,C5488))</f>
        <v/>
      </c>
    </row>
    <row r="5489" spans="2:2" x14ac:dyDescent="0.25">
      <c r="B5489" t="str">
        <f>IF(C5489="","",C5489&amp;COUNTIF(C$9:C5489,C5489))</f>
        <v/>
      </c>
    </row>
    <row r="5490" spans="2:2" x14ac:dyDescent="0.25">
      <c r="B5490" t="str">
        <f>IF(C5490="","",C5490&amp;COUNTIF(C$9:C5490,C5490))</f>
        <v/>
      </c>
    </row>
    <row r="5491" spans="2:2" x14ac:dyDescent="0.25">
      <c r="B5491" t="str">
        <f>IF(C5491="","",C5491&amp;COUNTIF(C$9:C5491,C5491))</f>
        <v/>
      </c>
    </row>
    <row r="5492" spans="2:2" x14ac:dyDescent="0.25">
      <c r="B5492" t="str">
        <f>IF(C5492="","",C5492&amp;COUNTIF(C$9:C5492,C5492))</f>
        <v/>
      </c>
    </row>
    <row r="5493" spans="2:2" x14ac:dyDescent="0.25">
      <c r="B5493" t="str">
        <f>IF(C5493="","",C5493&amp;COUNTIF(C$9:C5493,C5493))</f>
        <v/>
      </c>
    </row>
    <row r="5494" spans="2:2" x14ac:dyDescent="0.25">
      <c r="B5494" t="str">
        <f>IF(C5494="","",C5494&amp;COUNTIF(C$9:C5494,C5494))</f>
        <v/>
      </c>
    </row>
    <row r="5495" spans="2:2" x14ac:dyDescent="0.25">
      <c r="B5495" t="str">
        <f>IF(C5495="","",C5495&amp;COUNTIF(C$9:C5495,C5495))</f>
        <v/>
      </c>
    </row>
    <row r="5496" spans="2:2" x14ac:dyDescent="0.25">
      <c r="B5496" t="str">
        <f>IF(C5496="","",C5496&amp;COUNTIF(C$9:C5496,C5496))</f>
        <v/>
      </c>
    </row>
    <row r="5497" spans="2:2" x14ac:dyDescent="0.25">
      <c r="B5497" t="str">
        <f>IF(C5497="","",C5497&amp;COUNTIF(C$9:C5497,C5497))</f>
        <v/>
      </c>
    </row>
    <row r="5498" spans="2:2" x14ac:dyDescent="0.25">
      <c r="B5498" t="str">
        <f>IF(C5498="","",C5498&amp;COUNTIF(C$9:C5498,C5498))</f>
        <v/>
      </c>
    </row>
    <row r="5499" spans="2:2" x14ac:dyDescent="0.25">
      <c r="B5499" t="str">
        <f>IF(C5499="","",C5499&amp;COUNTIF(C$9:C5499,C5499))</f>
        <v/>
      </c>
    </row>
    <row r="5500" spans="2:2" x14ac:dyDescent="0.25">
      <c r="B5500" t="str">
        <f>IF(C5500="","",C5500&amp;COUNTIF(C$9:C5500,C5500))</f>
        <v/>
      </c>
    </row>
    <row r="5501" spans="2:2" x14ac:dyDescent="0.25">
      <c r="B5501" t="str">
        <f>IF(C5501="","",C5501&amp;COUNTIF(C$9:C5501,C5501))</f>
        <v/>
      </c>
    </row>
    <row r="5502" spans="2:2" x14ac:dyDescent="0.25">
      <c r="B5502" t="str">
        <f>IF(C5502="","",C5502&amp;COUNTIF(C$9:C5502,C5502))</f>
        <v/>
      </c>
    </row>
    <row r="5503" spans="2:2" x14ac:dyDescent="0.25">
      <c r="B5503" t="str">
        <f>IF(C5503="","",C5503&amp;COUNTIF(C$9:C5503,C5503))</f>
        <v/>
      </c>
    </row>
    <row r="5504" spans="2:2" x14ac:dyDescent="0.25">
      <c r="B5504" t="str">
        <f>IF(C5504="","",C5504&amp;COUNTIF(C$9:C5504,C5504))</f>
        <v/>
      </c>
    </row>
    <row r="5505" spans="2:2" x14ac:dyDescent="0.25">
      <c r="B5505" t="str">
        <f>IF(C5505="","",C5505&amp;COUNTIF(C$9:C5505,C5505))</f>
        <v/>
      </c>
    </row>
    <row r="5506" spans="2:2" x14ac:dyDescent="0.25">
      <c r="B5506" t="str">
        <f>IF(C5506="","",C5506&amp;COUNTIF(C$9:C5506,C5506))</f>
        <v/>
      </c>
    </row>
    <row r="5507" spans="2:2" x14ac:dyDescent="0.25">
      <c r="B5507" t="str">
        <f>IF(C5507="","",C5507&amp;COUNTIF(C$9:C5507,C5507))</f>
        <v/>
      </c>
    </row>
    <row r="5508" spans="2:2" x14ac:dyDescent="0.25">
      <c r="B5508" t="str">
        <f>IF(C5508="","",C5508&amp;COUNTIF(C$9:C5508,C5508))</f>
        <v/>
      </c>
    </row>
    <row r="5509" spans="2:2" x14ac:dyDescent="0.25">
      <c r="B5509" t="str">
        <f>IF(C5509="","",C5509&amp;COUNTIF(C$9:C5509,C5509))</f>
        <v/>
      </c>
    </row>
    <row r="5510" spans="2:2" x14ac:dyDescent="0.25">
      <c r="B5510" t="str">
        <f>IF(C5510="","",C5510&amp;COUNTIF(C$9:C5510,C5510))</f>
        <v/>
      </c>
    </row>
    <row r="5511" spans="2:2" x14ac:dyDescent="0.25">
      <c r="B5511" t="str">
        <f>IF(C5511="","",C5511&amp;COUNTIF(C$9:C5511,C5511))</f>
        <v/>
      </c>
    </row>
    <row r="5512" spans="2:2" x14ac:dyDescent="0.25">
      <c r="B5512" t="str">
        <f>IF(C5512="","",C5512&amp;COUNTIF(C$9:C5512,C5512))</f>
        <v/>
      </c>
    </row>
    <row r="5513" spans="2:2" x14ac:dyDescent="0.25">
      <c r="B5513" t="str">
        <f>IF(C5513="","",C5513&amp;COUNTIF(C$9:C5513,C5513))</f>
        <v/>
      </c>
    </row>
    <row r="5514" spans="2:2" x14ac:dyDescent="0.25">
      <c r="B5514" t="str">
        <f>IF(C5514="","",C5514&amp;COUNTIF(C$9:C5514,C5514))</f>
        <v/>
      </c>
    </row>
    <row r="5515" spans="2:2" x14ac:dyDescent="0.25">
      <c r="B5515" t="str">
        <f>IF(C5515="","",C5515&amp;COUNTIF(C$9:C5515,C5515))</f>
        <v/>
      </c>
    </row>
    <row r="5516" spans="2:2" x14ac:dyDescent="0.25">
      <c r="B5516" t="str">
        <f>IF(C5516="","",C5516&amp;COUNTIF(C$9:C5516,C5516))</f>
        <v/>
      </c>
    </row>
    <row r="5517" spans="2:2" x14ac:dyDescent="0.25">
      <c r="B5517" t="str">
        <f>IF(C5517="","",C5517&amp;COUNTIF(C$9:C5517,C5517))</f>
        <v/>
      </c>
    </row>
    <row r="5518" spans="2:2" x14ac:dyDescent="0.25">
      <c r="B5518" t="str">
        <f>IF(C5518="","",C5518&amp;COUNTIF(C$9:C5518,C5518))</f>
        <v/>
      </c>
    </row>
    <row r="5519" spans="2:2" x14ac:dyDescent="0.25">
      <c r="B5519" t="str">
        <f>IF(C5519="","",C5519&amp;COUNTIF(C$9:C5519,C5519))</f>
        <v/>
      </c>
    </row>
    <row r="5520" spans="2:2" x14ac:dyDescent="0.25">
      <c r="B5520" t="str">
        <f>IF(C5520="","",C5520&amp;COUNTIF(C$9:C5520,C5520))</f>
        <v/>
      </c>
    </row>
    <row r="5521" spans="2:2" x14ac:dyDescent="0.25">
      <c r="B5521" t="str">
        <f>IF(C5521="","",C5521&amp;COUNTIF(C$9:C5521,C5521))</f>
        <v/>
      </c>
    </row>
    <row r="5522" spans="2:2" x14ac:dyDescent="0.25">
      <c r="B5522" t="str">
        <f>IF(C5522="","",C5522&amp;COUNTIF(C$9:C5522,C5522))</f>
        <v/>
      </c>
    </row>
    <row r="5523" spans="2:2" x14ac:dyDescent="0.25">
      <c r="B5523" t="str">
        <f>IF(C5523="","",C5523&amp;COUNTIF(C$9:C5523,C5523))</f>
        <v/>
      </c>
    </row>
    <row r="5524" spans="2:2" x14ac:dyDescent="0.25">
      <c r="B5524" t="str">
        <f>IF(C5524="","",C5524&amp;COUNTIF(C$9:C5524,C5524))</f>
        <v/>
      </c>
    </row>
    <row r="5525" spans="2:2" x14ac:dyDescent="0.25">
      <c r="B5525" t="str">
        <f>IF(C5525="","",C5525&amp;COUNTIF(C$9:C5525,C5525))</f>
        <v/>
      </c>
    </row>
    <row r="5526" spans="2:2" x14ac:dyDescent="0.25">
      <c r="B5526" t="str">
        <f>IF(C5526="","",C5526&amp;COUNTIF(C$9:C5526,C5526))</f>
        <v/>
      </c>
    </row>
    <row r="5527" spans="2:2" x14ac:dyDescent="0.25">
      <c r="B5527" t="str">
        <f>IF(C5527="","",C5527&amp;COUNTIF(C$9:C5527,C5527))</f>
        <v/>
      </c>
    </row>
    <row r="5528" spans="2:2" x14ac:dyDescent="0.25">
      <c r="B5528" t="str">
        <f>IF(C5528="","",C5528&amp;COUNTIF(C$9:C5528,C5528))</f>
        <v/>
      </c>
    </row>
    <row r="5529" spans="2:2" x14ac:dyDescent="0.25">
      <c r="B5529" t="str">
        <f>IF(C5529="","",C5529&amp;COUNTIF(C$9:C5529,C5529))</f>
        <v/>
      </c>
    </row>
    <row r="5530" spans="2:2" x14ac:dyDescent="0.25">
      <c r="B5530" t="str">
        <f>IF(C5530="","",C5530&amp;COUNTIF(C$9:C5530,C5530))</f>
        <v/>
      </c>
    </row>
    <row r="5531" spans="2:2" x14ac:dyDescent="0.25">
      <c r="B5531" t="str">
        <f>IF(C5531="","",C5531&amp;COUNTIF(C$9:C5531,C5531))</f>
        <v/>
      </c>
    </row>
    <row r="5532" spans="2:2" x14ac:dyDescent="0.25">
      <c r="B5532" t="str">
        <f>IF(C5532="","",C5532&amp;COUNTIF(C$9:C5532,C5532))</f>
        <v/>
      </c>
    </row>
    <row r="5533" spans="2:2" x14ac:dyDescent="0.25">
      <c r="B5533" t="str">
        <f>IF(C5533="","",C5533&amp;COUNTIF(C$9:C5533,C5533))</f>
        <v/>
      </c>
    </row>
    <row r="5534" spans="2:2" x14ac:dyDescent="0.25">
      <c r="B5534" t="str">
        <f>IF(C5534="","",C5534&amp;COUNTIF(C$9:C5534,C5534))</f>
        <v/>
      </c>
    </row>
    <row r="5535" spans="2:2" x14ac:dyDescent="0.25">
      <c r="B5535" t="str">
        <f>IF(C5535="","",C5535&amp;COUNTIF(C$9:C5535,C5535))</f>
        <v/>
      </c>
    </row>
    <row r="5536" spans="2:2" x14ac:dyDescent="0.25">
      <c r="B5536" t="str">
        <f>IF(C5536="","",C5536&amp;COUNTIF(C$9:C5536,C5536))</f>
        <v/>
      </c>
    </row>
    <row r="5537" spans="2:2" x14ac:dyDescent="0.25">
      <c r="B5537" t="str">
        <f>IF(C5537="","",C5537&amp;COUNTIF(C$9:C5537,C5537))</f>
        <v/>
      </c>
    </row>
    <row r="5538" spans="2:2" x14ac:dyDescent="0.25">
      <c r="B5538" t="str">
        <f>IF(C5538="","",C5538&amp;COUNTIF(C$9:C5538,C5538))</f>
        <v/>
      </c>
    </row>
    <row r="5539" spans="2:2" x14ac:dyDescent="0.25">
      <c r="B5539" t="str">
        <f>IF(C5539="","",C5539&amp;COUNTIF(C$9:C5539,C5539))</f>
        <v/>
      </c>
    </row>
    <row r="5540" spans="2:2" x14ac:dyDescent="0.25">
      <c r="B5540" t="str">
        <f>IF(C5540="","",C5540&amp;COUNTIF(C$9:C5540,C5540))</f>
        <v/>
      </c>
    </row>
    <row r="5541" spans="2:2" x14ac:dyDescent="0.25">
      <c r="B5541" t="str">
        <f>IF(C5541="","",C5541&amp;COUNTIF(C$9:C5541,C5541))</f>
        <v/>
      </c>
    </row>
    <row r="5542" spans="2:2" x14ac:dyDescent="0.25">
      <c r="B5542" t="str">
        <f>IF(C5542="","",C5542&amp;COUNTIF(C$9:C5542,C5542))</f>
        <v/>
      </c>
    </row>
    <row r="5543" spans="2:2" x14ac:dyDescent="0.25">
      <c r="B5543" t="str">
        <f>IF(C5543="","",C5543&amp;COUNTIF(C$9:C5543,C5543))</f>
        <v/>
      </c>
    </row>
    <row r="5544" spans="2:2" x14ac:dyDescent="0.25">
      <c r="B5544" t="str">
        <f>IF(C5544="","",C5544&amp;COUNTIF(C$9:C5544,C5544))</f>
        <v/>
      </c>
    </row>
    <row r="5545" spans="2:2" x14ac:dyDescent="0.25">
      <c r="B5545" t="str">
        <f>IF(C5545="","",C5545&amp;COUNTIF(C$9:C5545,C5545))</f>
        <v/>
      </c>
    </row>
    <row r="5546" spans="2:2" x14ac:dyDescent="0.25">
      <c r="B5546" t="str">
        <f>IF(C5546="","",C5546&amp;COUNTIF(C$9:C5546,C5546))</f>
        <v/>
      </c>
    </row>
    <row r="5547" spans="2:2" x14ac:dyDescent="0.25">
      <c r="B5547" t="str">
        <f>IF(C5547="","",C5547&amp;COUNTIF(C$9:C5547,C5547))</f>
        <v/>
      </c>
    </row>
    <row r="5548" spans="2:2" x14ac:dyDescent="0.25">
      <c r="B5548" t="str">
        <f>IF(C5548="","",C5548&amp;COUNTIF(C$9:C5548,C5548))</f>
        <v/>
      </c>
    </row>
    <row r="5549" spans="2:2" x14ac:dyDescent="0.25">
      <c r="B5549" t="str">
        <f>IF(C5549="","",C5549&amp;COUNTIF(C$9:C5549,C5549))</f>
        <v/>
      </c>
    </row>
    <row r="5550" spans="2:2" x14ac:dyDescent="0.25">
      <c r="B5550" t="str">
        <f>IF(C5550="","",C5550&amp;COUNTIF(C$9:C5550,C5550))</f>
        <v/>
      </c>
    </row>
    <row r="5551" spans="2:2" x14ac:dyDescent="0.25">
      <c r="B5551" t="str">
        <f>IF(C5551="","",C5551&amp;COUNTIF(C$9:C5551,C5551))</f>
        <v/>
      </c>
    </row>
    <row r="5552" spans="2:2" x14ac:dyDescent="0.25">
      <c r="B5552" t="str">
        <f>IF(C5552="","",C5552&amp;COUNTIF(C$9:C5552,C5552))</f>
        <v/>
      </c>
    </row>
    <row r="5553" spans="2:2" x14ac:dyDescent="0.25">
      <c r="B5553" t="str">
        <f>IF(C5553="","",C5553&amp;COUNTIF(C$9:C5553,C5553))</f>
        <v/>
      </c>
    </row>
    <row r="5554" spans="2:2" x14ac:dyDescent="0.25">
      <c r="B5554" t="str">
        <f>IF(C5554="","",C5554&amp;COUNTIF(C$9:C5554,C5554))</f>
        <v/>
      </c>
    </row>
    <row r="5555" spans="2:2" x14ac:dyDescent="0.25">
      <c r="B5555" t="str">
        <f>IF(C5555="","",C5555&amp;COUNTIF(C$9:C5555,C5555))</f>
        <v/>
      </c>
    </row>
    <row r="5556" spans="2:2" x14ac:dyDescent="0.25">
      <c r="B5556" t="str">
        <f>IF(C5556="","",C5556&amp;COUNTIF(C$9:C5556,C5556))</f>
        <v/>
      </c>
    </row>
    <row r="5557" spans="2:2" x14ac:dyDescent="0.25">
      <c r="B5557" t="str">
        <f>IF(C5557="","",C5557&amp;COUNTIF(C$9:C5557,C5557))</f>
        <v/>
      </c>
    </row>
    <row r="5558" spans="2:2" x14ac:dyDescent="0.25">
      <c r="B5558" t="str">
        <f>IF(C5558="","",C5558&amp;COUNTIF(C$9:C5558,C5558))</f>
        <v/>
      </c>
    </row>
    <row r="5559" spans="2:2" x14ac:dyDescent="0.25">
      <c r="B5559" t="str">
        <f>IF(C5559="","",C5559&amp;COUNTIF(C$9:C5559,C5559))</f>
        <v/>
      </c>
    </row>
    <row r="5560" spans="2:2" x14ac:dyDescent="0.25">
      <c r="B5560" t="str">
        <f>IF(C5560="","",C5560&amp;COUNTIF(C$9:C5560,C5560))</f>
        <v/>
      </c>
    </row>
    <row r="5561" spans="2:2" x14ac:dyDescent="0.25">
      <c r="B5561" t="str">
        <f>IF(C5561="","",C5561&amp;COUNTIF(C$9:C5561,C5561))</f>
        <v/>
      </c>
    </row>
    <row r="5562" spans="2:2" x14ac:dyDescent="0.25">
      <c r="B5562" t="str">
        <f>IF(C5562="","",C5562&amp;COUNTIF(C$9:C5562,C5562))</f>
        <v/>
      </c>
    </row>
    <row r="5563" spans="2:2" x14ac:dyDescent="0.25">
      <c r="B5563" t="str">
        <f>IF(C5563="","",C5563&amp;COUNTIF(C$9:C5563,C5563))</f>
        <v/>
      </c>
    </row>
    <row r="5564" spans="2:2" x14ac:dyDescent="0.25">
      <c r="B5564" t="str">
        <f>IF(C5564="","",C5564&amp;COUNTIF(C$9:C5564,C5564))</f>
        <v/>
      </c>
    </row>
    <row r="5565" spans="2:2" x14ac:dyDescent="0.25">
      <c r="B5565" t="str">
        <f>IF(C5565="","",C5565&amp;COUNTIF(C$9:C5565,C5565))</f>
        <v/>
      </c>
    </row>
    <row r="5566" spans="2:2" x14ac:dyDescent="0.25">
      <c r="B5566" t="str">
        <f>IF(C5566="","",C5566&amp;COUNTIF(C$9:C5566,C5566))</f>
        <v/>
      </c>
    </row>
    <row r="5567" spans="2:2" x14ac:dyDescent="0.25">
      <c r="B5567" t="str">
        <f>IF(C5567="","",C5567&amp;COUNTIF(C$9:C5567,C5567))</f>
        <v/>
      </c>
    </row>
    <row r="5568" spans="2:2" x14ac:dyDescent="0.25">
      <c r="B5568" t="str">
        <f>IF(C5568="","",C5568&amp;COUNTIF(C$9:C5568,C5568))</f>
        <v/>
      </c>
    </row>
    <row r="5569" spans="2:2" x14ac:dyDescent="0.25">
      <c r="B5569" t="str">
        <f>IF(C5569="","",C5569&amp;COUNTIF(C$9:C5569,C5569))</f>
        <v/>
      </c>
    </row>
    <row r="5570" spans="2:2" x14ac:dyDescent="0.25">
      <c r="B5570" t="str">
        <f>IF(C5570="","",C5570&amp;COUNTIF(C$9:C5570,C5570))</f>
        <v/>
      </c>
    </row>
    <row r="5571" spans="2:2" x14ac:dyDescent="0.25">
      <c r="B5571" t="str">
        <f>IF(C5571="","",C5571&amp;COUNTIF(C$9:C5571,C5571))</f>
        <v/>
      </c>
    </row>
    <row r="5572" spans="2:2" x14ac:dyDescent="0.25">
      <c r="B5572" t="str">
        <f>IF(C5572="","",C5572&amp;COUNTIF(C$9:C5572,C5572))</f>
        <v/>
      </c>
    </row>
    <row r="5573" spans="2:2" x14ac:dyDescent="0.25">
      <c r="B5573" t="str">
        <f>IF(C5573="","",C5573&amp;COUNTIF(C$9:C5573,C5573))</f>
        <v/>
      </c>
    </row>
    <row r="5574" spans="2:2" x14ac:dyDescent="0.25">
      <c r="B5574" t="str">
        <f>IF(C5574="","",C5574&amp;COUNTIF(C$9:C5574,C5574))</f>
        <v/>
      </c>
    </row>
    <row r="5575" spans="2:2" x14ac:dyDescent="0.25">
      <c r="B5575" t="str">
        <f>IF(C5575="","",C5575&amp;COUNTIF(C$9:C5575,C5575))</f>
        <v/>
      </c>
    </row>
    <row r="5576" spans="2:2" x14ac:dyDescent="0.25">
      <c r="B5576" t="str">
        <f>IF(C5576="","",C5576&amp;COUNTIF(C$9:C5576,C5576))</f>
        <v/>
      </c>
    </row>
    <row r="5577" spans="2:2" x14ac:dyDescent="0.25">
      <c r="B5577" t="str">
        <f>IF(C5577="","",C5577&amp;COUNTIF(C$9:C5577,C5577))</f>
        <v/>
      </c>
    </row>
    <row r="5578" spans="2:2" x14ac:dyDescent="0.25">
      <c r="B5578" t="str">
        <f>IF(C5578="","",C5578&amp;COUNTIF(C$9:C5578,C5578))</f>
        <v/>
      </c>
    </row>
    <row r="5579" spans="2:2" x14ac:dyDescent="0.25">
      <c r="B5579" t="str">
        <f>IF(C5579="","",C5579&amp;COUNTIF(C$9:C5579,C5579))</f>
        <v/>
      </c>
    </row>
    <row r="5580" spans="2:2" x14ac:dyDescent="0.25">
      <c r="B5580" t="str">
        <f>IF(C5580="","",C5580&amp;COUNTIF(C$9:C5580,C5580))</f>
        <v/>
      </c>
    </row>
    <row r="5581" spans="2:2" x14ac:dyDescent="0.25">
      <c r="B5581" t="str">
        <f>IF(C5581="","",C5581&amp;COUNTIF(C$9:C5581,C5581))</f>
        <v/>
      </c>
    </row>
    <row r="5582" spans="2:2" x14ac:dyDescent="0.25">
      <c r="B5582" t="str">
        <f>IF(C5582="","",C5582&amp;COUNTIF(C$9:C5582,C5582))</f>
        <v/>
      </c>
    </row>
    <row r="5583" spans="2:2" x14ac:dyDescent="0.25">
      <c r="B5583" t="str">
        <f>IF(C5583="","",C5583&amp;COUNTIF(C$9:C5583,C5583))</f>
        <v/>
      </c>
    </row>
    <row r="5584" spans="2:2" x14ac:dyDescent="0.25">
      <c r="B5584" t="str">
        <f>IF(C5584="","",C5584&amp;COUNTIF(C$9:C5584,C5584))</f>
        <v/>
      </c>
    </row>
    <row r="5585" spans="2:2" x14ac:dyDescent="0.25">
      <c r="B5585" t="str">
        <f>IF(C5585="","",C5585&amp;COUNTIF(C$9:C5585,C5585))</f>
        <v/>
      </c>
    </row>
    <row r="5586" spans="2:2" x14ac:dyDescent="0.25">
      <c r="B5586" t="str">
        <f>IF(C5586="","",C5586&amp;COUNTIF(C$9:C5586,C5586))</f>
        <v/>
      </c>
    </row>
    <row r="5587" spans="2:2" x14ac:dyDescent="0.25">
      <c r="B5587" t="str">
        <f>IF(C5587="","",C5587&amp;COUNTIF(C$9:C5587,C5587))</f>
        <v/>
      </c>
    </row>
    <row r="5588" spans="2:2" x14ac:dyDescent="0.25">
      <c r="B5588" t="str">
        <f>IF(C5588="","",C5588&amp;COUNTIF(C$9:C5588,C5588))</f>
        <v/>
      </c>
    </row>
    <row r="5589" spans="2:2" x14ac:dyDescent="0.25">
      <c r="B5589" t="str">
        <f>IF(C5589="","",C5589&amp;COUNTIF(C$9:C5589,C5589))</f>
        <v/>
      </c>
    </row>
    <row r="5590" spans="2:2" x14ac:dyDescent="0.25">
      <c r="B5590" t="str">
        <f>IF(C5590="","",C5590&amp;COUNTIF(C$9:C5590,C5590))</f>
        <v/>
      </c>
    </row>
    <row r="5591" spans="2:2" x14ac:dyDescent="0.25">
      <c r="B5591" t="str">
        <f>IF(C5591="","",C5591&amp;COUNTIF(C$9:C5591,C5591))</f>
        <v/>
      </c>
    </row>
    <row r="5592" spans="2:2" x14ac:dyDescent="0.25">
      <c r="B5592" t="str">
        <f>IF(C5592="","",C5592&amp;COUNTIF(C$9:C5592,C5592))</f>
        <v/>
      </c>
    </row>
    <row r="5593" spans="2:2" x14ac:dyDescent="0.25">
      <c r="B5593" t="str">
        <f>IF(C5593="","",C5593&amp;COUNTIF(C$9:C5593,C5593))</f>
        <v/>
      </c>
    </row>
    <row r="5594" spans="2:2" x14ac:dyDescent="0.25">
      <c r="B5594" t="str">
        <f>IF(C5594="","",C5594&amp;COUNTIF(C$9:C5594,C5594))</f>
        <v/>
      </c>
    </row>
    <row r="5595" spans="2:2" x14ac:dyDescent="0.25">
      <c r="B5595" t="str">
        <f>IF(C5595="","",C5595&amp;COUNTIF(C$9:C5595,C5595))</f>
        <v/>
      </c>
    </row>
    <row r="5596" spans="2:2" x14ac:dyDescent="0.25">
      <c r="B5596" t="str">
        <f>IF(C5596="","",C5596&amp;COUNTIF(C$9:C5596,C5596))</f>
        <v/>
      </c>
    </row>
    <row r="5597" spans="2:2" x14ac:dyDescent="0.25">
      <c r="B5597" t="str">
        <f>IF(C5597="","",C5597&amp;COUNTIF(C$9:C5597,C5597))</f>
        <v/>
      </c>
    </row>
    <row r="5598" spans="2:2" x14ac:dyDescent="0.25">
      <c r="B5598" t="str">
        <f>IF(C5598="","",C5598&amp;COUNTIF(C$9:C5598,C5598))</f>
        <v/>
      </c>
    </row>
    <row r="5599" spans="2:2" x14ac:dyDescent="0.25">
      <c r="B5599" t="str">
        <f>IF(C5599="","",C5599&amp;COUNTIF(C$9:C5599,C5599))</f>
        <v/>
      </c>
    </row>
    <row r="5600" spans="2:2" x14ac:dyDescent="0.25">
      <c r="B5600" t="str">
        <f>IF(C5600="","",C5600&amp;COUNTIF(C$9:C5600,C5600))</f>
        <v/>
      </c>
    </row>
    <row r="5601" spans="2:2" x14ac:dyDescent="0.25">
      <c r="B5601" t="str">
        <f>IF(C5601="","",C5601&amp;COUNTIF(C$9:C5601,C5601))</f>
        <v/>
      </c>
    </row>
    <row r="5602" spans="2:2" x14ac:dyDescent="0.25">
      <c r="B5602" t="str">
        <f>IF(C5602="","",C5602&amp;COUNTIF(C$9:C5602,C5602))</f>
        <v/>
      </c>
    </row>
    <row r="5603" spans="2:2" x14ac:dyDescent="0.25">
      <c r="B5603" t="str">
        <f>IF(C5603="","",C5603&amp;COUNTIF(C$9:C5603,C5603))</f>
        <v/>
      </c>
    </row>
    <row r="5604" spans="2:2" x14ac:dyDescent="0.25">
      <c r="B5604" t="str">
        <f>IF(C5604="","",C5604&amp;COUNTIF(C$9:C5604,C5604))</f>
        <v/>
      </c>
    </row>
    <row r="5605" spans="2:2" x14ac:dyDescent="0.25">
      <c r="B5605" t="str">
        <f>IF(C5605="","",C5605&amp;COUNTIF(C$9:C5605,C5605))</f>
        <v/>
      </c>
    </row>
    <row r="5606" spans="2:2" x14ac:dyDescent="0.25">
      <c r="B5606" t="str">
        <f>IF(C5606="","",C5606&amp;COUNTIF(C$9:C5606,C5606))</f>
        <v/>
      </c>
    </row>
    <row r="5607" spans="2:2" x14ac:dyDescent="0.25">
      <c r="B5607" t="str">
        <f>IF(C5607="","",C5607&amp;COUNTIF(C$9:C5607,C5607))</f>
        <v/>
      </c>
    </row>
    <row r="5608" spans="2:2" x14ac:dyDescent="0.25">
      <c r="B5608" t="str">
        <f>IF(C5608="","",C5608&amp;COUNTIF(C$9:C5608,C5608))</f>
        <v/>
      </c>
    </row>
    <row r="5609" spans="2:2" x14ac:dyDescent="0.25">
      <c r="B5609" t="str">
        <f>IF(C5609="","",C5609&amp;COUNTIF(C$9:C5609,C5609))</f>
        <v/>
      </c>
    </row>
    <row r="5610" spans="2:2" x14ac:dyDescent="0.25">
      <c r="B5610" t="str">
        <f>IF(C5610="","",C5610&amp;COUNTIF(C$9:C5610,C5610))</f>
        <v/>
      </c>
    </row>
    <row r="5611" spans="2:2" x14ac:dyDescent="0.25">
      <c r="B5611" t="str">
        <f>IF(C5611="","",C5611&amp;COUNTIF(C$9:C5611,C5611))</f>
        <v/>
      </c>
    </row>
    <row r="5612" spans="2:2" x14ac:dyDescent="0.25">
      <c r="B5612" t="str">
        <f>IF(C5612="","",C5612&amp;COUNTIF(C$9:C5612,C5612))</f>
        <v/>
      </c>
    </row>
    <row r="5613" spans="2:2" x14ac:dyDescent="0.25">
      <c r="B5613" t="str">
        <f>IF(C5613="","",C5613&amp;COUNTIF(C$9:C5613,C5613))</f>
        <v/>
      </c>
    </row>
    <row r="5614" spans="2:2" x14ac:dyDescent="0.25">
      <c r="B5614" t="str">
        <f>IF(C5614="","",C5614&amp;COUNTIF(C$9:C5614,C5614))</f>
        <v/>
      </c>
    </row>
    <row r="5615" spans="2:2" x14ac:dyDescent="0.25">
      <c r="B5615" t="str">
        <f>IF(C5615="","",C5615&amp;COUNTIF(C$9:C5615,C5615))</f>
        <v/>
      </c>
    </row>
    <row r="5616" spans="2:2" x14ac:dyDescent="0.25">
      <c r="B5616" t="str">
        <f>IF(C5616="","",C5616&amp;COUNTIF(C$9:C5616,C5616))</f>
        <v/>
      </c>
    </row>
    <row r="5617" spans="2:2" x14ac:dyDescent="0.25">
      <c r="B5617" t="str">
        <f>IF(C5617="","",C5617&amp;COUNTIF(C$9:C5617,C5617))</f>
        <v/>
      </c>
    </row>
    <row r="5618" spans="2:2" x14ac:dyDescent="0.25">
      <c r="B5618" t="str">
        <f>IF(C5618="","",C5618&amp;COUNTIF(C$9:C5618,C5618))</f>
        <v/>
      </c>
    </row>
    <row r="5619" spans="2:2" x14ac:dyDescent="0.25">
      <c r="B5619" t="str">
        <f>IF(C5619="","",C5619&amp;COUNTIF(C$9:C5619,C5619))</f>
        <v/>
      </c>
    </row>
    <row r="5620" spans="2:2" x14ac:dyDescent="0.25">
      <c r="B5620" t="str">
        <f>IF(C5620="","",C5620&amp;COUNTIF(C$9:C5620,C5620))</f>
        <v/>
      </c>
    </row>
    <row r="5621" spans="2:2" x14ac:dyDescent="0.25">
      <c r="B5621" t="str">
        <f>IF(C5621="","",C5621&amp;COUNTIF(C$9:C5621,C5621))</f>
        <v/>
      </c>
    </row>
    <row r="5622" spans="2:2" x14ac:dyDescent="0.25">
      <c r="B5622" t="str">
        <f>IF(C5622="","",C5622&amp;COUNTIF(C$9:C5622,C5622))</f>
        <v/>
      </c>
    </row>
    <row r="5623" spans="2:2" x14ac:dyDescent="0.25">
      <c r="B5623" t="str">
        <f>IF(C5623="","",C5623&amp;COUNTIF(C$9:C5623,C5623))</f>
        <v/>
      </c>
    </row>
    <row r="5624" spans="2:2" x14ac:dyDescent="0.25">
      <c r="B5624" t="str">
        <f>IF(C5624="","",C5624&amp;COUNTIF(C$9:C5624,C5624))</f>
        <v/>
      </c>
    </row>
    <row r="5625" spans="2:2" x14ac:dyDescent="0.25">
      <c r="B5625" t="str">
        <f>IF(C5625="","",C5625&amp;COUNTIF(C$9:C5625,C5625))</f>
        <v/>
      </c>
    </row>
    <row r="5626" spans="2:2" x14ac:dyDescent="0.25">
      <c r="B5626" t="str">
        <f>IF(C5626="","",C5626&amp;COUNTIF(C$9:C5626,C5626))</f>
        <v/>
      </c>
    </row>
    <row r="5627" spans="2:2" x14ac:dyDescent="0.25">
      <c r="B5627" t="str">
        <f>IF(C5627="","",C5627&amp;COUNTIF(C$9:C5627,C5627))</f>
        <v/>
      </c>
    </row>
    <row r="5628" spans="2:2" x14ac:dyDescent="0.25">
      <c r="B5628" t="str">
        <f>IF(C5628="","",C5628&amp;COUNTIF(C$9:C5628,C5628))</f>
        <v/>
      </c>
    </row>
    <row r="5629" spans="2:2" x14ac:dyDescent="0.25">
      <c r="B5629" t="str">
        <f>IF(C5629="","",C5629&amp;COUNTIF(C$9:C5629,C5629))</f>
        <v/>
      </c>
    </row>
    <row r="5630" spans="2:2" x14ac:dyDescent="0.25">
      <c r="B5630" t="str">
        <f>IF(C5630="","",C5630&amp;COUNTIF(C$9:C5630,C5630))</f>
        <v/>
      </c>
    </row>
    <row r="5631" spans="2:2" x14ac:dyDescent="0.25">
      <c r="B5631" t="str">
        <f>IF(C5631="","",C5631&amp;COUNTIF(C$9:C5631,C5631))</f>
        <v/>
      </c>
    </row>
    <row r="5632" spans="2:2" x14ac:dyDescent="0.25">
      <c r="B5632" t="str">
        <f>IF(C5632="","",C5632&amp;COUNTIF(C$9:C5632,C5632))</f>
        <v/>
      </c>
    </row>
    <row r="5633" spans="2:2" x14ac:dyDescent="0.25">
      <c r="B5633" t="str">
        <f>IF(C5633="","",C5633&amp;COUNTIF(C$9:C5633,C5633))</f>
        <v/>
      </c>
    </row>
    <row r="5634" spans="2:2" x14ac:dyDescent="0.25">
      <c r="B5634" t="str">
        <f>IF(C5634="","",C5634&amp;COUNTIF(C$9:C5634,C5634))</f>
        <v/>
      </c>
    </row>
    <row r="5635" spans="2:2" x14ac:dyDescent="0.25">
      <c r="B5635" t="str">
        <f>IF(C5635="","",C5635&amp;COUNTIF(C$9:C5635,C5635))</f>
        <v/>
      </c>
    </row>
    <row r="5636" spans="2:2" x14ac:dyDescent="0.25">
      <c r="B5636" t="str">
        <f>IF(C5636="","",C5636&amp;COUNTIF(C$9:C5636,C5636))</f>
        <v/>
      </c>
    </row>
    <row r="5637" spans="2:2" x14ac:dyDescent="0.25">
      <c r="B5637" t="str">
        <f>IF(C5637="","",C5637&amp;COUNTIF(C$9:C5637,C5637))</f>
        <v/>
      </c>
    </row>
    <row r="5638" spans="2:2" x14ac:dyDescent="0.25">
      <c r="B5638" t="str">
        <f>IF(C5638="","",C5638&amp;COUNTIF(C$9:C5638,C5638))</f>
        <v/>
      </c>
    </row>
    <row r="5639" spans="2:2" x14ac:dyDescent="0.25">
      <c r="B5639" t="str">
        <f>IF(C5639="","",C5639&amp;COUNTIF(C$9:C5639,C5639))</f>
        <v/>
      </c>
    </row>
    <row r="5640" spans="2:2" x14ac:dyDescent="0.25">
      <c r="B5640" t="str">
        <f>IF(C5640="","",C5640&amp;COUNTIF(C$9:C5640,C5640))</f>
        <v/>
      </c>
    </row>
    <row r="5641" spans="2:2" x14ac:dyDescent="0.25">
      <c r="B5641" t="str">
        <f>IF(C5641="","",C5641&amp;COUNTIF(C$9:C5641,C5641))</f>
        <v/>
      </c>
    </row>
    <row r="5642" spans="2:2" x14ac:dyDescent="0.25">
      <c r="B5642" t="str">
        <f>IF(C5642="","",C5642&amp;COUNTIF(C$9:C5642,C5642))</f>
        <v/>
      </c>
    </row>
    <row r="5643" spans="2:2" x14ac:dyDescent="0.25">
      <c r="B5643" t="str">
        <f>IF(C5643="","",C5643&amp;COUNTIF(C$9:C5643,C5643))</f>
        <v/>
      </c>
    </row>
    <row r="5644" spans="2:2" x14ac:dyDescent="0.25">
      <c r="B5644" t="str">
        <f>IF(C5644="","",C5644&amp;COUNTIF(C$9:C5644,C5644))</f>
        <v/>
      </c>
    </row>
    <row r="5645" spans="2:2" x14ac:dyDescent="0.25">
      <c r="B5645" t="str">
        <f>IF(C5645="","",C5645&amp;COUNTIF(C$9:C5645,C5645))</f>
        <v/>
      </c>
    </row>
    <row r="5646" spans="2:2" x14ac:dyDescent="0.25">
      <c r="B5646" t="str">
        <f>IF(C5646="","",C5646&amp;COUNTIF(C$9:C5646,C5646))</f>
        <v/>
      </c>
    </row>
    <row r="5647" spans="2:2" x14ac:dyDescent="0.25">
      <c r="B5647" t="str">
        <f>IF(C5647="","",C5647&amp;COUNTIF(C$9:C5647,C5647))</f>
        <v/>
      </c>
    </row>
    <row r="5648" spans="2:2" x14ac:dyDescent="0.25">
      <c r="B5648" t="str">
        <f>IF(C5648="","",C5648&amp;COUNTIF(C$9:C5648,C5648))</f>
        <v/>
      </c>
    </row>
    <row r="5649" spans="2:2" x14ac:dyDescent="0.25">
      <c r="B5649" t="str">
        <f>IF(C5649="","",C5649&amp;COUNTIF(C$9:C5649,C5649))</f>
        <v/>
      </c>
    </row>
    <row r="5650" spans="2:2" x14ac:dyDescent="0.25">
      <c r="B5650" t="str">
        <f>IF(C5650="","",C5650&amp;COUNTIF(C$9:C5650,C5650))</f>
        <v/>
      </c>
    </row>
    <row r="5651" spans="2:2" x14ac:dyDescent="0.25">
      <c r="B5651" t="str">
        <f>IF(C5651="","",C5651&amp;COUNTIF(C$9:C5651,C5651))</f>
        <v/>
      </c>
    </row>
    <row r="5652" spans="2:2" x14ac:dyDescent="0.25">
      <c r="B5652" t="str">
        <f>IF(C5652="","",C5652&amp;COUNTIF(C$9:C5652,C5652))</f>
        <v/>
      </c>
    </row>
    <row r="5653" spans="2:2" x14ac:dyDescent="0.25">
      <c r="B5653" t="str">
        <f>IF(C5653="","",C5653&amp;COUNTIF(C$9:C5653,C5653))</f>
        <v/>
      </c>
    </row>
    <row r="5654" spans="2:2" x14ac:dyDescent="0.25">
      <c r="B5654" t="str">
        <f>IF(C5654="","",C5654&amp;COUNTIF(C$9:C5654,C5654))</f>
        <v/>
      </c>
    </row>
    <row r="5655" spans="2:2" x14ac:dyDescent="0.25">
      <c r="B5655" t="str">
        <f>IF(C5655="","",C5655&amp;COUNTIF(C$9:C5655,C5655))</f>
        <v/>
      </c>
    </row>
    <row r="5656" spans="2:2" x14ac:dyDescent="0.25">
      <c r="B5656" t="str">
        <f>IF(C5656="","",C5656&amp;COUNTIF(C$9:C5656,C5656))</f>
        <v/>
      </c>
    </row>
    <row r="5657" spans="2:2" x14ac:dyDescent="0.25">
      <c r="B5657" t="str">
        <f>IF(C5657="","",C5657&amp;COUNTIF(C$9:C5657,C5657))</f>
        <v/>
      </c>
    </row>
    <row r="5658" spans="2:2" x14ac:dyDescent="0.25">
      <c r="B5658" t="str">
        <f>IF(C5658="","",C5658&amp;COUNTIF(C$9:C5658,C5658))</f>
        <v/>
      </c>
    </row>
    <row r="5659" spans="2:2" x14ac:dyDescent="0.25">
      <c r="B5659" t="str">
        <f>IF(C5659="","",C5659&amp;COUNTIF(C$9:C5659,C5659))</f>
        <v/>
      </c>
    </row>
    <row r="5660" spans="2:2" x14ac:dyDescent="0.25">
      <c r="B5660" t="str">
        <f>IF(C5660="","",C5660&amp;COUNTIF(C$9:C5660,C5660))</f>
        <v/>
      </c>
    </row>
    <row r="5661" spans="2:2" x14ac:dyDescent="0.25">
      <c r="B5661" t="str">
        <f>IF(C5661="","",C5661&amp;COUNTIF(C$9:C5661,C5661))</f>
        <v/>
      </c>
    </row>
    <row r="5662" spans="2:2" x14ac:dyDescent="0.25">
      <c r="B5662" t="str">
        <f>IF(C5662="","",C5662&amp;COUNTIF(C$9:C5662,C5662))</f>
        <v/>
      </c>
    </row>
    <row r="5663" spans="2:2" x14ac:dyDescent="0.25">
      <c r="B5663" t="str">
        <f>IF(C5663="","",C5663&amp;COUNTIF(C$9:C5663,C5663))</f>
        <v/>
      </c>
    </row>
    <row r="5664" spans="2:2" x14ac:dyDescent="0.25">
      <c r="B5664" t="str">
        <f>IF(C5664="","",C5664&amp;COUNTIF(C$9:C5664,C5664))</f>
        <v/>
      </c>
    </row>
    <row r="5665" spans="2:2" x14ac:dyDescent="0.25">
      <c r="B5665" t="str">
        <f>IF(C5665="","",C5665&amp;COUNTIF(C$9:C5665,C5665))</f>
        <v/>
      </c>
    </row>
    <row r="5666" spans="2:2" x14ac:dyDescent="0.25">
      <c r="B5666" t="str">
        <f>IF(C5666="","",C5666&amp;COUNTIF(C$9:C5666,C5666))</f>
        <v/>
      </c>
    </row>
    <row r="5667" spans="2:2" x14ac:dyDescent="0.25">
      <c r="B5667" t="str">
        <f>IF(C5667="","",C5667&amp;COUNTIF(C$9:C5667,C5667))</f>
        <v/>
      </c>
    </row>
    <row r="5668" spans="2:2" x14ac:dyDescent="0.25">
      <c r="B5668" t="str">
        <f>IF(C5668="","",C5668&amp;COUNTIF(C$9:C5668,C5668))</f>
        <v/>
      </c>
    </row>
    <row r="5669" spans="2:2" x14ac:dyDescent="0.25">
      <c r="B5669" t="str">
        <f>IF(C5669="","",C5669&amp;COUNTIF(C$9:C5669,C5669))</f>
        <v/>
      </c>
    </row>
    <row r="5670" spans="2:2" x14ac:dyDescent="0.25">
      <c r="B5670" t="str">
        <f>IF(C5670="","",C5670&amp;COUNTIF(C$9:C5670,C5670))</f>
        <v/>
      </c>
    </row>
    <row r="5671" spans="2:2" x14ac:dyDescent="0.25">
      <c r="B5671" t="str">
        <f>IF(C5671="","",C5671&amp;COUNTIF(C$9:C5671,C5671))</f>
        <v/>
      </c>
    </row>
    <row r="5672" spans="2:2" x14ac:dyDescent="0.25">
      <c r="B5672" t="str">
        <f>IF(C5672="","",C5672&amp;COUNTIF(C$9:C5672,C5672))</f>
        <v/>
      </c>
    </row>
    <row r="5673" spans="2:2" x14ac:dyDescent="0.25">
      <c r="B5673" t="str">
        <f>IF(C5673="","",C5673&amp;COUNTIF(C$9:C5673,C5673))</f>
        <v/>
      </c>
    </row>
    <row r="5674" spans="2:2" x14ac:dyDescent="0.25">
      <c r="B5674" t="str">
        <f>IF(C5674="","",C5674&amp;COUNTIF(C$9:C5674,C5674))</f>
        <v/>
      </c>
    </row>
    <row r="5675" spans="2:2" x14ac:dyDescent="0.25">
      <c r="B5675" t="str">
        <f>IF(C5675="","",C5675&amp;COUNTIF(C$9:C5675,C5675))</f>
        <v/>
      </c>
    </row>
    <row r="5676" spans="2:2" x14ac:dyDescent="0.25">
      <c r="B5676" t="str">
        <f>IF(C5676="","",C5676&amp;COUNTIF(C$9:C5676,C5676))</f>
        <v/>
      </c>
    </row>
    <row r="5677" spans="2:2" x14ac:dyDescent="0.25">
      <c r="B5677" t="str">
        <f>IF(C5677="","",C5677&amp;COUNTIF(C$9:C5677,C5677))</f>
        <v/>
      </c>
    </row>
    <row r="5678" spans="2:2" x14ac:dyDescent="0.25">
      <c r="B5678" t="str">
        <f>IF(C5678="","",C5678&amp;COUNTIF(C$9:C5678,C5678))</f>
        <v/>
      </c>
    </row>
    <row r="5679" spans="2:2" x14ac:dyDescent="0.25">
      <c r="B5679" t="str">
        <f>IF(C5679="","",C5679&amp;COUNTIF(C$9:C5679,C5679))</f>
        <v/>
      </c>
    </row>
    <row r="5680" spans="2:2" x14ac:dyDescent="0.25">
      <c r="B5680" t="str">
        <f>IF(C5680="","",C5680&amp;COUNTIF(C$9:C5680,C5680))</f>
        <v/>
      </c>
    </row>
    <row r="5681" spans="2:2" x14ac:dyDescent="0.25">
      <c r="B5681" t="str">
        <f>IF(C5681="","",C5681&amp;COUNTIF(C$9:C5681,C5681))</f>
        <v/>
      </c>
    </row>
    <row r="5682" spans="2:2" x14ac:dyDescent="0.25">
      <c r="B5682" t="str">
        <f>IF(C5682="","",C5682&amp;COUNTIF(C$9:C5682,C5682))</f>
        <v/>
      </c>
    </row>
    <row r="5683" spans="2:2" x14ac:dyDescent="0.25">
      <c r="B5683" t="str">
        <f>IF(C5683="","",C5683&amp;COUNTIF(C$9:C5683,C5683))</f>
        <v/>
      </c>
    </row>
    <row r="5684" spans="2:2" x14ac:dyDescent="0.25">
      <c r="B5684" t="str">
        <f>IF(C5684="","",C5684&amp;COUNTIF(C$9:C5684,C5684))</f>
        <v/>
      </c>
    </row>
    <row r="5685" spans="2:2" x14ac:dyDescent="0.25">
      <c r="B5685" t="str">
        <f>IF(C5685="","",C5685&amp;COUNTIF(C$9:C5685,C5685))</f>
        <v/>
      </c>
    </row>
    <row r="5686" spans="2:2" x14ac:dyDescent="0.25">
      <c r="B5686" t="str">
        <f>IF(C5686="","",C5686&amp;COUNTIF(C$9:C5686,C5686))</f>
        <v/>
      </c>
    </row>
    <row r="5687" spans="2:2" x14ac:dyDescent="0.25">
      <c r="B5687" t="str">
        <f>IF(C5687="","",C5687&amp;COUNTIF(C$9:C5687,C5687))</f>
        <v/>
      </c>
    </row>
    <row r="5688" spans="2:2" x14ac:dyDescent="0.25">
      <c r="B5688" t="str">
        <f>IF(C5688="","",C5688&amp;COUNTIF(C$9:C5688,C5688))</f>
        <v/>
      </c>
    </row>
    <row r="5689" spans="2:2" x14ac:dyDescent="0.25">
      <c r="B5689" t="str">
        <f>IF(C5689="","",C5689&amp;COUNTIF(C$9:C5689,C5689))</f>
        <v/>
      </c>
    </row>
    <row r="5690" spans="2:2" x14ac:dyDescent="0.25">
      <c r="B5690" t="str">
        <f>IF(C5690="","",C5690&amp;COUNTIF(C$9:C5690,C5690))</f>
        <v/>
      </c>
    </row>
    <row r="5691" spans="2:2" x14ac:dyDescent="0.25">
      <c r="B5691" t="str">
        <f>IF(C5691="","",C5691&amp;COUNTIF(C$9:C5691,C5691))</f>
        <v/>
      </c>
    </row>
    <row r="5692" spans="2:2" x14ac:dyDescent="0.25">
      <c r="B5692" t="str">
        <f>IF(C5692="","",C5692&amp;COUNTIF(C$9:C5692,C5692))</f>
        <v/>
      </c>
    </row>
    <row r="5693" spans="2:2" x14ac:dyDescent="0.25">
      <c r="B5693" t="str">
        <f>IF(C5693="","",C5693&amp;COUNTIF(C$9:C5693,C5693))</f>
        <v/>
      </c>
    </row>
    <row r="5694" spans="2:2" x14ac:dyDescent="0.25">
      <c r="B5694" t="str">
        <f>IF(C5694="","",C5694&amp;COUNTIF(C$9:C5694,C5694))</f>
        <v/>
      </c>
    </row>
    <row r="5695" spans="2:2" x14ac:dyDescent="0.25">
      <c r="B5695" t="str">
        <f>IF(C5695="","",C5695&amp;COUNTIF(C$9:C5695,C5695))</f>
        <v/>
      </c>
    </row>
    <row r="5696" spans="2:2" x14ac:dyDescent="0.25">
      <c r="B5696" t="str">
        <f>IF(C5696="","",C5696&amp;COUNTIF(C$9:C5696,C5696))</f>
        <v/>
      </c>
    </row>
    <row r="5697" spans="2:2" x14ac:dyDescent="0.25">
      <c r="B5697" t="str">
        <f>IF(C5697="","",C5697&amp;COUNTIF(C$9:C5697,C5697))</f>
        <v/>
      </c>
    </row>
    <row r="5698" spans="2:2" x14ac:dyDescent="0.25">
      <c r="B5698" t="str">
        <f>IF(C5698="","",C5698&amp;COUNTIF(C$9:C5698,C5698))</f>
        <v/>
      </c>
    </row>
    <row r="5699" spans="2:2" x14ac:dyDescent="0.25">
      <c r="B5699" t="str">
        <f>IF(C5699="","",C5699&amp;COUNTIF(C$9:C5699,C5699))</f>
        <v/>
      </c>
    </row>
    <row r="5700" spans="2:2" x14ac:dyDescent="0.25">
      <c r="B5700" t="str">
        <f>IF(C5700="","",C5700&amp;COUNTIF(C$9:C5700,C5700))</f>
        <v/>
      </c>
    </row>
    <row r="5701" spans="2:2" x14ac:dyDescent="0.25">
      <c r="B5701" t="str">
        <f>IF(C5701="","",C5701&amp;COUNTIF(C$9:C5701,C5701))</f>
        <v/>
      </c>
    </row>
    <row r="5702" spans="2:2" x14ac:dyDescent="0.25">
      <c r="B5702" t="str">
        <f>IF(C5702="","",C5702&amp;COUNTIF(C$9:C5702,C5702))</f>
        <v/>
      </c>
    </row>
    <row r="5703" spans="2:2" x14ac:dyDescent="0.25">
      <c r="B5703" t="str">
        <f>IF(C5703="","",C5703&amp;COUNTIF(C$9:C5703,C5703))</f>
        <v/>
      </c>
    </row>
    <row r="5704" spans="2:2" x14ac:dyDescent="0.25">
      <c r="B5704" t="str">
        <f>IF(C5704="","",C5704&amp;COUNTIF(C$9:C5704,C5704))</f>
        <v/>
      </c>
    </row>
    <row r="5705" spans="2:2" x14ac:dyDescent="0.25">
      <c r="B5705" t="str">
        <f>IF(C5705="","",C5705&amp;COUNTIF(C$9:C5705,C5705))</f>
        <v/>
      </c>
    </row>
    <row r="5706" spans="2:2" x14ac:dyDescent="0.25">
      <c r="B5706" t="str">
        <f>IF(C5706="","",C5706&amp;COUNTIF(C$9:C5706,C5706))</f>
        <v/>
      </c>
    </row>
    <row r="5707" spans="2:2" x14ac:dyDescent="0.25">
      <c r="B5707" t="str">
        <f>IF(C5707="","",C5707&amp;COUNTIF(C$9:C5707,C5707))</f>
        <v/>
      </c>
    </row>
    <row r="5708" spans="2:2" x14ac:dyDescent="0.25">
      <c r="B5708" t="str">
        <f>IF(C5708="","",C5708&amp;COUNTIF(C$9:C5708,C5708))</f>
        <v/>
      </c>
    </row>
    <row r="5709" spans="2:2" x14ac:dyDescent="0.25">
      <c r="B5709" t="str">
        <f>IF(C5709="","",C5709&amp;COUNTIF(C$9:C5709,C5709))</f>
        <v/>
      </c>
    </row>
    <row r="5710" spans="2:2" x14ac:dyDescent="0.25">
      <c r="B5710" t="str">
        <f>IF(C5710="","",C5710&amp;COUNTIF(C$9:C5710,C5710))</f>
        <v/>
      </c>
    </row>
    <row r="5711" spans="2:2" x14ac:dyDescent="0.25">
      <c r="B5711" t="str">
        <f>IF(C5711="","",C5711&amp;COUNTIF(C$9:C5711,C5711))</f>
        <v/>
      </c>
    </row>
    <row r="5712" spans="2:2" x14ac:dyDescent="0.25">
      <c r="B5712" t="str">
        <f>IF(C5712="","",C5712&amp;COUNTIF(C$9:C5712,C5712))</f>
        <v/>
      </c>
    </row>
    <row r="5713" spans="2:2" x14ac:dyDescent="0.25">
      <c r="B5713" t="str">
        <f>IF(C5713="","",C5713&amp;COUNTIF(C$9:C5713,C5713))</f>
        <v/>
      </c>
    </row>
    <row r="5714" spans="2:2" x14ac:dyDescent="0.25">
      <c r="B5714" t="str">
        <f>IF(C5714="","",C5714&amp;COUNTIF(C$9:C5714,C5714))</f>
        <v/>
      </c>
    </row>
    <row r="5715" spans="2:2" x14ac:dyDescent="0.25">
      <c r="B5715" t="str">
        <f>IF(C5715="","",C5715&amp;COUNTIF(C$9:C5715,C5715))</f>
        <v/>
      </c>
    </row>
    <row r="5716" spans="2:2" x14ac:dyDescent="0.25">
      <c r="B5716" t="str">
        <f>IF(C5716="","",C5716&amp;COUNTIF(C$9:C5716,C5716))</f>
        <v/>
      </c>
    </row>
    <row r="5717" spans="2:2" x14ac:dyDescent="0.25">
      <c r="B5717" t="str">
        <f>IF(C5717="","",C5717&amp;COUNTIF(C$9:C5717,C5717))</f>
        <v/>
      </c>
    </row>
    <row r="5718" spans="2:2" x14ac:dyDescent="0.25">
      <c r="B5718" t="str">
        <f>IF(C5718="","",C5718&amp;COUNTIF(C$9:C5718,C5718))</f>
        <v/>
      </c>
    </row>
    <row r="5719" spans="2:2" x14ac:dyDescent="0.25">
      <c r="B5719" t="str">
        <f>IF(C5719="","",C5719&amp;COUNTIF(C$9:C5719,C5719))</f>
        <v/>
      </c>
    </row>
    <row r="5720" spans="2:2" x14ac:dyDescent="0.25">
      <c r="B5720" t="str">
        <f>IF(C5720="","",C5720&amp;COUNTIF(C$9:C5720,C5720))</f>
        <v/>
      </c>
    </row>
    <row r="5721" spans="2:2" x14ac:dyDescent="0.25">
      <c r="B5721" t="str">
        <f>IF(C5721="","",C5721&amp;COUNTIF(C$9:C5721,C5721))</f>
        <v/>
      </c>
    </row>
    <row r="5722" spans="2:2" x14ac:dyDescent="0.25">
      <c r="B5722" t="str">
        <f>IF(C5722="","",C5722&amp;COUNTIF(C$9:C5722,C5722))</f>
        <v/>
      </c>
    </row>
    <row r="5723" spans="2:2" x14ac:dyDescent="0.25">
      <c r="B5723" t="str">
        <f>IF(C5723="","",C5723&amp;COUNTIF(C$9:C5723,C5723))</f>
        <v/>
      </c>
    </row>
    <row r="5724" spans="2:2" x14ac:dyDescent="0.25">
      <c r="B5724" t="str">
        <f>IF(C5724="","",C5724&amp;COUNTIF(C$9:C5724,C5724))</f>
        <v/>
      </c>
    </row>
    <row r="5725" spans="2:2" x14ac:dyDescent="0.25">
      <c r="B5725" t="str">
        <f>IF(C5725="","",C5725&amp;COUNTIF(C$9:C5725,C5725))</f>
        <v/>
      </c>
    </row>
    <row r="5726" spans="2:2" x14ac:dyDescent="0.25">
      <c r="B5726" t="str">
        <f>IF(C5726="","",C5726&amp;COUNTIF(C$9:C5726,C5726))</f>
        <v/>
      </c>
    </row>
    <row r="5727" spans="2:2" x14ac:dyDescent="0.25">
      <c r="B5727" t="str">
        <f>IF(C5727="","",C5727&amp;COUNTIF(C$9:C5727,C5727))</f>
        <v/>
      </c>
    </row>
    <row r="5728" spans="2:2" x14ac:dyDescent="0.25">
      <c r="B5728" t="str">
        <f>IF(C5728="","",C5728&amp;COUNTIF(C$9:C5728,C5728))</f>
        <v/>
      </c>
    </row>
    <row r="5729" spans="2:2" x14ac:dyDescent="0.25">
      <c r="B5729" t="str">
        <f>IF(C5729="","",C5729&amp;COUNTIF(C$9:C5729,C5729))</f>
        <v/>
      </c>
    </row>
    <row r="5730" spans="2:2" x14ac:dyDescent="0.25">
      <c r="B5730" t="str">
        <f>IF(C5730="","",C5730&amp;COUNTIF(C$9:C5730,C5730))</f>
        <v/>
      </c>
    </row>
    <row r="5731" spans="2:2" x14ac:dyDescent="0.25">
      <c r="B5731" t="str">
        <f>IF(C5731="","",C5731&amp;COUNTIF(C$9:C5731,C5731))</f>
        <v/>
      </c>
    </row>
    <row r="5732" spans="2:2" x14ac:dyDescent="0.25">
      <c r="B5732" t="str">
        <f>IF(C5732="","",C5732&amp;COUNTIF(C$9:C5732,C5732))</f>
        <v/>
      </c>
    </row>
    <row r="5733" spans="2:2" x14ac:dyDescent="0.25">
      <c r="B5733" t="str">
        <f>IF(C5733="","",C5733&amp;COUNTIF(C$9:C5733,C5733))</f>
        <v/>
      </c>
    </row>
    <row r="5734" spans="2:2" x14ac:dyDescent="0.25">
      <c r="B5734" t="str">
        <f>IF(C5734="","",C5734&amp;COUNTIF(C$9:C5734,C5734))</f>
        <v/>
      </c>
    </row>
    <row r="5735" spans="2:2" x14ac:dyDescent="0.25">
      <c r="B5735" t="str">
        <f>IF(C5735="","",C5735&amp;COUNTIF(C$9:C5735,C5735))</f>
        <v/>
      </c>
    </row>
    <row r="5736" spans="2:2" x14ac:dyDescent="0.25">
      <c r="B5736" t="str">
        <f>IF(C5736="","",C5736&amp;COUNTIF(C$9:C5736,C5736))</f>
        <v/>
      </c>
    </row>
    <row r="5737" spans="2:2" x14ac:dyDescent="0.25">
      <c r="B5737" t="str">
        <f>IF(C5737="","",C5737&amp;COUNTIF(C$9:C5737,C5737))</f>
        <v/>
      </c>
    </row>
    <row r="5738" spans="2:2" x14ac:dyDescent="0.25">
      <c r="B5738" t="str">
        <f>IF(C5738="","",C5738&amp;COUNTIF(C$9:C5738,C5738))</f>
        <v/>
      </c>
    </row>
    <row r="5739" spans="2:2" x14ac:dyDescent="0.25">
      <c r="B5739" t="str">
        <f>IF(C5739="","",C5739&amp;COUNTIF(C$9:C5739,C5739))</f>
        <v/>
      </c>
    </row>
    <row r="5740" spans="2:2" x14ac:dyDescent="0.25">
      <c r="B5740" t="str">
        <f>IF(C5740="","",C5740&amp;COUNTIF(C$9:C5740,C5740))</f>
        <v/>
      </c>
    </row>
    <row r="5741" spans="2:2" x14ac:dyDescent="0.25">
      <c r="B5741" t="str">
        <f>IF(C5741="","",C5741&amp;COUNTIF(C$9:C5741,C5741))</f>
        <v/>
      </c>
    </row>
    <row r="5742" spans="2:2" x14ac:dyDescent="0.25">
      <c r="B5742" t="str">
        <f>IF(C5742="","",C5742&amp;COUNTIF(C$9:C5742,C5742))</f>
        <v/>
      </c>
    </row>
    <row r="5743" spans="2:2" x14ac:dyDescent="0.25">
      <c r="B5743" t="str">
        <f>IF(C5743="","",C5743&amp;COUNTIF(C$9:C5743,C5743))</f>
        <v/>
      </c>
    </row>
    <row r="5744" spans="2:2" x14ac:dyDescent="0.25">
      <c r="B5744" t="str">
        <f>IF(C5744="","",C5744&amp;COUNTIF(C$9:C5744,C5744))</f>
        <v/>
      </c>
    </row>
    <row r="5745" spans="2:2" x14ac:dyDescent="0.25">
      <c r="B5745" t="str">
        <f>IF(C5745="","",C5745&amp;COUNTIF(C$9:C5745,C5745))</f>
        <v/>
      </c>
    </row>
    <row r="5746" spans="2:2" x14ac:dyDescent="0.25">
      <c r="B5746" t="str">
        <f>IF(C5746="","",C5746&amp;COUNTIF(C$9:C5746,C5746))</f>
        <v/>
      </c>
    </row>
    <row r="5747" spans="2:2" x14ac:dyDescent="0.25">
      <c r="B5747" t="str">
        <f>IF(C5747="","",C5747&amp;COUNTIF(C$9:C5747,C5747))</f>
        <v/>
      </c>
    </row>
    <row r="5748" spans="2:2" x14ac:dyDescent="0.25">
      <c r="B5748" t="str">
        <f>IF(C5748="","",C5748&amp;COUNTIF(C$9:C5748,C5748))</f>
        <v/>
      </c>
    </row>
    <row r="5749" spans="2:2" x14ac:dyDescent="0.25">
      <c r="B5749" t="str">
        <f>IF(C5749="","",C5749&amp;COUNTIF(C$9:C5749,C5749))</f>
        <v/>
      </c>
    </row>
    <row r="5750" spans="2:2" x14ac:dyDescent="0.25">
      <c r="B5750" t="str">
        <f>IF(C5750="","",C5750&amp;COUNTIF(C$9:C5750,C5750))</f>
        <v/>
      </c>
    </row>
    <row r="5751" spans="2:2" x14ac:dyDescent="0.25">
      <c r="B5751" t="str">
        <f>IF(C5751="","",C5751&amp;COUNTIF(C$9:C5751,C5751))</f>
        <v/>
      </c>
    </row>
    <row r="5752" spans="2:2" x14ac:dyDescent="0.25">
      <c r="B5752" t="str">
        <f>IF(C5752="","",C5752&amp;COUNTIF(C$9:C5752,C5752))</f>
        <v/>
      </c>
    </row>
    <row r="5753" spans="2:2" x14ac:dyDescent="0.25">
      <c r="B5753" t="str">
        <f>IF(C5753="","",C5753&amp;COUNTIF(C$9:C5753,C5753))</f>
        <v/>
      </c>
    </row>
    <row r="5754" spans="2:2" x14ac:dyDescent="0.25">
      <c r="B5754" t="str">
        <f>IF(C5754="","",C5754&amp;COUNTIF(C$9:C5754,C5754))</f>
        <v/>
      </c>
    </row>
    <row r="5755" spans="2:2" x14ac:dyDescent="0.25">
      <c r="B5755" t="str">
        <f>IF(C5755="","",C5755&amp;COUNTIF(C$9:C5755,C5755))</f>
        <v/>
      </c>
    </row>
    <row r="5756" spans="2:2" x14ac:dyDescent="0.25">
      <c r="B5756" t="str">
        <f>IF(C5756="","",C5756&amp;COUNTIF(C$9:C5756,C5756))</f>
        <v/>
      </c>
    </row>
    <row r="5757" spans="2:2" x14ac:dyDescent="0.25">
      <c r="B5757" t="str">
        <f>IF(C5757="","",C5757&amp;COUNTIF(C$9:C5757,C5757))</f>
        <v/>
      </c>
    </row>
    <row r="5758" spans="2:2" x14ac:dyDescent="0.25">
      <c r="B5758" t="str">
        <f>IF(C5758="","",C5758&amp;COUNTIF(C$9:C5758,C5758))</f>
        <v/>
      </c>
    </row>
    <row r="5759" spans="2:2" x14ac:dyDescent="0.25">
      <c r="B5759" t="str">
        <f>IF(C5759="","",C5759&amp;COUNTIF(C$9:C5759,C5759))</f>
        <v/>
      </c>
    </row>
    <row r="5760" spans="2:2" x14ac:dyDescent="0.25">
      <c r="B5760" t="str">
        <f>IF(C5760="","",C5760&amp;COUNTIF(C$9:C5760,C5760))</f>
        <v/>
      </c>
    </row>
    <row r="5761" spans="2:2" x14ac:dyDescent="0.25">
      <c r="B5761" t="str">
        <f>IF(C5761="","",C5761&amp;COUNTIF(C$9:C5761,C5761))</f>
        <v/>
      </c>
    </row>
    <row r="5762" spans="2:2" x14ac:dyDescent="0.25">
      <c r="B5762" t="str">
        <f>IF(C5762="","",C5762&amp;COUNTIF(C$9:C5762,C5762))</f>
        <v/>
      </c>
    </row>
    <row r="5763" spans="2:2" x14ac:dyDescent="0.25">
      <c r="B5763" t="str">
        <f>IF(C5763="","",C5763&amp;COUNTIF(C$9:C5763,C5763))</f>
        <v/>
      </c>
    </row>
    <row r="5764" spans="2:2" x14ac:dyDescent="0.25">
      <c r="B5764" t="str">
        <f>IF(C5764="","",C5764&amp;COUNTIF(C$9:C5764,C5764))</f>
        <v/>
      </c>
    </row>
    <row r="5765" spans="2:2" x14ac:dyDescent="0.25">
      <c r="B5765" t="str">
        <f>IF(C5765="","",C5765&amp;COUNTIF(C$9:C5765,C5765))</f>
        <v/>
      </c>
    </row>
    <row r="5766" spans="2:2" x14ac:dyDescent="0.25">
      <c r="B5766" t="str">
        <f>IF(C5766="","",C5766&amp;COUNTIF(C$9:C5766,C5766))</f>
        <v/>
      </c>
    </row>
    <row r="5767" spans="2:2" x14ac:dyDescent="0.25">
      <c r="B5767" t="str">
        <f>IF(C5767="","",C5767&amp;COUNTIF(C$9:C5767,C5767))</f>
        <v/>
      </c>
    </row>
    <row r="5768" spans="2:2" x14ac:dyDescent="0.25">
      <c r="B5768" t="str">
        <f>IF(C5768="","",C5768&amp;COUNTIF(C$9:C5768,C5768))</f>
        <v/>
      </c>
    </row>
    <row r="5769" spans="2:2" x14ac:dyDescent="0.25">
      <c r="B5769" t="str">
        <f>IF(C5769="","",C5769&amp;COUNTIF(C$9:C5769,C5769))</f>
        <v/>
      </c>
    </row>
    <row r="5770" spans="2:2" x14ac:dyDescent="0.25">
      <c r="B5770" t="str">
        <f>IF(C5770="","",C5770&amp;COUNTIF(C$9:C5770,C5770))</f>
        <v/>
      </c>
    </row>
    <row r="5771" spans="2:2" x14ac:dyDescent="0.25">
      <c r="B5771" t="str">
        <f>IF(C5771="","",C5771&amp;COUNTIF(C$9:C5771,C5771))</f>
        <v/>
      </c>
    </row>
    <row r="5772" spans="2:2" x14ac:dyDescent="0.25">
      <c r="B5772" t="str">
        <f>IF(C5772="","",C5772&amp;COUNTIF(C$9:C5772,C5772))</f>
        <v/>
      </c>
    </row>
    <row r="5773" spans="2:2" x14ac:dyDescent="0.25">
      <c r="B5773" t="str">
        <f>IF(C5773="","",C5773&amp;COUNTIF(C$9:C5773,C5773))</f>
        <v/>
      </c>
    </row>
    <row r="5774" spans="2:2" x14ac:dyDescent="0.25">
      <c r="B5774" t="str">
        <f>IF(C5774="","",C5774&amp;COUNTIF(C$9:C5774,C5774))</f>
        <v/>
      </c>
    </row>
    <row r="5775" spans="2:2" x14ac:dyDescent="0.25">
      <c r="B5775" t="str">
        <f>IF(C5775="","",C5775&amp;COUNTIF(C$9:C5775,C5775))</f>
        <v/>
      </c>
    </row>
    <row r="5776" spans="2:2" x14ac:dyDescent="0.25">
      <c r="B5776" t="str">
        <f>IF(C5776="","",C5776&amp;COUNTIF(C$9:C5776,C5776))</f>
        <v/>
      </c>
    </row>
    <row r="5777" spans="2:2" x14ac:dyDescent="0.25">
      <c r="B5777" t="str">
        <f>IF(C5777="","",C5777&amp;COUNTIF(C$9:C5777,C5777))</f>
        <v/>
      </c>
    </row>
    <row r="5778" spans="2:2" x14ac:dyDescent="0.25">
      <c r="B5778" t="str">
        <f>IF(C5778="","",C5778&amp;COUNTIF(C$9:C5778,C5778))</f>
        <v/>
      </c>
    </row>
    <row r="5779" spans="2:2" x14ac:dyDescent="0.25">
      <c r="B5779" t="str">
        <f>IF(C5779="","",C5779&amp;COUNTIF(C$9:C5779,C5779))</f>
        <v/>
      </c>
    </row>
    <row r="5780" spans="2:2" x14ac:dyDescent="0.25">
      <c r="B5780" t="str">
        <f>IF(C5780="","",C5780&amp;COUNTIF(C$9:C5780,C5780))</f>
        <v/>
      </c>
    </row>
    <row r="5781" spans="2:2" x14ac:dyDescent="0.25">
      <c r="B5781" t="str">
        <f>IF(C5781="","",C5781&amp;COUNTIF(C$9:C5781,C5781))</f>
        <v/>
      </c>
    </row>
    <row r="5782" spans="2:2" x14ac:dyDescent="0.25">
      <c r="B5782" t="str">
        <f>IF(C5782="","",C5782&amp;COUNTIF(C$9:C5782,C5782))</f>
        <v/>
      </c>
    </row>
    <row r="5783" spans="2:2" x14ac:dyDescent="0.25">
      <c r="B5783" t="str">
        <f>IF(C5783="","",C5783&amp;COUNTIF(C$9:C5783,C5783))</f>
        <v/>
      </c>
    </row>
    <row r="5784" spans="2:2" x14ac:dyDescent="0.25">
      <c r="B5784" t="str">
        <f>IF(C5784="","",C5784&amp;COUNTIF(C$9:C5784,C5784))</f>
        <v/>
      </c>
    </row>
    <row r="5785" spans="2:2" x14ac:dyDescent="0.25">
      <c r="B5785" t="str">
        <f>IF(C5785="","",C5785&amp;COUNTIF(C$9:C5785,C5785))</f>
        <v/>
      </c>
    </row>
    <row r="5786" spans="2:2" x14ac:dyDescent="0.25">
      <c r="B5786" t="str">
        <f>IF(C5786="","",C5786&amp;COUNTIF(C$9:C5786,C5786))</f>
        <v/>
      </c>
    </row>
    <row r="5787" spans="2:2" x14ac:dyDescent="0.25">
      <c r="B5787" t="str">
        <f>IF(C5787="","",C5787&amp;COUNTIF(C$9:C5787,C5787))</f>
        <v/>
      </c>
    </row>
    <row r="5788" spans="2:2" x14ac:dyDescent="0.25">
      <c r="B5788" t="str">
        <f>IF(C5788="","",C5788&amp;COUNTIF(C$9:C5788,C5788))</f>
        <v/>
      </c>
    </row>
    <row r="5789" spans="2:2" x14ac:dyDescent="0.25">
      <c r="B5789" t="str">
        <f>IF(C5789="","",C5789&amp;COUNTIF(C$9:C5789,C5789))</f>
        <v/>
      </c>
    </row>
    <row r="5790" spans="2:2" x14ac:dyDescent="0.25">
      <c r="B5790" t="str">
        <f>IF(C5790="","",C5790&amp;COUNTIF(C$9:C5790,C5790))</f>
        <v/>
      </c>
    </row>
    <row r="5791" spans="2:2" x14ac:dyDescent="0.25">
      <c r="B5791" t="str">
        <f>IF(C5791="","",C5791&amp;COUNTIF(C$9:C5791,C5791))</f>
        <v/>
      </c>
    </row>
    <row r="5792" spans="2:2" x14ac:dyDescent="0.25">
      <c r="B5792" t="str">
        <f>IF(C5792="","",C5792&amp;COUNTIF(C$9:C5792,C5792))</f>
        <v/>
      </c>
    </row>
    <row r="5793" spans="2:2" x14ac:dyDescent="0.25">
      <c r="B5793" t="str">
        <f>IF(C5793="","",C5793&amp;COUNTIF(C$9:C5793,C5793))</f>
        <v/>
      </c>
    </row>
    <row r="5794" spans="2:2" x14ac:dyDescent="0.25">
      <c r="B5794" t="str">
        <f>IF(C5794="","",C5794&amp;COUNTIF(C$9:C5794,C5794))</f>
        <v/>
      </c>
    </row>
    <row r="5795" spans="2:2" x14ac:dyDescent="0.25">
      <c r="B5795" t="str">
        <f>IF(C5795="","",C5795&amp;COUNTIF(C$9:C5795,C5795))</f>
        <v/>
      </c>
    </row>
    <row r="5796" spans="2:2" x14ac:dyDescent="0.25">
      <c r="B5796" t="str">
        <f>IF(C5796="","",C5796&amp;COUNTIF(C$9:C5796,C5796))</f>
        <v/>
      </c>
    </row>
    <row r="5797" spans="2:2" x14ac:dyDescent="0.25">
      <c r="B5797" t="str">
        <f>IF(C5797="","",C5797&amp;COUNTIF(C$9:C5797,C5797))</f>
        <v/>
      </c>
    </row>
    <row r="5798" spans="2:2" x14ac:dyDescent="0.25">
      <c r="B5798" t="str">
        <f>IF(C5798="","",C5798&amp;COUNTIF(C$9:C5798,C5798))</f>
        <v/>
      </c>
    </row>
    <row r="5799" spans="2:2" x14ac:dyDescent="0.25">
      <c r="B5799" t="str">
        <f>IF(C5799="","",C5799&amp;COUNTIF(C$9:C5799,C5799))</f>
        <v/>
      </c>
    </row>
    <row r="5800" spans="2:2" x14ac:dyDescent="0.25">
      <c r="B5800" t="str">
        <f>IF(C5800="","",C5800&amp;COUNTIF(C$9:C5800,C5800))</f>
        <v/>
      </c>
    </row>
    <row r="5801" spans="2:2" x14ac:dyDescent="0.25">
      <c r="B5801" t="str">
        <f>IF(C5801="","",C5801&amp;COUNTIF(C$9:C5801,C5801))</f>
        <v/>
      </c>
    </row>
    <row r="5802" spans="2:2" x14ac:dyDescent="0.25">
      <c r="B5802" t="str">
        <f>IF(C5802="","",C5802&amp;COUNTIF(C$9:C5802,C5802))</f>
        <v/>
      </c>
    </row>
    <row r="5803" spans="2:2" x14ac:dyDescent="0.25">
      <c r="B5803" t="str">
        <f>IF(C5803="","",C5803&amp;COUNTIF(C$9:C5803,C5803))</f>
        <v/>
      </c>
    </row>
    <row r="5804" spans="2:2" x14ac:dyDescent="0.25">
      <c r="B5804" t="str">
        <f>IF(C5804="","",C5804&amp;COUNTIF(C$9:C5804,C5804))</f>
        <v/>
      </c>
    </row>
    <row r="5805" spans="2:2" x14ac:dyDescent="0.25">
      <c r="B5805" t="str">
        <f>IF(C5805="","",C5805&amp;COUNTIF(C$9:C5805,C5805))</f>
        <v/>
      </c>
    </row>
    <row r="5806" spans="2:2" x14ac:dyDescent="0.25">
      <c r="B5806" t="str">
        <f>IF(C5806="","",C5806&amp;COUNTIF(C$9:C5806,C5806))</f>
        <v/>
      </c>
    </row>
    <row r="5807" spans="2:2" x14ac:dyDescent="0.25">
      <c r="B5807" t="str">
        <f>IF(C5807="","",C5807&amp;COUNTIF(C$9:C5807,C5807))</f>
        <v/>
      </c>
    </row>
    <row r="5808" spans="2:2" x14ac:dyDescent="0.25">
      <c r="B5808" t="str">
        <f>IF(C5808="","",C5808&amp;COUNTIF(C$9:C5808,C5808))</f>
        <v/>
      </c>
    </row>
    <row r="5809" spans="2:2" x14ac:dyDescent="0.25">
      <c r="B5809" t="str">
        <f>IF(C5809="","",C5809&amp;COUNTIF(C$9:C5809,C5809))</f>
        <v/>
      </c>
    </row>
    <row r="5810" spans="2:2" x14ac:dyDescent="0.25">
      <c r="B5810" t="str">
        <f>IF(C5810="","",C5810&amp;COUNTIF(C$9:C5810,C5810))</f>
        <v/>
      </c>
    </row>
    <row r="5811" spans="2:2" x14ac:dyDescent="0.25">
      <c r="B5811" t="str">
        <f>IF(C5811="","",C5811&amp;COUNTIF(C$9:C5811,C5811))</f>
        <v/>
      </c>
    </row>
    <row r="5812" spans="2:2" x14ac:dyDescent="0.25">
      <c r="B5812" t="str">
        <f>IF(C5812="","",C5812&amp;COUNTIF(C$9:C5812,C5812))</f>
        <v/>
      </c>
    </row>
    <row r="5813" spans="2:2" x14ac:dyDescent="0.25">
      <c r="B5813" t="str">
        <f>IF(C5813="","",C5813&amp;COUNTIF(C$9:C5813,C5813))</f>
        <v/>
      </c>
    </row>
    <row r="5814" spans="2:2" x14ac:dyDescent="0.25">
      <c r="B5814" t="str">
        <f>IF(C5814="","",C5814&amp;COUNTIF(C$9:C5814,C5814))</f>
        <v/>
      </c>
    </row>
    <row r="5815" spans="2:2" x14ac:dyDescent="0.25">
      <c r="B5815" t="str">
        <f>IF(C5815="","",C5815&amp;COUNTIF(C$9:C5815,C5815))</f>
        <v/>
      </c>
    </row>
    <row r="5816" spans="2:2" x14ac:dyDescent="0.25">
      <c r="B5816" t="str">
        <f>IF(C5816="","",C5816&amp;COUNTIF(C$9:C5816,C5816))</f>
        <v/>
      </c>
    </row>
    <row r="5817" spans="2:2" x14ac:dyDescent="0.25">
      <c r="B5817" t="str">
        <f>IF(C5817="","",C5817&amp;COUNTIF(C$9:C5817,C5817))</f>
        <v/>
      </c>
    </row>
    <row r="5818" spans="2:2" x14ac:dyDescent="0.25">
      <c r="B5818" t="str">
        <f>IF(C5818="","",C5818&amp;COUNTIF(C$9:C5818,C5818))</f>
        <v/>
      </c>
    </row>
    <row r="5819" spans="2:2" x14ac:dyDescent="0.25">
      <c r="B5819" t="str">
        <f>IF(C5819="","",C5819&amp;COUNTIF(C$9:C5819,C5819))</f>
        <v/>
      </c>
    </row>
    <row r="5820" spans="2:2" x14ac:dyDescent="0.25">
      <c r="B5820" t="str">
        <f>IF(C5820="","",C5820&amp;COUNTIF(C$9:C5820,C5820))</f>
        <v/>
      </c>
    </row>
    <row r="5821" spans="2:2" x14ac:dyDescent="0.25">
      <c r="B5821" t="str">
        <f>IF(C5821="","",C5821&amp;COUNTIF(C$9:C5821,C5821))</f>
        <v/>
      </c>
    </row>
    <row r="5822" spans="2:2" x14ac:dyDescent="0.25">
      <c r="B5822" t="str">
        <f>IF(C5822="","",C5822&amp;COUNTIF(C$9:C5822,C5822))</f>
        <v/>
      </c>
    </row>
    <row r="5823" spans="2:2" x14ac:dyDescent="0.25">
      <c r="B5823" t="str">
        <f>IF(C5823="","",C5823&amp;COUNTIF(C$9:C5823,C5823))</f>
        <v/>
      </c>
    </row>
    <row r="5824" spans="2:2" x14ac:dyDescent="0.25">
      <c r="B5824" t="str">
        <f>IF(C5824="","",C5824&amp;COUNTIF(C$9:C5824,C5824))</f>
        <v/>
      </c>
    </row>
    <row r="5825" spans="2:2" x14ac:dyDescent="0.25">
      <c r="B5825" t="str">
        <f>IF(C5825="","",C5825&amp;COUNTIF(C$9:C5825,C5825))</f>
        <v/>
      </c>
    </row>
    <row r="5826" spans="2:2" x14ac:dyDescent="0.25">
      <c r="B5826" t="str">
        <f>IF(C5826="","",C5826&amp;COUNTIF(C$9:C5826,C5826))</f>
        <v/>
      </c>
    </row>
    <row r="5827" spans="2:2" x14ac:dyDescent="0.25">
      <c r="B5827" t="str">
        <f>IF(C5827="","",C5827&amp;COUNTIF(C$9:C5827,C5827))</f>
        <v/>
      </c>
    </row>
    <row r="5828" spans="2:2" x14ac:dyDescent="0.25">
      <c r="B5828" t="str">
        <f>IF(C5828="","",C5828&amp;COUNTIF(C$9:C5828,C5828))</f>
        <v/>
      </c>
    </row>
    <row r="5829" spans="2:2" x14ac:dyDescent="0.25">
      <c r="B5829" t="str">
        <f>IF(C5829="","",C5829&amp;COUNTIF(C$9:C5829,C5829))</f>
        <v/>
      </c>
    </row>
    <row r="5830" spans="2:2" x14ac:dyDescent="0.25">
      <c r="B5830" t="str">
        <f>IF(C5830="","",C5830&amp;COUNTIF(C$9:C5830,C5830))</f>
        <v/>
      </c>
    </row>
    <row r="5831" spans="2:2" x14ac:dyDescent="0.25">
      <c r="B5831" t="str">
        <f>IF(C5831="","",C5831&amp;COUNTIF(C$9:C5831,C5831))</f>
        <v/>
      </c>
    </row>
    <row r="5832" spans="2:2" x14ac:dyDescent="0.25">
      <c r="B5832" t="str">
        <f>IF(C5832="","",C5832&amp;COUNTIF(C$9:C5832,C5832))</f>
        <v/>
      </c>
    </row>
    <row r="5833" spans="2:2" x14ac:dyDescent="0.25">
      <c r="B5833" t="str">
        <f>IF(C5833="","",C5833&amp;COUNTIF(C$9:C5833,C5833))</f>
        <v/>
      </c>
    </row>
    <row r="5834" spans="2:2" x14ac:dyDescent="0.25">
      <c r="B5834" t="str">
        <f>IF(C5834="","",C5834&amp;COUNTIF(C$9:C5834,C5834))</f>
        <v/>
      </c>
    </row>
    <row r="5835" spans="2:2" x14ac:dyDescent="0.25">
      <c r="B5835" t="str">
        <f>IF(C5835="","",C5835&amp;COUNTIF(C$9:C5835,C5835))</f>
        <v/>
      </c>
    </row>
    <row r="5836" spans="2:2" x14ac:dyDescent="0.25">
      <c r="B5836" t="str">
        <f>IF(C5836="","",C5836&amp;COUNTIF(C$9:C5836,C5836))</f>
        <v/>
      </c>
    </row>
    <row r="5837" spans="2:2" x14ac:dyDescent="0.25">
      <c r="B5837" t="str">
        <f>IF(C5837="","",C5837&amp;COUNTIF(C$9:C5837,C5837))</f>
        <v/>
      </c>
    </row>
    <row r="5838" spans="2:2" x14ac:dyDescent="0.25">
      <c r="B5838" t="str">
        <f>IF(C5838="","",C5838&amp;COUNTIF(C$9:C5838,C5838))</f>
        <v/>
      </c>
    </row>
    <row r="5839" spans="2:2" x14ac:dyDescent="0.25">
      <c r="B5839" t="str">
        <f>IF(C5839="","",C5839&amp;COUNTIF(C$9:C5839,C5839))</f>
        <v/>
      </c>
    </row>
    <row r="5840" spans="2:2" x14ac:dyDescent="0.25">
      <c r="B5840" t="str">
        <f>IF(C5840="","",C5840&amp;COUNTIF(C$9:C5840,C5840))</f>
        <v/>
      </c>
    </row>
    <row r="5841" spans="2:2" x14ac:dyDescent="0.25">
      <c r="B5841" t="str">
        <f>IF(C5841="","",C5841&amp;COUNTIF(C$9:C5841,C5841))</f>
        <v/>
      </c>
    </row>
    <row r="5842" spans="2:2" x14ac:dyDescent="0.25">
      <c r="B5842" t="str">
        <f>IF(C5842="","",C5842&amp;COUNTIF(C$9:C5842,C5842))</f>
        <v/>
      </c>
    </row>
    <row r="5843" spans="2:2" x14ac:dyDescent="0.25">
      <c r="B5843" t="str">
        <f>IF(C5843="","",C5843&amp;COUNTIF(C$9:C5843,C5843))</f>
        <v/>
      </c>
    </row>
    <row r="5844" spans="2:2" x14ac:dyDescent="0.25">
      <c r="B5844" t="str">
        <f>IF(C5844="","",C5844&amp;COUNTIF(C$9:C5844,C5844))</f>
        <v/>
      </c>
    </row>
    <row r="5845" spans="2:2" x14ac:dyDescent="0.25">
      <c r="B5845" t="str">
        <f>IF(C5845="","",C5845&amp;COUNTIF(C$9:C5845,C5845))</f>
        <v/>
      </c>
    </row>
    <row r="5846" spans="2:2" x14ac:dyDescent="0.25">
      <c r="B5846" t="str">
        <f>IF(C5846="","",C5846&amp;COUNTIF(C$9:C5846,C5846))</f>
        <v/>
      </c>
    </row>
    <row r="5847" spans="2:2" x14ac:dyDescent="0.25">
      <c r="B5847" t="str">
        <f>IF(C5847="","",C5847&amp;COUNTIF(C$9:C5847,C5847))</f>
        <v/>
      </c>
    </row>
    <row r="5848" spans="2:2" x14ac:dyDescent="0.25">
      <c r="B5848" t="str">
        <f>IF(C5848="","",C5848&amp;COUNTIF(C$9:C5848,C5848))</f>
        <v/>
      </c>
    </row>
    <row r="5849" spans="2:2" x14ac:dyDescent="0.25">
      <c r="B5849" t="str">
        <f>IF(C5849="","",C5849&amp;COUNTIF(C$9:C5849,C5849))</f>
        <v/>
      </c>
    </row>
    <row r="5850" spans="2:2" x14ac:dyDescent="0.25">
      <c r="B5850" t="str">
        <f>IF(C5850="","",C5850&amp;COUNTIF(C$9:C5850,C5850))</f>
        <v/>
      </c>
    </row>
    <row r="5851" spans="2:2" x14ac:dyDescent="0.25">
      <c r="B5851" t="str">
        <f>IF(C5851="","",C5851&amp;COUNTIF(C$9:C5851,C5851))</f>
        <v/>
      </c>
    </row>
    <row r="5852" spans="2:2" x14ac:dyDescent="0.25">
      <c r="B5852" t="str">
        <f>IF(C5852="","",C5852&amp;COUNTIF(C$9:C5852,C5852))</f>
        <v/>
      </c>
    </row>
    <row r="5853" spans="2:2" x14ac:dyDescent="0.25">
      <c r="B5853" t="str">
        <f>IF(C5853="","",C5853&amp;COUNTIF(C$9:C5853,C5853))</f>
        <v/>
      </c>
    </row>
    <row r="5854" spans="2:2" x14ac:dyDescent="0.25">
      <c r="B5854" t="str">
        <f>IF(C5854="","",C5854&amp;COUNTIF(C$9:C5854,C5854))</f>
        <v/>
      </c>
    </row>
    <row r="5855" spans="2:2" x14ac:dyDescent="0.25">
      <c r="B5855" t="str">
        <f>IF(C5855="","",C5855&amp;COUNTIF(C$9:C5855,C5855))</f>
        <v/>
      </c>
    </row>
    <row r="5856" spans="2:2" x14ac:dyDescent="0.25">
      <c r="B5856" t="str">
        <f>IF(C5856="","",C5856&amp;COUNTIF(C$9:C5856,C5856))</f>
        <v/>
      </c>
    </row>
    <row r="5857" spans="2:2" x14ac:dyDescent="0.25">
      <c r="B5857" t="str">
        <f>IF(C5857="","",C5857&amp;COUNTIF(C$9:C5857,C5857))</f>
        <v/>
      </c>
    </row>
    <row r="5858" spans="2:2" x14ac:dyDescent="0.25">
      <c r="B5858" t="str">
        <f>IF(C5858="","",C5858&amp;COUNTIF(C$9:C5858,C5858))</f>
        <v/>
      </c>
    </row>
    <row r="5859" spans="2:2" x14ac:dyDescent="0.25">
      <c r="B5859" t="str">
        <f>IF(C5859="","",C5859&amp;COUNTIF(C$9:C5859,C5859))</f>
        <v/>
      </c>
    </row>
    <row r="5860" spans="2:2" x14ac:dyDescent="0.25">
      <c r="B5860" t="str">
        <f>IF(C5860="","",C5860&amp;COUNTIF(C$9:C5860,C5860))</f>
        <v/>
      </c>
    </row>
    <row r="5861" spans="2:2" x14ac:dyDescent="0.25">
      <c r="B5861" t="str">
        <f>IF(C5861="","",C5861&amp;COUNTIF(C$9:C5861,C5861))</f>
        <v/>
      </c>
    </row>
    <row r="5862" spans="2:2" x14ac:dyDescent="0.25">
      <c r="B5862" t="str">
        <f>IF(C5862="","",C5862&amp;COUNTIF(C$9:C5862,C5862))</f>
        <v/>
      </c>
    </row>
    <row r="5863" spans="2:2" x14ac:dyDescent="0.25">
      <c r="B5863" t="str">
        <f>IF(C5863="","",C5863&amp;COUNTIF(C$9:C5863,C5863))</f>
        <v/>
      </c>
    </row>
    <row r="5864" spans="2:2" x14ac:dyDescent="0.25">
      <c r="B5864" t="str">
        <f>IF(C5864="","",C5864&amp;COUNTIF(C$9:C5864,C5864))</f>
        <v/>
      </c>
    </row>
    <row r="5865" spans="2:2" x14ac:dyDescent="0.25">
      <c r="B5865" t="str">
        <f>IF(C5865="","",C5865&amp;COUNTIF(C$9:C5865,C5865))</f>
        <v/>
      </c>
    </row>
    <row r="5866" spans="2:2" x14ac:dyDescent="0.25">
      <c r="B5866" t="str">
        <f>IF(C5866="","",C5866&amp;COUNTIF(C$9:C5866,C5866))</f>
        <v/>
      </c>
    </row>
    <row r="5867" spans="2:2" x14ac:dyDescent="0.25">
      <c r="B5867" t="str">
        <f>IF(C5867="","",C5867&amp;COUNTIF(C$9:C5867,C5867))</f>
        <v/>
      </c>
    </row>
    <row r="5868" spans="2:2" x14ac:dyDescent="0.25">
      <c r="B5868" t="str">
        <f>IF(C5868="","",C5868&amp;COUNTIF(C$9:C5868,C5868))</f>
        <v/>
      </c>
    </row>
    <row r="5869" spans="2:2" x14ac:dyDescent="0.25">
      <c r="B5869" t="str">
        <f>IF(C5869="","",C5869&amp;COUNTIF(C$9:C5869,C5869))</f>
        <v/>
      </c>
    </row>
    <row r="5870" spans="2:2" x14ac:dyDescent="0.25">
      <c r="B5870" t="str">
        <f>IF(C5870="","",C5870&amp;COUNTIF(C$9:C5870,C5870))</f>
        <v/>
      </c>
    </row>
    <row r="5871" spans="2:2" x14ac:dyDescent="0.25">
      <c r="B5871" t="str">
        <f>IF(C5871="","",C5871&amp;COUNTIF(C$9:C5871,C5871))</f>
        <v/>
      </c>
    </row>
    <row r="5872" spans="2:2" x14ac:dyDescent="0.25">
      <c r="B5872" t="str">
        <f>IF(C5872="","",C5872&amp;COUNTIF(C$9:C5872,C5872))</f>
        <v/>
      </c>
    </row>
    <row r="5873" spans="2:2" x14ac:dyDescent="0.25">
      <c r="B5873" t="str">
        <f>IF(C5873="","",C5873&amp;COUNTIF(C$9:C5873,C5873))</f>
        <v/>
      </c>
    </row>
    <row r="5874" spans="2:2" x14ac:dyDescent="0.25">
      <c r="B5874" t="str">
        <f>IF(C5874="","",C5874&amp;COUNTIF(C$9:C5874,C5874))</f>
        <v/>
      </c>
    </row>
    <row r="5875" spans="2:2" x14ac:dyDescent="0.25">
      <c r="B5875" t="str">
        <f>IF(C5875="","",C5875&amp;COUNTIF(C$9:C5875,C5875))</f>
        <v/>
      </c>
    </row>
    <row r="5876" spans="2:2" x14ac:dyDescent="0.25">
      <c r="B5876" t="str">
        <f>IF(C5876="","",C5876&amp;COUNTIF(C$9:C5876,C5876))</f>
        <v/>
      </c>
    </row>
    <row r="5877" spans="2:2" x14ac:dyDescent="0.25">
      <c r="B5877" t="str">
        <f>IF(C5877="","",C5877&amp;COUNTIF(C$9:C5877,C5877))</f>
        <v/>
      </c>
    </row>
    <row r="5878" spans="2:2" x14ac:dyDescent="0.25">
      <c r="B5878" t="str">
        <f>IF(C5878="","",C5878&amp;COUNTIF(C$9:C5878,C5878))</f>
        <v/>
      </c>
    </row>
    <row r="5879" spans="2:2" x14ac:dyDescent="0.25">
      <c r="B5879" t="str">
        <f>IF(C5879="","",C5879&amp;COUNTIF(C$9:C5879,C5879))</f>
        <v/>
      </c>
    </row>
    <row r="5880" spans="2:2" x14ac:dyDescent="0.25">
      <c r="B5880" t="str">
        <f>IF(C5880="","",C5880&amp;COUNTIF(C$9:C5880,C5880))</f>
        <v/>
      </c>
    </row>
    <row r="5881" spans="2:2" x14ac:dyDescent="0.25">
      <c r="B5881" t="str">
        <f>IF(C5881="","",C5881&amp;COUNTIF(C$9:C5881,C5881))</f>
        <v/>
      </c>
    </row>
    <row r="5882" spans="2:2" x14ac:dyDescent="0.25">
      <c r="B5882" t="str">
        <f>IF(C5882="","",C5882&amp;COUNTIF(C$9:C5882,C5882))</f>
        <v/>
      </c>
    </row>
    <row r="5883" spans="2:2" x14ac:dyDescent="0.25">
      <c r="B5883" t="str">
        <f>IF(C5883="","",C5883&amp;COUNTIF(C$9:C5883,C5883))</f>
        <v/>
      </c>
    </row>
    <row r="5884" spans="2:2" x14ac:dyDescent="0.25">
      <c r="B5884" t="str">
        <f>IF(C5884="","",C5884&amp;COUNTIF(C$9:C5884,C5884))</f>
        <v/>
      </c>
    </row>
    <row r="5885" spans="2:2" x14ac:dyDescent="0.25">
      <c r="B5885" t="str">
        <f>IF(C5885="","",C5885&amp;COUNTIF(C$9:C5885,C5885))</f>
        <v/>
      </c>
    </row>
    <row r="5886" spans="2:2" x14ac:dyDescent="0.25">
      <c r="B5886" t="str">
        <f>IF(C5886="","",C5886&amp;COUNTIF(C$9:C5886,C5886))</f>
        <v/>
      </c>
    </row>
    <row r="5887" spans="2:2" x14ac:dyDescent="0.25">
      <c r="B5887" t="str">
        <f>IF(C5887="","",C5887&amp;COUNTIF(C$9:C5887,C5887))</f>
        <v/>
      </c>
    </row>
    <row r="5888" spans="2:2" x14ac:dyDescent="0.25">
      <c r="B5888" t="str">
        <f>IF(C5888="","",C5888&amp;COUNTIF(C$9:C5888,C5888))</f>
        <v/>
      </c>
    </row>
    <row r="5889" spans="2:2" x14ac:dyDescent="0.25">
      <c r="B5889" t="str">
        <f>IF(C5889="","",C5889&amp;COUNTIF(C$9:C5889,C5889))</f>
        <v/>
      </c>
    </row>
    <row r="5890" spans="2:2" x14ac:dyDescent="0.25">
      <c r="B5890" t="str">
        <f>IF(C5890="","",C5890&amp;COUNTIF(C$9:C5890,C5890))</f>
        <v/>
      </c>
    </row>
    <row r="5891" spans="2:2" x14ac:dyDescent="0.25">
      <c r="B5891" t="str">
        <f>IF(C5891="","",C5891&amp;COUNTIF(C$9:C5891,C5891))</f>
        <v/>
      </c>
    </row>
    <row r="5892" spans="2:2" x14ac:dyDescent="0.25">
      <c r="B5892" t="str">
        <f>IF(C5892="","",C5892&amp;COUNTIF(C$9:C5892,C5892))</f>
        <v/>
      </c>
    </row>
    <row r="5893" spans="2:2" x14ac:dyDescent="0.25">
      <c r="B5893" t="str">
        <f>IF(C5893="","",C5893&amp;COUNTIF(C$9:C5893,C5893))</f>
        <v/>
      </c>
    </row>
    <row r="5894" spans="2:2" x14ac:dyDescent="0.25">
      <c r="B5894" t="str">
        <f>IF(C5894="","",C5894&amp;COUNTIF(C$9:C5894,C5894))</f>
        <v/>
      </c>
    </row>
    <row r="5895" spans="2:2" x14ac:dyDescent="0.25">
      <c r="B5895" t="str">
        <f>IF(C5895="","",C5895&amp;COUNTIF(C$9:C5895,C5895))</f>
        <v/>
      </c>
    </row>
    <row r="5896" spans="2:2" x14ac:dyDescent="0.25">
      <c r="B5896" t="str">
        <f>IF(C5896="","",C5896&amp;COUNTIF(C$9:C5896,C5896))</f>
        <v/>
      </c>
    </row>
    <row r="5897" spans="2:2" x14ac:dyDescent="0.25">
      <c r="B5897" t="str">
        <f>IF(C5897="","",C5897&amp;COUNTIF(C$9:C5897,C5897))</f>
        <v/>
      </c>
    </row>
    <row r="5898" spans="2:2" x14ac:dyDescent="0.25">
      <c r="B5898" t="str">
        <f>IF(C5898="","",C5898&amp;COUNTIF(C$9:C5898,C5898))</f>
        <v/>
      </c>
    </row>
    <row r="5899" spans="2:2" x14ac:dyDescent="0.25">
      <c r="B5899" t="str">
        <f>IF(C5899="","",C5899&amp;COUNTIF(C$9:C5899,C5899))</f>
        <v/>
      </c>
    </row>
    <row r="5900" spans="2:2" x14ac:dyDescent="0.25">
      <c r="B5900" t="str">
        <f>IF(C5900="","",C5900&amp;COUNTIF(C$9:C5900,C5900))</f>
        <v/>
      </c>
    </row>
    <row r="5901" spans="2:2" x14ac:dyDescent="0.25">
      <c r="B5901" t="str">
        <f>IF(C5901="","",C5901&amp;COUNTIF(C$9:C5901,C5901))</f>
        <v/>
      </c>
    </row>
    <row r="5902" spans="2:2" x14ac:dyDescent="0.25">
      <c r="B5902" t="str">
        <f>IF(C5902="","",C5902&amp;COUNTIF(C$9:C5902,C5902))</f>
        <v/>
      </c>
    </row>
    <row r="5903" spans="2:2" x14ac:dyDescent="0.25">
      <c r="B5903" t="str">
        <f>IF(C5903="","",C5903&amp;COUNTIF(C$9:C5903,C5903))</f>
        <v/>
      </c>
    </row>
    <row r="5904" spans="2:2" x14ac:dyDescent="0.25">
      <c r="B5904" t="str">
        <f>IF(C5904="","",C5904&amp;COUNTIF(C$9:C5904,C5904))</f>
        <v/>
      </c>
    </row>
    <row r="5905" spans="2:2" x14ac:dyDescent="0.25">
      <c r="B5905" t="str">
        <f>IF(C5905="","",C5905&amp;COUNTIF(C$9:C5905,C5905))</f>
        <v/>
      </c>
    </row>
    <row r="5906" spans="2:2" x14ac:dyDescent="0.25">
      <c r="B5906" t="str">
        <f>IF(C5906="","",C5906&amp;COUNTIF(C$9:C5906,C5906))</f>
        <v/>
      </c>
    </row>
    <row r="5907" spans="2:2" x14ac:dyDescent="0.25">
      <c r="B5907" t="str">
        <f>IF(C5907="","",C5907&amp;COUNTIF(C$9:C5907,C5907))</f>
        <v/>
      </c>
    </row>
    <row r="5908" spans="2:2" x14ac:dyDescent="0.25">
      <c r="B5908" t="str">
        <f>IF(C5908="","",C5908&amp;COUNTIF(C$9:C5908,C5908))</f>
        <v/>
      </c>
    </row>
    <row r="5909" spans="2:2" x14ac:dyDescent="0.25">
      <c r="B5909" t="str">
        <f>IF(C5909="","",C5909&amp;COUNTIF(C$9:C5909,C5909))</f>
        <v/>
      </c>
    </row>
    <row r="5910" spans="2:2" x14ac:dyDescent="0.25">
      <c r="B5910" t="str">
        <f>IF(C5910="","",C5910&amp;COUNTIF(C$9:C5910,C5910))</f>
        <v/>
      </c>
    </row>
    <row r="5911" spans="2:2" x14ac:dyDescent="0.25">
      <c r="B5911" t="str">
        <f>IF(C5911="","",C5911&amp;COUNTIF(C$9:C5911,C5911))</f>
        <v/>
      </c>
    </row>
    <row r="5912" spans="2:2" x14ac:dyDescent="0.25">
      <c r="B5912" t="str">
        <f>IF(C5912="","",C5912&amp;COUNTIF(C$9:C5912,C5912))</f>
        <v/>
      </c>
    </row>
    <row r="5913" spans="2:2" x14ac:dyDescent="0.25">
      <c r="B5913" t="str">
        <f>IF(C5913="","",C5913&amp;COUNTIF(C$9:C5913,C5913))</f>
        <v/>
      </c>
    </row>
    <row r="5914" spans="2:2" x14ac:dyDescent="0.25">
      <c r="B5914" t="str">
        <f>IF(C5914="","",C5914&amp;COUNTIF(C$9:C5914,C5914))</f>
        <v/>
      </c>
    </row>
    <row r="5915" spans="2:2" x14ac:dyDescent="0.25">
      <c r="B5915" t="str">
        <f>IF(C5915="","",C5915&amp;COUNTIF(C$9:C5915,C5915))</f>
        <v/>
      </c>
    </row>
    <row r="5916" spans="2:2" x14ac:dyDescent="0.25">
      <c r="B5916" t="str">
        <f>IF(C5916="","",C5916&amp;COUNTIF(C$9:C5916,C5916))</f>
        <v/>
      </c>
    </row>
    <row r="5917" spans="2:2" x14ac:dyDescent="0.25">
      <c r="B5917" t="str">
        <f>IF(C5917="","",C5917&amp;COUNTIF(C$9:C5917,C5917))</f>
        <v/>
      </c>
    </row>
    <row r="5918" spans="2:2" x14ac:dyDescent="0.25">
      <c r="B5918" t="str">
        <f>IF(C5918="","",C5918&amp;COUNTIF(C$9:C5918,C5918))</f>
        <v/>
      </c>
    </row>
    <row r="5919" spans="2:2" x14ac:dyDescent="0.25">
      <c r="B5919" t="str">
        <f>IF(C5919="","",C5919&amp;COUNTIF(C$9:C5919,C5919))</f>
        <v/>
      </c>
    </row>
    <row r="5920" spans="2:2" x14ac:dyDescent="0.25">
      <c r="B5920" t="str">
        <f>IF(C5920="","",C5920&amp;COUNTIF(C$9:C5920,C5920))</f>
        <v/>
      </c>
    </row>
    <row r="5921" spans="2:2" x14ac:dyDescent="0.25">
      <c r="B5921" t="str">
        <f>IF(C5921="","",C5921&amp;COUNTIF(C$9:C5921,C5921))</f>
        <v/>
      </c>
    </row>
    <row r="5922" spans="2:2" x14ac:dyDescent="0.25">
      <c r="B5922" t="str">
        <f>IF(C5922="","",C5922&amp;COUNTIF(C$9:C5922,C5922))</f>
        <v/>
      </c>
    </row>
    <row r="5923" spans="2:2" x14ac:dyDescent="0.25">
      <c r="B5923" t="str">
        <f>IF(C5923="","",C5923&amp;COUNTIF(C$9:C5923,C5923))</f>
        <v/>
      </c>
    </row>
    <row r="5924" spans="2:2" x14ac:dyDescent="0.25">
      <c r="B5924" t="str">
        <f>IF(C5924="","",C5924&amp;COUNTIF(C$9:C5924,C5924))</f>
        <v/>
      </c>
    </row>
    <row r="5925" spans="2:2" x14ac:dyDescent="0.25">
      <c r="B5925" t="str">
        <f>IF(C5925="","",C5925&amp;COUNTIF(C$9:C5925,C5925))</f>
        <v/>
      </c>
    </row>
    <row r="5926" spans="2:2" x14ac:dyDescent="0.25">
      <c r="B5926" t="str">
        <f>IF(C5926="","",C5926&amp;COUNTIF(C$9:C5926,C5926))</f>
        <v/>
      </c>
    </row>
    <row r="5927" spans="2:2" x14ac:dyDescent="0.25">
      <c r="B5927" t="str">
        <f>IF(C5927="","",C5927&amp;COUNTIF(C$9:C5927,C5927))</f>
        <v/>
      </c>
    </row>
    <row r="5928" spans="2:2" x14ac:dyDescent="0.25">
      <c r="B5928" t="str">
        <f>IF(C5928="","",C5928&amp;COUNTIF(C$9:C5928,C5928))</f>
        <v/>
      </c>
    </row>
    <row r="5929" spans="2:2" x14ac:dyDescent="0.25">
      <c r="B5929" t="str">
        <f>IF(C5929="","",C5929&amp;COUNTIF(C$9:C5929,C5929))</f>
        <v/>
      </c>
    </row>
    <row r="5930" spans="2:2" x14ac:dyDescent="0.25">
      <c r="B5930" t="str">
        <f>IF(C5930="","",C5930&amp;COUNTIF(C$9:C5930,C5930))</f>
        <v/>
      </c>
    </row>
    <row r="5931" spans="2:2" x14ac:dyDescent="0.25">
      <c r="B5931" t="str">
        <f>IF(C5931="","",C5931&amp;COUNTIF(C$9:C5931,C5931))</f>
        <v/>
      </c>
    </row>
    <row r="5932" spans="2:2" x14ac:dyDescent="0.25">
      <c r="B5932" t="str">
        <f>IF(C5932="","",C5932&amp;COUNTIF(C$9:C5932,C5932))</f>
        <v/>
      </c>
    </row>
    <row r="5933" spans="2:2" x14ac:dyDescent="0.25">
      <c r="B5933" t="str">
        <f>IF(C5933="","",C5933&amp;COUNTIF(C$9:C5933,C5933))</f>
        <v/>
      </c>
    </row>
    <row r="5934" spans="2:2" x14ac:dyDescent="0.25">
      <c r="B5934" t="str">
        <f>IF(C5934="","",C5934&amp;COUNTIF(C$9:C5934,C5934))</f>
        <v/>
      </c>
    </row>
    <row r="5935" spans="2:2" x14ac:dyDescent="0.25">
      <c r="B5935" t="str">
        <f>IF(C5935="","",C5935&amp;COUNTIF(C$9:C5935,C5935))</f>
        <v/>
      </c>
    </row>
    <row r="5936" spans="2:2" x14ac:dyDescent="0.25">
      <c r="B5936" t="str">
        <f>IF(C5936="","",C5936&amp;COUNTIF(C$9:C5936,C5936))</f>
        <v/>
      </c>
    </row>
    <row r="5937" spans="2:2" x14ac:dyDescent="0.25">
      <c r="B5937" t="str">
        <f>IF(C5937="","",C5937&amp;COUNTIF(C$9:C5937,C5937))</f>
        <v/>
      </c>
    </row>
    <row r="5938" spans="2:2" x14ac:dyDescent="0.25">
      <c r="B5938" t="str">
        <f>IF(C5938="","",C5938&amp;COUNTIF(C$9:C5938,C5938))</f>
        <v/>
      </c>
    </row>
    <row r="5939" spans="2:2" x14ac:dyDescent="0.25">
      <c r="B5939" t="str">
        <f>IF(C5939="","",C5939&amp;COUNTIF(C$9:C5939,C5939))</f>
        <v/>
      </c>
    </row>
    <row r="5940" spans="2:2" x14ac:dyDescent="0.25">
      <c r="B5940" t="str">
        <f>IF(C5940="","",C5940&amp;COUNTIF(C$9:C5940,C5940))</f>
        <v/>
      </c>
    </row>
    <row r="5941" spans="2:2" x14ac:dyDescent="0.25">
      <c r="B5941" t="str">
        <f>IF(C5941="","",C5941&amp;COUNTIF(C$9:C5941,C5941))</f>
        <v/>
      </c>
    </row>
    <row r="5942" spans="2:2" x14ac:dyDescent="0.25">
      <c r="B5942" t="str">
        <f>IF(C5942="","",C5942&amp;COUNTIF(C$9:C5942,C5942))</f>
        <v/>
      </c>
    </row>
    <row r="5943" spans="2:2" x14ac:dyDescent="0.25">
      <c r="B5943" t="str">
        <f>IF(C5943="","",C5943&amp;COUNTIF(C$9:C5943,C5943))</f>
        <v/>
      </c>
    </row>
    <row r="5944" spans="2:2" x14ac:dyDescent="0.25">
      <c r="B5944" t="str">
        <f>IF(C5944="","",C5944&amp;COUNTIF(C$9:C5944,C5944))</f>
        <v/>
      </c>
    </row>
    <row r="5945" spans="2:2" x14ac:dyDescent="0.25">
      <c r="B5945" t="str">
        <f>IF(C5945="","",C5945&amp;COUNTIF(C$9:C5945,C5945))</f>
        <v/>
      </c>
    </row>
    <row r="5946" spans="2:2" x14ac:dyDescent="0.25">
      <c r="B5946" t="str">
        <f>IF(C5946="","",C5946&amp;COUNTIF(C$9:C5946,C5946))</f>
        <v/>
      </c>
    </row>
    <row r="5947" spans="2:2" x14ac:dyDescent="0.25">
      <c r="B5947" t="str">
        <f>IF(C5947="","",C5947&amp;COUNTIF(C$9:C5947,C5947))</f>
        <v/>
      </c>
    </row>
    <row r="5948" spans="2:2" x14ac:dyDescent="0.25">
      <c r="B5948" t="str">
        <f>IF(C5948="","",C5948&amp;COUNTIF(C$9:C5948,C5948))</f>
        <v/>
      </c>
    </row>
    <row r="5949" spans="2:2" x14ac:dyDescent="0.25">
      <c r="B5949" t="str">
        <f>IF(C5949="","",C5949&amp;COUNTIF(C$9:C5949,C5949))</f>
        <v/>
      </c>
    </row>
    <row r="5950" spans="2:2" x14ac:dyDescent="0.25">
      <c r="B5950" t="str">
        <f>IF(C5950="","",C5950&amp;COUNTIF(C$9:C5950,C5950))</f>
        <v/>
      </c>
    </row>
    <row r="5951" spans="2:2" x14ac:dyDescent="0.25">
      <c r="B5951" t="str">
        <f>IF(C5951="","",C5951&amp;COUNTIF(C$9:C5951,C5951))</f>
        <v/>
      </c>
    </row>
    <row r="5952" spans="2:2" x14ac:dyDescent="0.25">
      <c r="B5952" t="str">
        <f>IF(C5952="","",C5952&amp;COUNTIF(C$9:C5952,C5952))</f>
        <v/>
      </c>
    </row>
    <row r="5953" spans="2:2" x14ac:dyDescent="0.25">
      <c r="B5953" t="str">
        <f>IF(C5953="","",C5953&amp;COUNTIF(C$9:C5953,C5953))</f>
        <v/>
      </c>
    </row>
    <row r="5954" spans="2:2" x14ac:dyDescent="0.25">
      <c r="B5954" t="str">
        <f>IF(C5954="","",C5954&amp;COUNTIF(C$9:C5954,C5954))</f>
        <v/>
      </c>
    </row>
    <row r="5955" spans="2:2" x14ac:dyDescent="0.25">
      <c r="B5955" t="str">
        <f>IF(C5955="","",C5955&amp;COUNTIF(C$9:C5955,C5955))</f>
        <v/>
      </c>
    </row>
    <row r="5956" spans="2:2" x14ac:dyDescent="0.25">
      <c r="B5956" t="str">
        <f>IF(C5956="","",C5956&amp;COUNTIF(C$9:C5956,C5956))</f>
        <v/>
      </c>
    </row>
    <row r="5957" spans="2:2" x14ac:dyDescent="0.25">
      <c r="B5957" t="str">
        <f>IF(C5957="","",C5957&amp;COUNTIF(C$9:C5957,C5957))</f>
        <v/>
      </c>
    </row>
    <row r="5958" spans="2:2" x14ac:dyDescent="0.25">
      <c r="B5958" t="str">
        <f>IF(C5958="","",C5958&amp;COUNTIF(C$9:C5958,C5958))</f>
        <v/>
      </c>
    </row>
    <row r="5959" spans="2:2" x14ac:dyDescent="0.25">
      <c r="B5959" t="str">
        <f>IF(C5959="","",C5959&amp;COUNTIF(C$9:C5959,C5959))</f>
        <v/>
      </c>
    </row>
    <row r="5960" spans="2:2" x14ac:dyDescent="0.25">
      <c r="B5960" t="str">
        <f>IF(C5960="","",C5960&amp;COUNTIF(C$9:C5960,C5960))</f>
        <v/>
      </c>
    </row>
    <row r="5961" spans="2:2" x14ac:dyDescent="0.25">
      <c r="B5961" t="str">
        <f>IF(C5961="","",C5961&amp;COUNTIF(C$9:C5961,C5961))</f>
        <v/>
      </c>
    </row>
    <row r="5962" spans="2:2" x14ac:dyDescent="0.25">
      <c r="B5962" t="str">
        <f>IF(C5962="","",C5962&amp;COUNTIF(C$9:C5962,C5962))</f>
        <v/>
      </c>
    </row>
    <row r="5963" spans="2:2" x14ac:dyDescent="0.25">
      <c r="B5963" t="str">
        <f>IF(C5963="","",C5963&amp;COUNTIF(C$9:C5963,C5963))</f>
        <v/>
      </c>
    </row>
    <row r="5964" spans="2:2" x14ac:dyDescent="0.25">
      <c r="B5964" t="str">
        <f>IF(C5964="","",C5964&amp;COUNTIF(C$9:C5964,C5964))</f>
        <v/>
      </c>
    </row>
    <row r="5965" spans="2:2" x14ac:dyDescent="0.25">
      <c r="B5965" t="str">
        <f>IF(C5965="","",C5965&amp;COUNTIF(C$9:C5965,C5965))</f>
        <v/>
      </c>
    </row>
    <row r="5966" spans="2:2" x14ac:dyDescent="0.25">
      <c r="B5966" t="str">
        <f>IF(C5966="","",C5966&amp;COUNTIF(C$9:C5966,C5966))</f>
        <v/>
      </c>
    </row>
    <row r="5967" spans="2:2" x14ac:dyDescent="0.25">
      <c r="B5967" t="str">
        <f>IF(C5967="","",C5967&amp;COUNTIF(C$9:C5967,C5967))</f>
        <v/>
      </c>
    </row>
    <row r="5968" spans="2:2" x14ac:dyDescent="0.25">
      <c r="B5968" t="str">
        <f>IF(C5968="","",C5968&amp;COUNTIF(C$9:C5968,C5968))</f>
        <v/>
      </c>
    </row>
    <row r="5969" spans="2:2" x14ac:dyDescent="0.25">
      <c r="B5969" t="str">
        <f>IF(C5969="","",C5969&amp;COUNTIF(C$9:C5969,C5969))</f>
        <v/>
      </c>
    </row>
    <row r="5970" spans="2:2" x14ac:dyDescent="0.25">
      <c r="B5970" t="str">
        <f>IF(C5970="","",C5970&amp;COUNTIF(C$9:C5970,C5970))</f>
        <v/>
      </c>
    </row>
    <row r="5971" spans="2:2" x14ac:dyDescent="0.25">
      <c r="B5971" t="str">
        <f>IF(C5971="","",C5971&amp;COUNTIF(C$9:C5971,C5971))</f>
        <v/>
      </c>
    </row>
    <row r="5972" spans="2:2" x14ac:dyDescent="0.25">
      <c r="B5972" t="str">
        <f>IF(C5972="","",C5972&amp;COUNTIF(C$9:C5972,C5972))</f>
        <v/>
      </c>
    </row>
    <row r="5973" spans="2:2" x14ac:dyDescent="0.25">
      <c r="B5973" t="str">
        <f>IF(C5973="","",C5973&amp;COUNTIF(C$9:C5973,C5973))</f>
        <v/>
      </c>
    </row>
    <row r="5974" spans="2:2" x14ac:dyDescent="0.25">
      <c r="B5974" t="str">
        <f>IF(C5974="","",C5974&amp;COUNTIF(C$9:C5974,C5974))</f>
        <v/>
      </c>
    </row>
    <row r="5975" spans="2:2" x14ac:dyDescent="0.25">
      <c r="B5975" t="str">
        <f>IF(C5975="","",C5975&amp;COUNTIF(C$9:C5975,C5975))</f>
        <v/>
      </c>
    </row>
    <row r="5976" spans="2:2" x14ac:dyDescent="0.25">
      <c r="B5976" t="str">
        <f>IF(C5976="","",C5976&amp;COUNTIF(C$9:C5976,C5976))</f>
        <v/>
      </c>
    </row>
    <row r="5977" spans="2:2" x14ac:dyDescent="0.25">
      <c r="B5977" t="str">
        <f>IF(C5977="","",C5977&amp;COUNTIF(C$9:C5977,C5977))</f>
        <v/>
      </c>
    </row>
    <row r="5978" spans="2:2" x14ac:dyDescent="0.25">
      <c r="B5978" t="str">
        <f>IF(C5978="","",C5978&amp;COUNTIF(C$9:C5978,C5978))</f>
        <v/>
      </c>
    </row>
    <row r="5979" spans="2:2" x14ac:dyDescent="0.25">
      <c r="B5979" t="str">
        <f>IF(C5979="","",C5979&amp;COUNTIF(C$9:C5979,C5979))</f>
        <v/>
      </c>
    </row>
    <row r="5980" spans="2:2" x14ac:dyDescent="0.25">
      <c r="B5980" t="str">
        <f>IF(C5980="","",C5980&amp;COUNTIF(C$9:C5980,C5980))</f>
        <v/>
      </c>
    </row>
    <row r="5981" spans="2:2" x14ac:dyDescent="0.25">
      <c r="B5981" t="str">
        <f>IF(C5981="","",C5981&amp;COUNTIF(C$9:C5981,C5981))</f>
        <v/>
      </c>
    </row>
    <row r="5982" spans="2:2" x14ac:dyDescent="0.25">
      <c r="B5982" t="str">
        <f>IF(C5982="","",C5982&amp;COUNTIF(C$9:C5982,C5982))</f>
        <v/>
      </c>
    </row>
    <row r="5983" spans="2:2" x14ac:dyDescent="0.25">
      <c r="B5983" t="str">
        <f>IF(C5983="","",C5983&amp;COUNTIF(C$9:C5983,C5983))</f>
        <v/>
      </c>
    </row>
    <row r="5984" spans="2:2" x14ac:dyDescent="0.25">
      <c r="B5984" t="str">
        <f>IF(C5984="","",C5984&amp;COUNTIF(C$9:C5984,C5984))</f>
        <v/>
      </c>
    </row>
    <row r="5985" spans="2:2" x14ac:dyDescent="0.25">
      <c r="B5985" t="str">
        <f>IF(C5985="","",C5985&amp;COUNTIF(C$9:C5985,C5985))</f>
        <v/>
      </c>
    </row>
    <row r="5986" spans="2:2" x14ac:dyDescent="0.25">
      <c r="B5986" t="str">
        <f>IF(C5986="","",C5986&amp;COUNTIF(C$9:C5986,C5986))</f>
        <v/>
      </c>
    </row>
    <row r="5987" spans="2:2" x14ac:dyDescent="0.25">
      <c r="B5987" t="str">
        <f>IF(C5987="","",C5987&amp;COUNTIF(C$9:C5987,C5987))</f>
        <v/>
      </c>
    </row>
    <row r="5988" spans="2:2" x14ac:dyDescent="0.25">
      <c r="B5988" t="str">
        <f>IF(C5988="","",C5988&amp;COUNTIF(C$9:C5988,C5988))</f>
        <v/>
      </c>
    </row>
    <row r="5989" spans="2:2" x14ac:dyDescent="0.25">
      <c r="B5989" t="str">
        <f>IF(C5989="","",C5989&amp;COUNTIF(C$9:C5989,C5989))</f>
        <v/>
      </c>
    </row>
    <row r="5990" spans="2:2" x14ac:dyDescent="0.25">
      <c r="B5990" t="str">
        <f>IF(C5990="","",C5990&amp;COUNTIF(C$9:C5990,C5990))</f>
        <v/>
      </c>
    </row>
    <row r="5991" spans="2:2" x14ac:dyDescent="0.25">
      <c r="B5991" t="str">
        <f>IF(C5991="","",C5991&amp;COUNTIF(C$9:C5991,C5991))</f>
        <v/>
      </c>
    </row>
    <row r="5992" spans="2:2" x14ac:dyDescent="0.25">
      <c r="B5992" t="str">
        <f>IF(C5992="","",C5992&amp;COUNTIF(C$9:C5992,C5992))</f>
        <v/>
      </c>
    </row>
    <row r="5993" spans="2:2" x14ac:dyDescent="0.25">
      <c r="B5993" t="str">
        <f>IF(C5993="","",C5993&amp;COUNTIF(C$9:C5993,C5993))</f>
        <v/>
      </c>
    </row>
    <row r="5994" spans="2:2" x14ac:dyDescent="0.25">
      <c r="B5994" t="str">
        <f>IF(C5994="","",C5994&amp;COUNTIF(C$9:C5994,C5994))</f>
        <v/>
      </c>
    </row>
    <row r="5995" spans="2:2" x14ac:dyDescent="0.25">
      <c r="B5995" t="str">
        <f>IF(C5995="","",C5995&amp;COUNTIF(C$9:C5995,C5995))</f>
        <v/>
      </c>
    </row>
    <row r="5996" spans="2:2" x14ac:dyDescent="0.25">
      <c r="B5996" t="str">
        <f>IF(C5996="","",C5996&amp;COUNTIF(C$9:C5996,C5996))</f>
        <v/>
      </c>
    </row>
    <row r="5997" spans="2:2" x14ac:dyDescent="0.25">
      <c r="B5997" t="str">
        <f>IF(C5997="","",C5997&amp;COUNTIF(C$9:C5997,C5997))</f>
        <v/>
      </c>
    </row>
    <row r="5998" spans="2:2" x14ac:dyDescent="0.25">
      <c r="B5998" t="str">
        <f>IF(C5998="","",C5998&amp;COUNTIF(C$9:C5998,C5998))</f>
        <v/>
      </c>
    </row>
    <row r="5999" spans="2:2" x14ac:dyDescent="0.25">
      <c r="B5999" t="str">
        <f>IF(C5999="","",C5999&amp;COUNTIF(C$9:C5999,C5999))</f>
        <v/>
      </c>
    </row>
    <row r="6000" spans="2:2" x14ac:dyDescent="0.25">
      <c r="B6000" t="str">
        <f>IF(C6000="","",C6000&amp;COUNTIF(C$9:C6000,C6000))</f>
        <v/>
      </c>
    </row>
    <row r="6001" spans="2:2" x14ac:dyDescent="0.25">
      <c r="B6001" t="str">
        <f>IF(C6001="","",C6001&amp;COUNTIF(C$9:C6001,C6001))</f>
        <v/>
      </c>
    </row>
    <row r="6002" spans="2:2" x14ac:dyDescent="0.25">
      <c r="B6002" t="str">
        <f>IF(C6002="","",C6002&amp;COUNTIF(C$9:C6002,C6002))</f>
        <v/>
      </c>
    </row>
    <row r="6003" spans="2:2" x14ac:dyDescent="0.25">
      <c r="B6003" t="str">
        <f>IF(C6003="","",C6003&amp;COUNTIF(C$9:C6003,C6003))</f>
        <v/>
      </c>
    </row>
    <row r="6004" spans="2:2" x14ac:dyDescent="0.25">
      <c r="B6004" t="str">
        <f>IF(C6004="","",C6004&amp;COUNTIF(C$9:C6004,C6004))</f>
        <v/>
      </c>
    </row>
    <row r="6005" spans="2:2" x14ac:dyDescent="0.25">
      <c r="B6005" t="str">
        <f>IF(C6005="","",C6005&amp;COUNTIF(C$9:C6005,C6005))</f>
        <v/>
      </c>
    </row>
    <row r="6006" spans="2:2" x14ac:dyDescent="0.25">
      <c r="B6006" t="str">
        <f>IF(C6006="","",C6006&amp;COUNTIF(C$9:C6006,C6006))</f>
        <v/>
      </c>
    </row>
    <row r="6007" spans="2:2" x14ac:dyDescent="0.25">
      <c r="B6007" t="str">
        <f>IF(C6007="","",C6007&amp;COUNTIF(C$9:C6007,C6007))</f>
        <v/>
      </c>
    </row>
    <row r="6008" spans="2:2" x14ac:dyDescent="0.25">
      <c r="B6008" t="str">
        <f>IF(C6008="","",C6008&amp;COUNTIF(C$9:C6008,C6008))</f>
        <v/>
      </c>
    </row>
    <row r="6009" spans="2:2" x14ac:dyDescent="0.25">
      <c r="B6009" t="str">
        <f>IF(C6009="","",C6009&amp;COUNTIF(C$9:C6009,C6009))</f>
        <v/>
      </c>
    </row>
    <row r="6010" spans="2:2" x14ac:dyDescent="0.25">
      <c r="B6010" t="str">
        <f>IF(C6010="","",C6010&amp;COUNTIF(C$9:C6010,C6010))</f>
        <v/>
      </c>
    </row>
    <row r="6011" spans="2:2" x14ac:dyDescent="0.25">
      <c r="B6011" t="str">
        <f>IF(C6011="","",C6011&amp;COUNTIF(C$9:C6011,C6011))</f>
        <v/>
      </c>
    </row>
    <row r="6012" spans="2:2" x14ac:dyDescent="0.25">
      <c r="B6012" t="str">
        <f>IF(C6012="","",C6012&amp;COUNTIF(C$9:C6012,C6012))</f>
        <v/>
      </c>
    </row>
    <row r="6013" spans="2:2" x14ac:dyDescent="0.25">
      <c r="B6013" t="str">
        <f>IF(C6013="","",C6013&amp;COUNTIF(C$9:C6013,C6013))</f>
        <v/>
      </c>
    </row>
    <row r="6014" spans="2:2" x14ac:dyDescent="0.25">
      <c r="B6014" t="str">
        <f>IF(C6014="","",C6014&amp;COUNTIF(C$9:C6014,C6014))</f>
        <v/>
      </c>
    </row>
    <row r="6015" spans="2:2" x14ac:dyDescent="0.25">
      <c r="B6015" t="str">
        <f>IF(C6015="","",C6015&amp;COUNTIF(C$9:C6015,C6015))</f>
        <v/>
      </c>
    </row>
    <row r="6016" spans="2:2" x14ac:dyDescent="0.25">
      <c r="B6016" t="str">
        <f>IF(C6016="","",C6016&amp;COUNTIF(C$9:C6016,C6016))</f>
        <v/>
      </c>
    </row>
    <row r="6017" spans="2:2" x14ac:dyDescent="0.25">
      <c r="B6017" t="str">
        <f>IF(C6017="","",C6017&amp;COUNTIF(C$9:C6017,C6017))</f>
        <v/>
      </c>
    </row>
    <row r="6018" spans="2:2" x14ac:dyDescent="0.25">
      <c r="B6018" t="str">
        <f>IF(C6018="","",C6018&amp;COUNTIF(C$9:C6018,C6018))</f>
        <v/>
      </c>
    </row>
    <row r="6019" spans="2:2" x14ac:dyDescent="0.25">
      <c r="B6019" t="str">
        <f>IF(C6019="","",C6019&amp;COUNTIF(C$9:C6019,C6019))</f>
        <v/>
      </c>
    </row>
    <row r="6020" spans="2:2" x14ac:dyDescent="0.25">
      <c r="B6020" t="str">
        <f>IF(C6020="","",C6020&amp;COUNTIF(C$9:C6020,C6020))</f>
        <v/>
      </c>
    </row>
    <row r="6021" spans="2:2" x14ac:dyDescent="0.25">
      <c r="B6021" t="str">
        <f>IF(C6021="","",C6021&amp;COUNTIF(C$9:C6021,C6021))</f>
        <v/>
      </c>
    </row>
    <row r="6022" spans="2:2" x14ac:dyDescent="0.25">
      <c r="B6022" t="str">
        <f>IF(C6022="","",C6022&amp;COUNTIF(C$9:C6022,C6022))</f>
        <v/>
      </c>
    </row>
    <row r="6023" spans="2:2" x14ac:dyDescent="0.25">
      <c r="B6023" t="str">
        <f>IF(C6023="","",C6023&amp;COUNTIF(C$9:C6023,C6023))</f>
        <v/>
      </c>
    </row>
    <row r="6024" spans="2:2" x14ac:dyDescent="0.25">
      <c r="B6024" t="str">
        <f>IF(C6024="","",C6024&amp;COUNTIF(C$9:C6024,C6024))</f>
        <v/>
      </c>
    </row>
    <row r="6025" spans="2:2" x14ac:dyDescent="0.25">
      <c r="B6025" t="str">
        <f>IF(C6025="","",C6025&amp;COUNTIF(C$9:C6025,C6025))</f>
        <v/>
      </c>
    </row>
    <row r="6026" spans="2:2" x14ac:dyDescent="0.25">
      <c r="B6026" t="str">
        <f>IF(C6026="","",C6026&amp;COUNTIF(C$9:C6026,C6026))</f>
        <v/>
      </c>
    </row>
    <row r="6027" spans="2:2" x14ac:dyDescent="0.25">
      <c r="B6027" t="str">
        <f>IF(C6027="","",C6027&amp;COUNTIF(C$9:C6027,C6027))</f>
        <v/>
      </c>
    </row>
    <row r="6028" spans="2:2" x14ac:dyDescent="0.25">
      <c r="B6028" t="str">
        <f>IF(C6028="","",C6028&amp;COUNTIF(C$9:C6028,C6028))</f>
        <v/>
      </c>
    </row>
    <row r="6029" spans="2:2" x14ac:dyDescent="0.25">
      <c r="B6029" t="str">
        <f>IF(C6029="","",C6029&amp;COUNTIF(C$9:C6029,C6029))</f>
        <v/>
      </c>
    </row>
    <row r="6030" spans="2:2" x14ac:dyDescent="0.25">
      <c r="B6030" t="str">
        <f>IF(C6030="","",C6030&amp;COUNTIF(C$9:C6030,C6030))</f>
        <v/>
      </c>
    </row>
    <row r="6031" spans="2:2" x14ac:dyDescent="0.25">
      <c r="B6031" t="str">
        <f>IF(C6031="","",C6031&amp;COUNTIF(C$9:C6031,C6031))</f>
        <v/>
      </c>
    </row>
    <row r="6032" spans="2:2" x14ac:dyDescent="0.25">
      <c r="B6032" t="str">
        <f>IF(C6032="","",C6032&amp;COUNTIF(C$9:C6032,C6032))</f>
        <v/>
      </c>
    </row>
    <row r="6033" spans="2:2" x14ac:dyDescent="0.25">
      <c r="B6033" t="str">
        <f>IF(C6033="","",C6033&amp;COUNTIF(C$9:C6033,C6033))</f>
        <v/>
      </c>
    </row>
    <row r="6034" spans="2:2" x14ac:dyDescent="0.25">
      <c r="B6034" t="str">
        <f>IF(C6034="","",C6034&amp;COUNTIF(C$9:C6034,C6034))</f>
        <v/>
      </c>
    </row>
    <row r="6035" spans="2:2" x14ac:dyDescent="0.25">
      <c r="B6035" t="str">
        <f>IF(C6035="","",C6035&amp;COUNTIF(C$9:C6035,C6035))</f>
        <v/>
      </c>
    </row>
    <row r="6036" spans="2:2" x14ac:dyDescent="0.25">
      <c r="B6036" t="str">
        <f>IF(C6036="","",C6036&amp;COUNTIF(C$9:C6036,C6036))</f>
        <v/>
      </c>
    </row>
    <row r="6037" spans="2:2" x14ac:dyDescent="0.25">
      <c r="B6037" t="str">
        <f>IF(C6037="","",C6037&amp;COUNTIF(C$9:C6037,C6037))</f>
        <v/>
      </c>
    </row>
    <row r="6038" spans="2:2" x14ac:dyDescent="0.25">
      <c r="B6038" t="str">
        <f>IF(C6038="","",C6038&amp;COUNTIF(C$9:C6038,C6038))</f>
        <v/>
      </c>
    </row>
    <row r="6039" spans="2:2" x14ac:dyDescent="0.25">
      <c r="B6039" t="str">
        <f>IF(C6039="","",C6039&amp;COUNTIF(C$9:C6039,C6039))</f>
        <v/>
      </c>
    </row>
    <row r="6040" spans="2:2" x14ac:dyDescent="0.25">
      <c r="B6040" t="str">
        <f>IF(C6040="","",C6040&amp;COUNTIF(C$9:C6040,C6040))</f>
        <v/>
      </c>
    </row>
    <row r="6041" spans="2:2" x14ac:dyDescent="0.25">
      <c r="B6041" t="str">
        <f>IF(C6041="","",C6041&amp;COUNTIF(C$9:C6041,C6041))</f>
        <v/>
      </c>
    </row>
    <row r="6042" spans="2:2" x14ac:dyDescent="0.25">
      <c r="B6042" t="str">
        <f>IF(C6042="","",C6042&amp;COUNTIF(C$9:C6042,C6042))</f>
        <v/>
      </c>
    </row>
    <row r="6043" spans="2:2" x14ac:dyDescent="0.25">
      <c r="B6043" t="str">
        <f>IF(C6043="","",C6043&amp;COUNTIF(C$9:C6043,C6043))</f>
        <v/>
      </c>
    </row>
    <row r="6044" spans="2:2" x14ac:dyDescent="0.25">
      <c r="B6044" t="str">
        <f>IF(C6044="","",C6044&amp;COUNTIF(C$9:C6044,C6044))</f>
        <v/>
      </c>
    </row>
    <row r="6045" spans="2:2" x14ac:dyDescent="0.25">
      <c r="B6045" t="str">
        <f>IF(C6045="","",C6045&amp;COUNTIF(C$9:C6045,C6045))</f>
        <v/>
      </c>
    </row>
    <row r="6046" spans="2:2" x14ac:dyDescent="0.25">
      <c r="B6046" t="str">
        <f>IF(C6046="","",C6046&amp;COUNTIF(C$9:C6046,C6046))</f>
        <v/>
      </c>
    </row>
    <row r="6047" spans="2:2" x14ac:dyDescent="0.25">
      <c r="B6047" t="str">
        <f>IF(C6047="","",C6047&amp;COUNTIF(C$9:C6047,C6047))</f>
        <v/>
      </c>
    </row>
    <row r="6048" spans="2:2" x14ac:dyDescent="0.25">
      <c r="B6048" t="str">
        <f>IF(C6048="","",C6048&amp;COUNTIF(C$9:C6048,C6048))</f>
        <v/>
      </c>
    </row>
    <row r="6049" spans="2:2" x14ac:dyDescent="0.25">
      <c r="B6049" t="str">
        <f>IF(C6049="","",C6049&amp;COUNTIF(C$9:C6049,C6049))</f>
        <v/>
      </c>
    </row>
    <row r="6050" spans="2:2" x14ac:dyDescent="0.25">
      <c r="B6050" t="str">
        <f>IF(C6050="","",C6050&amp;COUNTIF(C$9:C6050,C6050))</f>
        <v/>
      </c>
    </row>
    <row r="6051" spans="2:2" x14ac:dyDescent="0.25">
      <c r="B6051" t="str">
        <f>IF(C6051="","",C6051&amp;COUNTIF(C$9:C6051,C6051))</f>
        <v/>
      </c>
    </row>
    <row r="6052" spans="2:2" x14ac:dyDescent="0.25">
      <c r="B6052" t="str">
        <f>IF(C6052="","",C6052&amp;COUNTIF(C$9:C6052,C6052))</f>
        <v/>
      </c>
    </row>
    <row r="6053" spans="2:2" x14ac:dyDescent="0.25">
      <c r="B6053" t="str">
        <f>IF(C6053="","",C6053&amp;COUNTIF(C$9:C6053,C6053))</f>
        <v/>
      </c>
    </row>
    <row r="6054" spans="2:2" x14ac:dyDescent="0.25">
      <c r="B6054" t="str">
        <f>IF(C6054="","",C6054&amp;COUNTIF(C$9:C6054,C6054))</f>
        <v/>
      </c>
    </row>
    <row r="6055" spans="2:2" x14ac:dyDescent="0.25">
      <c r="B6055" t="str">
        <f>IF(C6055="","",C6055&amp;COUNTIF(C$9:C6055,C6055))</f>
        <v/>
      </c>
    </row>
    <row r="6056" spans="2:2" x14ac:dyDescent="0.25">
      <c r="B6056" t="str">
        <f>IF(C6056="","",C6056&amp;COUNTIF(C$9:C6056,C6056))</f>
        <v/>
      </c>
    </row>
    <row r="6057" spans="2:2" x14ac:dyDescent="0.25">
      <c r="B6057" t="str">
        <f>IF(C6057="","",C6057&amp;COUNTIF(C$9:C6057,C6057))</f>
        <v/>
      </c>
    </row>
    <row r="6058" spans="2:2" x14ac:dyDescent="0.25">
      <c r="B6058" t="str">
        <f>IF(C6058="","",C6058&amp;COUNTIF(C$9:C6058,C6058))</f>
        <v/>
      </c>
    </row>
    <row r="6059" spans="2:2" x14ac:dyDescent="0.25">
      <c r="B6059" t="str">
        <f>IF(C6059="","",C6059&amp;COUNTIF(C$9:C6059,C6059))</f>
        <v/>
      </c>
    </row>
    <row r="6060" spans="2:2" x14ac:dyDescent="0.25">
      <c r="B6060" t="str">
        <f>IF(C6060="","",C6060&amp;COUNTIF(C$9:C6060,C6060))</f>
        <v/>
      </c>
    </row>
    <row r="6061" spans="2:2" x14ac:dyDescent="0.25">
      <c r="B6061" t="str">
        <f>IF(C6061="","",C6061&amp;COUNTIF(C$9:C6061,C6061))</f>
        <v/>
      </c>
    </row>
    <row r="6062" spans="2:2" x14ac:dyDescent="0.25">
      <c r="B6062" t="str">
        <f>IF(C6062="","",C6062&amp;COUNTIF(C$9:C6062,C6062))</f>
        <v/>
      </c>
    </row>
    <row r="6063" spans="2:2" x14ac:dyDescent="0.25">
      <c r="B6063" t="str">
        <f>IF(C6063="","",C6063&amp;COUNTIF(C$9:C6063,C6063))</f>
        <v/>
      </c>
    </row>
    <row r="6064" spans="2:2" x14ac:dyDescent="0.25">
      <c r="B6064" t="str">
        <f>IF(C6064="","",C6064&amp;COUNTIF(C$9:C6064,C6064))</f>
        <v/>
      </c>
    </row>
    <row r="6065" spans="2:2" x14ac:dyDescent="0.25">
      <c r="B6065" t="str">
        <f>IF(C6065="","",C6065&amp;COUNTIF(C$9:C6065,C6065))</f>
        <v/>
      </c>
    </row>
    <row r="6066" spans="2:2" x14ac:dyDescent="0.25">
      <c r="B6066" t="str">
        <f>IF(C6066="","",C6066&amp;COUNTIF(C$9:C6066,C6066))</f>
        <v/>
      </c>
    </row>
    <row r="6067" spans="2:2" x14ac:dyDescent="0.25">
      <c r="B6067" t="str">
        <f>IF(C6067="","",C6067&amp;COUNTIF(C$9:C6067,C6067))</f>
        <v/>
      </c>
    </row>
    <row r="6068" spans="2:2" x14ac:dyDescent="0.25">
      <c r="B6068" t="str">
        <f>IF(C6068="","",C6068&amp;COUNTIF(C$9:C6068,C6068))</f>
        <v/>
      </c>
    </row>
    <row r="6069" spans="2:2" x14ac:dyDescent="0.25">
      <c r="B6069" t="str">
        <f>IF(C6069="","",C6069&amp;COUNTIF(C$9:C6069,C6069))</f>
        <v/>
      </c>
    </row>
    <row r="6070" spans="2:2" x14ac:dyDescent="0.25">
      <c r="B6070" t="str">
        <f>IF(C6070="","",C6070&amp;COUNTIF(C$9:C6070,C6070))</f>
        <v/>
      </c>
    </row>
    <row r="6071" spans="2:2" x14ac:dyDescent="0.25">
      <c r="B6071" t="str">
        <f>IF(C6071="","",C6071&amp;COUNTIF(C$9:C6071,C6071))</f>
        <v/>
      </c>
    </row>
    <row r="6072" spans="2:2" x14ac:dyDescent="0.25">
      <c r="B6072" t="str">
        <f>IF(C6072="","",C6072&amp;COUNTIF(C$9:C6072,C6072))</f>
        <v/>
      </c>
    </row>
    <row r="6073" spans="2:2" x14ac:dyDescent="0.25">
      <c r="B6073" t="str">
        <f>IF(C6073="","",C6073&amp;COUNTIF(C$9:C6073,C6073))</f>
        <v/>
      </c>
    </row>
    <row r="6074" spans="2:2" x14ac:dyDescent="0.25">
      <c r="B6074" t="str">
        <f>IF(C6074="","",C6074&amp;COUNTIF(C$9:C6074,C6074))</f>
        <v/>
      </c>
    </row>
    <row r="6075" spans="2:2" x14ac:dyDescent="0.25">
      <c r="B6075" t="str">
        <f>IF(C6075="","",C6075&amp;COUNTIF(C$9:C6075,C6075))</f>
        <v/>
      </c>
    </row>
    <row r="6076" spans="2:2" x14ac:dyDescent="0.25">
      <c r="B6076" t="str">
        <f>IF(C6076="","",C6076&amp;COUNTIF(C$9:C6076,C6076))</f>
        <v/>
      </c>
    </row>
    <row r="6077" spans="2:2" x14ac:dyDescent="0.25">
      <c r="B6077" t="str">
        <f>IF(C6077="","",C6077&amp;COUNTIF(C$9:C6077,C6077))</f>
        <v/>
      </c>
    </row>
    <row r="6078" spans="2:2" x14ac:dyDescent="0.25">
      <c r="B6078" t="str">
        <f>IF(C6078="","",C6078&amp;COUNTIF(C$9:C6078,C6078))</f>
        <v/>
      </c>
    </row>
    <row r="6079" spans="2:2" x14ac:dyDescent="0.25">
      <c r="B6079" t="str">
        <f>IF(C6079="","",C6079&amp;COUNTIF(C$9:C6079,C6079))</f>
        <v/>
      </c>
    </row>
    <row r="6080" spans="2:2" x14ac:dyDescent="0.25">
      <c r="B6080" t="str">
        <f>IF(C6080="","",C6080&amp;COUNTIF(C$9:C6080,C6080))</f>
        <v/>
      </c>
    </row>
    <row r="6081" spans="2:2" x14ac:dyDescent="0.25">
      <c r="B6081" t="str">
        <f>IF(C6081="","",C6081&amp;COUNTIF(C$9:C6081,C6081))</f>
        <v/>
      </c>
    </row>
    <row r="6082" spans="2:2" x14ac:dyDescent="0.25">
      <c r="B6082" t="str">
        <f>IF(C6082="","",C6082&amp;COUNTIF(C$9:C6082,C6082))</f>
        <v/>
      </c>
    </row>
    <row r="6083" spans="2:2" x14ac:dyDescent="0.25">
      <c r="B6083" t="str">
        <f>IF(C6083="","",C6083&amp;COUNTIF(C$9:C6083,C6083))</f>
        <v/>
      </c>
    </row>
    <row r="6084" spans="2:2" x14ac:dyDescent="0.25">
      <c r="B6084" t="str">
        <f>IF(C6084="","",C6084&amp;COUNTIF(C$9:C6084,C6084))</f>
        <v/>
      </c>
    </row>
    <row r="6085" spans="2:2" x14ac:dyDescent="0.25">
      <c r="B6085" t="str">
        <f>IF(C6085="","",C6085&amp;COUNTIF(C$9:C6085,C6085))</f>
        <v/>
      </c>
    </row>
    <row r="6086" spans="2:2" x14ac:dyDescent="0.25">
      <c r="B6086" t="str">
        <f>IF(C6086="","",C6086&amp;COUNTIF(C$9:C6086,C6086))</f>
        <v/>
      </c>
    </row>
    <row r="6087" spans="2:2" x14ac:dyDescent="0.25">
      <c r="B6087" t="str">
        <f>IF(C6087="","",C6087&amp;COUNTIF(C$9:C6087,C6087))</f>
        <v/>
      </c>
    </row>
    <row r="6088" spans="2:2" x14ac:dyDescent="0.25">
      <c r="B6088" t="str">
        <f>IF(C6088="","",C6088&amp;COUNTIF(C$9:C6088,C6088))</f>
        <v/>
      </c>
    </row>
    <row r="6089" spans="2:2" x14ac:dyDescent="0.25">
      <c r="B6089" t="str">
        <f>IF(C6089="","",C6089&amp;COUNTIF(C$9:C6089,C6089))</f>
        <v/>
      </c>
    </row>
    <row r="6090" spans="2:2" x14ac:dyDescent="0.25">
      <c r="B6090" t="str">
        <f>IF(C6090="","",C6090&amp;COUNTIF(C$9:C6090,C6090))</f>
        <v/>
      </c>
    </row>
    <row r="6091" spans="2:2" x14ac:dyDescent="0.25">
      <c r="B6091" t="str">
        <f>IF(C6091="","",C6091&amp;COUNTIF(C$9:C6091,C6091))</f>
        <v/>
      </c>
    </row>
    <row r="6092" spans="2:2" x14ac:dyDescent="0.25">
      <c r="B6092" t="str">
        <f>IF(C6092="","",C6092&amp;COUNTIF(C$9:C6092,C6092))</f>
        <v/>
      </c>
    </row>
    <row r="6093" spans="2:2" x14ac:dyDescent="0.25">
      <c r="B6093" t="str">
        <f>IF(C6093="","",C6093&amp;COUNTIF(C$9:C6093,C6093))</f>
        <v/>
      </c>
    </row>
    <row r="6094" spans="2:2" x14ac:dyDescent="0.25">
      <c r="B6094" t="str">
        <f>IF(C6094="","",C6094&amp;COUNTIF(C$9:C6094,C6094))</f>
        <v/>
      </c>
    </row>
    <row r="6095" spans="2:2" x14ac:dyDescent="0.25">
      <c r="B6095" t="str">
        <f>IF(C6095="","",C6095&amp;COUNTIF(C$9:C6095,C6095))</f>
        <v/>
      </c>
    </row>
    <row r="6096" spans="2:2" x14ac:dyDescent="0.25">
      <c r="B6096" t="str">
        <f>IF(C6096="","",C6096&amp;COUNTIF(C$9:C6096,C6096))</f>
        <v/>
      </c>
    </row>
    <row r="6097" spans="2:2" x14ac:dyDescent="0.25">
      <c r="B6097" t="str">
        <f>IF(C6097="","",C6097&amp;COUNTIF(C$9:C6097,C6097))</f>
        <v/>
      </c>
    </row>
    <row r="6098" spans="2:2" x14ac:dyDescent="0.25">
      <c r="B6098" t="str">
        <f>IF(C6098="","",C6098&amp;COUNTIF(C$9:C6098,C6098))</f>
        <v/>
      </c>
    </row>
    <row r="6099" spans="2:2" x14ac:dyDescent="0.25">
      <c r="B6099" t="str">
        <f>IF(C6099="","",C6099&amp;COUNTIF(C$9:C6099,C6099))</f>
        <v/>
      </c>
    </row>
    <row r="6100" spans="2:2" x14ac:dyDescent="0.25">
      <c r="B6100" t="str">
        <f>IF(C6100="","",C6100&amp;COUNTIF(C$9:C6100,C6100))</f>
        <v/>
      </c>
    </row>
    <row r="6101" spans="2:2" x14ac:dyDescent="0.25">
      <c r="B6101" t="str">
        <f>IF(C6101="","",C6101&amp;COUNTIF(C$9:C6101,C6101))</f>
        <v/>
      </c>
    </row>
    <row r="6102" spans="2:2" x14ac:dyDescent="0.25">
      <c r="B6102" t="str">
        <f>IF(C6102="","",C6102&amp;COUNTIF(C$9:C6102,C6102))</f>
        <v/>
      </c>
    </row>
    <row r="6103" spans="2:2" x14ac:dyDescent="0.25">
      <c r="B6103" t="str">
        <f>IF(C6103="","",C6103&amp;COUNTIF(C$9:C6103,C6103))</f>
        <v/>
      </c>
    </row>
    <row r="6104" spans="2:2" x14ac:dyDescent="0.25">
      <c r="B6104" t="str">
        <f>IF(C6104="","",C6104&amp;COUNTIF(C$9:C6104,C6104))</f>
        <v/>
      </c>
    </row>
    <row r="6105" spans="2:2" x14ac:dyDescent="0.25">
      <c r="B6105" t="str">
        <f>IF(C6105="","",C6105&amp;COUNTIF(C$9:C6105,C6105))</f>
        <v/>
      </c>
    </row>
    <row r="6106" spans="2:2" x14ac:dyDescent="0.25">
      <c r="B6106" t="str">
        <f>IF(C6106="","",C6106&amp;COUNTIF(C$9:C6106,C6106))</f>
        <v/>
      </c>
    </row>
    <row r="6107" spans="2:2" x14ac:dyDescent="0.25">
      <c r="B6107" t="str">
        <f>IF(C6107="","",C6107&amp;COUNTIF(C$9:C6107,C6107))</f>
        <v/>
      </c>
    </row>
    <row r="6108" spans="2:2" x14ac:dyDescent="0.25">
      <c r="B6108" t="str">
        <f>IF(C6108="","",C6108&amp;COUNTIF(C$9:C6108,C6108))</f>
        <v/>
      </c>
    </row>
    <row r="6109" spans="2:2" x14ac:dyDescent="0.25">
      <c r="B6109" t="str">
        <f>IF(C6109="","",C6109&amp;COUNTIF(C$9:C6109,C6109))</f>
        <v/>
      </c>
    </row>
    <row r="6110" spans="2:2" x14ac:dyDescent="0.25">
      <c r="B6110" t="str">
        <f>IF(C6110="","",C6110&amp;COUNTIF(C$9:C6110,C6110))</f>
        <v/>
      </c>
    </row>
    <row r="6111" spans="2:2" x14ac:dyDescent="0.25">
      <c r="B6111" t="str">
        <f>IF(C6111="","",C6111&amp;COUNTIF(C$9:C6111,C6111))</f>
        <v/>
      </c>
    </row>
    <row r="6112" spans="2:2" x14ac:dyDescent="0.25">
      <c r="B6112" t="str">
        <f>IF(C6112="","",C6112&amp;COUNTIF(C$9:C6112,C6112))</f>
        <v/>
      </c>
    </row>
    <row r="6113" spans="2:2" x14ac:dyDescent="0.25">
      <c r="B6113" t="str">
        <f>IF(C6113="","",C6113&amp;COUNTIF(C$9:C6113,C6113))</f>
        <v/>
      </c>
    </row>
    <row r="6114" spans="2:2" x14ac:dyDescent="0.25">
      <c r="B6114" t="str">
        <f>IF(C6114="","",C6114&amp;COUNTIF(C$9:C6114,C6114))</f>
        <v/>
      </c>
    </row>
    <row r="6115" spans="2:2" x14ac:dyDescent="0.25">
      <c r="B6115" t="str">
        <f>IF(C6115="","",C6115&amp;COUNTIF(C$9:C6115,C6115))</f>
        <v/>
      </c>
    </row>
    <row r="6116" spans="2:2" x14ac:dyDescent="0.25">
      <c r="B6116" t="str">
        <f>IF(C6116="","",C6116&amp;COUNTIF(C$9:C6116,C6116))</f>
        <v/>
      </c>
    </row>
    <row r="6117" spans="2:2" x14ac:dyDescent="0.25">
      <c r="B6117" t="str">
        <f>IF(C6117="","",C6117&amp;COUNTIF(C$9:C6117,C6117))</f>
        <v/>
      </c>
    </row>
    <row r="6118" spans="2:2" x14ac:dyDescent="0.25">
      <c r="B6118" t="str">
        <f>IF(C6118="","",C6118&amp;COUNTIF(C$9:C6118,C6118))</f>
        <v/>
      </c>
    </row>
    <row r="6119" spans="2:2" x14ac:dyDescent="0.25">
      <c r="B6119" t="str">
        <f>IF(C6119="","",C6119&amp;COUNTIF(C$9:C6119,C6119))</f>
        <v/>
      </c>
    </row>
    <row r="6120" spans="2:2" x14ac:dyDescent="0.25">
      <c r="B6120" t="str">
        <f>IF(C6120="","",C6120&amp;COUNTIF(C$9:C6120,C6120))</f>
        <v/>
      </c>
    </row>
    <row r="6121" spans="2:2" x14ac:dyDescent="0.25">
      <c r="B6121" t="str">
        <f>IF(C6121="","",C6121&amp;COUNTIF(C$9:C6121,C6121))</f>
        <v/>
      </c>
    </row>
    <row r="6122" spans="2:2" x14ac:dyDescent="0.25">
      <c r="B6122" t="str">
        <f>IF(C6122="","",C6122&amp;COUNTIF(C$9:C6122,C6122))</f>
        <v/>
      </c>
    </row>
    <row r="6123" spans="2:2" x14ac:dyDescent="0.25">
      <c r="B6123" t="str">
        <f>IF(C6123="","",C6123&amp;COUNTIF(C$9:C6123,C6123))</f>
        <v/>
      </c>
    </row>
    <row r="6124" spans="2:2" x14ac:dyDescent="0.25">
      <c r="B6124" t="str">
        <f>IF(C6124="","",C6124&amp;COUNTIF(C$9:C6124,C6124))</f>
        <v/>
      </c>
    </row>
    <row r="6125" spans="2:2" x14ac:dyDescent="0.25">
      <c r="B6125" t="str">
        <f>IF(C6125="","",C6125&amp;COUNTIF(C$9:C6125,C6125))</f>
        <v/>
      </c>
    </row>
    <row r="6126" spans="2:2" x14ac:dyDescent="0.25">
      <c r="B6126" t="str">
        <f>IF(C6126="","",C6126&amp;COUNTIF(C$9:C6126,C6126))</f>
        <v/>
      </c>
    </row>
    <row r="6127" spans="2:2" x14ac:dyDescent="0.25">
      <c r="B6127" t="str">
        <f>IF(C6127="","",C6127&amp;COUNTIF(C$9:C6127,C6127))</f>
        <v/>
      </c>
    </row>
    <row r="6128" spans="2:2" x14ac:dyDescent="0.25">
      <c r="B6128" t="str">
        <f>IF(C6128="","",C6128&amp;COUNTIF(C$9:C6128,C6128))</f>
        <v/>
      </c>
    </row>
    <row r="6129" spans="2:2" x14ac:dyDescent="0.25">
      <c r="B6129" t="str">
        <f>IF(C6129="","",C6129&amp;COUNTIF(C$9:C6129,C6129))</f>
        <v/>
      </c>
    </row>
    <row r="6130" spans="2:2" x14ac:dyDescent="0.25">
      <c r="B6130" t="str">
        <f>IF(C6130="","",C6130&amp;COUNTIF(C$9:C6130,C6130))</f>
        <v/>
      </c>
    </row>
    <row r="6131" spans="2:2" x14ac:dyDescent="0.25">
      <c r="B6131" t="str">
        <f>IF(C6131="","",C6131&amp;COUNTIF(C$9:C6131,C6131))</f>
        <v/>
      </c>
    </row>
    <row r="6132" spans="2:2" x14ac:dyDescent="0.25">
      <c r="B6132" t="str">
        <f>IF(C6132="","",C6132&amp;COUNTIF(C$9:C6132,C6132))</f>
        <v/>
      </c>
    </row>
    <row r="6133" spans="2:2" x14ac:dyDescent="0.25">
      <c r="B6133" t="str">
        <f>IF(C6133="","",C6133&amp;COUNTIF(C$9:C6133,C6133))</f>
        <v/>
      </c>
    </row>
    <row r="6134" spans="2:2" x14ac:dyDescent="0.25">
      <c r="B6134" t="str">
        <f>IF(C6134="","",C6134&amp;COUNTIF(C$9:C6134,C6134))</f>
        <v/>
      </c>
    </row>
    <row r="6135" spans="2:2" x14ac:dyDescent="0.25">
      <c r="B6135" t="str">
        <f>IF(C6135="","",C6135&amp;COUNTIF(C$9:C6135,C6135))</f>
        <v/>
      </c>
    </row>
    <row r="6136" spans="2:2" x14ac:dyDescent="0.25">
      <c r="B6136" t="str">
        <f>IF(C6136="","",C6136&amp;COUNTIF(C$9:C6136,C6136))</f>
        <v/>
      </c>
    </row>
    <row r="6137" spans="2:2" x14ac:dyDescent="0.25">
      <c r="B6137" t="str">
        <f>IF(C6137="","",C6137&amp;COUNTIF(C$9:C6137,C6137))</f>
        <v/>
      </c>
    </row>
    <row r="6138" spans="2:2" x14ac:dyDescent="0.25">
      <c r="B6138" t="str">
        <f>IF(C6138="","",C6138&amp;COUNTIF(C$9:C6138,C6138))</f>
        <v/>
      </c>
    </row>
    <row r="6139" spans="2:2" x14ac:dyDescent="0.25">
      <c r="B6139" t="str">
        <f>IF(C6139="","",C6139&amp;COUNTIF(C$9:C6139,C6139))</f>
        <v/>
      </c>
    </row>
    <row r="6140" spans="2:2" x14ac:dyDescent="0.25">
      <c r="B6140" t="str">
        <f>IF(C6140="","",C6140&amp;COUNTIF(C$9:C6140,C6140))</f>
        <v/>
      </c>
    </row>
    <row r="6141" spans="2:2" x14ac:dyDescent="0.25">
      <c r="B6141" t="str">
        <f>IF(C6141="","",C6141&amp;COUNTIF(C$9:C6141,C6141))</f>
        <v/>
      </c>
    </row>
    <row r="6142" spans="2:2" x14ac:dyDescent="0.25">
      <c r="B6142" t="str">
        <f>IF(C6142="","",C6142&amp;COUNTIF(C$9:C6142,C6142))</f>
        <v/>
      </c>
    </row>
    <row r="6143" spans="2:2" x14ac:dyDescent="0.25">
      <c r="B6143" t="str">
        <f>IF(C6143="","",C6143&amp;COUNTIF(C$9:C6143,C6143))</f>
        <v/>
      </c>
    </row>
    <row r="6144" spans="2:2" x14ac:dyDescent="0.25">
      <c r="B6144" t="str">
        <f>IF(C6144="","",C6144&amp;COUNTIF(C$9:C6144,C6144))</f>
        <v/>
      </c>
    </row>
    <row r="6145" spans="2:2" x14ac:dyDescent="0.25">
      <c r="B6145" t="str">
        <f>IF(C6145="","",C6145&amp;COUNTIF(C$9:C6145,C6145))</f>
        <v/>
      </c>
    </row>
    <row r="6146" spans="2:2" x14ac:dyDescent="0.25">
      <c r="B6146" t="str">
        <f>IF(C6146="","",C6146&amp;COUNTIF(C$9:C6146,C6146))</f>
        <v/>
      </c>
    </row>
    <row r="6147" spans="2:2" x14ac:dyDescent="0.25">
      <c r="B6147" t="str">
        <f>IF(C6147="","",C6147&amp;COUNTIF(C$9:C6147,C6147))</f>
        <v/>
      </c>
    </row>
    <row r="6148" spans="2:2" x14ac:dyDescent="0.25">
      <c r="B6148" t="str">
        <f>IF(C6148="","",C6148&amp;COUNTIF(C$9:C6148,C6148))</f>
        <v/>
      </c>
    </row>
    <row r="6149" spans="2:2" x14ac:dyDescent="0.25">
      <c r="B6149" t="str">
        <f>IF(C6149="","",C6149&amp;COUNTIF(C$9:C6149,C6149))</f>
        <v/>
      </c>
    </row>
    <row r="6150" spans="2:2" x14ac:dyDescent="0.25">
      <c r="B6150" t="str">
        <f>IF(C6150="","",C6150&amp;COUNTIF(C$9:C6150,C6150))</f>
        <v/>
      </c>
    </row>
    <row r="6151" spans="2:2" x14ac:dyDescent="0.25">
      <c r="B6151" t="str">
        <f>IF(C6151="","",C6151&amp;COUNTIF(C$9:C6151,C6151))</f>
        <v/>
      </c>
    </row>
    <row r="6152" spans="2:2" x14ac:dyDescent="0.25">
      <c r="B6152" t="str">
        <f>IF(C6152="","",C6152&amp;COUNTIF(C$9:C6152,C6152))</f>
        <v/>
      </c>
    </row>
    <row r="6153" spans="2:2" x14ac:dyDescent="0.25">
      <c r="B6153" t="str">
        <f>IF(C6153="","",C6153&amp;COUNTIF(C$9:C6153,C6153))</f>
        <v/>
      </c>
    </row>
    <row r="6154" spans="2:2" x14ac:dyDescent="0.25">
      <c r="B6154" t="str">
        <f>IF(C6154="","",C6154&amp;COUNTIF(C$9:C6154,C6154))</f>
        <v/>
      </c>
    </row>
    <row r="6155" spans="2:2" x14ac:dyDescent="0.25">
      <c r="B6155" t="str">
        <f>IF(C6155="","",C6155&amp;COUNTIF(C$9:C6155,C6155))</f>
        <v/>
      </c>
    </row>
    <row r="6156" spans="2:2" x14ac:dyDescent="0.25">
      <c r="B6156" t="str">
        <f>IF(C6156="","",C6156&amp;COUNTIF(C$9:C6156,C6156))</f>
        <v/>
      </c>
    </row>
    <row r="6157" spans="2:2" x14ac:dyDescent="0.25">
      <c r="B6157" t="str">
        <f>IF(C6157="","",C6157&amp;COUNTIF(C$9:C6157,C6157))</f>
        <v/>
      </c>
    </row>
    <row r="6158" spans="2:2" x14ac:dyDescent="0.25">
      <c r="B6158" t="str">
        <f>IF(C6158="","",C6158&amp;COUNTIF(C$9:C6158,C6158))</f>
        <v/>
      </c>
    </row>
    <row r="6159" spans="2:2" x14ac:dyDescent="0.25">
      <c r="B6159" t="str">
        <f>IF(C6159="","",C6159&amp;COUNTIF(C$9:C6159,C6159))</f>
        <v/>
      </c>
    </row>
    <row r="6160" spans="2:2" x14ac:dyDescent="0.25">
      <c r="B6160" t="str">
        <f>IF(C6160="","",C6160&amp;COUNTIF(C$9:C6160,C6160))</f>
        <v/>
      </c>
    </row>
    <row r="6161" spans="2:2" x14ac:dyDescent="0.25">
      <c r="B6161" t="str">
        <f>IF(C6161="","",C6161&amp;COUNTIF(C$9:C6161,C6161))</f>
        <v/>
      </c>
    </row>
    <row r="6162" spans="2:2" x14ac:dyDescent="0.25">
      <c r="B6162" t="str">
        <f>IF(C6162="","",C6162&amp;COUNTIF(C$9:C6162,C6162))</f>
        <v/>
      </c>
    </row>
    <row r="6163" spans="2:2" x14ac:dyDescent="0.25">
      <c r="B6163" t="str">
        <f>IF(C6163="","",C6163&amp;COUNTIF(C$9:C6163,C6163))</f>
        <v/>
      </c>
    </row>
    <row r="6164" spans="2:2" x14ac:dyDescent="0.25">
      <c r="B6164" t="str">
        <f>IF(C6164="","",C6164&amp;COUNTIF(C$9:C6164,C6164))</f>
        <v/>
      </c>
    </row>
    <row r="6165" spans="2:2" x14ac:dyDescent="0.25">
      <c r="B6165" t="str">
        <f>IF(C6165="","",C6165&amp;COUNTIF(C$9:C6165,C6165))</f>
        <v/>
      </c>
    </row>
    <row r="6166" spans="2:2" x14ac:dyDescent="0.25">
      <c r="B6166" t="str">
        <f>IF(C6166="","",C6166&amp;COUNTIF(C$9:C6166,C6166))</f>
        <v/>
      </c>
    </row>
    <row r="6167" spans="2:2" x14ac:dyDescent="0.25">
      <c r="B6167" t="str">
        <f>IF(C6167="","",C6167&amp;COUNTIF(C$9:C6167,C6167))</f>
        <v/>
      </c>
    </row>
    <row r="6168" spans="2:2" x14ac:dyDescent="0.25">
      <c r="B6168" t="str">
        <f>IF(C6168="","",C6168&amp;COUNTIF(C$9:C6168,C6168))</f>
        <v/>
      </c>
    </row>
    <row r="6169" spans="2:2" x14ac:dyDescent="0.25">
      <c r="B6169" t="str">
        <f>IF(C6169="","",C6169&amp;COUNTIF(C$9:C6169,C6169))</f>
        <v/>
      </c>
    </row>
    <row r="6170" spans="2:2" x14ac:dyDescent="0.25">
      <c r="B6170" t="str">
        <f>IF(C6170="","",C6170&amp;COUNTIF(C$9:C6170,C6170))</f>
        <v/>
      </c>
    </row>
    <row r="6171" spans="2:2" x14ac:dyDescent="0.25">
      <c r="B6171" t="str">
        <f>IF(C6171="","",C6171&amp;COUNTIF(C$9:C6171,C6171))</f>
        <v/>
      </c>
    </row>
    <row r="6172" spans="2:2" x14ac:dyDescent="0.25">
      <c r="B6172" t="str">
        <f>IF(C6172="","",C6172&amp;COUNTIF(C$9:C6172,C6172))</f>
        <v/>
      </c>
    </row>
    <row r="6173" spans="2:2" x14ac:dyDescent="0.25">
      <c r="B6173" t="str">
        <f>IF(C6173="","",C6173&amp;COUNTIF(C$9:C6173,C6173))</f>
        <v/>
      </c>
    </row>
    <row r="6174" spans="2:2" x14ac:dyDescent="0.25">
      <c r="B6174" t="str">
        <f>IF(C6174="","",C6174&amp;COUNTIF(C$9:C6174,C6174))</f>
        <v/>
      </c>
    </row>
    <row r="6175" spans="2:2" x14ac:dyDescent="0.25">
      <c r="B6175" t="str">
        <f>IF(C6175="","",C6175&amp;COUNTIF(C$9:C6175,C6175))</f>
        <v/>
      </c>
    </row>
    <row r="6176" spans="2:2" x14ac:dyDescent="0.25">
      <c r="B6176" t="str">
        <f>IF(C6176="","",C6176&amp;COUNTIF(C$9:C6176,C6176))</f>
        <v/>
      </c>
    </row>
    <row r="6177" spans="2:2" x14ac:dyDescent="0.25">
      <c r="B6177" t="str">
        <f>IF(C6177="","",C6177&amp;COUNTIF(C$9:C6177,C6177))</f>
        <v/>
      </c>
    </row>
    <row r="6178" spans="2:2" x14ac:dyDescent="0.25">
      <c r="B6178" t="str">
        <f>IF(C6178="","",C6178&amp;COUNTIF(C$9:C6178,C6178))</f>
        <v/>
      </c>
    </row>
    <row r="6179" spans="2:2" x14ac:dyDescent="0.25">
      <c r="B6179" t="str">
        <f>IF(C6179="","",C6179&amp;COUNTIF(C$9:C6179,C6179))</f>
        <v/>
      </c>
    </row>
    <row r="6180" spans="2:2" x14ac:dyDescent="0.25">
      <c r="B6180" t="str">
        <f>IF(C6180="","",C6180&amp;COUNTIF(C$9:C6180,C6180))</f>
        <v/>
      </c>
    </row>
    <row r="6181" spans="2:2" x14ac:dyDescent="0.25">
      <c r="B6181" t="str">
        <f>IF(C6181="","",C6181&amp;COUNTIF(C$9:C6181,C6181))</f>
        <v/>
      </c>
    </row>
    <row r="6182" spans="2:2" x14ac:dyDescent="0.25">
      <c r="B6182" t="str">
        <f>IF(C6182="","",C6182&amp;COUNTIF(C$9:C6182,C6182))</f>
        <v/>
      </c>
    </row>
    <row r="6183" spans="2:2" x14ac:dyDescent="0.25">
      <c r="B6183" t="str">
        <f>IF(C6183="","",C6183&amp;COUNTIF(C$9:C6183,C6183))</f>
        <v/>
      </c>
    </row>
    <row r="6184" spans="2:2" x14ac:dyDescent="0.25">
      <c r="B6184" t="str">
        <f>IF(C6184="","",C6184&amp;COUNTIF(C$9:C6184,C6184))</f>
        <v/>
      </c>
    </row>
    <row r="6185" spans="2:2" x14ac:dyDescent="0.25">
      <c r="B6185" t="str">
        <f>IF(C6185="","",C6185&amp;COUNTIF(C$9:C6185,C6185))</f>
        <v/>
      </c>
    </row>
    <row r="6186" spans="2:2" x14ac:dyDescent="0.25">
      <c r="B6186" t="str">
        <f>IF(C6186="","",C6186&amp;COUNTIF(C$9:C6186,C6186))</f>
        <v/>
      </c>
    </row>
    <row r="6187" spans="2:2" x14ac:dyDescent="0.25">
      <c r="B6187" t="str">
        <f>IF(C6187="","",C6187&amp;COUNTIF(C$9:C6187,C6187))</f>
        <v/>
      </c>
    </row>
    <row r="6188" spans="2:2" x14ac:dyDescent="0.25">
      <c r="B6188" t="str">
        <f>IF(C6188="","",C6188&amp;COUNTIF(C$9:C6188,C6188))</f>
        <v/>
      </c>
    </row>
    <row r="6189" spans="2:2" x14ac:dyDescent="0.25">
      <c r="B6189" t="str">
        <f>IF(C6189="","",C6189&amp;COUNTIF(C$9:C6189,C6189))</f>
        <v/>
      </c>
    </row>
    <row r="6190" spans="2:2" x14ac:dyDescent="0.25">
      <c r="B6190" t="str">
        <f>IF(C6190="","",C6190&amp;COUNTIF(C$9:C6190,C6190))</f>
        <v/>
      </c>
    </row>
    <row r="6191" spans="2:2" x14ac:dyDescent="0.25">
      <c r="B6191" t="str">
        <f>IF(C6191="","",C6191&amp;COUNTIF(C$9:C6191,C6191))</f>
        <v/>
      </c>
    </row>
    <row r="6192" spans="2:2" x14ac:dyDescent="0.25">
      <c r="B6192" t="str">
        <f>IF(C6192="","",C6192&amp;COUNTIF(C$9:C6192,C6192))</f>
        <v/>
      </c>
    </row>
    <row r="6193" spans="2:2" x14ac:dyDescent="0.25">
      <c r="B6193" t="str">
        <f>IF(C6193="","",C6193&amp;COUNTIF(C$9:C6193,C6193))</f>
        <v/>
      </c>
    </row>
    <row r="6194" spans="2:2" x14ac:dyDescent="0.25">
      <c r="B6194" t="str">
        <f>IF(C6194="","",C6194&amp;COUNTIF(C$9:C6194,C6194))</f>
        <v/>
      </c>
    </row>
    <row r="6195" spans="2:2" x14ac:dyDescent="0.25">
      <c r="B6195" t="str">
        <f>IF(C6195="","",C6195&amp;COUNTIF(C$9:C6195,C6195))</f>
        <v/>
      </c>
    </row>
    <row r="6196" spans="2:2" x14ac:dyDescent="0.25">
      <c r="B6196" t="str">
        <f>IF(C6196="","",C6196&amp;COUNTIF(C$9:C6196,C6196))</f>
        <v/>
      </c>
    </row>
    <row r="6197" spans="2:2" x14ac:dyDescent="0.25">
      <c r="B6197" t="str">
        <f>IF(C6197="","",C6197&amp;COUNTIF(C$9:C6197,C6197))</f>
        <v/>
      </c>
    </row>
    <row r="6198" spans="2:2" x14ac:dyDescent="0.25">
      <c r="B6198" t="str">
        <f>IF(C6198="","",C6198&amp;COUNTIF(C$9:C6198,C6198))</f>
        <v/>
      </c>
    </row>
    <row r="6199" spans="2:2" x14ac:dyDescent="0.25">
      <c r="B6199" t="str">
        <f>IF(C6199="","",C6199&amp;COUNTIF(C$9:C6199,C6199))</f>
        <v/>
      </c>
    </row>
    <row r="6200" spans="2:2" x14ac:dyDescent="0.25">
      <c r="B6200" t="str">
        <f>IF(C6200="","",C6200&amp;COUNTIF(C$9:C6200,C6200))</f>
        <v/>
      </c>
    </row>
    <row r="6201" spans="2:2" x14ac:dyDescent="0.25">
      <c r="B6201" t="str">
        <f>IF(C6201="","",C6201&amp;COUNTIF(C$9:C6201,C6201))</f>
        <v/>
      </c>
    </row>
    <row r="6202" spans="2:2" x14ac:dyDescent="0.25">
      <c r="B6202" t="str">
        <f>IF(C6202="","",C6202&amp;COUNTIF(C$9:C6202,C6202))</f>
        <v/>
      </c>
    </row>
    <row r="6203" spans="2:2" x14ac:dyDescent="0.25">
      <c r="B6203" t="str">
        <f>IF(C6203="","",C6203&amp;COUNTIF(C$9:C6203,C6203))</f>
        <v/>
      </c>
    </row>
    <row r="6204" spans="2:2" x14ac:dyDescent="0.25">
      <c r="B6204" t="str">
        <f>IF(C6204="","",C6204&amp;COUNTIF(C$9:C6204,C6204))</f>
        <v/>
      </c>
    </row>
    <row r="6205" spans="2:2" x14ac:dyDescent="0.25">
      <c r="B6205" t="str">
        <f>IF(C6205="","",C6205&amp;COUNTIF(C$9:C6205,C6205))</f>
        <v/>
      </c>
    </row>
    <row r="6206" spans="2:2" x14ac:dyDescent="0.25">
      <c r="B6206" t="str">
        <f>IF(C6206="","",C6206&amp;COUNTIF(C$9:C6206,C6206))</f>
        <v/>
      </c>
    </row>
    <row r="6207" spans="2:2" x14ac:dyDescent="0.25">
      <c r="B6207" t="str">
        <f>IF(C6207="","",C6207&amp;COUNTIF(C$9:C6207,C6207))</f>
        <v/>
      </c>
    </row>
    <row r="6208" spans="2:2" x14ac:dyDescent="0.25">
      <c r="B6208" t="str">
        <f>IF(C6208="","",C6208&amp;COUNTIF(C$9:C6208,C6208))</f>
        <v/>
      </c>
    </row>
    <row r="6209" spans="2:2" x14ac:dyDescent="0.25">
      <c r="B6209" t="str">
        <f>IF(C6209="","",C6209&amp;COUNTIF(C$9:C6209,C6209))</f>
        <v/>
      </c>
    </row>
    <row r="6210" spans="2:2" x14ac:dyDescent="0.25">
      <c r="B6210" t="str">
        <f>IF(C6210="","",C6210&amp;COUNTIF(C$9:C6210,C6210))</f>
        <v/>
      </c>
    </row>
    <row r="6211" spans="2:2" x14ac:dyDescent="0.25">
      <c r="B6211" t="str">
        <f>IF(C6211="","",C6211&amp;COUNTIF(C$9:C6211,C6211))</f>
        <v/>
      </c>
    </row>
    <row r="6212" spans="2:2" x14ac:dyDescent="0.25">
      <c r="B6212" t="str">
        <f>IF(C6212="","",C6212&amp;COUNTIF(C$9:C6212,C6212))</f>
        <v/>
      </c>
    </row>
    <row r="6213" spans="2:2" x14ac:dyDescent="0.25">
      <c r="B6213" t="str">
        <f>IF(C6213="","",C6213&amp;COUNTIF(C$9:C6213,C6213))</f>
        <v/>
      </c>
    </row>
    <row r="6214" spans="2:2" x14ac:dyDescent="0.25">
      <c r="B6214" t="str">
        <f>IF(C6214="","",C6214&amp;COUNTIF(C$9:C6214,C6214))</f>
        <v/>
      </c>
    </row>
    <row r="6215" spans="2:2" x14ac:dyDescent="0.25">
      <c r="B6215" t="str">
        <f>IF(C6215="","",C6215&amp;COUNTIF(C$9:C6215,C6215))</f>
        <v/>
      </c>
    </row>
    <row r="6216" spans="2:2" x14ac:dyDescent="0.25">
      <c r="B6216" t="str">
        <f>IF(C6216="","",C6216&amp;COUNTIF(C$9:C6216,C6216))</f>
        <v/>
      </c>
    </row>
    <row r="6217" spans="2:2" x14ac:dyDescent="0.25">
      <c r="B6217" t="str">
        <f>IF(C6217="","",C6217&amp;COUNTIF(C$9:C6217,C6217))</f>
        <v/>
      </c>
    </row>
    <row r="6218" spans="2:2" x14ac:dyDescent="0.25">
      <c r="B6218" t="str">
        <f>IF(C6218="","",C6218&amp;COUNTIF(C$9:C6218,C6218))</f>
        <v/>
      </c>
    </row>
    <row r="6219" spans="2:2" x14ac:dyDescent="0.25">
      <c r="B6219" t="str">
        <f>IF(C6219="","",C6219&amp;COUNTIF(C$9:C6219,C6219))</f>
        <v/>
      </c>
    </row>
    <row r="6220" spans="2:2" x14ac:dyDescent="0.25">
      <c r="B6220" t="str">
        <f>IF(C6220="","",C6220&amp;COUNTIF(C$9:C6220,C6220))</f>
        <v/>
      </c>
    </row>
    <row r="6221" spans="2:2" x14ac:dyDescent="0.25">
      <c r="B6221" t="str">
        <f>IF(C6221="","",C6221&amp;COUNTIF(C$9:C6221,C6221))</f>
        <v/>
      </c>
    </row>
    <row r="6222" spans="2:2" x14ac:dyDescent="0.25">
      <c r="B6222" t="str">
        <f>IF(C6222="","",C6222&amp;COUNTIF(C$9:C6222,C6222))</f>
        <v/>
      </c>
    </row>
    <row r="6223" spans="2:2" x14ac:dyDescent="0.25">
      <c r="B6223" t="str">
        <f>IF(C6223="","",C6223&amp;COUNTIF(C$9:C6223,C6223))</f>
        <v/>
      </c>
    </row>
    <row r="6224" spans="2:2" x14ac:dyDescent="0.25">
      <c r="B6224" t="str">
        <f>IF(C6224="","",C6224&amp;COUNTIF(C$9:C6224,C6224))</f>
        <v/>
      </c>
    </row>
    <row r="6225" spans="2:2" x14ac:dyDescent="0.25">
      <c r="B6225" t="str">
        <f>IF(C6225="","",C6225&amp;COUNTIF(C$9:C6225,C6225))</f>
        <v/>
      </c>
    </row>
    <row r="6226" spans="2:2" x14ac:dyDescent="0.25">
      <c r="B6226" t="str">
        <f>IF(C6226="","",C6226&amp;COUNTIF(C$9:C6226,C6226))</f>
        <v/>
      </c>
    </row>
    <row r="6227" spans="2:2" x14ac:dyDescent="0.25">
      <c r="B6227" t="str">
        <f>IF(C6227="","",C6227&amp;COUNTIF(C$9:C6227,C6227))</f>
        <v/>
      </c>
    </row>
    <row r="6228" spans="2:2" x14ac:dyDescent="0.25">
      <c r="B6228" t="str">
        <f>IF(C6228="","",C6228&amp;COUNTIF(C$9:C6228,C6228))</f>
        <v/>
      </c>
    </row>
    <row r="6229" spans="2:2" x14ac:dyDescent="0.25">
      <c r="B6229" t="str">
        <f>IF(C6229="","",C6229&amp;COUNTIF(C$9:C6229,C6229))</f>
        <v/>
      </c>
    </row>
    <row r="6230" spans="2:2" x14ac:dyDescent="0.25">
      <c r="B6230" t="str">
        <f>IF(C6230="","",C6230&amp;COUNTIF(C$9:C6230,C6230))</f>
        <v/>
      </c>
    </row>
    <row r="6231" spans="2:2" x14ac:dyDescent="0.25">
      <c r="B6231" t="str">
        <f>IF(C6231="","",C6231&amp;COUNTIF(C$9:C6231,C6231))</f>
        <v/>
      </c>
    </row>
    <row r="6232" spans="2:2" x14ac:dyDescent="0.25">
      <c r="B6232" t="str">
        <f>IF(C6232="","",C6232&amp;COUNTIF(C$9:C6232,C6232))</f>
        <v/>
      </c>
    </row>
    <row r="6233" spans="2:2" x14ac:dyDescent="0.25">
      <c r="B6233" t="str">
        <f>IF(C6233="","",C6233&amp;COUNTIF(C$9:C6233,C6233))</f>
        <v/>
      </c>
    </row>
    <row r="6234" spans="2:2" x14ac:dyDescent="0.25">
      <c r="B6234" t="str">
        <f>IF(C6234="","",C6234&amp;COUNTIF(C$9:C6234,C6234))</f>
        <v/>
      </c>
    </row>
    <row r="6235" spans="2:2" x14ac:dyDescent="0.25">
      <c r="B6235" t="str">
        <f>IF(C6235="","",C6235&amp;COUNTIF(C$9:C6235,C6235))</f>
        <v/>
      </c>
    </row>
    <row r="6236" spans="2:2" x14ac:dyDescent="0.25">
      <c r="B6236" t="str">
        <f>IF(C6236="","",C6236&amp;COUNTIF(C$9:C6236,C6236))</f>
        <v/>
      </c>
    </row>
    <row r="6237" spans="2:2" x14ac:dyDescent="0.25">
      <c r="B6237" t="str">
        <f>IF(C6237="","",C6237&amp;COUNTIF(C$9:C6237,C6237))</f>
        <v/>
      </c>
    </row>
    <row r="6238" spans="2:2" x14ac:dyDescent="0.25">
      <c r="B6238" t="str">
        <f>IF(C6238="","",C6238&amp;COUNTIF(C$9:C6238,C6238))</f>
        <v/>
      </c>
    </row>
    <row r="6239" spans="2:2" x14ac:dyDescent="0.25">
      <c r="B6239" t="str">
        <f>IF(C6239="","",C6239&amp;COUNTIF(C$9:C6239,C6239))</f>
        <v/>
      </c>
    </row>
    <row r="6240" spans="2:2" x14ac:dyDescent="0.25">
      <c r="B6240" t="str">
        <f>IF(C6240="","",C6240&amp;COUNTIF(C$9:C6240,C6240))</f>
        <v/>
      </c>
    </row>
    <row r="6241" spans="2:2" x14ac:dyDescent="0.25">
      <c r="B6241" t="str">
        <f>IF(C6241="","",C6241&amp;COUNTIF(C$9:C6241,C6241))</f>
        <v/>
      </c>
    </row>
    <row r="6242" spans="2:2" x14ac:dyDescent="0.25">
      <c r="B6242" t="str">
        <f>IF(C6242="","",C6242&amp;COUNTIF(C$9:C6242,C6242))</f>
        <v/>
      </c>
    </row>
    <row r="6243" spans="2:2" x14ac:dyDescent="0.25">
      <c r="B6243" t="str">
        <f>IF(C6243="","",C6243&amp;COUNTIF(C$9:C6243,C6243))</f>
        <v/>
      </c>
    </row>
    <row r="6244" spans="2:2" x14ac:dyDescent="0.25">
      <c r="B6244" t="str">
        <f>IF(C6244="","",C6244&amp;COUNTIF(C$9:C6244,C6244))</f>
        <v/>
      </c>
    </row>
    <row r="6245" spans="2:2" x14ac:dyDescent="0.25">
      <c r="B6245" t="str">
        <f>IF(C6245="","",C6245&amp;COUNTIF(C$9:C6245,C6245))</f>
        <v/>
      </c>
    </row>
    <row r="6246" spans="2:2" x14ac:dyDescent="0.25">
      <c r="B6246" t="str">
        <f>IF(C6246="","",C6246&amp;COUNTIF(C$9:C6246,C6246))</f>
        <v/>
      </c>
    </row>
    <row r="6247" spans="2:2" x14ac:dyDescent="0.25">
      <c r="B6247" t="str">
        <f>IF(C6247="","",C6247&amp;COUNTIF(C$9:C6247,C6247))</f>
        <v/>
      </c>
    </row>
    <row r="6248" spans="2:2" x14ac:dyDescent="0.25">
      <c r="B6248" t="str">
        <f>IF(C6248="","",C6248&amp;COUNTIF(C$9:C6248,C6248))</f>
        <v/>
      </c>
    </row>
    <row r="6249" spans="2:2" x14ac:dyDescent="0.25">
      <c r="B6249" t="str">
        <f>IF(C6249="","",C6249&amp;COUNTIF(C$9:C6249,C6249))</f>
        <v/>
      </c>
    </row>
    <row r="6250" spans="2:2" x14ac:dyDescent="0.25">
      <c r="B6250" t="str">
        <f>IF(C6250="","",C6250&amp;COUNTIF(C$9:C6250,C6250))</f>
        <v/>
      </c>
    </row>
    <row r="6251" spans="2:2" x14ac:dyDescent="0.25">
      <c r="B6251" t="str">
        <f>IF(C6251="","",C6251&amp;COUNTIF(C$9:C6251,C6251))</f>
        <v/>
      </c>
    </row>
    <row r="6252" spans="2:2" x14ac:dyDescent="0.25">
      <c r="B6252" t="str">
        <f>IF(C6252="","",C6252&amp;COUNTIF(C$9:C6252,C6252))</f>
        <v/>
      </c>
    </row>
    <row r="6253" spans="2:2" x14ac:dyDescent="0.25">
      <c r="B6253" t="str">
        <f>IF(C6253="","",C6253&amp;COUNTIF(C$9:C6253,C6253))</f>
        <v/>
      </c>
    </row>
    <row r="6254" spans="2:2" x14ac:dyDescent="0.25">
      <c r="B6254" t="str">
        <f>IF(C6254="","",C6254&amp;COUNTIF(C$9:C6254,C6254))</f>
        <v/>
      </c>
    </row>
    <row r="6255" spans="2:2" x14ac:dyDescent="0.25">
      <c r="B6255" t="str">
        <f>IF(C6255="","",C6255&amp;COUNTIF(C$9:C6255,C6255))</f>
        <v/>
      </c>
    </row>
    <row r="6256" spans="2:2" x14ac:dyDescent="0.25">
      <c r="B6256" t="str">
        <f>IF(C6256="","",C6256&amp;COUNTIF(C$9:C6256,C6256))</f>
        <v/>
      </c>
    </row>
    <row r="6257" spans="2:2" x14ac:dyDescent="0.25">
      <c r="B6257" t="str">
        <f>IF(C6257="","",C6257&amp;COUNTIF(C$9:C6257,C6257))</f>
        <v/>
      </c>
    </row>
    <row r="6258" spans="2:2" x14ac:dyDescent="0.25">
      <c r="B6258" t="str">
        <f>IF(C6258="","",C6258&amp;COUNTIF(C$9:C6258,C6258))</f>
        <v/>
      </c>
    </row>
    <row r="6259" spans="2:2" x14ac:dyDescent="0.25">
      <c r="B6259" t="str">
        <f>IF(C6259="","",C6259&amp;COUNTIF(C$9:C6259,C6259))</f>
        <v/>
      </c>
    </row>
    <row r="6260" spans="2:2" x14ac:dyDescent="0.25">
      <c r="B6260" t="str">
        <f>IF(C6260="","",C6260&amp;COUNTIF(C$9:C6260,C6260))</f>
        <v/>
      </c>
    </row>
    <row r="6261" spans="2:2" x14ac:dyDescent="0.25">
      <c r="B6261" t="str">
        <f>IF(C6261="","",C6261&amp;COUNTIF(C$9:C6261,C6261))</f>
        <v/>
      </c>
    </row>
    <row r="6262" spans="2:2" x14ac:dyDescent="0.25">
      <c r="B6262" t="str">
        <f>IF(C6262="","",C6262&amp;COUNTIF(C$9:C6262,C6262))</f>
        <v/>
      </c>
    </row>
    <row r="6263" spans="2:2" x14ac:dyDescent="0.25">
      <c r="B6263" t="str">
        <f>IF(C6263="","",C6263&amp;COUNTIF(C$9:C6263,C6263))</f>
        <v/>
      </c>
    </row>
    <row r="6264" spans="2:2" x14ac:dyDescent="0.25">
      <c r="B6264" t="str">
        <f>IF(C6264="","",C6264&amp;COUNTIF(C$9:C6264,C6264))</f>
        <v/>
      </c>
    </row>
    <row r="6265" spans="2:2" x14ac:dyDescent="0.25">
      <c r="B6265" t="str">
        <f>IF(C6265="","",C6265&amp;COUNTIF(C$9:C6265,C6265))</f>
        <v/>
      </c>
    </row>
    <row r="6266" spans="2:2" x14ac:dyDescent="0.25">
      <c r="B6266" t="str">
        <f>IF(C6266="","",C6266&amp;COUNTIF(C$9:C6266,C6266))</f>
        <v/>
      </c>
    </row>
    <row r="6267" spans="2:2" x14ac:dyDescent="0.25">
      <c r="B6267" t="str">
        <f>IF(C6267="","",C6267&amp;COUNTIF(C$9:C6267,C6267))</f>
        <v/>
      </c>
    </row>
    <row r="6268" spans="2:2" x14ac:dyDescent="0.25">
      <c r="B6268" t="str">
        <f>IF(C6268="","",C6268&amp;COUNTIF(C$9:C6268,C6268))</f>
        <v/>
      </c>
    </row>
    <row r="6269" spans="2:2" x14ac:dyDescent="0.25">
      <c r="B6269" t="str">
        <f>IF(C6269="","",C6269&amp;COUNTIF(C$9:C6269,C6269))</f>
        <v/>
      </c>
    </row>
    <row r="6270" spans="2:2" x14ac:dyDescent="0.25">
      <c r="B6270" t="str">
        <f>IF(C6270="","",C6270&amp;COUNTIF(C$9:C6270,C6270))</f>
        <v/>
      </c>
    </row>
    <row r="6271" spans="2:2" x14ac:dyDescent="0.25">
      <c r="B6271" t="str">
        <f>IF(C6271="","",C6271&amp;COUNTIF(C$9:C6271,C6271))</f>
        <v/>
      </c>
    </row>
    <row r="6272" spans="2:2" x14ac:dyDescent="0.25">
      <c r="B6272" t="str">
        <f>IF(C6272="","",C6272&amp;COUNTIF(C$9:C6272,C6272))</f>
        <v/>
      </c>
    </row>
    <row r="6273" spans="2:2" x14ac:dyDescent="0.25">
      <c r="B6273" t="str">
        <f>IF(C6273="","",C6273&amp;COUNTIF(C$9:C6273,C6273))</f>
        <v/>
      </c>
    </row>
    <row r="6274" spans="2:2" x14ac:dyDescent="0.25">
      <c r="B6274" t="str">
        <f>IF(C6274="","",C6274&amp;COUNTIF(C$9:C6274,C6274))</f>
        <v/>
      </c>
    </row>
    <row r="6275" spans="2:2" x14ac:dyDescent="0.25">
      <c r="B6275" t="str">
        <f>IF(C6275="","",C6275&amp;COUNTIF(C$9:C6275,C6275))</f>
        <v/>
      </c>
    </row>
    <row r="6276" spans="2:2" x14ac:dyDescent="0.25">
      <c r="B6276" t="str">
        <f>IF(C6276="","",C6276&amp;COUNTIF(C$9:C6276,C6276))</f>
        <v/>
      </c>
    </row>
    <row r="6277" spans="2:2" x14ac:dyDescent="0.25">
      <c r="B6277" t="str">
        <f>IF(C6277="","",C6277&amp;COUNTIF(C$9:C6277,C6277))</f>
        <v/>
      </c>
    </row>
    <row r="6278" spans="2:2" x14ac:dyDescent="0.25">
      <c r="B6278" t="str">
        <f>IF(C6278="","",C6278&amp;COUNTIF(C$9:C6278,C6278))</f>
        <v/>
      </c>
    </row>
    <row r="6279" spans="2:2" x14ac:dyDescent="0.25">
      <c r="B6279" t="str">
        <f>IF(C6279="","",C6279&amp;COUNTIF(C$9:C6279,C6279))</f>
        <v/>
      </c>
    </row>
    <row r="6280" spans="2:2" x14ac:dyDescent="0.25">
      <c r="B6280" t="str">
        <f>IF(C6280="","",C6280&amp;COUNTIF(C$9:C6280,C6280))</f>
        <v/>
      </c>
    </row>
    <row r="6281" spans="2:2" x14ac:dyDescent="0.25">
      <c r="B6281" t="str">
        <f>IF(C6281="","",C6281&amp;COUNTIF(C$9:C6281,C6281))</f>
        <v/>
      </c>
    </row>
    <row r="6282" spans="2:2" x14ac:dyDescent="0.25">
      <c r="B6282" t="str">
        <f>IF(C6282="","",C6282&amp;COUNTIF(C$9:C6282,C6282))</f>
        <v/>
      </c>
    </row>
    <row r="6283" spans="2:2" x14ac:dyDescent="0.25">
      <c r="B6283" t="str">
        <f>IF(C6283="","",C6283&amp;COUNTIF(C$9:C6283,C6283))</f>
        <v/>
      </c>
    </row>
    <row r="6284" spans="2:2" x14ac:dyDescent="0.25">
      <c r="B6284" t="str">
        <f>IF(C6284="","",C6284&amp;COUNTIF(C$9:C6284,C6284))</f>
        <v/>
      </c>
    </row>
    <row r="6285" spans="2:2" x14ac:dyDescent="0.25">
      <c r="B6285" t="str">
        <f>IF(C6285="","",C6285&amp;COUNTIF(C$9:C6285,C6285))</f>
        <v/>
      </c>
    </row>
    <row r="6286" spans="2:2" x14ac:dyDescent="0.25">
      <c r="B6286" t="str">
        <f>IF(C6286="","",C6286&amp;COUNTIF(C$9:C6286,C6286))</f>
        <v/>
      </c>
    </row>
    <row r="6287" spans="2:2" x14ac:dyDescent="0.25">
      <c r="B6287" t="str">
        <f>IF(C6287="","",C6287&amp;COUNTIF(C$9:C6287,C6287))</f>
        <v/>
      </c>
    </row>
    <row r="6288" spans="2:2" x14ac:dyDescent="0.25">
      <c r="B6288" t="str">
        <f>IF(C6288="","",C6288&amp;COUNTIF(C$9:C6288,C6288))</f>
        <v/>
      </c>
    </row>
    <row r="6289" spans="2:2" x14ac:dyDescent="0.25">
      <c r="B6289" t="str">
        <f>IF(C6289="","",C6289&amp;COUNTIF(C$9:C6289,C6289))</f>
        <v/>
      </c>
    </row>
    <row r="6290" spans="2:2" x14ac:dyDescent="0.25">
      <c r="B6290" t="str">
        <f>IF(C6290="","",C6290&amp;COUNTIF(C$9:C6290,C6290))</f>
        <v/>
      </c>
    </row>
    <row r="6291" spans="2:2" x14ac:dyDescent="0.25">
      <c r="B6291" t="str">
        <f>IF(C6291="","",C6291&amp;COUNTIF(C$9:C6291,C6291))</f>
        <v/>
      </c>
    </row>
    <row r="6292" spans="2:2" x14ac:dyDescent="0.25">
      <c r="B6292" t="str">
        <f>IF(C6292="","",C6292&amp;COUNTIF(C$9:C6292,C6292))</f>
        <v/>
      </c>
    </row>
    <row r="6293" spans="2:2" x14ac:dyDescent="0.25">
      <c r="B6293" t="str">
        <f>IF(C6293="","",C6293&amp;COUNTIF(C$9:C6293,C6293))</f>
        <v/>
      </c>
    </row>
    <row r="6294" spans="2:2" x14ac:dyDescent="0.25">
      <c r="B6294" t="str">
        <f>IF(C6294="","",C6294&amp;COUNTIF(C$9:C6294,C6294))</f>
        <v/>
      </c>
    </row>
    <row r="6295" spans="2:2" x14ac:dyDescent="0.25">
      <c r="B6295" t="str">
        <f>IF(C6295="","",C6295&amp;COUNTIF(C$9:C6295,C6295))</f>
        <v/>
      </c>
    </row>
    <row r="6296" spans="2:2" x14ac:dyDescent="0.25">
      <c r="B6296" t="str">
        <f>IF(C6296="","",C6296&amp;COUNTIF(C$9:C6296,C6296))</f>
        <v/>
      </c>
    </row>
    <row r="6297" spans="2:2" x14ac:dyDescent="0.25">
      <c r="B6297" t="str">
        <f>IF(C6297="","",C6297&amp;COUNTIF(C$9:C6297,C6297))</f>
        <v/>
      </c>
    </row>
    <row r="6298" spans="2:2" x14ac:dyDescent="0.25">
      <c r="B6298" t="str">
        <f>IF(C6298="","",C6298&amp;COUNTIF(C$9:C6298,C6298))</f>
        <v/>
      </c>
    </row>
    <row r="6299" spans="2:2" x14ac:dyDescent="0.25">
      <c r="B6299" t="str">
        <f>IF(C6299="","",C6299&amp;COUNTIF(C$9:C6299,C6299))</f>
        <v/>
      </c>
    </row>
    <row r="6300" spans="2:2" x14ac:dyDescent="0.25">
      <c r="B6300" t="str">
        <f>IF(C6300="","",C6300&amp;COUNTIF(C$9:C6300,C6300))</f>
        <v/>
      </c>
    </row>
    <row r="6301" spans="2:2" x14ac:dyDescent="0.25">
      <c r="B6301" t="str">
        <f>IF(C6301="","",C6301&amp;COUNTIF(C$9:C6301,C6301))</f>
        <v/>
      </c>
    </row>
    <row r="6302" spans="2:2" x14ac:dyDescent="0.25">
      <c r="B6302" t="str">
        <f>IF(C6302="","",C6302&amp;COUNTIF(C$9:C6302,C6302))</f>
        <v/>
      </c>
    </row>
    <row r="6303" spans="2:2" x14ac:dyDescent="0.25">
      <c r="B6303" t="str">
        <f>IF(C6303="","",C6303&amp;COUNTIF(C$9:C6303,C6303))</f>
        <v/>
      </c>
    </row>
    <row r="6304" spans="2:2" x14ac:dyDescent="0.25">
      <c r="B6304" t="str">
        <f>IF(C6304="","",C6304&amp;COUNTIF(C$9:C6304,C6304))</f>
        <v/>
      </c>
    </row>
    <row r="6305" spans="2:2" x14ac:dyDescent="0.25">
      <c r="B6305" t="str">
        <f>IF(C6305="","",C6305&amp;COUNTIF(C$9:C6305,C6305))</f>
        <v/>
      </c>
    </row>
    <row r="6306" spans="2:2" x14ac:dyDescent="0.25">
      <c r="B6306" t="str">
        <f>IF(C6306="","",C6306&amp;COUNTIF(C$9:C6306,C6306))</f>
        <v/>
      </c>
    </row>
    <row r="6307" spans="2:2" x14ac:dyDescent="0.25">
      <c r="B6307" t="str">
        <f>IF(C6307="","",C6307&amp;COUNTIF(C$9:C6307,C6307))</f>
        <v/>
      </c>
    </row>
    <row r="6308" spans="2:2" x14ac:dyDescent="0.25">
      <c r="B6308" t="str">
        <f>IF(C6308="","",C6308&amp;COUNTIF(C$9:C6308,C6308))</f>
        <v/>
      </c>
    </row>
    <row r="6309" spans="2:2" x14ac:dyDescent="0.25">
      <c r="B6309" t="str">
        <f>IF(C6309="","",C6309&amp;COUNTIF(C$9:C6309,C6309))</f>
        <v/>
      </c>
    </row>
    <row r="6310" spans="2:2" x14ac:dyDescent="0.25">
      <c r="B6310" t="str">
        <f>IF(C6310="","",C6310&amp;COUNTIF(C$9:C6310,C6310))</f>
        <v/>
      </c>
    </row>
    <row r="6311" spans="2:2" x14ac:dyDescent="0.25">
      <c r="B6311" t="str">
        <f>IF(C6311="","",C6311&amp;COUNTIF(C$9:C6311,C6311))</f>
        <v/>
      </c>
    </row>
    <row r="6312" spans="2:2" x14ac:dyDescent="0.25">
      <c r="B6312" t="str">
        <f>IF(C6312="","",C6312&amp;COUNTIF(C$9:C6312,C6312))</f>
        <v/>
      </c>
    </row>
    <row r="6313" spans="2:2" x14ac:dyDescent="0.25">
      <c r="B6313" t="str">
        <f>IF(C6313="","",C6313&amp;COUNTIF(C$9:C6313,C6313))</f>
        <v/>
      </c>
    </row>
    <row r="6314" spans="2:2" x14ac:dyDescent="0.25">
      <c r="B6314" t="str">
        <f>IF(C6314="","",C6314&amp;COUNTIF(C$9:C6314,C6314))</f>
        <v/>
      </c>
    </row>
    <row r="6315" spans="2:2" x14ac:dyDescent="0.25">
      <c r="B6315" t="str">
        <f>IF(C6315="","",C6315&amp;COUNTIF(C$9:C6315,C6315))</f>
        <v/>
      </c>
    </row>
    <row r="6316" spans="2:2" x14ac:dyDescent="0.25">
      <c r="B6316" t="str">
        <f>IF(C6316="","",C6316&amp;COUNTIF(C$9:C6316,C6316))</f>
        <v/>
      </c>
    </row>
    <row r="6317" spans="2:2" x14ac:dyDescent="0.25">
      <c r="B6317" t="str">
        <f>IF(C6317="","",C6317&amp;COUNTIF(C$9:C6317,C6317))</f>
        <v/>
      </c>
    </row>
    <row r="6318" spans="2:2" x14ac:dyDescent="0.25">
      <c r="B6318" t="str">
        <f>IF(C6318="","",C6318&amp;COUNTIF(C$9:C6318,C6318))</f>
        <v/>
      </c>
    </row>
    <row r="6319" spans="2:2" x14ac:dyDescent="0.25">
      <c r="B6319" t="str">
        <f>IF(C6319="","",C6319&amp;COUNTIF(C$9:C6319,C6319))</f>
        <v/>
      </c>
    </row>
    <row r="6320" spans="2:2" x14ac:dyDescent="0.25">
      <c r="B6320" t="str">
        <f>IF(C6320="","",C6320&amp;COUNTIF(C$9:C6320,C6320))</f>
        <v/>
      </c>
    </row>
    <row r="6321" spans="2:2" x14ac:dyDescent="0.25">
      <c r="B6321" t="str">
        <f>IF(C6321="","",C6321&amp;COUNTIF(C$9:C6321,C6321))</f>
        <v/>
      </c>
    </row>
    <row r="6322" spans="2:2" x14ac:dyDescent="0.25">
      <c r="B6322" t="str">
        <f>IF(C6322="","",C6322&amp;COUNTIF(C$9:C6322,C6322))</f>
        <v/>
      </c>
    </row>
    <row r="6323" spans="2:2" x14ac:dyDescent="0.25">
      <c r="B6323" t="str">
        <f>IF(C6323="","",C6323&amp;COUNTIF(C$9:C6323,C6323))</f>
        <v/>
      </c>
    </row>
    <row r="6324" spans="2:2" x14ac:dyDescent="0.25">
      <c r="B6324" t="str">
        <f>IF(C6324="","",C6324&amp;COUNTIF(C$9:C6324,C6324))</f>
        <v/>
      </c>
    </row>
    <row r="6325" spans="2:2" x14ac:dyDescent="0.25">
      <c r="B6325" t="str">
        <f>IF(C6325="","",C6325&amp;COUNTIF(C$9:C6325,C6325))</f>
        <v/>
      </c>
    </row>
    <row r="6326" spans="2:2" x14ac:dyDescent="0.25">
      <c r="B6326" t="str">
        <f>IF(C6326="","",C6326&amp;COUNTIF(C$9:C6326,C6326))</f>
        <v/>
      </c>
    </row>
    <row r="6327" spans="2:2" x14ac:dyDescent="0.25">
      <c r="B6327" t="str">
        <f>IF(C6327="","",C6327&amp;COUNTIF(C$9:C6327,C6327))</f>
        <v/>
      </c>
    </row>
    <row r="6328" spans="2:2" x14ac:dyDescent="0.25">
      <c r="B6328" t="str">
        <f>IF(C6328="","",C6328&amp;COUNTIF(C$9:C6328,C6328))</f>
        <v/>
      </c>
    </row>
    <row r="6329" spans="2:2" x14ac:dyDescent="0.25">
      <c r="B6329" t="str">
        <f>IF(C6329="","",C6329&amp;COUNTIF(C$9:C6329,C6329))</f>
        <v/>
      </c>
    </row>
    <row r="6330" spans="2:2" x14ac:dyDescent="0.25">
      <c r="B6330" t="str">
        <f>IF(C6330="","",C6330&amp;COUNTIF(C$9:C6330,C6330))</f>
        <v/>
      </c>
    </row>
    <row r="6331" spans="2:2" x14ac:dyDescent="0.25">
      <c r="B6331" t="str">
        <f>IF(C6331="","",C6331&amp;COUNTIF(C$9:C6331,C6331))</f>
        <v/>
      </c>
    </row>
    <row r="6332" spans="2:2" x14ac:dyDescent="0.25">
      <c r="B6332" t="str">
        <f>IF(C6332="","",C6332&amp;COUNTIF(C$9:C6332,C6332))</f>
        <v/>
      </c>
    </row>
    <row r="6333" spans="2:2" x14ac:dyDescent="0.25">
      <c r="B6333" t="str">
        <f>IF(C6333="","",C6333&amp;COUNTIF(C$9:C6333,C6333))</f>
        <v/>
      </c>
    </row>
    <row r="6334" spans="2:2" x14ac:dyDescent="0.25">
      <c r="B6334" t="str">
        <f>IF(C6334="","",C6334&amp;COUNTIF(C$9:C6334,C6334))</f>
        <v/>
      </c>
    </row>
    <row r="6335" spans="2:2" x14ac:dyDescent="0.25">
      <c r="B6335" t="str">
        <f>IF(C6335="","",C6335&amp;COUNTIF(C$9:C6335,C6335))</f>
        <v/>
      </c>
    </row>
    <row r="6336" spans="2:2" x14ac:dyDescent="0.25">
      <c r="B6336" t="str">
        <f>IF(C6336="","",C6336&amp;COUNTIF(C$9:C6336,C6336))</f>
        <v/>
      </c>
    </row>
    <row r="6337" spans="2:2" x14ac:dyDescent="0.25">
      <c r="B6337" t="str">
        <f>IF(C6337="","",C6337&amp;COUNTIF(C$9:C6337,C6337))</f>
        <v/>
      </c>
    </row>
    <row r="6338" spans="2:2" x14ac:dyDescent="0.25">
      <c r="B6338" t="str">
        <f>IF(C6338="","",C6338&amp;COUNTIF(C$9:C6338,C6338))</f>
        <v/>
      </c>
    </row>
    <row r="6339" spans="2:2" x14ac:dyDescent="0.25">
      <c r="B6339" t="str">
        <f>IF(C6339="","",C6339&amp;COUNTIF(C$9:C6339,C6339))</f>
        <v/>
      </c>
    </row>
    <row r="6340" spans="2:2" x14ac:dyDescent="0.25">
      <c r="B6340" t="str">
        <f>IF(C6340="","",C6340&amp;COUNTIF(C$9:C6340,C6340))</f>
        <v/>
      </c>
    </row>
    <row r="6341" spans="2:2" x14ac:dyDescent="0.25">
      <c r="B6341" t="str">
        <f>IF(C6341="","",C6341&amp;COUNTIF(C$9:C6341,C6341))</f>
        <v/>
      </c>
    </row>
    <row r="6342" spans="2:2" x14ac:dyDescent="0.25">
      <c r="B6342" t="str">
        <f>IF(C6342="","",C6342&amp;COUNTIF(C$9:C6342,C6342))</f>
        <v/>
      </c>
    </row>
    <row r="6343" spans="2:2" x14ac:dyDescent="0.25">
      <c r="B6343" t="str">
        <f>IF(C6343="","",C6343&amp;COUNTIF(C$9:C6343,C6343))</f>
        <v/>
      </c>
    </row>
    <row r="6344" spans="2:2" x14ac:dyDescent="0.25">
      <c r="B6344" t="str">
        <f>IF(C6344="","",C6344&amp;COUNTIF(C$9:C6344,C6344))</f>
        <v/>
      </c>
    </row>
    <row r="6345" spans="2:2" x14ac:dyDescent="0.25">
      <c r="B6345" t="str">
        <f>IF(C6345="","",C6345&amp;COUNTIF(C$9:C6345,C6345))</f>
        <v/>
      </c>
    </row>
    <row r="6346" spans="2:2" x14ac:dyDescent="0.25">
      <c r="B6346" t="str">
        <f>IF(C6346="","",C6346&amp;COUNTIF(C$9:C6346,C6346))</f>
        <v/>
      </c>
    </row>
    <row r="6347" spans="2:2" x14ac:dyDescent="0.25">
      <c r="B6347" t="str">
        <f>IF(C6347="","",C6347&amp;COUNTIF(C$9:C6347,C6347))</f>
        <v/>
      </c>
    </row>
    <row r="6348" spans="2:2" x14ac:dyDescent="0.25">
      <c r="B6348" t="str">
        <f>IF(C6348="","",C6348&amp;COUNTIF(C$9:C6348,C6348))</f>
        <v/>
      </c>
    </row>
    <row r="6349" spans="2:2" x14ac:dyDescent="0.25">
      <c r="B6349" t="str">
        <f>IF(C6349="","",C6349&amp;COUNTIF(C$9:C6349,C6349))</f>
        <v/>
      </c>
    </row>
    <row r="6350" spans="2:2" x14ac:dyDescent="0.25">
      <c r="B6350" t="str">
        <f>IF(C6350="","",C6350&amp;COUNTIF(C$9:C6350,C6350))</f>
        <v/>
      </c>
    </row>
    <row r="6351" spans="2:2" x14ac:dyDescent="0.25">
      <c r="B6351" t="str">
        <f>IF(C6351="","",C6351&amp;COUNTIF(C$9:C6351,C6351))</f>
        <v/>
      </c>
    </row>
    <row r="6352" spans="2:2" x14ac:dyDescent="0.25">
      <c r="B6352" t="str">
        <f>IF(C6352="","",C6352&amp;COUNTIF(C$9:C6352,C6352))</f>
        <v/>
      </c>
    </row>
    <row r="6353" spans="2:2" x14ac:dyDescent="0.25">
      <c r="B6353" t="str">
        <f>IF(C6353="","",C6353&amp;COUNTIF(C$9:C6353,C6353))</f>
        <v/>
      </c>
    </row>
    <row r="6354" spans="2:2" x14ac:dyDescent="0.25">
      <c r="B6354" t="str">
        <f>IF(C6354="","",C6354&amp;COUNTIF(C$9:C6354,C6354))</f>
        <v/>
      </c>
    </row>
    <row r="6355" spans="2:2" x14ac:dyDescent="0.25">
      <c r="B6355" t="str">
        <f>IF(C6355="","",C6355&amp;COUNTIF(C$9:C6355,C6355))</f>
        <v/>
      </c>
    </row>
    <row r="6356" spans="2:2" x14ac:dyDescent="0.25">
      <c r="B6356" t="str">
        <f>IF(C6356="","",C6356&amp;COUNTIF(C$9:C6356,C6356))</f>
        <v/>
      </c>
    </row>
    <row r="6357" spans="2:2" x14ac:dyDescent="0.25">
      <c r="B6357" t="str">
        <f>IF(C6357="","",C6357&amp;COUNTIF(C$9:C6357,C6357))</f>
        <v/>
      </c>
    </row>
    <row r="6358" spans="2:2" x14ac:dyDescent="0.25">
      <c r="B6358" t="str">
        <f>IF(C6358="","",C6358&amp;COUNTIF(C$9:C6358,C6358))</f>
        <v/>
      </c>
    </row>
    <row r="6359" spans="2:2" x14ac:dyDescent="0.25">
      <c r="B6359" t="str">
        <f>IF(C6359="","",C6359&amp;COUNTIF(C$9:C6359,C6359))</f>
        <v/>
      </c>
    </row>
    <row r="6360" spans="2:2" x14ac:dyDescent="0.25">
      <c r="B6360" t="str">
        <f>IF(C6360="","",C6360&amp;COUNTIF(C$9:C6360,C6360))</f>
        <v/>
      </c>
    </row>
    <row r="6361" spans="2:2" x14ac:dyDescent="0.25">
      <c r="B6361" t="str">
        <f>IF(C6361="","",C6361&amp;COUNTIF(C$9:C6361,C6361))</f>
        <v/>
      </c>
    </row>
    <row r="6362" spans="2:2" x14ac:dyDescent="0.25">
      <c r="B6362" t="str">
        <f>IF(C6362="","",C6362&amp;COUNTIF(C$9:C6362,C6362))</f>
        <v/>
      </c>
    </row>
    <row r="6363" spans="2:2" x14ac:dyDescent="0.25">
      <c r="B6363" t="str">
        <f>IF(C6363="","",C6363&amp;COUNTIF(C$9:C6363,C6363))</f>
        <v/>
      </c>
    </row>
    <row r="6364" spans="2:2" x14ac:dyDescent="0.25">
      <c r="B6364" t="str">
        <f>IF(C6364="","",C6364&amp;COUNTIF(C$9:C6364,C6364))</f>
        <v/>
      </c>
    </row>
    <row r="6365" spans="2:2" x14ac:dyDescent="0.25">
      <c r="B6365" t="str">
        <f>IF(C6365="","",C6365&amp;COUNTIF(C$9:C6365,C6365))</f>
        <v/>
      </c>
    </row>
    <row r="6366" spans="2:2" x14ac:dyDescent="0.25">
      <c r="B6366" t="str">
        <f>IF(C6366="","",C6366&amp;COUNTIF(C$9:C6366,C6366))</f>
        <v/>
      </c>
    </row>
    <row r="6367" spans="2:2" x14ac:dyDescent="0.25">
      <c r="B6367" t="str">
        <f>IF(C6367="","",C6367&amp;COUNTIF(C$9:C6367,C6367))</f>
        <v/>
      </c>
    </row>
    <row r="6368" spans="2:2" x14ac:dyDescent="0.25">
      <c r="B6368" t="str">
        <f>IF(C6368="","",C6368&amp;COUNTIF(C$9:C6368,C6368))</f>
        <v/>
      </c>
    </row>
    <row r="6369" spans="2:2" x14ac:dyDescent="0.25">
      <c r="B6369" t="str">
        <f>IF(C6369="","",C6369&amp;COUNTIF(C$9:C6369,C6369))</f>
        <v/>
      </c>
    </row>
    <row r="6370" spans="2:2" x14ac:dyDescent="0.25">
      <c r="B6370" t="str">
        <f>IF(C6370="","",C6370&amp;COUNTIF(C$9:C6370,C6370))</f>
        <v/>
      </c>
    </row>
    <row r="6371" spans="2:2" x14ac:dyDescent="0.25">
      <c r="B6371" t="str">
        <f>IF(C6371="","",C6371&amp;COUNTIF(C$9:C6371,C6371))</f>
        <v/>
      </c>
    </row>
    <row r="6372" spans="2:2" x14ac:dyDescent="0.25">
      <c r="B6372" t="str">
        <f>IF(C6372="","",C6372&amp;COUNTIF(C$9:C6372,C6372))</f>
        <v/>
      </c>
    </row>
    <row r="6373" spans="2:2" x14ac:dyDescent="0.25">
      <c r="B6373" t="str">
        <f>IF(C6373="","",C6373&amp;COUNTIF(C$9:C6373,C6373))</f>
        <v/>
      </c>
    </row>
    <row r="6374" spans="2:2" x14ac:dyDescent="0.25">
      <c r="B6374" t="str">
        <f>IF(C6374="","",C6374&amp;COUNTIF(C$9:C6374,C6374))</f>
        <v/>
      </c>
    </row>
    <row r="6375" spans="2:2" x14ac:dyDescent="0.25">
      <c r="B6375" t="str">
        <f>IF(C6375="","",C6375&amp;COUNTIF(C$9:C6375,C6375))</f>
        <v/>
      </c>
    </row>
    <row r="6376" spans="2:2" x14ac:dyDescent="0.25">
      <c r="B6376" t="str">
        <f>IF(C6376="","",C6376&amp;COUNTIF(C$9:C6376,C6376))</f>
        <v/>
      </c>
    </row>
    <row r="6377" spans="2:2" x14ac:dyDescent="0.25">
      <c r="B6377" t="str">
        <f>IF(C6377="","",C6377&amp;COUNTIF(C$9:C6377,C6377))</f>
        <v/>
      </c>
    </row>
    <row r="6378" spans="2:2" x14ac:dyDescent="0.25">
      <c r="B6378" t="str">
        <f>IF(C6378="","",C6378&amp;COUNTIF(C$9:C6378,C6378))</f>
        <v/>
      </c>
    </row>
    <row r="6379" spans="2:2" x14ac:dyDescent="0.25">
      <c r="B6379" t="str">
        <f>IF(C6379="","",C6379&amp;COUNTIF(C$9:C6379,C6379))</f>
        <v/>
      </c>
    </row>
    <row r="6380" spans="2:2" x14ac:dyDescent="0.25">
      <c r="B6380" t="str">
        <f>IF(C6380="","",C6380&amp;COUNTIF(C$9:C6380,C6380))</f>
        <v/>
      </c>
    </row>
    <row r="6381" spans="2:2" x14ac:dyDescent="0.25">
      <c r="B6381" t="str">
        <f>IF(C6381="","",C6381&amp;COUNTIF(C$9:C6381,C6381))</f>
        <v/>
      </c>
    </row>
    <row r="6382" spans="2:2" x14ac:dyDescent="0.25">
      <c r="B6382" t="str">
        <f>IF(C6382="","",C6382&amp;COUNTIF(C$9:C6382,C6382))</f>
        <v/>
      </c>
    </row>
    <row r="6383" spans="2:2" x14ac:dyDescent="0.25">
      <c r="B6383" t="str">
        <f>IF(C6383="","",C6383&amp;COUNTIF(C$9:C6383,C6383))</f>
        <v/>
      </c>
    </row>
    <row r="6384" spans="2:2" x14ac:dyDescent="0.25">
      <c r="B6384" t="str">
        <f>IF(C6384="","",C6384&amp;COUNTIF(C$9:C6384,C6384))</f>
        <v/>
      </c>
    </row>
    <row r="6385" spans="2:2" x14ac:dyDescent="0.25">
      <c r="B6385" t="str">
        <f>IF(C6385="","",C6385&amp;COUNTIF(C$9:C6385,C6385))</f>
        <v/>
      </c>
    </row>
    <row r="6386" spans="2:2" x14ac:dyDescent="0.25">
      <c r="B6386" t="str">
        <f>IF(C6386="","",C6386&amp;COUNTIF(C$9:C6386,C6386))</f>
        <v/>
      </c>
    </row>
    <row r="6387" spans="2:2" x14ac:dyDescent="0.25">
      <c r="B6387" t="str">
        <f>IF(C6387="","",C6387&amp;COUNTIF(C$9:C6387,C6387))</f>
        <v/>
      </c>
    </row>
    <row r="6388" spans="2:2" x14ac:dyDescent="0.25">
      <c r="B6388" t="str">
        <f>IF(C6388="","",C6388&amp;COUNTIF(C$9:C6388,C6388))</f>
        <v/>
      </c>
    </row>
    <row r="6389" spans="2:2" x14ac:dyDescent="0.25">
      <c r="B6389" t="str">
        <f>IF(C6389="","",C6389&amp;COUNTIF(C$9:C6389,C6389))</f>
        <v/>
      </c>
    </row>
    <row r="6390" spans="2:2" x14ac:dyDescent="0.25">
      <c r="B6390" t="str">
        <f>IF(C6390="","",C6390&amp;COUNTIF(C$9:C6390,C6390))</f>
        <v/>
      </c>
    </row>
    <row r="6391" spans="2:2" x14ac:dyDescent="0.25">
      <c r="B6391" t="str">
        <f>IF(C6391="","",C6391&amp;COUNTIF(C$9:C6391,C6391))</f>
        <v/>
      </c>
    </row>
    <row r="6392" spans="2:2" x14ac:dyDescent="0.25">
      <c r="B6392" t="str">
        <f>IF(C6392="","",C6392&amp;COUNTIF(C$9:C6392,C6392))</f>
        <v/>
      </c>
    </row>
    <row r="6393" spans="2:2" x14ac:dyDescent="0.25">
      <c r="B6393" t="str">
        <f>IF(C6393="","",C6393&amp;COUNTIF(C$9:C6393,C6393))</f>
        <v/>
      </c>
    </row>
    <row r="6394" spans="2:2" x14ac:dyDescent="0.25">
      <c r="B6394" t="str">
        <f>IF(C6394="","",C6394&amp;COUNTIF(C$9:C6394,C6394))</f>
        <v/>
      </c>
    </row>
    <row r="6395" spans="2:2" x14ac:dyDescent="0.25">
      <c r="B6395" t="str">
        <f>IF(C6395="","",C6395&amp;COUNTIF(C$9:C6395,C6395))</f>
        <v/>
      </c>
    </row>
    <row r="6396" spans="2:2" x14ac:dyDescent="0.25">
      <c r="B6396" t="str">
        <f>IF(C6396="","",C6396&amp;COUNTIF(C$9:C6396,C6396))</f>
        <v/>
      </c>
    </row>
    <row r="6397" spans="2:2" x14ac:dyDescent="0.25">
      <c r="B6397" t="str">
        <f>IF(C6397="","",C6397&amp;COUNTIF(C$9:C6397,C6397))</f>
        <v/>
      </c>
    </row>
    <row r="6398" spans="2:2" x14ac:dyDescent="0.25">
      <c r="B6398" t="str">
        <f>IF(C6398="","",C6398&amp;COUNTIF(C$9:C6398,C6398))</f>
        <v/>
      </c>
    </row>
    <row r="6399" spans="2:2" x14ac:dyDescent="0.25">
      <c r="B6399" t="str">
        <f>IF(C6399="","",C6399&amp;COUNTIF(C$9:C6399,C6399))</f>
        <v/>
      </c>
    </row>
    <row r="6400" spans="2:2" x14ac:dyDescent="0.25">
      <c r="B6400" t="str">
        <f>IF(C6400="","",C6400&amp;COUNTIF(C$9:C6400,C6400))</f>
        <v/>
      </c>
    </row>
    <row r="6401" spans="2:2" x14ac:dyDescent="0.25">
      <c r="B6401" t="str">
        <f>IF(C6401="","",C6401&amp;COUNTIF(C$9:C6401,C6401))</f>
        <v/>
      </c>
    </row>
    <row r="6402" spans="2:2" x14ac:dyDescent="0.25">
      <c r="B6402" t="str">
        <f>IF(C6402="","",C6402&amp;COUNTIF(C$9:C6402,C6402))</f>
        <v/>
      </c>
    </row>
    <row r="6403" spans="2:2" x14ac:dyDescent="0.25">
      <c r="B6403" t="str">
        <f>IF(C6403="","",C6403&amp;COUNTIF(C$9:C6403,C6403))</f>
        <v/>
      </c>
    </row>
    <row r="6404" spans="2:2" x14ac:dyDescent="0.25">
      <c r="B6404" t="str">
        <f>IF(C6404="","",C6404&amp;COUNTIF(C$9:C6404,C6404))</f>
        <v/>
      </c>
    </row>
    <row r="6405" spans="2:2" x14ac:dyDescent="0.25">
      <c r="B6405" t="str">
        <f>IF(C6405="","",C6405&amp;COUNTIF(C$9:C6405,C6405))</f>
        <v/>
      </c>
    </row>
    <row r="6406" spans="2:2" x14ac:dyDescent="0.25">
      <c r="B6406" t="str">
        <f>IF(C6406="","",C6406&amp;COUNTIF(C$9:C6406,C6406))</f>
        <v/>
      </c>
    </row>
    <row r="6407" spans="2:2" x14ac:dyDescent="0.25">
      <c r="B6407" t="str">
        <f>IF(C6407="","",C6407&amp;COUNTIF(C$9:C6407,C6407))</f>
        <v/>
      </c>
    </row>
    <row r="6408" spans="2:2" x14ac:dyDescent="0.25">
      <c r="B6408" t="str">
        <f>IF(C6408="","",C6408&amp;COUNTIF(C$9:C6408,C6408))</f>
        <v/>
      </c>
    </row>
    <row r="6409" spans="2:2" x14ac:dyDescent="0.25">
      <c r="B6409" t="str">
        <f>IF(C6409="","",C6409&amp;COUNTIF(C$9:C6409,C6409))</f>
        <v/>
      </c>
    </row>
    <row r="6410" spans="2:2" x14ac:dyDescent="0.25">
      <c r="B6410" t="str">
        <f>IF(C6410="","",C6410&amp;COUNTIF(C$9:C6410,C6410))</f>
        <v/>
      </c>
    </row>
    <row r="6411" spans="2:2" x14ac:dyDescent="0.25">
      <c r="B6411" t="str">
        <f>IF(C6411="","",C6411&amp;COUNTIF(C$9:C6411,C6411))</f>
        <v/>
      </c>
    </row>
    <row r="6412" spans="2:2" x14ac:dyDescent="0.25">
      <c r="B6412" t="str">
        <f>IF(C6412="","",C6412&amp;COUNTIF(C$9:C6412,C6412))</f>
        <v/>
      </c>
    </row>
    <row r="6413" spans="2:2" x14ac:dyDescent="0.25">
      <c r="B6413" t="str">
        <f>IF(C6413="","",C6413&amp;COUNTIF(C$9:C6413,C6413))</f>
        <v/>
      </c>
    </row>
    <row r="6414" spans="2:2" x14ac:dyDescent="0.25">
      <c r="B6414" t="str">
        <f>IF(C6414="","",C6414&amp;COUNTIF(C$9:C6414,C6414))</f>
        <v/>
      </c>
    </row>
    <row r="6415" spans="2:2" x14ac:dyDescent="0.25">
      <c r="B6415" t="str">
        <f>IF(C6415="","",C6415&amp;COUNTIF(C$9:C6415,C6415))</f>
        <v/>
      </c>
    </row>
    <row r="6416" spans="2:2" x14ac:dyDescent="0.25">
      <c r="B6416" t="str">
        <f>IF(C6416="","",C6416&amp;COUNTIF(C$9:C6416,C6416))</f>
        <v/>
      </c>
    </row>
    <row r="6417" spans="2:2" x14ac:dyDescent="0.25">
      <c r="B6417" t="str">
        <f>IF(C6417="","",C6417&amp;COUNTIF(C$9:C6417,C6417))</f>
        <v/>
      </c>
    </row>
    <row r="6418" spans="2:2" x14ac:dyDescent="0.25">
      <c r="B6418" t="str">
        <f>IF(C6418="","",C6418&amp;COUNTIF(C$9:C6418,C6418))</f>
        <v/>
      </c>
    </row>
    <row r="6419" spans="2:2" x14ac:dyDescent="0.25">
      <c r="B6419" t="str">
        <f>IF(C6419="","",C6419&amp;COUNTIF(C$9:C6419,C6419))</f>
        <v/>
      </c>
    </row>
    <row r="6420" spans="2:2" x14ac:dyDescent="0.25">
      <c r="B6420" t="str">
        <f>IF(C6420="","",C6420&amp;COUNTIF(C$9:C6420,C6420))</f>
        <v/>
      </c>
    </row>
    <row r="6421" spans="2:2" x14ac:dyDescent="0.25">
      <c r="B6421" t="str">
        <f>IF(C6421="","",C6421&amp;COUNTIF(C$9:C6421,C6421))</f>
        <v/>
      </c>
    </row>
    <row r="6422" spans="2:2" x14ac:dyDescent="0.25">
      <c r="B6422" t="str">
        <f>IF(C6422="","",C6422&amp;COUNTIF(C$9:C6422,C6422))</f>
        <v/>
      </c>
    </row>
    <row r="6423" spans="2:2" x14ac:dyDescent="0.25">
      <c r="B6423" t="str">
        <f>IF(C6423="","",C6423&amp;COUNTIF(C$9:C6423,C6423))</f>
        <v/>
      </c>
    </row>
    <row r="6424" spans="2:2" x14ac:dyDescent="0.25">
      <c r="B6424" t="str">
        <f>IF(C6424="","",C6424&amp;COUNTIF(C$9:C6424,C6424))</f>
        <v/>
      </c>
    </row>
    <row r="6425" spans="2:2" x14ac:dyDescent="0.25">
      <c r="B6425" t="str">
        <f>IF(C6425="","",C6425&amp;COUNTIF(C$9:C6425,C6425))</f>
        <v/>
      </c>
    </row>
    <row r="6426" spans="2:2" x14ac:dyDescent="0.25">
      <c r="B6426" t="str">
        <f>IF(C6426="","",C6426&amp;COUNTIF(C$9:C6426,C6426))</f>
        <v/>
      </c>
    </row>
    <row r="6427" spans="2:2" x14ac:dyDescent="0.25">
      <c r="B6427" t="str">
        <f>IF(C6427="","",C6427&amp;COUNTIF(C$9:C6427,C6427))</f>
        <v/>
      </c>
    </row>
    <row r="6428" spans="2:2" x14ac:dyDescent="0.25">
      <c r="B6428" t="str">
        <f>IF(C6428="","",C6428&amp;COUNTIF(C$9:C6428,C6428))</f>
        <v/>
      </c>
    </row>
    <row r="6429" spans="2:2" x14ac:dyDescent="0.25">
      <c r="B6429" t="str">
        <f>IF(C6429="","",C6429&amp;COUNTIF(C$9:C6429,C6429))</f>
        <v/>
      </c>
    </row>
    <row r="6430" spans="2:2" x14ac:dyDescent="0.25">
      <c r="B6430" t="str">
        <f>IF(C6430="","",C6430&amp;COUNTIF(C$9:C6430,C6430))</f>
        <v/>
      </c>
    </row>
    <row r="6431" spans="2:2" x14ac:dyDescent="0.25">
      <c r="B6431" t="str">
        <f>IF(C6431="","",C6431&amp;COUNTIF(C$9:C6431,C6431))</f>
        <v/>
      </c>
    </row>
    <row r="6432" spans="2:2" x14ac:dyDescent="0.25">
      <c r="B6432" t="str">
        <f>IF(C6432="","",C6432&amp;COUNTIF(C$9:C6432,C6432))</f>
        <v/>
      </c>
    </row>
    <row r="6433" spans="2:2" x14ac:dyDescent="0.25">
      <c r="B6433" t="str">
        <f>IF(C6433="","",C6433&amp;COUNTIF(C$9:C6433,C6433))</f>
        <v/>
      </c>
    </row>
    <row r="6434" spans="2:2" x14ac:dyDescent="0.25">
      <c r="B6434" t="str">
        <f>IF(C6434="","",C6434&amp;COUNTIF(C$9:C6434,C6434))</f>
        <v/>
      </c>
    </row>
    <row r="6435" spans="2:2" x14ac:dyDescent="0.25">
      <c r="B6435" t="str">
        <f>IF(C6435="","",C6435&amp;COUNTIF(C$9:C6435,C6435))</f>
        <v/>
      </c>
    </row>
    <row r="6436" spans="2:2" x14ac:dyDescent="0.25">
      <c r="B6436" t="str">
        <f>IF(C6436="","",C6436&amp;COUNTIF(C$9:C6436,C6436))</f>
        <v/>
      </c>
    </row>
    <row r="6437" spans="2:2" x14ac:dyDescent="0.25">
      <c r="B6437" t="str">
        <f>IF(C6437="","",C6437&amp;COUNTIF(C$9:C6437,C6437))</f>
        <v/>
      </c>
    </row>
    <row r="6438" spans="2:2" x14ac:dyDescent="0.25">
      <c r="B6438" t="str">
        <f>IF(C6438="","",C6438&amp;COUNTIF(C$9:C6438,C6438))</f>
        <v/>
      </c>
    </row>
    <row r="6439" spans="2:2" x14ac:dyDescent="0.25">
      <c r="B6439" t="str">
        <f>IF(C6439="","",C6439&amp;COUNTIF(C$9:C6439,C6439))</f>
        <v/>
      </c>
    </row>
    <row r="6440" spans="2:2" x14ac:dyDescent="0.25">
      <c r="B6440" t="str">
        <f>IF(C6440="","",C6440&amp;COUNTIF(C$9:C6440,C6440))</f>
        <v/>
      </c>
    </row>
    <row r="6441" spans="2:2" x14ac:dyDescent="0.25">
      <c r="B6441" t="str">
        <f>IF(C6441="","",C6441&amp;COUNTIF(C$9:C6441,C6441))</f>
        <v/>
      </c>
    </row>
    <row r="6442" spans="2:2" x14ac:dyDescent="0.25">
      <c r="B6442" t="str">
        <f>IF(C6442="","",C6442&amp;COUNTIF(C$9:C6442,C6442))</f>
        <v/>
      </c>
    </row>
    <row r="6443" spans="2:2" x14ac:dyDescent="0.25">
      <c r="B6443" t="str">
        <f>IF(C6443="","",C6443&amp;COUNTIF(C$9:C6443,C6443))</f>
        <v/>
      </c>
    </row>
    <row r="6444" spans="2:2" x14ac:dyDescent="0.25">
      <c r="B6444" t="str">
        <f>IF(C6444="","",C6444&amp;COUNTIF(C$9:C6444,C6444))</f>
        <v/>
      </c>
    </row>
    <row r="6445" spans="2:2" x14ac:dyDescent="0.25">
      <c r="B6445" t="str">
        <f>IF(C6445="","",C6445&amp;COUNTIF(C$9:C6445,C6445))</f>
        <v/>
      </c>
    </row>
    <row r="6446" spans="2:2" x14ac:dyDescent="0.25">
      <c r="B6446" t="str">
        <f>IF(C6446="","",C6446&amp;COUNTIF(C$9:C6446,C6446))</f>
        <v/>
      </c>
    </row>
    <row r="6447" spans="2:2" x14ac:dyDescent="0.25">
      <c r="B6447" t="str">
        <f>IF(C6447="","",C6447&amp;COUNTIF(C$9:C6447,C6447))</f>
        <v/>
      </c>
    </row>
    <row r="6448" spans="2:2" x14ac:dyDescent="0.25">
      <c r="B6448" t="str">
        <f>IF(C6448="","",C6448&amp;COUNTIF(C$9:C6448,C6448))</f>
        <v/>
      </c>
    </row>
    <row r="6449" spans="2:2" x14ac:dyDescent="0.25">
      <c r="B6449" t="str">
        <f>IF(C6449="","",C6449&amp;COUNTIF(C$9:C6449,C6449))</f>
        <v/>
      </c>
    </row>
    <row r="6450" spans="2:2" x14ac:dyDescent="0.25">
      <c r="B6450" t="str">
        <f>IF(C6450="","",C6450&amp;COUNTIF(C$9:C6450,C6450))</f>
        <v/>
      </c>
    </row>
    <row r="6451" spans="2:2" x14ac:dyDescent="0.25">
      <c r="B6451" t="str">
        <f>IF(C6451="","",C6451&amp;COUNTIF(C$9:C6451,C6451))</f>
        <v/>
      </c>
    </row>
    <row r="6452" spans="2:2" x14ac:dyDescent="0.25">
      <c r="B6452" t="str">
        <f>IF(C6452="","",C6452&amp;COUNTIF(C$9:C6452,C6452))</f>
        <v/>
      </c>
    </row>
    <row r="6453" spans="2:2" x14ac:dyDescent="0.25">
      <c r="B6453" t="str">
        <f>IF(C6453="","",C6453&amp;COUNTIF(C$9:C6453,C6453))</f>
        <v/>
      </c>
    </row>
    <row r="6454" spans="2:2" x14ac:dyDescent="0.25">
      <c r="B6454" t="str">
        <f>IF(C6454="","",C6454&amp;COUNTIF(C$9:C6454,C6454))</f>
        <v/>
      </c>
    </row>
    <row r="6455" spans="2:2" x14ac:dyDescent="0.25">
      <c r="B6455" t="str">
        <f>IF(C6455="","",C6455&amp;COUNTIF(C$9:C6455,C6455))</f>
        <v/>
      </c>
    </row>
    <row r="6456" spans="2:2" x14ac:dyDescent="0.25">
      <c r="B6456" t="str">
        <f>IF(C6456="","",C6456&amp;COUNTIF(C$9:C6456,C6456))</f>
        <v/>
      </c>
    </row>
    <row r="6457" spans="2:2" x14ac:dyDescent="0.25">
      <c r="B6457" t="str">
        <f>IF(C6457="","",C6457&amp;COUNTIF(C$9:C6457,C6457))</f>
        <v/>
      </c>
    </row>
    <row r="6458" spans="2:2" x14ac:dyDescent="0.25">
      <c r="B6458" t="str">
        <f>IF(C6458="","",C6458&amp;COUNTIF(C$9:C6458,C6458))</f>
        <v/>
      </c>
    </row>
    <row r="6459" spans="2:2" x14ac:dyDescent="0.25">
      <c r="B6459" t="str">
        <f>IF(C6459="","",C6459&amp;COUNTIF(C$9:C6459,C6459))</f>
        <v/>
      </c>
    </row>
    <row r="6460" spans="2:2" x14ac:dyDescent="0.25">
      <c r="B6460" t="str">
        <f>IF(C6460="","",C6460&amp;COUNTIF(C$9:C6460,C6460))</f>
        <v/>
      </c>
    </row>
    <row r="6461" spans="2:2" x14ac:dyDescent="0.25">
      <c r="B6461" t="str">
        <f>IF(C6461="","",C6461&amp;COUNTIF(C$9:C6461,C6461))</f>
        <v/>
      </c>
    </row>
    <row r="6462" spans="2:2" x14ac:dyDescent="0.25">
      <c r="B6462" t="str">
        <f>IF(C6462="","",C6462&amp;COUNTIF(C$9:C6462,C6462))</f>
        <v/>
      </c>
    </row>
    <row r="6463" spans="2:2" x14ac:dyDescent="0.25">
      <c r="B6463" t="str">
        <f>IF(C6463="","",C6463&amp;COUNTIF(C$9:C6463,C6463))</f>
        <v/>
      </c>
    </row>
    <row r="6464" spans="2:2" x14ac:dyDescent="0.25">
      <c r="B6464" t="str">
        <f>IF(C6464="","",C6464&amp;COUNTIF(C$9:C6464,C6464))</f>
        <v/>
      </c>
    </row>
    <row r="6465" spans="2:2" x14ac:dyDescent="0.25">
      <c r="B6465" t="str">
        <f>IF(C6465="","",C6465&amp;COUNTIF(C$9:C6465,C6465))</f>
        <v/>
      </c>
    </row>
    <row r="6466" spans="2:2" x14ac:dyDescent="0.25">
      <c r="B6466" t="str">
        <f>IF(C6466="","",C6466&amp;COUNTIF(C$9:C6466,C6466))</f>
        <v/>
      </c>
    </row>
    <row r="6467" spans="2:2" x14ac:dyDescent="0.25">
      <c r="B6467" t="str">
        <f>IF(C6467="","",C6467&amp;COUNTIF(C$9:C6467,C6467))</f>
        <v/>
      </c>
    </row>
    <row r="6468" spans="2:2" x14ac:dyDescent="0.25">
      <c r="B6468" t="str">
        <f>IF(C6468="","",C6468&amp;COUNTIF(C$9:C6468,C6468))</f>
        <v/>
      </c>
    </row>
    <row r="6469" spans="2:2" x14ac:dyDescent="0.25">
      <c r="B6469" t="str">
        <f>IF(C6469="","",C6469&amp;COUNTIF(C$9:C6469,C6469))</f>
        <v/>
      </c>
    </row>
    <row r="6470" spans="2:2" x14ac:dyDescent="0.25">
      <c r="B6470" t="str">
        <f>IF(C6470="","",C6470&amp;COUNTIF(C$9:C6470,C6470))</f>
        <v/>
      </c>
    </row>
    <row r="6471" spans="2:2" x14ac:dyDescent="0.25">
      <c r="B6471" t="str">
        <f>IF(C6471="","",C6471&amp;COUNTIF(C$9:C6471,C6471))</f>
        <v/>
      </c>
    </row>
    <row r="6472" spans="2:2" x14ac:dyDescent="0.25">
      <c r="B6472" t="str">
        <f>IF(C6472="","",C6472&amp;COUNTIF(C$9:C6472,C6472))</f>
        <v/>
      </c>
    </row>
    <row r="6473" spans="2:2" x14ac:dyDescent="0.25">
      <c r="B6473" t="str">
        <f>IF(C6473="","",C6473&amp;COUNTIF(C$9:C6473,C6473))</f>
        <v/>
      </c>
    </row>
    <row r="6474" spans="2:2" x14ac:dyDescent="0.25">
      <c r="B6474" t="str">
        <f>IF(C6474="","",C6474&amp;COUNTIF(C$9:C6474,C6474))</f>
        <v/>
      </c>
    </row>
    <row r="6475" spans="2:2" x14ac:dyDescent="0.25">
      <c r="B6475" t="str">
        <f>IF(C6475="","",C6475&amp;COUNTIF(C$9:C6475,C6475))</f>
        <v/>
      </c>
    </row>
    <row r="6476" spans="2:2" x14ac:dyDescent="0.25">
      <c r="B6476" t="str">
        <f>IF(C6476="","",C6476&amp;COUNTIF(C$9:C6476,C6476))</f>
        <v/>
      </c>
    </row>
    <row r="6477" spans="2:2" x14ac:dyDescent="0.25">
      <c r="B6477" t="str">
        <f>IF(C6477="","",C6477&amp;COUNTIF(C$9:C6477,C6477))</f>
        <v/>
      </c>
    </row>
    <row r="6478" spans="2:2" x14ac:dyDescent="0.25">
      <c r="B6478" t="str">
        <f>IF(C6478="","",C6478&amp;COUNTIF(C$9:C6478,C6478))</f>
        <v/>
      </c>
    </row>
    <row r="6479" spans="2:2" x14ac:dyDescent="0.25">
      <c r="B6479" t="str">
        <f>IF(C6479="","",C6479&amp;COUNTIF(C$9:C6479,C6479))</f>
        <v/>
      </c>
    </row>
    <row r="6480" spans="2:2" x14ac:dyDescent="0.25">
      <c r="B6480" t="str">
        <f>IF(C6480="","",C6480&amp;COUNTIF(C$9:C6480,C6480))</f>
        <v/>
      </c>
    </row>
    <row r="6481" spans="2:2" x14ac:dyDescent="0.25">
      <c r="B6481" t="str">
        <f>IF(C6481="","",C6481&amp;COUNTIF(C$9:C6481,C6481))</f>
        <v/>
      </c>
    </row>
    <row r="6482" spans="2:2" x14ac:dyDescent="0.25">
      <c r="B6482" t="str">
        <f>IF(C6482="","",C6482&amp;COUNTIF(C$9:C6482,C6482))</f>
        <v/>
      </c>
    </row>
    <row r="6483" spans="2:2" x14ac:dyDescent="0.25">
      <c r="B6483" t="str">
        <f>IF(C6483="","",C6483&amp;COUNTIF(C$9:C6483,C6483))</f>
        <v/>
      </c>
    </row>
    <row r="6484" spans="2:2" x14ac:dyDescent="0.25">
      <c r="B6484" t="str">
        <f>IF(C6484="","",C6484&amp;COUNTIF(C$9:C6484,C6484))</f>
        <v/>
      </c>
    </row>
    <row r="6485" spans="2:2" x14ac:dyDescent="0.25">
      <c r="B6485" t="str">
        <f>IF(C6485="","",C6485&amp;COUNTIF(C$9:C6485,C6485))</f>
        <v/>
      </c>
    </row>
    <row r="6486" spans="2:2" x14ac:dyDescent="0.25">
      <c r="B6486" t="str">
        <f>IF(C6486="","",C6486&amp;COUNTIF(C$9:C6486,C6486))</f>
        <v/>
      </c>
    </row>
    <row r="6487" spans="2:2" x14ac:dyDescent="0.25">
      <c r="B6487" t="str">
        <f>IF(C6487="","",C6487&amp;COUNTIF(C$9:C6487,C6487))</f>
        <v/>
      </c>
    </row>
    <row r="6488" spans="2:2" x14ac:dyDescent="0.25">
      <c r="B6488" t="str">
        <f>IF(C6488="","",C6488&amp;COUNTIF(C$9:C6488,C6488))</f>
        <v/>
      </c>
    </row>
    <row r="6489" spans="2:2" x14ac:dyDescent="0.25">
      <c r="B6489" t="str">
        <f>IF(C6489="","",C6489&amp;COUNTIF(C$9:C6489,C6489))</f>
        <v/>
      </c>
    </row>
    <row r="6490" spans="2:2" x14ac:dyDescent="0.25">
      <c r="B6490" t="str">
        <f>IF(C6490="","",C6490&amp;COUNTIF(C$9:C6490,C6490))</f>
        <v/>
      </c>
    </row>
    <row r="6491" spans="2:2" x14ac:dyDescent="0.25">
      <c r="B6491" t="str">
        <f>IF(C6491="","",C6491&amp;COUNTIF(C$9:C6491,C6491))</f>
        <v/>
      </c>
    </row>
    <row r="6492" spans="2:2" x14ac:dyDescent="0.25">
      <c r="B6492" t="str">
        <f>IF(C6492="","",C6492&amp;COUNTIF(C$9:C6492,C6492))</f>
        <v/>
      </c>
    </row>
    <row r="6493" spans="2:2" x14ac:dyDescent="0.25">
      <c r="B6493" t="str">
        <f>IF(C6493="","",C6493&amp;COUNTIF(C$9:C6493,C6493))</f>
        <v/>
      </c>
    </row>
    <row r="6494" spans="2:2" x14ac:dyDescent="0.25">
      <c r="B6494" t="str">
        <f>IF(C6494="","",C6494&amp;COUNTIF(C$9:C6494,C6494))</f>
        <v/>
      </c>
    </row>
    <row r="6495" spans="2:2" x14ac:dyDescent="0.25">
      <c r="B6495" t="str">
        <f>IF(C6495="","",C6495&amp;COUNTIF(C$9:C6495,C6495))</f>
        <v/>
      </c>
    </row>
    <row r="6496" spans="2:2" x14ac:dyDescent="0.25">
      <c r="B6496" t="str">
        <f>IF(C6496="","",C6496&amp;COUNTIF(C$9:C6496,C6496))</f>
        <v/>
      </c>
    </row>
    <row r="6497" spans="2:2" x14ac:dyDescent="0.25">
      <c r="B6497" t="str">
        <f>IF(C6497="","",C6497&amp;COUNTIF(C$9:C6497,C6497))</f>
        <v/>
      </c>
    </row>
    <row r="6498" spans="2:2" x14ac:dyDescent="0.25">
      <c r="B6498" t="str">
        <f>IF(C6498="","",C6498&amp;COUNTIF(C$9:C6498,C6498))</f>
        <v/>
      </c>
    </row>
    <row r="6499" spans="2:2" x14ac:dyDescent="0.25">
      <c r="B6499" t="str">
        <f>IF(C6499="","",C6499&amp;COUNTIF(C$9:C6499,C6499))</f>
        <v/>
      </c>
    </row>
    <row r="6500" spans="2:2" x14ac:dyDescent="0.25">
      <c r="B6500" t="str">
        <f>IF(C6500="","",C6500&amp;COUNTIF(C$9:C6500,C6500))</f>
        <v/>
      </c>
    </row>
    <row r="6501" spans="2:2" x14ac:dyDescent="0.25">
      <c r="B6501" t="str">
        <f>IF(C6501="","",C6501&amp;COUNTIF(C$9:C6501,C6501))</f>
        <v/>
      </c>
    </row>
    <row r="6502" spans="2:2" x14ac:dyDescent="0.25">
      <c r="B6502" t="str">
        <f>IF(C6502="","",C6502&amp;COUNTIF(C$9:C6502,C6502))</f>
        <v/>
      </c>
    </row>
    <row r="6503" spans="2:2" x14ac:dyDescent="0.25">
      <c r="B6503" t="str">
        <f>IF(C6503="","",C6503&amp;COUNTIF(C$9:C6503,C6503))</f>
        <v/>
      </c>
    </row>
    <row r="6504" spans="2:2" x14ac:dyDescent="0.25">
      <c r="B6504" t="str">
        <f>IF(C6504="","",C6504&amp;COUNTIF(C$9:C6504,C6504))</f>
        <v/>
      </c>
    </row>
    <row r="6505" spans="2:2" x14ac:dyDescent="0.25">
      <c r="B6505" t="str">
        <f>IF(C6505="","",C6505&amp;COUNTIF(C$9:C6505,C6505))</f>
        <v/>
      </c>
    </row>
    <row r="6506" spans="2:2" x14ac:dyDescent="0.25">
      <c r="B6506" t="str">
        <f>IF(C6506="","",C6506&amp;COUNTIF(C$9:C6506,C6506))</f>
        <v/>
      </c>
    </row>
    <row r="6507" spans="2:2" x14ac:dyDescent="0.25">
      <c r="B6507" t="str">
        <f>IF(C6507="","",C6507&amp;COUNTIF(C$9:C6507,C6507))</f>
        <v/>
      </c>
    </row>
    <row r="6508" spans="2:2" x14ac:dyDescent="0.25">
      <c r="B6508" t="str">
        <f>IF(C6508="","",C6508&amp;COUNTIF(C$9:C6508,C6508))</f>
        <v/>
      </c>
    </row>
    <row r="6509" spans="2:2" x14ac:dyDescent="0.25">
      <c r="B6509" t="str">
        <f>IF(C6509="","",C6509&amp;COUNTIF(C$9:C6509,C6509))</f>
        <v/>
      </c>
    </row>
    <row r="6510" spans="2:2" x14ac:dyDescent="0.25">
      <c r="B6510" t="str">
        <f>IF(C6510="","",C6510&amp;COUNTIF(C$9:C6510,C6510))</f>
        <v/>
      </c>
    </row>
    <row r="6511" spans="2:2" x14ac:dyDescent="0.25">
      <c r="B6511" t="str">
        <f>IF(C6511="","",C6511&amp;COUNTIF(C$9:C6511,C6511))</f>
        <v/>
      </c>
    </row>
    <row r="6512" spans="2:2" x14ac:dyDescent="0.25">
      <c r="B6512" t="str">
        <f>IF(C6512="","",C6512&amp;COUNTIF(C$9:C6512,C6512))</f>
        <v/>
      </c>
    </row>
    <row r="6513" spans="2:2" x14ac:dyDescent="0.25">
      <c r="B6513" t="str">
        <f>IF(C6513="","",C6513&amp;COUNTIF(C$9:C6513,C6513))</f>
        <v/>
      </c>
    </row>
    <row r="6514" spans="2:2" x14ac:dyDescent="0.25">
      <c r="B6514" t="str">
        <f>IF(C6514="","",C6514&amp;COUNTIF(C$9:C6514,C6514))</f>
        <v/>
      </c>
    </row>
    <row r="6515" spans="2:2" x14ac:dyDescent="0.25">
      <c r="B6515" t="str">
        <f>IF(C6515="","",C6515&amp;COUNTIF(C$9:C6515,C6515))</f>
        <v/>
      </c>
    </row>
    <row r="6516" spans="2:2" x14ac:dyDescent="0.25">
      <c r="B6516" t="str">
        <f>IF(C6516="","",C6516&amp;COUNTIF(C$9:C6516,C6516))</f>
        <v/>
      </c>
    </row>
    <row r="6517" spans="2:2" x14ac:dyDescent="0.25">
      <c r="B6517" t="str">
        <f>IF(C6517="","",C6517&amp;COUNTIF(C$9:C6517,C6517))</f>
        <v/>
      </c>
    </row>
    <row r="6518" spans="2:2" x14ac:dyDescent="0.25">
      <c r="B6518" t="str">
        <f>IF(C6518="","",C6518&amp;COUNTIF(C$9:C6518,C6518))</f>
        <v/>
      </c>
    </row>
    <row r="6519" spans="2:2" x14ac:dyDescent="0.25">
      <c r="B6519" t="str">
        <f>IF(C6519="","",C6519&amp;COUNTIF(C$9:C6519,C6519))</f>
        <v/>
      </c>
    </row>
    <row r="6520" spans="2:2" x14ac:dyDescent="0.25">
      <c r="B6520" t="str">
        <f>IF(C6520="","",C6520&amp;COUNTIF(C$9:C6520,C6520))</f>
        <v/>
      </c>
    </row>
    <row r="6521" spans="2:2" x14ac:dyDescent="0.25">
      <c r="B6521" t="str">
        <f>IF(C6521="","",C6521&amp;COUNTIF(C$9:C6521,C6521))</f>
        <v/>
      </c>
    </row>
    <row r="6522" spans="2:2" x14ac:dyDescent="0.25">
      <c r="B6522" t="str">
        <f>IF(C6522="","",C6522&amp;COUNTIF(C$9:C6522,C6522))</f>
        <v/>
      </c>
    </row>
    <row r="6523" spans="2:2" x14ac:dyDescent="0.25">
      <c r="B6523" t="str">
        <f>IF(C6523="","",C6523&amp;COUNTIF(C$9:C6523,C6523))</f>
        <v/>
      </c>
    </row>
    <row r="6524" spans="2:2" x14ac:dyDescent="0.25">
      <c r="B6524" t="str">
        <f>IF(C6524="","",C6524&amp;COUNTIF(C$9:C6524,C6524))</f>
        <v/>
      </c>
    </row>
    <row r="6525" spans="2:2" x14ac:dyDescent="0.25">
      <c r="B6525" t="str">
        <f>IF(C6525="","",C6525&amp;COUNTIF(C$9:C6525,C6525))</f>
        <v/>
      </c>
    </row>
    <row r="6526" spans="2:2" x14ac:dyDescent="0.25">
      <c r="B6526" t="str">
        <f>IF(C6526="","",C6526&amp;COUNTIF(C$9:C6526,C6526))</f>
        <v/>
      </c>
    </row>
    <row r="6527" spans="2:2" x14ac:dyDescent="0.25">
      <c r="B6527" t="str">
        <f>IF(C6527="","",C6527&amp;COUNTIF(C$9:C6527,C6527))</f>
        <v/>
      </c>
    </row>
    <row r="6528" spans="2:2" x14ac:dyDescent="0.25">
      <c r="B6528" t="str">
        <f>IF(C6528="","",C6528&amp;COUNTIF(C$9:C6528,C6528))</f>
        <v/>
      </c>
    </row>
    <row r="6529" spans="2:2" x14ac:dyDescent="0.25">
      <c r="B6529" t="str">
        <f>IF(C6529="","",C6529&amp;COUNTIF(C$9:C6529,C6529))</f>
        <v/>
      </c>
    </row>
    <row r="6530" spans="2:2" x14ac:dyDescent="0.25">
      <c r="B6530" t="str">
        <f>IF(C6530="","",C6530&amp;COUNTIF(C$9:C6530,C6530))</f>
        <v/>
      </c>
    </row>
    <row r="6531" spans="2:2" x14ac:dyDescent="0.25">
      <c r="B6531" t="str">
        <f>IF(C6531="","",C6531&amp;COUNTIF(C$9:C6531,C6531))</f>
        <v/>
      </c>
    </row>
    <row r="6532" spans="2:2" x14ac:dyDescent="0.25">
      <c r="B6532" t="str">
        <f>IF(C6532="","",C6532&amp;COUNTIF(C$9:C6532,C6532))</f>
        <v/>
      </c>
    </row>
    <row r="6533" spans="2:2" x14ac:dyDescent="0.25">
      <c r="B6533" t="str">
        <f>IF(C6533="","",C6533&amp;COUNTIF(C$9:C6533,C6533))</f>
        <v/>
      </c>
    </row>
    <row r="6534" spans="2:2" x14ac:dyDescent="0.25">
      <c r="B6534" t="str">
        <f>IF(C6534="","",C6534&amp;COUNTIF(C$9:C6534,C6534))</f>
        <v/>
      </c>
    </row>
    <row r="6535" spans="2:2" x14ac:dyDescent="0.25">
      <c r="B6535" t="str">
        <f>IF(C6535="","",C6535&amp;COUNTIF(C$9:C6535,C6535))</f>
        <v/>
      </c>
    </row>
    <row r="6536" spans="2:2" x14ac:dyDescent="0.25">
      <c r="B6536" t="str">
        <f>IF(C6536="","",C6536&amp;COUNTIF(C$9:C6536,C6536))</f>
        <v/>
      </c>
    </row>
    <row r="6537" spans="2:2" x14ac:dyDescent="0.25">
      <c r="B6537" t="str">
        <f>IF(C6537="","",C6537&amp;COUNTIF(C$9:C6537,C6537))</f>
        <v/>
      </c>
    </row>
    <row r="6538" spans="2:2" x14ac:dyDescent="0.25">
      <c r="B6538" t="str">
        <f>IF(C6538="","",C6538&amp;COUNTIF(C$9:C6538,C6538))</f>
        <v/>
      </c>
    </row>
    <row r="6539" spans="2:2" x14ac:dyDescent="0.25">
      <c r="B6539" t="str">
        <f>IF(C6539="","",C6539&amp;COUNTIF(C$9:C6539,C6539))</f>
        <v/>
      </c>
    </row>
    <row r="6540" spans="2:2" x14ac:dyDescent="0.25">
      <c r="B6540" t="str">
        <f>IF(C6540="","",C6540&amp;COUNTIF(C$9:C6540,C6540))</f>
        <v/>
      </c>
    </row>
    <row r="6541" spans="2:2" x14ac:dyDescent="0.25">
      <c r="B6541" t="str">
        <f>IF(C6541="","",C6541&amp;COUNTIF(C$9:C6541,C6541))</f>
        <v/>
      </c>
    </row>
    <row r="6542" spans="2:2" x14ac:dyDescent="0.25">
      <c r="B6542" t="str">
        <f>IF(C6542="","",C6542&amp;COUNTIF(C$9:C6542,C6542))</f>
        <v/>
      </c>
    </row>
    <row r="6543" spans="2:2" x14ac:dyDescent="0.25">
      <c r="B6543" t="str">
        <f>IF(C6543="","",C6543&amp;COUNTIF(C$9:C6543,C6543))</f>
        <v/>
      </c>
    </row>
    <row r="6544" spans="2:2" x14ac:dyDescent="0.25">
      <c r="B6544" t="str">
        <f>IF(C6544="","",C6544&amp;COUNTIF(C$9:C6544,C6544))</f>
        <v/>
      </c>
    </row>
    <row r="6545" spans="2:2" x14ac:dyDescent="0.25">
      <c r="B6545" t="str">
        <f>IF(C6545="","",C6545&amp;COUNTIF(C$9:C6545,C6545))</f>
        <v/>
      </c>
    </row>
    <row r="6546" spans="2:2" x14ac:dyDescent="0.25">
      <c r="B6546" t="str">
        <f>IF(C6546="","",C6546&amp;COUNTIF(C$9:C6546,C6546))</f>
        <v/>
      </c>
    </row>
    <row r="6547" spans="2:2" x14ac:dyDescent="0.25">
      <c r="B6547" t="str">
        <f>IF(C6547="","",C6547&amp;COUNTIF(C$9:C6547,C6547))</f>
        <v/>
      </c>
    </row>
    <row r="6548" spans="2:2" x14ac:dyDescent="0.25">
      <c r="B6548" t="str">
        <f>IF(C6548="","",C6548&amp;COUNTIF(C$9:C6548,C6548))</f>
        <v/>
      </c>
    </row>
    <row r="6549" spans="2:2" x14ac:dyDescent="0.25">
      <c r="B6549" t="str">
        <f>IF(C6549="","",C6549&amp;COUNTIF(C$9:C6549,C6549))</f>
        <v/>
      </c>
    </row>
    <row r="6550" spans="2:2" x14ac:dyDescent="0.25">
      <c r="B6550" t="str">
        <f>IF(C6550="","",C6550&amp;COUNTIF(C$9:C6550,C6550))</f>
        <v/>
      </c>
    </row>
    <row r="6551" spans="2:2" x14ac:dyDescent="0.25">
      <c r="B6551" t="str">
        <f>IF(C6551="","",C6551&amp;COUNTIF(C$9:C6551,C6551))</f>
        <v/>
      </c>
    </row>
    <row r="6552" spans="2:2" x14ac:dyDescent="0.25">
      <c r="B6552" t="str">
        <f>IF(C6552="","",C6552&amp;COUNTIF(C$9:C6552,C6552))</f>
        <v/>
      </c>
    </row>
    <row r="6553" spans="2:2" x14ac:dyDescent="0.25">
      <c r="B6553" t="str">
        <f>IF(C6553="","",C6553&amp;COUNTIF(C$9:C6553,C6553))</f>
        <v/>
      </c>
    </row>
    <row r="6554" spans="2:2" x14ac:dyDescent="0.25">
      <c r="B6554" t="str">
        <f>IF(C6554="","",C6554&amp;COUNTIF(C$9:C6554,C6554))</f>
        <v/>
      </c>
    </row>
    <row r="6555" spans="2:2" x14ac:dyDescent="0.25">
      <c r="B6555" t="str">
        <f>IF(C6555="","",C6555&amp;COUNTIF(C$9:C6555,C6555))</f>
        <v/>
      </c>
    </row>
    <row r="6556" spans="2:2" x14ac:dyDescent="0.25">
      <c r="B6556" t="str">
        <f>IF(C6556="","",C6556&amp;COUNTIF(C$9:C6556,C6556))</f>
        <v/>
      </c>
    </row>
    <row r="6557" spans="2:2" x14ac:dyDescent="0.25">
      <c r="B6557" t="str">
        <f>IF(C6557="","",C6557&amp;COUNTIF(C$9:C6557,C6557))</f>
        <v/>
      </c>
    </row>
    <row r="6558" spans="2:2" x14ac:dyDescent="0.25">
      <c r="B6558" t="str">
        <f>IF(C6558="","",C6558&amp;COUNTIF(C$9:C6558,C6558))</f>
        <v/>
      </c>
    </row>
    <row r="6559" spans="2:2" x14ac:dyDescent="0.25">
      <c r="B6559" t="str">
        <f>IF(C6559="","",C6559&amp;COUNTIF(C$9:C6559,C6559))</f>
        <v/>
      </c>
    </row>
    <row r="6560" spans="2:2" x14ac:dyDescent="0.25">
      <c r="B6560" t="str">
        <f>IF(C6560="","",C6560&amp;COUNTIF(C$9:C6560,C6560))</f>
        <v/>
      </c>
    </row>
    <row r="6561" spans="2:2" x14ac:dyDescent="0.25">
      <c r="B6561" t="str">
        <f>IF(C6561="","",C6561&amp;COUNTIF(C$9:C6561,C6561))</f>
        <v/>
      </c>
    </row>
    <row r="6562" spans="2:2" x14ac:dyDescent="0.25">
      <c r="B6562" t="str">
        <f>IF(C6562="","",C6562&amp;COUNTIF(C$9:C6562,C6562))</f>
        <v/>
      </c>
    </row>
    <row r="6563" spans="2:2" x14ac:dyDescent="0.25">
      <c r="B6563" t="str">
        <f>IF(C6563="","",C6563&amp;COUNTIF(C$9:C6563,C6563))</f>
        <v/>
      </c>
    </row>
    <row r="6564" spans="2:2" x14ac:dyDescent="0.25">
      <c r="B6564" t="str">
        <f>IF(C6564="","",C6564&amp;COUNTIF(C$9:C6564,C6564))</f>
        <v/>
      </c>
    </row>
    <row r="6565" spans="2:2" x14ac:dyDescent="0.25">
      <c r="B6565" t="str">
        <f>IF(C6565="","",C6565&amp;COUNTIF(C$9:C6565,C6565))</f>
        <v/>
      </c>
    </row>
    <row r="6566" spans="2:2" x14ac:dyDescent="0.25">
      <c r="B6566" t="str">
        <f>IF(C6566="","",C6566&amp;COUNTIF(C$9:C6566,C6566))</f>
        <v/>
      </c>
    </row>
    <row r="6567" spans="2:2" x14ac:dyDescent="0.25">
      <c r="B6567" t="str">
        <f>IF(C6567="","",C6567&amp;COUNTIF(C$9:C6567,C6567))</f>
        <v/>
      </c>
    </row>
    <row r="6568" spans="2:2" x14ac:dyDescent="0.25">
      <c r="B6568" t="str">
        <f>IF(C6568="","",C6568&amp;COUNTIF(C$9:C6568,C6568))</f>
        <v/>
      </c>
    </row>
    <row r="6569" spans="2:2" x14ac:dyDescent="0.25">
      <c r="B6569" t="str">
        <f>IF(C6569="","",C6569&amp;COUNTIF(C$9:C6569,C6569))</f>
        <v/>
      </c>
    </row>
    <row r="6570" spans="2:2" x14ac:dyDescent="0.25">
      <c r="B6570" t="str">
        <f>IF(C6570="","",C6570&amp;COUNTIF(C$9:C6570,C6570))</f>
        <v/>
      </c>
    </row>
    <row r="6571" spans="2:2" x14ac:dyDescent="0.25">
      <c r="B6571" t="str">
        <f>IF(C6571="","",C6571&amp;COUNTIF(C$9:C6571,C6571))</f>
        <v/>
      </c>
    </row>
    <row r="6572" spans="2:2" x14ac:dyDescent="0.25">
      <c r="B6572" t="str">
        <f>IF(C6572="","",C6572&amp;COUNTIF(C$9:C6572,C6572))</f>
        <v/>
      </c>
    </row>
    <row r="6573" spans="2:2" x14ac:dyDescent="0.25">
      <c r="B6573" t="str">
        <f>IF(C6573="","",C6573&amp;COUNTIF(C$9:C6573,C6573))</f>
        <v/>
      </c>
    </row>
    <row r="6574" spans="2:2" x14ac:dyDescent="0.25">
      <c r="B6574" t="str">
        <f>IF(C6574="","",C6574&amp;COUNTIF(C$9:C6574,C6574))</f>
        <v/>
      </c>
    </row>
    <row r="6575" spans="2:2" x14ac:dyDescent="0.25">
      <c r="B6575" t="str">
        <f>IF(C6575="","",C6575&amp;COUNTIF(C$9:C6575,C6575))</f>
        <v/>
      </c>
    </row>
    <row r="6576" spans="2:2" x14ac:dyDescent="0.25">
      <c r="B6576" t="str">
        <f>IF(C6576="","",C6576&amp;COUNTIF(C$9:C6576,C6576))</f>
        <v/>
      </c>
    </row>
    <row r="6577" spans="2:2" x14ac:dyDescent="0.25">
      <c r="B6577" t="str">
        <f>IF(C6577="","",C6577&amp;COUNTIF(C$9:C6577,C6577))</f>
        <v/>
      </c>
    </row>
    <row r="6578" spans="2:2" x14ac:dyDescent="0.25">
      <c r="B6578" t="str">
        <f>IF(C6578="","",C6578&amp;COUNTIF(C$9:C6578,C6578))</f>
        <v/>
      </c>
    </row>
    <row r="6579" spans="2:2" x14ac:dyDescent="0.25">
      <c r="B6579" t="str">
        <f>IF(C6579="","",C6579&amp;COUNTIF(C$9:C6579,C6579))</f>
        <v/>
      </c>
    </row>
    <row r="6580" spans="2:2" x14ac:dyDescent="0.25">
      <c r="B6580" t="str">
        <f>IF(C6580="","",C6580&amp;COUNTIF(C$9:C6580,C6580))</f>
        <v/>
      </c>
    </row>
    <row r="6581" spans="2:2" x14ac:dyDescent="0.25">
      <c r="B6581" t="str">
        <f>IF(C6581="","",C6581&amp;COUNTIF(C$9:C6581,C6581))</f>
        <v/>
      </c>
    </row>
    <row r="6582" spans="2:2" x14ac:dyDescent="0.25">
      <c r="B6582" t="str">
        <f>IF(C6582="","",C6582&amp;COUNTIF(C$9:C6582,C6582))</f>
        <v/>
      </c>
    </row>
    <row r="6583" spans="2:2" x14ac:dyDescent="0.25">
      <c r="B6583" t="str">
        <f>IF(C6583="","",C6583&amp;COUNTIF(C$9:C6583,C6583))</f>
        <v/>
      </c>
    </row>
    <row r="6584" spans="2:2" x14ac:dyDescent="0.25">
      <c r="B6584" t="str">
        <f>IF(C6584="","",C6584&amp;COUNTIF(C$9:C6584,C6584))</f>
        <v/>
      </c>
    </row>
    <row r="6585" spans="2:2" x14ac:dyDescent="0.25">
      <c r="B6585" t="str">
        <f>IF(C6585="","",C6585&amp;COUNTIF(C$9:C6585,C6585))</f>
        <v/>
      </c>
    </row>
    <row r="6586" spans="2:2" x14ac:dyDescent="0.25">
      <c r="B6586" t="str">
        <f>IF(C6586="","",C6586&amp;COUNTIF(C$9:C6586,C6586))</f>
        <v/>
      </c>
    </row>
    <row r="6587" spans="2:2" x14ac:dyDescent="0.25">
      <c r="B6587" t="str">
        <f>IF(C6587="","",C6587&amp;COUNTIF(C$9:C6587,C6587))</f>
        <v/>
      </c>
    </row>
    <row r="6588" spans="2:2" x14ac:dyDescent="0.25">
      <c r="B6588" t="str">
        <f>IF(C6588="","",C6588&amp;COUNTIF(C$9:C6588,C6588))</f>
        <v/>
      </c>
    </row>
    <row r="6589" spans="2:2" x14ac:dyDescent="0.25">
      <c r="B6589" t="str">
        <f>IF(C6589="","",C6589&amp;COUNTIF(C$9:C6589,C6589))</f>
        <v/>
      </c>
    </row>
    <row r="6590" spans="2:2" x14ac:dyDescent="0.25">
      <c r="B6590" t="str">
        <f>IF(C6590="","",C6590&amp;COUNTIF(C$9:C6590,C6590))</f>
        <v/>
      </c>
    </row>
    <row r="6591" spans="2:2" x14ac:dyDescent="0.25">
      <c r="B6591" t="str">
        <f>IF(C6591="","",C6591&amp;COUNTIF(C$9:C6591,C6591))</f>
        <v/>
      </c>
    </row>
    <row r="6592" spans="2:2" x14ac:dyDescent="0.25">
      <c r="B6592" t="str">
        <f>IF(C6592="","",C6592&amp;COUNTIF(C$9:C6592,C6592))</f>
        <v/>
      </c>
    </row>
    <row r="6593" spans="2:2" x14ac:dyDescent="0.25">
      <c r="B6593" t="str">
        <f>IF(C6593="","",C6593&amp;COUNTIF(C$9:C6593,C6593))</f>
        <v/>
      </c>
    </row>
    <row r="6594" spans="2:2" x14ac:dyDescent="0.25">
      <c r="B6594" t="str">
        <f>IF(C6594="","",C6594&amp;COUNTIF(C$9:C6594,C6594))</f>
        <v/>
      </c>
    </row>
    <row r="6595" spans="2:2" x14ac:dyDescent="0.25">
      <c r="B6595" t="str">
        <f>IF(C6595="","",C6595&amp;COUNTIF(C$9:C6595,C6595))</f>
        <v/>
      </c>
    </row>
    <row r="6596" spans="2:2" x14ac:dyDescent="0.25">
      <c r="B6596" t="str">
        <f>IF(C6596="","",C6596&amp;COUNTIF(C$9:C6596,C6596))</f>
        <v/>
      </c>
    </row>
    <row r="6597" spans="2:2" x14ac:dyDescent="0.25">
      <c r="B6597" t="str">
        <f>IF(C6597="","",C6597&amp;COUNTIF(C$9:C6597,C6597))</f>
        <v/>
      </c>
    </row>
    <row r="6598" spans="2:2" x14ac:dyDescent="0.25">
      <c r="B6598" t="str">
        <f>IF(C6598="","",C6598&amp;COUNTIF(C$9:C6598,C6598))</f>
        <v/>
      </c>
    </row>
    <row r="6599" spans="2:2" x14ac:dyDescent="0.25">
      <c r="B6599" t="str">
        <f>IF(C6599="","",C6599&amp;COUNTIF(C$9:C6599,C6599))</f>
        <v/>
      </c>
    </row>
    <row r="6600" spans="2:2" x14ac:dyDescent="0.25">
      <c r="B6600" t="str">
        <f>IF(C6600="","",C6600&amp;COUNTIF(C$9:C6600,C6600))</f>
        <v/>
      </c>
    </row>
    <row r="6601" spans="2:2" x14ac:dyDescent="0.25">
      <c r="B6601" t="str">
        <f>IF(C6601="","",C6601&amp;COUNTIF(C$9:C6601,C6601))</f>
        <v/>
      </c>
    </row>
    <row r="6602" spans="2:2" x14ac:dyDescent="0.25">
      <c r="B6602" t="str">
        <f>IF(C6602="","",C6602&amp;COUNTIF(C$9:C6602,C6602))</f>
        <v/>
      </c>
    </row>
    <row r="6603" spans="2:2" x14ac:dyDescent="0.25">
      <c r="B6603" t="str">
        <f>IF(C6603="","",C6603&amp;COUNTIF(C$9:C6603,C6603))</f>
        <v/>
      </c>
    </row>
    <row r="6604" spans="2:2" x14ac:dyDescent="0.25">
      <c r="B6604" t="str">
        <f>IF(C6604="","",C6604&amp;COUNTIF(C$9:C6604,C6604))</f>
        <v/>
      </c>
    </row>
    <row r="6605" spans="2:2" x14ac:dyDescent="0.25">
      <c r="B6605" t="str">
        <f>IF(C6605="","",C6605&amp;COUNTIF(C$9:C6605,C6605))</f>
        <v/>
      </c>
    </row>
    <row r="6606" spans="2:2" x14ac:dyDescent="0.25">
      <c r="B6606" t="str">
        <f>IF(C6606="","",C6606&amp;COUNTIF(C$9:C6606,C6606))</f>
        <v/>
      </c>
    </row>
    <row r="6607" spans="2:2" x14ac:dyDescent="0.25">
      <c r="B6607" t="str">
        <f>IF(C6607="","",C6607&amp;COUNTIF(C$9:C6607,C6607))</f>
        <v/>
      </c>
    </row>
    <row r="6608" spans="2:2" x14ac:dyDescent="0.25">
      <c r="B6608" t="str">
        <f>IF(C6608="","",C6608&amp;COUNTIF(C$9:C6608,C6608))</f>
        <v/>
      </c>
    </row>
    <row r="6609" spans="2:2" x14ac:dyDescent="0.25">
      <c r="B6609" t="str">
        <f>IF(C6609="","",C6609&amp;COUNTIF(C$9:C6609,C6609))</f>
        <v/>
      </c>
    </row>
    <row r="6610" spans="2:2" x14ac:dyDescent="0.25">
      <c r="B6610" t="str">
        <f>IF(C6610="","",C6610&amp;COUNTIF(C$9:C6610,C6610))</f>
        <v/>
      </c>
    </row>
    <row r="6611" spans="2:2" x14ac:dyDescent="0.25">
      <c r="B6611" t="str">
        <f>IF(C6611="","",C6611&amp;COUNTIF(C$9:C6611,C6611))</f>
        <v/>
      </c>
    </row>
    <row r="6612" spans="2:2" x14ac:dyDescent="0.25">
      <c r="B6612" t="str">
        <f>IF(C6612="","",C6612&amp;COUNTIF(C$9:C6612,C6612))</f>
        <v/>
      </c>
    </row>
    <row r="6613" spans="2:2" x14ac:dyDescent="0.25">
      <c r="B6613" t="str">
        <f>IF(C6613="","",C6613&amp;COUNTIF(C$9:C6613,C6613))</f>
        <v/>
      </c>
    </row>
    <row r="6614" spans="2:2" x14ac:dyDescent="0.25">
      <c r="B6614" t="str">
        <f>IF(C6614="","",C6614&amp;COUNTIF(C$9:C6614,C6614))</f>
        <v/>
      </c>
    </row>
    <row r="6615" spans="2:2" x14ac:dyDescent="0.25">
      <c r="B6615" t="str">
        <f>IF(C6615="","",C6615&amp;COUNTIF(C$9:C6615,C6615))</f>
        <v/>
      </c>
    </row>
    <row r="6616" spans="2:2" x14ac:dyDescent="0.25">
      <c r="B6616" t="str">
        <f>IF(C6616="","",C6616&amp;COUNTIF(C$9:C6616,C6616))</f>
        <v/>
      </c>
    </row>
    <row r="6617" spans="2:2" x14ac:dyDescent="0.25">
      <c r="B6617" t="str">
        <f>IF(C6617="","",C6617&amp;COUNTIF(C$9:C6617,C6617))</f>
        <v/>
      </c>
    </row>
    <row r="6618" spans="2:2" x14ac:dyDescent="0.25">
      <c r="B6618" t="str">
        <f>IF(C6618="","",C6618&amp;COUNTIF(C$9:C6618,C6618))</f>
        <v/>
      </c>
    </row>
    <row r="6619" spans="2:2" x14ac:dyDescent="0.25">
      <c r="B6619" t="str">
        <f>IF(C6619="","",C6619&amp;COUNTIF(C$9:C6619,C6619))</f>
        <v/>
      </c>
    </row>
    <row r="6620" spans="2:2" x14ac:dyDescent="0.25">
      <c r="B6620" t="str">
        <f>IF(C6620="","",C6620&amp;COUNTIF(C$9:C6620,C6620))</f>
        <v/>
      </c>
    </row>
    <row r="6621" spans="2:2" x14ac:dyDescent="0.25">
      <c r="B6621" t="str">
        <f>IF(C6621="","",C6621&amp;COUNTIF(C$9:C6621,C6621))</f>
        <v/>
      </c>
    </row>
    <row r="6622" spans="2:2" x14ac:dyDescent="0.25">
      <c r="B6622" t="str">
        <f>IF(C6622="","",C6622&amp;COUNTIF(C$9:C6622,C6622))</f>
        <v/>
      </c>
    </row>
    <row r="6623" spans="2:2" x14ac:dyDescent="0.25">
      <c r="B6623" t="str">
        <f>IF(C6623="","",C6623&amp;COUNTIF(C$9:C6623,C6623))</f>
        <v/>
      </c>
    </row>
    <row r="6624" spans="2:2" x14ac:dyDescent="0.25">
      <c r="B6624" t="str">
        <f>IF(C6624="","",C6624&amp;COUNTIF(C$9:C6624,C6624))</f>
        <v/>
      </c>
    </row>
    <row r="6625" spans="2:2" x14ac:dyDescent="0.25">
      <c r="B6625" t="str">
        <f>IF(C6625="","",C6625&amp;COUNTIF(C$9:C6625,C6625))</f>
        <v/>
      </c>
    </row>
    <row r="6626" spans="2:2" x14ac:dyDescent="0.25">
      <c r="B6626" t="str">
        <f>IF(C6626="","",C6626&amp;COUNTIF(C$9:C6626,C6626))</f>
        <v/>
      </c>
    </row>
    <row r="6627" spans="2:2" x14ac:dyDescent="0.25">
      <c r="B6627" t="str">
        <f>IF(C6627="","",C6627&amp;COUNTIF(C$9:C6627,C6627))</f>
        <v/>
      </c>
    </row>
    <row r="6628" spans="2:2" x14ac:dyDescent="0.25">
      <c r="B6628" t="str">
        <f>IF(C6628="","",C6628&amp;COUNTIF(C$9:C6628,C6628))</f>
        <v/>
      </c>
    </row>
    <row r="6629" spans="2:2" x14ac:dyDescent="0.25">
      <c r="B6629" t="str">
        <f>IF(C6629="","",C6629&amp;COUNTIF(C$9:C6629,C6629))</f>
        <v/>
      </c>
    </row>
    <row r="6630" spans="2:2" x14ac:dyDescent="0.25">
      <c r="B6630" t="str">
        <f>IF(C6630="","",C6630&amp;COUNTIF(C$9:C6630,C6630))</f>
        <v/>
      </c>
    </row>
    <row r="6631" spans="2:2" x14ac:dyDescent="0.25">
      <c r="B6631" t="str">
        <f>IF(C6631="","",C6631&amp;COUNTIF(C$9:C6631,C6631))</f>
        <v/>
      </c>
    </row>
    <row r="6632" spans="2:2" x14ac:dyDescent="0.25">
      <c r="B6632" t="str">
        <f>IF(C6632="","",C6632&amp;COUNTIF(C$9:C6632,C6632))</f>
        <v/>
      </c>
    </row>
    <row r="6633" spans="2:2" x14ac:dyDescent="0.25">
      <c r="B6633" t="str">
        <f>IF(C6633="","",C6633&amp;COUNTIF(C$9:C6633,C6633))</f>
        <v/>
      </c>
    </row>
    <row r="6634" spans="2:2" x14ac:dyDescent="0.25">
      <c r="B6634" t="str">
        <f>IF(C6634="","",C6634&amp;COUNTIF(C$9:C6634,C6634))</f>
        <v/>
      </c>
    </row>
    <row r="6635" spans="2:2" x14ac:dyDescent="0.25">
      <c r="B6635" t="str">
        <f>IF(C6635="","",C6635&amp;COUNTIF(C$9:C6635,C6635))</f>
        <v/>
      </c>
    </row>
    <row r="6636" spans="2:2" x14ac:dyDescent="0.25">
      <c r="B6636" t="str">
        <f>IF(C6636="","",C6636&amp;COUNTIF(C$9:C6636,C6636))</f>
        <v/>
      </c>
    </row>
    <row r="6637" spans="2:2" x14ac:dyDescent="0.25">
      <c r="B6637" t="str">
        <f>IF(C6637="","",C6637&amp;COUNTIF(C$9:C6637,C6637))</f>
        <v/>
      </c>
    </row>
    <row r="6638" spans="2:2" x14ac:dyDescent="0.25">
      <c r="B6638" t="str">
        <f>IF(C6638="","",C6638&amp;COUNTIF(C$9:C6638,C6638))</f>
        <v/>
      </c>
    </row>
    <row r="6639" spans="2:2" x14ac:dyDescent="0.25">
      <c r="B6639" t="str">
        <f>IF(C6639="","",C6639&amp;COUNTIF(C$9:C6639,C6639))</f>
        <v/>
      </c>
    </row>
    <row r="6640" spans="2:2" x14ac:dyDescent="0.25">
      <c r="B6640" t="str">
        <f>IF(C6640="","",C6640&amp;COUNTIF(C$9:C6640,C6640))</f>
        <v/>
      </c>
    </row>
    <row r="6641" spans="2:2" x14ac:dyDescent="0.25">
      <c r="B6641" t="str">
        <f>IF(C6641="","",C6641&amp;COUNTIF(C$9:C6641,C6641))</f>
        <v/>
      </c>
    </row>
    <row r="6642" spans="2:2" x14ac:dyDescent="0.25">
      <c r="B6642" t="str">
        <f>IF(C6642="","",C6642&amp;COUNTIF(C$9:C6642,C6642))</f>
        <v/>
      </c>
    </row>
    <row r="6643" spans="2:2" x14ac:dyDescent="0.25">
      <c r="B6643" t="str">
        <f>IF(C6643="","",C6643&amp;COUNTIF(C$9:C6643,C6643))</f>
        <v/>
      </c>
    </row>
    <row r="6644" spans="2:2" x14ac:dyDescent="0.25">
      <c r="B6644" t="str">
        <f>IF(C6644="","",C6644&amp;COUNTIF(C$9:C6644,C6644))</f>
        <v/>
      </c>
    </row>
    <row r="6645" spans="2:2" x14ac:dyDescent="0.25">
      <c r="B6645" t="str">
        <f>IF(C6645="","",C6645&amp;COUNTIF(C$9:C6645,C6645))</f>
        <v/>
      </c>
    </row>
    <row r="6646" spans="2:2" x14ac:dyDescent="0.25">
      <c r="B6646" t="str">
        <f>IF(C6646="","",C6646&amp;COUNTIF(C$9:C6646,C6646))</f>
        <v/>
      </c>
    </row>
    <row r="6647" spans="2:2" x14ac:dyDescent="0.25">
      <c r="B6647" t="str">
        <f>IF(C6647="","",C6647&amp;COUNTIF(C$9:C6647,C6647))</f>
        <v/>
      </c>
    </row>
    <row r="6648" spans="2:2" x14ac:dyDescent="0.25">
      <c r="B6648" t="str">
        <f>IF(C6648="","",C6648&amp;COUNTIF(C$9:C6648,C6648))</f>
        <v/>
      </c>
    </row>
    <row r="6649" spans="2:2" x14ac:dyDescent="0.25">
      <c r="B6649" t="str">
        <f>IF(C6649="","",C6649&amp;COUNTIF(C$9:C6649,C6649))</f>
        <v/>
      </c>
    </row>
    <row r="6650" spans="2:2" x14ac:dyDescent="0.25">
      <c r="B6650" t="str">
        <f>IF(C6650="","",C6650&amp;COUNTIF(C$9:C6650,C6650))</f>
        <v/>
      </c>
    </row>
    <row r="6651" spans="2:2" x14ac:dyDescent="0.25">
      <c r="B6651" t="str">
        <f>IF(C6651="","",C6651&amp;COUNTIF(C$9:C6651,C6651))</f>
        <v/>
      </c>
    </row>
    <row r="6652" spans="2:2" x14ac:dyDescent="0.25">
      <c r="B6652" t="str">
        <f>IF(C6652="","",C6652&amp;COUNTIF(C$9:C6652,C6652))</f>
        <v/>
      </c>
    </row>
    <row r="6653" spans="2:2" x14ac:dyDescent="0.25">
      <c r="B6653" t="str">
        <f>IF(C6653="","",C6653&amp;COUNTIF(C$9:C6653,C6653))</f>
        <v/>
      </c>
    </row>
    <row r="6654" spans="2:2" x14ac:dyDescent="0.25">
      <c r="B6654" t="str">
        <f>IF(C6654="","",C6654&amp;COUNTIF(C$9:C6654,C6654))</f>
        <v/>
      </c>
    </row>
    <row r="6655" spans="2:2" x14ac:dyDescent="0.25">
      <c r="B6655" t="str">
        <f>IF(C6655="","",C6655&amp;COUNTIF(C$9:C6655,C6655))</f>
        <v/>
      </c>
    </row>
    <row r="6656" spans="2:2" x14ac:dyDescent="0.25">
      <c r="B6656" t="str">
        <f>IF(C6656="","",C6656&amp;COUNTIF(C$9:C6656,C6656))</f>
        <v/>
      </c>
    </row>
    <row r="6657" spans="2:2" x14ac:dyDescent="0.25">
      <c r="B6657" t="str">
        <f>IF(C6657="","",C6657&amp;COUNTIF(C$9:C6657,C6657))</f>
        <v/>
      </c>
    </row>
    <row r="6658" spans="2:2" x14ac:dyDescent="0.25">
      <c r="B6658" t="str">
        <f>IF(C6658="","",C6658&amp;COUNTIF(C$9:C6658,C6658))</f>
        <v/>
      </c>
    </row>
    <row r="6659" spans="2:2" x14ac:dyDescent="0.25">
      <c r="B6659" t="str">
        <f>IF(C6659="","",C6659&amp;COUNTIF(C$9:C6659,C6659))</f>
        <v/>
      </c>
    </row>
    <row r="6660" spans="2:2" x14ac:dyDescent="0.25">
      <c r="B6660" t="str">
        <f>IF(C6660="","",C6660&amp;COUNTIF(C$9:C6660,C6660))</f>
        <v/>
      </c>
    </row>
    <row r="6661" spans="2:2" x14ac:dyDescent="0.25">
      <c r="B6661" t="str">
        <f>IF(C6661="","",C6661&amp;COUNTIF(C$9:C6661,C6661))</f>
        <v/>
      </c>
    </row>
    <row r="6662" spans="2:2" x14ac:dyDescent="0.25">
      <c r="B6662" t="str">
        <f>IF(C6662="","",C6662&amp;COUNTIF(C$9:C6662,C6662))</f>
        <v/>
      </c>
    </row>
    <row r="6663" spans="2:2" x14ac:dyDescent="0.25">
      <c r="B6663" t="str">
        <f>IF(C6663="","",C6663&amp;COUNTIF(C$9:C6663,C6663))</f>
        <v/>
      </c>
    </row>
    <row r="6664" spans="2:2" x14ac:dyDescent="0.25">
      <c r="B6664" t="str">
        <f>IF(C6664="","",C6664&amp;COUNTIF(C$9:C6664,C6664))</f>
        <v/>
      </c>
    </row>
    <row r="6665" spans="2:2" x14ac:dyDescent="0.25">
      <c r="B6665" t="str">
        <f>IF(C6665="","",C6665&amp;COUNTIF(C$9:C6665,C6665))</f>
        <v/>
      </c>
    </row>
    <row r="6666" spans="2:2" x14ac:dyDescent="0.25">
      <c r="B6666" t="str">
        <f>IF(C6666="","",C6666&amp;COUNTIF(C$9:C6666,C6666))</f>
        <v/>
      </c>
    </row>
    <row r="6667" spans="2:2" x14ac:dyDescent="0.25">
      <c r="B6667" t="str">
        <f>IF(C6667="","",C6667&amp;COUNTIF(C$9:C6667,C6667))</f>
        <v/>
      </c>
    </row>
    <row r="6668" spans="2:2" x14ac:dyDescent="0.25">
      <c r="B6668" t="str">
        <f>IF(C6668="","",C6668&amp;COUNTIF(C$9:C6668,C6668))</f>
        <v/>
      </c>
    </row>
    <row r="6669" spans="2:2" x14ac:dyDescent="0.25">
      <c r="B6669" t="str">
        <f>IF(C6669="","",C6669&amp;COUNTIF(C$9:C6669,C6669))</f>
        <v/>
      </c>
    </row>
    <row r="6670" spans="2:2" x14ac:dyDescent="0.25">
      <c r="B6670" t="str">
        <f>IF(C6670="","",C6670&amp;COUNTIF(C$9:C6670,C6670))</f>
        <v/>
      </c>
    </row>
    <row r="6671" spans="2:2" x14ac:dyDescent="0.25">
      <c r="B6671" t="str">
        <f>IF(C6671="","",C6671&amp;COUNTIF(C$9:C6671,C6671))</f>
        <v/>
      </c>
    </row>
    <row r="6672" spans="2:2" x14ac:dyDescent="0.25">
      <c r="B6672" t="str">
        <f>IF(C6672="","",C6672&amp;COUNTIF(C$9:C6672,C6672))</f>
        <v/>
      </c>
    </row>
    <row r="6673" spans="2:2" x14ac:dyDescent="0.25">
      <c r="B6673" t="str">
        <f>IF(C6673="","",C6673&amp;COUNTIF(C$9:C6673,C6673))</f>
        <v/>
      </c>
    </row>
    <row r="6674" spans="2:2" x14ac:dyDescent="0.25">
      <c r="B6674" t="str">
        <f>IF(C6674="","",C6674&amp;COUNTIF(C$9:C6674,C6674))</f>
        <v/>
      </c>
    </row>
    <row r="6675" spans="2:2" x14ac:dyDescent="0.25">
      <c r="B6675" t="str">
        <f>IF(C6675="","",C6675&amp;COUNTIF(C$9:C6675,C6675))</f>
        <v/>
      </c>
    </row>
    <row r="6676" spans="2:2" x14ac:dyDescent="0.25">
      <c r="B6676" t="str">
        <f>IF(C6676="","",C6676&amp;COUNTIF(C$9:C6676,C6676))</f>
        <v/>
      </c>
    </row>
    <row r="6677" spans="2:2" x14ac:dyDescent="0.25">
      <c r="B6677" t="str">
        <f>IF(C6677="","",C6677&amp;COUNTIF(C$9:C6677,C6677))</f>
        <v/>
      </c>
    </row>
    <row r="6678" spans="2:2" x14ac:dyDescent="0.25">
      <c r="B6678" t="str">
        <f>IF(C6678="","",C6678&amp;COUNTIF(C$9:C6678,C6678))</f>
        <v/>
      </c>
    </row>
    <row r="6679" spans="2:2" x14ac:dyDescent="0.25">
      <c r="B6679" t="str">
        <f>IF(C6679="","",C6679&amp;COUNTIF(C$9:C6679,C6679))</f>
        <v/>
      </c>
    </row>
    <row r="6680" spans="2:2" x14ac:dyDescent="0.25">
      <c r="B6680" t="str">
        <f>IF(C6680="","",C6680&amp;COUNTIF(C$9:C6680,C6680))</f>
        <v/>
      </c>
    </row>
    <row r="6681" spans="2:2" x14ac:dyDescent="0.25">
      <c r="B6681" t="str">
        <f>IF(C6681="","",C6681&amp;COUNTIF(C$9:C6681,C6681))</f>
        <v/>
      </c>
    </row>
    <row r="6682" spans="2:2" x14ac:dyDescent="0.25">
      <c r="B6682" t="str">
        <f>IF(C6682="","",C6682&amp;COUNTIF(C$9:C6682,C6682))</f>
        <v/>
      </c>
    </row>
    <row r="6683" spans="2:2" x14ac:dyDescent="0.25">
      <c r="B6683" t="str">
        <f>IF(C6683="","",C6683&amp;COUNTIF(C$9:C6683,C6683))</f>
        <v/>
      </c>
    </row>
    <row r="6684" spans="2:2" x14ac:dyDescent="0.25">
      <c r="B6684" t="str">
        <f>IF(C6684="","",C6684&amp;COUNTIF(C$9:C6684,C6684))</f>
        <v/>
      </c>
    </row>
    <row r="6685" spans="2:2" x14ac:dyDescent="0.25">
      <c r="B6685" t="str">
        <f>IF(C6685="","",C6685&amp;COUNTIF(C$9:C6685,C6685))</f>
        <v/>
      </c>
    </row>
    <row r="6686" spans="2:2" x14ac:dyDescent="0.25">
      <c r="B6686" t="str">
        <f>IF(C6686="","",C6686&amp;COUNTIF(C$9:C6686,C6686))</f>
        <v/>
      </c>
    </row>
    <row r="6687" spans="2:2" x14ac:dyDescent="0.25">
      <c r="B6687" t="str">
        <f>IF(C6687="","",C6687&amp;COUNTIF(C$9:C6687,C6687))</f>
        <v/>
      </c>
    </row>
    <row r="6688" spans="2:2" x14ac:dyDescent="0.25">
      <c r="B6688" t="str">
        <f>IF(C6688="","",C6688&amp;COUNTIF(C$9:C6688,C6688))</f>
        <v/>
      </c>
    </row>
    <row r="6689" spans="2:2" x14ac:dyDescent="0.25">
      <c r="B6689" t="str">
        <f>IF(C6689="","",C6689&amp;COUNTIF(C$9:C6689,C6689))</f>
        <v/>
      </c>
    </row>
    <row r="6690" spans="2:2" x14ac:dyDescent="0.25">
      <c r="B6690" t="str">
        <f>IF(C6690="","",C6690&amp;COUNTIF(C$9:C6690,C6690))</f>
        <v/>
      </c>
    </row>
    <row r="6691" spans="2:2" x14ac:dyDescent="0.25">
      <c r="B6691" t="str">
        <f>IF(C6691="","",C6691&amp;COUNTIF(C$9:C6691,C6691))</f>
        <v/>
      </c>
    </row>
    <row r="6692" spans="2:2" x14ac:dyDescent="0.25">
      <c r="B6692" t="str">
        <f>IF(C6692="","",C6692&amp;COUNTIF(C$9:C6692,C6692))</f>
        <v/>
      </c>
    </row>
    <row r="6693" spans="2:2" x14ac:dyDescent="0.25">
      <c r="B6693" t="str">
        <f>IF(C6693="","",C6693&amp;COUNTIF(C$9:C6693,C6693))</f>
        <v/>
      </c>
    </row>
    <row r="6694" spans="2:2" x14ac:dyDescent="0.25">
      <c r="B6694" t="str">
        <f>IF(C6694="","",C6694&amp;COUNTIF(C$9:C6694,C6694))</f>
        <v/>
      </c>
    </row>
    <row r="6695" spans="2:2" x14ac:dyDescent="0.25">
      <c r="B6695" t="str">
        <f>IF(C6695="","",C6695&amp;COUNTIF(C$9:C6695,C6695))</f>
        <v/>
      </c>
    </row>
    <row r="6696" spans="2:2" x14ac:dyDescent="0.25">
      <c r="B6696" t="str">
        <f>IF(C6696="","",C6696&amp;COUNTIF(C$9:C6696,C6696))</f>
        <v/>
      </c>
    </row>
    <row r="6697" spans="2:2" x14ac:dyDescent="0.25">
      <c r="B6697" t="str">
        <f>IF(C6697="","",C6697&amp;COUNTIF(C$9:C6697,C6697))</f>
        <v/>
      </c>
    </row>
    <row r="6698" spans="2:2" x14ac:dyDescent="0.25">
      <c r="B6698" t="str">
        <f>IF(C6698="","",C6698&amp;COUNTIF(C$9:C6698,C6698))</f>
        <v/>
      </c>
    </row>
    <row r="6699" spans="2:2" x14ac:dyDescent="0.25">
      <c r="B6699" t="str">
        <f>IF(C6699="","",C6699&amp;COUNTIF(C$9:C6699,C6699))</f>
        <v/>
      </c>
    </row>
    <row r="6700" spans="2:2" x14ac:dyDescent="0.25">
      <c r="B6700" t="str">
        <f>IF(C6700="","",C6700&amp;COUNTIF(C$9:C6700,C6700))</f>
        <v/>
      </c>
    </row>
    <row r="6701" spans="2:2" x14ac:dyDescent="0.25">
      <c r="B6701" t="str">
        <f>IF(C6701="","",C6701&amp;COUNTIF(C$9:C6701,C6701))</f>
        <v/>
      </c>
    </row>
    <row r="6702" spans="2:2" x14ac:dyDescent="0.25">
      <c r="B6702" t="str">
        <f>IF(C6702="","",C6702&amp;COUNTIF(C$9:C6702,C6702))</f>
        <v/>
      </c>
    </row>
    <row r="6703" spans="2:2" x14ac:dyDescent="0.25">
      <c r="B6703" t="str">
        <f>IF(C6703="","",C6703&amp;COUNTIF(C$9:C6703,C6703))</f>
        <v/>
      </c>
    </row>
    <row r="6704" spans="2:2" x14ac:dyDescent="0.25">
      <c r="B6704" t="str">
        <f>IF(C6704="","",C6704&amp;COUNTIF(C$9:C6704,C6704))</f>
        <v/>
      </c>
    </row>
    <row r="6705" spans="2:2" x14ac:dyDescent="0.25">
      <c r="B6705" t="str">
        <f>IF(C6705="","",C6705&amp;COUNTIF(C$9:C6705,C6705))</f>
        <v/>
      </c>
    </row>
    <row r="6706" spans="2:2" x14ac:dyDescent="0.25">
      <c r="B6706" t="str">
        <f>IF(C6706="","",C6706&amp;COUNTIF(C$9:C6706,C6706))</f>
        <v/>
      </c>
    </row>
    <row r="6707" spans="2:2" x14ac:dyDescent="0.25">
      <c r="B6707" t="str">
        <f>IF(C6707="","",C6707&amp;COUNTIF(C$9:C6707,C6707))</f>
        <v/>
      </c>
    </row>
    <row r="6708" spans="2:2" x14ac:dyDescent="0.25">
      <c r="B6708" t="str">
        <f>IF(C6708="","",C6708&amp;COUNTIF(C$9:C6708,C6708))</f>
        <v/>
      </c>
    </row>
    <row r="6709" spans="2:2" x14ac:dyDescent="0.25">
      <c r="B6709" t="str">
        <f>IF(C6709="","",C6709&amp;COUNTIF(C$9:C6709,C6709))</f>
        <v/>
      </c>
    </row>
    <row r="6710" spans="2:2" x14ac:dyDescent="0.25">
      <c r="B6710" t="str">
        <f>IF(C6710="","",C6710&amp;COUNTIF(C$9:C6710,C6710))</f>
        <v/>
      </c>
    </row>
    <row r="6711" spans="2:2" x14ac:dyDescent="0.25">
      <c r="B6711" t="str">
        <f>IF(C6711="","",C6711&amp;COUNTIF(C$9:C6711,C6711))</f>
        <v/>
      </c>
    </row>
    <row r="6712" spans="2:2" x14ac:dyDescent="0.25">
      <c r="B6712" t="str">
        <f>IF(C6712="","",C6712&amp;COUNTIF(C$9:C6712,C6712))</f>
        <v/>
      </c>
    </row>
    <row r="6713" spans="2:2" x14ac:dyDescent="0.25">
      <c r="B6713" t="str">
        <f>IF(C6713="","",C6713&amp;COUNTIF(C$9:C6713,C6713))</f>
        <v/>
      </c>
    </row>
    <row r="6714" spans="2:2" x14ac:dyDescent="0.25">
      <c r="B6714" t="str">
        <f>IF(C6714="","",C6714&amp;COUNTIF(C$9:C6714,C6714))</f>
        <v/>
      </c>
    </row>
    <row r="6715" spans="2:2" x14ac:dyDescent="0.25">
      <c r="B6715" t="str">
        <f>IF(C6715="","",C6715&amp;COUNTIF(C$9:C6715,C6715))</f>
        <v/>
      </c>
    </row>
    <row r="6716" spans="2:2" x14ac:dyDescent="0.25">
      <c r="B6716" t="str">
        <f>IF(C6716="","",C6716&amp;COUNTIF(C$9:C6716,C6716))</f>
        <v/>
      </c>
    </row>
    <row r="6717" spans="2:2" x14ac:dyDescent="0.25">
      <c r="B6717" t="str">
        <f>IF(C6717="","",C6717&amp;COUNTIF(C$9:C6717,C6717))</f>
        <v/>
      </c>
    </row>
    <row r="6718" spans="2:2" x14ac:dyDescent="0.25">
      <c r="B6718" t="str">
        <f>IF(C6718="","",C6718&amp;COUNTIF(C$9:C6718,C6718))</f>
        <v/>
      </c>
    </row>
    <row r="6719" spans="2:2" x14ac:dyDescent="0.25">
      <c r="B6719" t="str">
        <f>IF(C6719="","",C6719&amp;COUNTIF(C$9:C6719,C6719))</f>
        <v/>
      </c>
    </row>
    <row r="6720" spans="2:2" x14ac:dyDescent="0.25">
      <c r="B6720" t="str">
        <f>IF(C6720="","",C6720&amp;COUNTIF(C$9:C6720,C6720))</f>
        <v/>
      </c>
    </row>
    <row r="6721" spans="2:2" x14ac:dyDescent="0.25">
      <c r="B6721" t="str">
        <f>IF(C6721="","",C6721&amp;COUNTIF(C$9:C6721,C6721))</f>
        <v/>
      </c>
    </row>
    <row r="6722" spans="2:2" x14ac:dyDescent="0.25">
      <c r="B6722" t="str">
        <f>IF(C6722="","",C6722&amp;COUNTIF(C$9:C6722,C6722))</f>
        <v/>
      </c>
    </row>
    <row r="6723" spans="2:2" x14ac:dyDescent="0.25">
      <c r="B6723" t="str">
        <f>IF(C6723="","",C6723&amp;COUNTIF(C$9:C6723,C6723))</f>
        <v/>
      </c>
    </row>
    <row r="6724" spans="2:2" x14ac:dyDescent="0.25">
      <c r="B6724" t="str">
        <f>IF(C6724="","",C6724&amp;COUNTIF(C$9:C6724,C6724))</f>
        <v/>
      </c>
    </row>
    <row r="6725" spans="2:2" x14ac:dyDescent="0.25">
      <c r="B6725" t="str">
        <f>IF(C6725="","",C6725&amp;COUNTIF(C$9:C6725,C6725))</f>
        <v/>
      </c>
    </row>
    <row r="6726" spans="2:2" x14ac:dyDescent="0.25">
      <c r="B6726" t="str">
        <f>IF(C6726="","",C6726&amp;COUNTIF(C$9:C6726,C6726))</f>
        <v/>
      </c>
    </row>
    <row r="6727" spans="2:2" x14ac:dyDescent="0.25">
      <c r="B6727" t="str">
        <f>IF(C6727="","",C6727&amp;COUNTIF(C$9:C6727,C6727))</f>
        <v/>
      </c>
    </row>
    <row r="6728" spans="2:2" x14ac:dyDescent="0.25">
      <c r="B6728" t="str">
        <f>IF(C6728="","",C6728&amp;COUNTIF(C$9:C6728,C6728))</f>
        <v/>
      </c>
    </row>
    <row r="6729" spans="2:2" x14ac:dyDescent="0.25">
      <c r="B6729" t="str">
        <f>IF(C6729="","",C6729&amp;COUNTIF(C$9:C6729,C6729))</f>
        <v/>
      </c>
    </row>
    <row r="6730" spans="2:2" x14ac:dyDescent="0.25">
      <c r="B6730" t="str">
        <f>IF(C6730="","",C6730&amp;COUNTIF(C$9:C6730,C6730))</f>
        <v/>
      </c>
    </row>
    <row r="6731" spans="2:2" x14ac:dyDescent="0.25">
      <c r="B6731" t="str">
        <f>IF(C6731="","",C6731&amp;COUNTIF(C$9:C6731,C6731))</f>
        <v/>
      </c>
    </row>
    <row r="6732" spans="2:2" x14ac:dyDescent="0.25">
      <c r="B6732" t="str">
        <f>IF(C6732="","",C6732&amp;COUNTIF(C$9:C6732,C6732))</f>
        <v/>
      </c>
    </row>
    <row r="6733" spans="2:2" x14ac:dyDescent="0.25">
      <c r="B6733" t="str">
        <f>IF(C6733="","",C6733&amp;COUNTIF(C$9:C6733,C6733))</f>
        <v/>
      </c>
    </row>
    <row r="6734" spans="2:2" x14ac:dyDescent="0.25">
      <c r="B6734" t="str">
        <f>IF(C6734="","",C6734&amp;COUNTIF(C$9:C6734,C6734))</f>
        <v/>
      </c>
    </row>
    <row r="6735" spans="2:2" x14ac:dyDescent="0.25">
      <c r="B6735" t="str">
        <f>IF(C6735="","",C6735&amp;COUNTIF(C$9:C6735,C6735))</f>
        <v/>
      </c>
    </row>
    <row r="6736" spans="2:2" x14ac:dyDescent="0.25">
      <c r="B6736" t="str">
        <f>IF(C6736="","",C6736&amp;COUNTIF(C$9:C6736,C6736))</f>
        <v/>
      </c>
    </row>
    <row r="6737" spans="2:2" x14ac:dyDescent="0.25">
      <c r="B6737" t="str">
        <f>IF(C6737="","",C6737&amp;COUNTIF(C$9:C6737,C6737))</f>
        <v/>
      </c>
    </row>
    <row r="6738" spans="2:2" x14ac:dyDescent="0.25">
      <c r="B6738" t="str">
        <f>IF(C6738="","",C6738&amp;COUNTIF(C$9:C6738,C6738))</f>
        <v/>
      </c>
    </row>
    <row r="6739" spans="2:2" x14ac:dyDescent="0.25">
      <c r="B6739" t="str">
        <f>IF(C6739="","",C6739&amp;COUNTIF(C$9:C6739,C6739))</f>
        <v/>
      </c>
    </row>
    <row r="6740" spans="2:2" x14ac:dyDescent="0.25">
      <c r="B6740" t="str">
        <f>IF(C6740="","",C6740&amp;COUNTIF(C$9:C6740,C6740))</f>
        <v/>
      </c>
    </row>
    <row r="6741" spans="2:2" x14ac:dyDescent="0.25">
      <c r="B6741" t="str">
        <f>IF(C6741="","",C6741&amp;COUNTIF(C$9:C6741,C6741))</f>
        <v/>
      </c>
    </row>
    <row r="6742" spans="2:2" x14ac:dyDescent="0.25">
      <c r="B6742" t="str">
        <f>IF(C6742="","",C6742&amp;COUNTIF(C$9:C6742,C6742))</f>
        <v/>
      </c>
    </row>
    <row r="6743" spans="2:2" x14ac:dyDescent="0.25">
      <c r="B6743" t="str">
        <f>IF(C6743="","",C6743&amp;COUNTIF(C$9:C6743,C6743))</f>
        <v/>
      </c>
    </row>
    <row r="6744" spans="2:2" x14ac:dyDescent="0.25">
      <c r="B6744" t="str">
        <f>IF(C6744="","",C6744&amp;COUNTIF(C$9:C6744,C6744))</f>
        <v/>
      </c>
    </row>
    <row r="6745" spans="2:2" x14ac:dyDescent="0.25">
      <c r="B6745" t="str">
        <f>IF(C6745="","",C6745&amp;COUNTIF(C$9:C6745,C6745))</f>
        <v/>
      </c>
    </row>
    <row r="6746" spans="2:2" x14ac:dyDescent="0.25">
      <c r="B6746" t="str">
        <f>IF(C6746="","",C6746&amp;COUNTIF(C$9:C6746,C6746))</f>
        <v/>
      </c>
    </row>
    <row r="6747" spans="2:2" x14ac:dyDescent="0.25">
      <c r="B6747" t="str">
        <f>IF(C6747="","",C6747&amp;COUNTIF(C$9:C6747,C6747))</f>
        <v/>
      </c>
    </row>
    <row r="6748" spans="2:2" x14ac:dyDescent="0.25">
      <c r="B6748" t="str">
        <f>IF(C6748="","",C6748&amp;COUNTIF(C$9:C6748,C6748))</f>
        <v/>
      </c>
    </row>
    <row r="6749" spans="2:2" x14ac:dyDescent="0.25">
      <c r="B6749" t="str">
        <f>IF(C6749="","",C6749&amp;COUNTIF(C$9:C6749,C6749))</f>
        <v/>
      </c>
    </row>
    <row r="6750" spans="2:2" x14ac:dyDescent="0.25">
      <c r="B6750" t="str">
        <f>IF(C6750="","",C6750&amp;COUNTIF(C$9:C6750,C6750))</f>
        <v/>
      </c>
    </row>
    <row r="6751" spans="2:2" x14ac:dyDescent="0.25">
      <c r="B6751" t="str">
        <f>IF(C6751="","",C6751&amp;COUNTIF(C$9:C6751,C6751))</f>
        <v/>
      </c>
    </row>
    <row r="6752" spans="2:2" x14ac:dyDescent="0.25">
      <c r="B6752" t="str">
        <f>IF(C6752="","",C6752&amp;COUNTIF(C$9:C6752,C6752))</f>
        <v/>
      </c>
    </row>
    <row r="6753" spans="2:2" x14ac:dyDescent="0.25">
      <c r="B6753" t="str">
        <f>IF(C6753="","",C6753&amp;COUNTIF(C$9:C6753,C6753))</f>
        <v/>
      </c>
    </row>
    <row r="6754" spans="2:2" x14ac:dyDescent="0.25">
      <c r="B6754" t="str">
        <f>IF(C6754="","",C6754&amp;COUNTIF(C$9:C6754,C6754))</f>
        <v/>
      </c>
    </row>
    <row r="6755" spans="2:2" x14ac:dyDescent="0.25">
      <c r="B6755" t="str">
        <f>IF(C6755="","",C6755&amp;COUNTIF(C$9:C6755,C6755))</f>
        <v/>
      </c>
    </row>
    <row r="6756" spans="2:2" x14ac:dyDescent="0.25">
      <c r="B6756" t="str">
        <f>IF(C6756="","",C6756&amp;COUNTIF(C$9:C6756,C6756))</f>
        <v/>
      </c>
    </row>
    <row r="6757" spans="2:2" x14ac:dyDescent="0.25">
      <c r="B6757" t="str">
        <f>IF(C6757="","",C6757&amp;COUNTIF(C$9:C6757,C6757))</f>
        <v/>
      </c>
    </row>
    <row r="6758" spans="2:2" x14ac:dyDescent="0.25">
      <c r="B6758" t="str">
        <f>IF(C6758="","",C6758&amp;COUNTIF(C$9:C6758,C6758))</f>
        <v/>
      </c>
    </row>
    <row r="6759" spans="2:2" x14ac:dyDescent="0.25">
      <c r="B6759" t="str">
        <f>IF(C6759="","",C6759&amp;COUNTIF(C$9:C6759,C6759))</f>
        <v/>
      </c>
    </row>
    <row r="6760" spans="2:2" x14ac:dyDescent="0.25">
      <c r="B6760" t="str">
        <f>IF(C6760="","",C6760&amp;COUNTIF(C$9:C6760,C6760))</f>
        <v/>
      </c>
    </row>
    <row r="6761" spans="2:2" x14ac:dyDescent="0.25">
      <c r="B6761" t="str">
        <f>IF(C6761="","",C6761&amp;COUNTIF(C$9:C6761,C6761))</f>
        <v/>
      </c>
    </row>
    <row r="6762" spans="2:2" x14ac:dyDescent="0.25">
      <c r="B6762" t="str">
        <f>IF(C6762="","",C6762&amp;COUNTIF(C$9:C6762,C6762))</f>
        <v/>
      </c>
    </row>
    <row r="6763" spans="2:2" x14ac:dyDescent="0.25">
      <c r="B6763" t="str">
        <f>IF(C6763="","",C6763&amp;COUNTIF(C$9:C6763,C6763))</f>
        <v/>
      </c>
    </row>
    <row r="6764" spans="2:2" x14ac:dyDescent="0.25">
      <c r="B6764" t="str">
        <f>IF(C6764="","",C6764&amp;COUNTIF(C$9:C6764,C6764))</f>
        <v/>
      </c>
    </row>
    <row r="6765" spans="2:2" x14ac:dyDescent="0.25">
      <c r="B6765" t="str">
        <f>IF(C6765="","",C6765&amp;COUNTIF(C$9:C6765,C6765))</f>
        <v/>
      </c>
    </row>
    <row r="6766" spans="2:2" x14ac:dyDescent="0.25">
      <c r="B6766" t="str">
        <f>IF(C6766="","",C6766&amp;COUNTIF(C$9:C6766,C6766))</f>
        <v/>
      </c>
    </row>
    <row r="6767" spans="2:2" x14ac:dyDescent="0.25">
      <c r="B6767" t="str">
        <f>IF(C6767="","",C6767&amp;COUNTIF(C$9:C6767,C6767))</f>
        <v/>
      </c>
    </row>
    <row r="6768" spans="2:2" x14ac:dyDescent="0.25">
      <c r="B6768" t="str">
        <f>IF(C6768="","",C6768&amp;COUNTIF(C$9:C6768,C6768))</f>
        <v/>
      </c>
    </row>
    <row r="6769" spans="2:2" x14ac:dyDescent="0.25">
      <c r="B6769" t="str">
        <f>IF(C6769="","",C6769&amp;COUNTIF(C$9:C6769,C6769))</f>
        <v/>
      </c>
    </row>
    <row r="6770" spans="2:2" x14ac:dyDescent="0.25">
      <c r="B6770" t="str">
        <f>IF(C6770="","",C6770&amp;COUNTIF(C$9:C6770,C6770))</f>
        <v/>
      </c>
    </row>
    <row r="6771" spans="2:2" x14ac:dyDescent="0.25">
      <c r="B6771" t="str">
        <f>IF(C6771="","",C6771&amp;COUNTIF(C$9:C6771,C6771))</f>
        <v/>
      </c>
    </row>
    <row r="6772" spans="2:2" x14ac:dyDescent="0.25">
      <c r="B6772" t="str">
        <f>IF(C6772="","",C6772&amp;COUNTIF(C$9:C6772,C6772))</f>
        <v/>
      </c>
    </row>
    <row r="6773" spans="2:2" x14ac:dyDescent="0.25">
      <c r="B6773" t="str">
        <f>IF(C6773="","",C6773&amp;COUNTIF(C$9:C6773,C6773))</f>
        <v/>
      </c>
    </row>
    <row r="6774" spans="2:2" x14ac:dyDescent="0.25">
      <c r="B6774" t="str">
        <f>IF(C6774="","",C6774&amp;COUNTIF(C$9:C6774,C6774))</f>
        <v/>
      </c>
    </row>
    <row r="6775" spans="2:2" x14ac:dyDescent="0.25">
      <c r="B6775" t="str">
        <f>IF(C6775="","",C6775&amp;COUNTIF(C$9:C6775,C6775))</f>
        <v/>
      </c>
    </row>
    <row r="6776" spans="2:2" x14ac:dyDescent="0.25">
      <c r="B6776" t="str">
        <f>IF(C6776="","",C6776&amp;COUNTIF(C$9:C6776,C6776))</f>
        <v/>
      </c>
    </row>
    <row r="6777" spans="2:2" x14ac:dyDescent="0.25">
      <c r="B6777" t="str">
        <f>IF(C6777="","",C6777&amp;COUNTIF(C$9:C6777,C6777))</f>
        <v/>
      </c>
    </row>
    <row r="6778" spans="2:2" x14ac:dyDescent="0.25">
      <c r="B6778" t="str">
        <f>IF(C6778="","",C6778&amp;COUNTIF(C$9:C6778,C6778))</f>
        <v/>
      </c>
    </row>
    <row r="6779" spans="2:2" x14ac:dyDescent="0.25">
      <c r="B6779" t="str">
        <f>IF(C6779="","",C6779&amp;COUNTIF(C$9:C6779,C6779))</f>
        <v/>
      </c>
    </row>
    <row r="6780" spans="2:2" x14ac:dyDescent="0.25">
      <c r="B6780" t="str">
        <f>IF(C6780="","",C6780&amp;COUNTIF(C$9:C6780,C6780))</f>
        <v/>
      </c>
    </row>
    <row r="6781" spans="2:2" x14ac:dyDescent="0.25">
      <c r="B6781" t="str">
        <f>IF(C6781="","",C6781&amp;COUNTIF(C$9:C6781,C6781))</f>
        <v/>
      </c>
    </row>
    <row r="6782" spans="2:2" x14ac:dyDescent="0.25">
      <c r="B6782" t="str">
        <f>IF(C6782="","",C6782&amp;COUNTIF(C$9:C6782,C6782))</f>
        <v/>
      </c>
    </row>
    <row r="6783" spans="2:2" x14ac:dyDescent="0.25">
      <c r="B6783" t="str">
        <f>IF(C6783="","",C6783&amp;COUNTIF(C$9:C6783,C6783))</f>
        <v/>
      </c>
    </row>
    <row r="6784" spans="2:2" x14ac:dyDescent="0.25">
      <c r="B6784" t="str">
        <f>IF(C6784="","",C6784&amp;COUNTIF(C$9:C6784,C6784))</f>
        <v/>
      </c>
    </row>
    <row r="6785" spans="2:2" x14ac:dyDescent="0.25">
      <c r="B6785" t="str">
        <f>IF(C6785="","",C6785&amp;COUNTIF(C$9:C6785,C6785))</f>
        <v/>
      </c>
    </row>
    <row r="6786" spans="2:2" x14ac:dyDescent="0.25">
      <c r="B6786" t="str">
        <f>IF(C6786="","",C6786&amp;COUNTIF(C$9:C6786,C6786))</f>
        <v/>
      </c>
    </row>
    <row r="6787" spans="2:2" x14ac:dyDescent="0.25">
      <c r="B6787" t="str">
        <f>IF(C6787="","",C6787&amp;COUNTIF(C$9:C6787,C6787))</f>
        <v/>
      </c>
    </row>
    <row r="6788" spans="2:2" x14ac:dyDescent="0.25">
      <c r="B6788" t="str">
        <f>IF(C6788="","",C6788&amp;COUNTIF(C$9:C6788,C6788))</f>
        <v/>
      </c>
    </row>
    <row r="6789" spans="2:2" x14ac:dyDescent="0.25">
      <c r="B6789" t="str">
        <f>IF(C6789="","",C6789&amp;COUNTIF(C$9:C6789,C6789))</f>
        <v/>
      </c>
    </row>
    <row r="6790" spans="2:2" x14ac:dyDescent="0.25">
      <c r="B6790" t="str">
        <f>IF(C6790="","",C6790&amp;COUNTIF(C$9:C6790,C6790))</f>
        <v/>
      </c>
    </row>
    <row r="6791" spans="2:2" x14ac:dyDescent="0.25">
      <c r="B6791" t="str">
        <f>IF(C6791="","",C6791&amp;COUNTIF(C$9:C6791,C6791))</f>
        <v/>
      </c>
    </row>
    <row r="6792" spans="2:2" x14ac:dyDescent="0.25">
      <c r="B6792" t="str">
        <f>IF(C6792="","",C6792&amp;COUNTIF(C$9:C6792,C6792))</f>
        <v/>
      </c>
    </row>
    <row r="6793" spans="2:2" x14ac:dyDescent="0.25">
      <c r="B6793" t="str">
        <f>IF(C6793="","",C6793&amp;COUNTIF(C$9:C6793,C6793))</f>
        <v/>
      </c>
    </row>
    <row r="6794" spans="2:2" x14ac:dyDescent="0.25">
      <c r="B6794" t="str">
        <f>IF(C6794="","",C6794&amp;COUNTIF(C$9:C6794,C6794))</f>
        <v/>
      </c>
    </row>
    <row r="6795" spans="2:2" x14ac:dyDescent="0.25">
      <c r="B6795" t="str">
        <f>IF(C6795="","",C6795&amp;COUNTIF(C$9:C6795,C6795))</f>
        <v/>
      </c>
    </row>
    <row r="6796" spans="2:2" x14ac:dyDescent="0.25">
      <c r="B6796" t="str">
        <f>IF(C6796="","",C6796&amp;COUNTIF(C$9:C6796,C6796))</f>
        <v/>
      </c>
    </row>
    <row r="6797" spans="2:2" x14ac:dyDescent="0.25">
      <c r="B6797" t="str">
        <f>IF(C6797="","",C6797&amp;COUNTIF(C$9:C6797,C6797))</f>
        <v/>
      </c>
    </row>
    <row r="6798" spans="2:2" x14ac:dyDescent="0.25">
      <c r="B6798" t="str">
        <f>IF(C6798="","",C6798&amp;COUNTIF(C$9:C6798,C6798))</f>
        <v/>
      </c>
    </row>
    <row r="6799" spans="2:2" x14ac:dyDescent="0.25">
      <c r="B6799" t="str">
        <f>IF(C6799="","",C6799&amp;COUNTIF(C$9:C6799,C6799))</f>
        <v/>
      </c>
    </row>
    <row r="6800" spans="2:2" x14ac:dyDescent="0.25">
      <c r="B6800" t="str">
        <f>IF(C6800="","",C6800&amp;COUNTIF(C$9:C6800,C6800))</f>
        <v/>
      </c>
    </row>
    <row r="6801" spans="2:2" x14ac:dyDescent="0.25">
      <c r="B6801" t="str">
        <f>IF(C6801="","",C6801&amp;COUNTIF(C$9:C6801,C6801))</f>
        <v/>
      </c>
    </row>
    <row r="6802" spans="2:2" x14ac:dyDescent="0.25">
      <c r="B6802" t="str">
        <f>IF(C6802="","",C6802&amp;COUNTIF(C$9:C6802,C6802))</f>
        <v/>
      </c>
    </row>
    <row r="6803" spans="2:2" x14ac:dyDescent="0.25">
      <c r="B6803" t="str">
        <f>IF(C6803="","",C6803&amp;COUNTIF(C$9:C6803,C6803))</f>
        <v/>
      </c>
    </row>
    <row r="6804" spans="2:2" x14ac:dyDescent="0.25">
      <c r="B6804" t="str">
        <f>IF(C6804="","",C6804&amp;COUNTIF(C$9:C6804,C6804))</f>
        <v/>
      </c>
    </row>
    <row r="6805" spans="2:2" x14ac:dyDescent="0.25">
      <c r="B6805" t="str">
        <f>IF(C6805="","",C6805&amp;COUNTIF(C$9:C6805,C6805))</f>
        <v/>
      </c>
    </row>
    <row r="6806" spans="2:2" x14ac:dyDescent="0.25">
      <c r="B6806" t="str">
        <f>IF(C6806="","",C6806&amp;COUNTIF(C$9:C6806,C6806))</f>
        <v/>
      </c>
    </row>
    <row r="6807" spans="2:2" x14ac:dyDescent="0.25">
      <c r="B6807" t="str">
        <f>IF(C6807="","",C6807&amp;COUNTIF(C$9:C6807,C6807))</f>
        <v/>
      </c>
    </row>
    <row r="6808" spans="2:2" x14ac:dyDescent="0.25">
      <c r="B6808" t="str">
        <f>IF(C6808="","",C6808&amp;COUNTIF(C$9:C6808,C6808))</f>
        <v/>
      </c>
    </row>
    <row r="6809" spans="2:2" x14ac:dyDescent="0.25">
      <c r="B6809" t="str">
        <f>IF(C6809="","",C6809&amp;COUNTIF(C$9:C6809,C6809))</f>
        <v/>
      </c>
    </row>
    <row r="6810" spans="2:2" x14ac:dyDescent="0.25">
      <c r="B6810" t="str">
        <f>IF(C6810="","",C6810&amp;COUNTIF(C$9:C6810,C6810))</f>
        <v/>
      </c>
    </row>
    <row r="6811" spans="2:2" x14ac:dyDescent="0.25">
      <c r="B6811" t="str">
        <f>IF(C6811="","",C6811&amp;COUNTIF(C$9:C6811,C6811))</f>
        <v/>
      </c>
    </row>
    <row r="6812" spans="2:2" x14ac:dyDescent="0.25">
      <c r="B6812" t="str">
        <f>IF(C6812="","",C6812&amp;COUNTIF(C$9:C6812,C6812))</f>
        <v/>
      </c>
    </row>
    <row r="6813" spans="2:2" x14ac:dyDescent="0.25">
      <c r="B6813" t="str">
        <f>IF(C6813="","",C6813&amp;COUNTIF(C$9:C6813,C6813))</f>
        <v/>
      </c>
    </row>
    <row r="6814" spans="2:2" x14ac:dyDescent="0.25">
      <c r="B6814" t="str">
        <f>IF(C6814="","",C6814&amp;COUNTIF(C$9:C6814,C6814))</f>
        <v/>
      </c>
    </row>
    <row r="6815" spans="2:2" x14ac:dyDescent="0.25">
      <c r="B6815" t="str">
        <f>IF(C6815="","",C6815&amp;COUNTIF(C$9:C6815,C6815))</f>
        <v/>
      </c>
    </row>
    <row r="6816" spans="2:2" x14ac:dyDescent="0.25">
      <c r="B6816" t="str">
        <f>IF(C6816="","",C6816&amp;COUNTIF(C$9:C6816,C6816))</f>
        <v/>
      </c>
    </row>
    <row r="6817" spans="2:2" x14ac:dyDescent="0.25">
      <c r="B6817" t="str">
        <f>IF(C6817="","",C6817&amp;COUNTIF(C$9:C6817,C6817))</f>
        <v/>
      </c>
    </row>
    <row r="6818" spans="2:2" x14ac:dyDescent="0.25">
      <c r="B6818" t="str">
        <f>IF(C6818="","",C6818&amp;COUNTIF(C$9:C6818,C6818))</f>
        <v/>
      </c>
    </row>
    <row r="6819" spans="2:2" x14ac:dyDescent="0.25">
      <c r="B6819" t="str">
        <f>IF(C6819="","",C6819&amp;COUNTIF(C$9:C6819,C6819))</f>
        <v/>
      </c>
    </row>
    <row r="6820" spans="2:2" x14ac:dyDescent="0.25">
      <c r="B6820" t="str">
        <f>IF(C6820="","",C6820&amp;COUNTIF(C$9:C6820,C6820))</f>
        <v/>
      </c>
    </row>
    <row r="6821" spans="2:2" x14ac:dyDescent="0.25">
      <c r="B6821" t="str">
        <f>IF(C6821="","",C6821&amp;COUNTIF(C$9:C6821,C6821))</f>
        <v/>
      </c>
    </row>
    <row r="6822" spans="2:2" x14ac:dyDescent="0.25">
      <c r="B6822" t="str">
        <f>IF(C6822="","",C6822&amp;COUNTIF(C$9:C6822,C6822))</f>
        <v/>
      </c>
    </row>
    <row r="6823" spans="2:2" x14ac:dyDescent="0.25">
      <c r="B6823" t="str">
        <f>IF(C6823="","",C6823&amp;COUNTIF(C$9:C6823,C6823))</f>
        <v/>
      </c>
    </row>
    <row r="6824" spans="2:2" x14ac:dyDescent="0.25">
      <c r="B6824" t="str">
        <f>IF(C6824="","",C6824&amp;COUNTIF(C$9:C6824,C6824))</f>
        <v/>
      </c>
    </row>
    <row r="6825" spans="2:2" x14ac:dyDescent="0.25">
      <c r="B6825" t="str">
        <f>IF(C6825="","",C6825&amp;COUNTIF(C$9:C6825,C6825))</f>
        <v/>
      </c>
    </row>
    <row r="6826" spans="2:2" x14ac:dyDescent="0.25">
      <c r="B6826" t="str">
        <f>IF(C6826="","",C6826&amp;COUNTIF(C$9:C6826,C6826))</f>
        <v/>
      </c>
    </row>
    <row r="6827" spans="2:2" x14ac:dyDescent="0.25">
      <c r="B6827" t="str">
        <f>IF(C6827="","",C6827&amp;COUNTIF(C$9:C6827,C6827))</f>
        <v/>
      </c>
    </row>
    <row r="6828" spans="2:2" x14ac:dyDescent="0.25">
      <c r="B6828" t="str">
        <f>IF(C6828="","",C6828&amp;COUNTIF(C$9:C6828,C6828))</f>
        <v/>
      </c>
    </row>
    <row r="6829" spans="2:2" x14ac:dyDescent="0.25">
      <c r="B6829" t="str">
        <f>IF(C6829="","",C6829&amp;COUNTIF(C$9:C6829,C6829))</f>
        <v/>
      </c>
    </row>
    <row r="6830" spans="2:2" x14ac:dyDescent="0.25">
      <c r="B6830" t="str">
        <f>IF(C6830="","",C6830&amp;COUNTIF(C$9:C6830,C6830))</f>
        <v/>
      </c>
    </row>
    <row r="6831" spans="2:2" x14ac:dyDescent="0.25">
      <c r="B6831" t="str">
        <f>IF(C6831="","",C6831&amp;COUNTIF(C$9:C6831,C6831))</f>
        <v/>
      </c>
    </row>
    <row r="6832" spans="2:2" x14ac:dyDescent="0.25">
      <c r="B6832" t="str">
        <f>IF(C6832="","",C6832&amp;COUNTIF(C$9:C6832,C6832))</f>
        <v/>
      </c>
    </row>
    <row r="6833" spans="2:2" x14ac:dyDescent="0.25">
      <c r="B6833" t="str">
        <f>IF(C6833="","",C6833&amp;COUNTIF(C$9:C6833,C6833))</f>
        <v/>
      </c>
    </row>
    <row r="6834" spans="2:2" x14ac:dyDescent="0.25">
      <c r="B6834" t="str">
        <f>IF(C6834="","",C6834&amp;COUNTIF(C$9:C6834,C6834))</f>
        <v/>
      </c>
    </row>
    <row r="6835" spans="2:2" x14ac:dyDescent="0.25">
      <c r="B6835" t="str">
        <f>IF(C6835="","",C6835&amp;COUNTIF(C$9:C6835,C6835))</f>
        <v/>
      </c>
    </row>
    <row r="6836" spans="2:2" x14ac:dyDescent="0.25">
      <c r="B6836" t="str">
        <f>IF(C6836="","",C6836&amp;COUNTIF(C$9:C6836,C6836))</f>
        <v/>
      </c>
    </row>
    <row r="6837" spans="2:2" x14ac:dyDescent="0.25">
      <c r="B6837" t="str">
        <f>IF(C6837="","",C6837&amp;COUNTIF(C$9:C6837,C6837))</f>
        <v/>
      </c>
    </row>
    <row r="6838" spans="2:2" x14ac:dyDescent="0.25">
      <c r="B6838" t="str">
        <f>IF(C6838="","",C6838&amp;COUNTIF(C$9:C6838,C6838))</f>
        <v/>
      </c>
    </row>
    <row r="6839" spans="2:2" x14ac:dyDescent="0.25">
      <c r="B6839" t="str">
        <f>IF(C6839="","",C6839&amp;COUNTIF(C$9:C6839,C6839))</f>
        <v/>
      </c>
    </row>
    <row r="6840" spans="2:2" x14ac:dyDescent="0.25">
      <c r="B6840" t="str">
        <f>IF(C6840="","",C6840&amp;COUNTIF(C$9:C6840,C6840))</f>
        <v/>
      </c>
    </row>
    <row r="6841" spans="2:2" x14ac:dyDescent="0.25">
      <c r="B6841" t="str">
        <f>IF(C6841="","",C6841&amp;COUNTIF(C$9:C6841,C6841))</f>
        <v/>
      </c>
    </row>
    <row r="6842" spans="2:2" x14ac:dyDescent="0.25">
      <c r="B6842" t="str">
        <f>IF(C6842="","",C6842&amp;COUNTIF(C$9:C6842,C6842))</f>
        <v/>
      </c>
    </row>
    <row r="6843" spans="2:2" x14ac:dyDescent="0.25">
      <c r="B6843" t="str">
        <f>IF(C6843="","",C6843&amp;COUNTIF(C$9:C6843,C6843))</f>
        <v/>
      </c>
    </row>
    <row r="6844" spans="2:2" x14ac:dyDescent="0.25">
      <c r="B6844" t="str">
        <f>IF(C6844="","",C6844&amp;COUNTIF(C$9:C6844,C6844))</f>
        <v/>
      </c>
    </row>
    <row r="6845" spans="2:2" x14ac:dyDescent="0.25">
      <c r="B6845" t="str">
        <f>IF(C6845="","",C6845&amp;COUNTIF(C$9:C6845,C6845))</f>
        <v/>
      </c>
    </row>
    <row r="6846" spans="2:2" x14ac:dyDescent="0.25">
      <c r="B6846" t="str">
        <f>IF(C6846="","",C6846&amp;COUNTIF(C$9:C6846,C6846))</f>
        <v/>
      </c>
    </row>
    <row r="6847" spans="2:2" x14ac:dyDescent="0.25">
      <c r="B6847" t="str">
        <f>IF(C6847="","",C6847&amp;COUNTIF(C$9:C6847,C6847))</f>
        <v/>
      </c>
    </row>
    <row r="6848" spans="2:2" x14ac:dyDescent="0.25">
      <c r="B6848" t="str">
        <f>IF(C6848="","",C6848&amp;COUNTIF(C$9:C6848,C6848))</f>
        <v/>
      </c>
    </row>
    <row r="6849" spans="2:2" x14ac:dyDescent="0.25">
      <c r="B6849" t="str">
        <f>IF(C6849="","",C6849&amp;COUNTIF(C$9:C6849,C6849))</f>
        <v/>
      </c>
    </row>
    <row r="6850" spans="2:2" x14ac:dyDescent="0.25">
      <c r="B6850" t="str">
        <f>IF(C6850="","",C6850&amp;COUNTIF(C$9:C6850,C6850))</f>
        <v/>
      </c>
    </row>
    <row r="6851" spans="2:2" x14ac:dyDescent="0.25">
      <c r="B6851" t="str">
        <f>IF(C6851="","",C6851&amp;COUNTIF(C$9:C6851,C6851))</f>
        <v/>
      </c>
    </row>
    <row r="6852" spans="2:2" x14ac:dyDescent="0.25">
      <c r="B6852" t="str">
        <f>IF(C6852="","",C6852&amp;COUNTIF(C$9:C6852,C6852))</f>
        <v/>
      </c>
    </row>
    <row r="6853" spans="2:2" x14ac:dyDescent="0.25">
      <c r="B6853" t="str">
        <f>IF(C6853="","",C6853&amp;COUNTIF(C$9:C6853,C6853))</f>
        <v/>
      </c>
    </row>
    <row r="6854" spans="2:2" x14ac:dyDescent="0.25">
      <c r="B6854" t="str">
        <f>IF(C6854="","",C6854&amp;COUNTIF(C$9:C6854,C6854))</f>
        <v/>
      </c>
    </row>
    <row r="6855" spans="2:2" x14ac:dyDescent="0.25">
      <c r="B6855" t="str">
        <f>IF(C6855="","",C6855&amp;COUNTIF(C$9:C6855,C6855))</f>
        <v/>
      </c>
    </row>
    <row r="6856" spans="2:2" x14ac:dyDescent="0.25">
      <c r="B6856" t="str">
        <f>IF(C6856="","",C6856&amp;COUNTIF(C$9:C6856,C6856))</f>
        <v/>
      </c>
    </row>
    <row r="6857" spans="2:2" x14ac:dyDescent="0.25">
      <c r="B6857" t="str">
        <f>IF(C6857="","",C6857&amp;COUNTIF(C$9:C6857,C6857))</f>
        <v/>
      </c>
    </row>
    <row r="6858" spans="2:2" x14ac:dyDescent="0.25">
      <c r="B6858" t="str">
        <f>IF(C6858="","",C6858&amp;COUNTIF(C$9:C6858,C6858))</f>
        <v/>
      </c>
    </row>
    <row r="6859" spans="2:2" x14ac:dyDescent="0.25">
      <c r="B6859" t="str">
        <f>IF(C6859="","",C6859&amp;COUNTIF(C$9:C6859,C6859))</f>
        <v/>
      </c>
    </row>
    <row r="6860" spans="2:2" x14ac:dyDescent="0.25">
      <c r="B6860" t="str">
        <f>IF(C6860="","",C6860&amp;COUNTIF(C$9:C6860,C6860))</f>
        <v/>
      </c>
    </row>
    <row r="6861" spans="2:2" x14ac:dyDescent="0.25">
      <c r="B6861" t="str">
        <f>IF(C6861="","",C6861&amp;COUNTIF(C$9:C6861,C6861))</f>
        <v/>
      </c>
    </row>
    <row r="6862" spans="2:2" x14ac:dyDescent="0.25">
      <c r="B6862" t="str">
        <f>IF(C6862="","",C6862&amp;COUNTIF(C$9:C6862,C6862))</f>
        <v/>
      </c>
    </row>
    <row r="6863" spans="2:2" x14ac:dyDescent="0.25">
      <c r="B6863" t="str">
        <f>IF(C6863="","",C6863&amp;COUNTIF(C$9:C6863,C6863))</f>
        <v/>
      </c>
    </row>
    <row r="6864" spans="2:2" x14ac:dyDescent="0.25">
      <c r="B6864" t="str">
        <f>IF(C6864="","",C6864&amp;COUNTIF(C$9:C6864,C6864))</f>
        <v/>
      </c>
    </row>
    <row r="6865" spans="2:2" x14ac:dyDescent="0.25">
      <c r="B6865" t="str">
        <f>IF(C6865="","",C6865&amp;COUNTIF(C$9:C6865,C6865))</f>
        <v/>
      </c>
    </row>
    <row r="6866" spans="2:2" x14ac:dyDescent="0.25">
      <c r="B6866" t="str">
        <f>IF(C6866="","",C6866&amp;COUNTIF(C$9:C6866,C6866))</f>
        <v/>
      </c>
    </row>
    <row r="6867" spans="2:2" x14ac:dyDescent="0.25">
      <c r="B6867" t="str">
        <f>IF(C6867="","",C6867&amp;COUNTIF(C$9:C6867,C6867))</f>
        <v/>
      </c>
    </row>
    <row r="6868" spans="2:2" x14ac:dyDescent="0.25">
      <c r="B6868" t="str">
        <f>IF(C6868="","",C6868&amp;COUNTIF(C$9:C6868,C6868))</f>
        <v/>
      </c>
    </row>
    <row r="6869" spans="2:2" x14ac:dyDescent="0.25">
      <c r="B6869" t="str">
        <f>IF(C6869="","",C6869&amp;COUNTIF(C$9:C6869,C6869))</f>
        <v/>
      </c>
    </row>
    <row r="6870" spans="2:2" x14ac:dyDescent="0.25">
      <c r="B6870" t="str">
        <f>IF(C6870="","",C6870&amp;COUNTIF(C$9:C6870,C6870))</f>
        <v/>
      </c>
    </row>
    <row r="6871" spans="2:2" x14ac:dyDescent="0.25">
      <c r="B6871" t="str">
        <f>IF(C6871="","",C6871&amp;COUNTIF(C$9:C6871,C6871))</f>
        <v/>
      </c>
    </row>
    <row r="6872" spans="2:2" x14ac:dyDescent="0.25">
      <c r="B6872" t="str">
        <f>IF(C6872="","",C6872&amp;COUNTIF(C$9:C6872,C6872))</f>
        <v/>
      </c>
    </row>
    <row r="6873" spans="2:2" x14ac:dyDescent="0.25">
      <c r="B6873" t="str">
        <f>IF(C6873="","",C6873&amp;COUNTIF(C$9:C6873,C6873))</f>
        <v/>
      </c>
    </row>
    <row r="6874" spans="2:2" x14ac:dyDescent="0.25">
      <c r="B6874" t="str">
        <f>IF(C6874="","",C6874&amp;COUNTIF(C$9:C6874,C6874))</f>
        <v/>
      </c>
    </row>
    <row r="6875" spans="2:2" x14ac:dyDescent="0.25">
      <c r="B6875" t="str">
        <f>IF(C6875="","",C6875&amp;COUNTIF(C$9:C6875,C6875))</f>
        <v/>
      </c>
    </row>
    <row r="6876" spans="2:2" x14ac:dyDescent="0.25">
      <c r="B6876" t="str">
        <f>IF(C6876="","",C6876&amp;COUNTIF(C$9:C6876,C6876))</f>
        <v/>
      </c>
    </row>
    <row r="6877" spans="2:2" x14ac:dyDescent="0.25">
      <c r="B6877" t="str">
        <f>IF(C6877="","",C6877&amp;COUNTIF(C$9:C6877,C6877))</f>
        <v/>
      </c>
    </row>
    <row r="6878" spans="2:2" x14ac:dyDescent="0.25">
      <c r="B6878" t="str">
        <f>IF(C6878="","",C6878&amp;COUNTIF(C$9:C6878,C6878))</f>
        <v/>
      </c>
    </row>
    <row r="6879" spans="2:2" x14ac:dyDescent="0.25">
      <c r="B6879" t="str">
        <f>IF(C6879="","",C6879&amp;COUNTIF(C$9:C6879,C6879))</f>
        <v/>
      </c>
    </row>
    <row r="6880" spans="2:2" x14ac:dyDescent="0.25">
      <c r="B6880" t="str">
        <f>IF(C6880="","",C6880&amp;COUNTIF(C$9:C6880,C6880))</f>
        <v/>
      </c>
    </row>
    <row r="6881" spans="2:2" x14ac:dyDescent="0.25">
      <c r="B6881" t="str">
        <f>IF(C6881="","",C6881&amp;COUNTIF(C$9:C6881,C6881))</f>
        <v/>
      </c>
    </row>
    <row r="6882" spans="2:2" x14ac:dyDescent="0.25">
      <c r="B6882" t="str">
        <f>IF(C6882="","",C6882&amp;COUNTIF(C$9:C6882,C6882))</f>
        <v/>
      </c>
    </row>
    <row r="6883" spans="2:2" x14ac:dyDescent="0.25">
      <c r="B6883" t="str">
        <f>IF(C6883="","",C6883&amp;COUNTIF(C$9:C6883,C6883))</f>
        <v/>
      </c>
    </row>
    <row r="6884" spans="2:2" x14ac:dyDescent="0.25">
      <c r="B6884" t="str">
        <f>IF(C6884="","",C6884&amp;COUNTIF(C$9:C6884,C6884))</f>
        <v/>
      </c>
    </row>
    <row r="6885" spans="2:2" x14ac:dyDescent="0.25">
      <c r="B6885" t="str">
        <f>IF(C6885="","",C6885&amp;COUNTIF(C$9:C6885,C6885))</f>
        <v/>
      </c>
    </row>
    <row r="6886" spans="2:2" x14ac:dyDescent="0.25">
      <c r="B6886" t="str">
        <f>IF(C6886="","",C6886&amp;COUNTIF(C$9:C6886,C6886))</f>
        <v/>
      </c>
    </row>
    <row r="6887" spans="2:2" x14ac:dyDescent="0.25">
      <c r="B6887" t="str">
        <f>IF(C6887="","",C6887&amp;COUNTIF(C$9:C6887,C6887))</f>
        <v/>
      </c>
    </row>
    <row r="6888" spans="2:2" x14ac:dyDescent="0.25">
      <c r="B6888" t="str">
        <f>IF(C6888="","",C6888&amp;COUNTIF(C$9:C6888,C6888))</f>
        <v/>
      </c>
    </row>
    <row r="6889" spans="2:2" x14ac:dyDescent="0.25">
      <c r="B6889" t="str">
        <f>IF(C6889="","",C6889&amp;COUNTIF(C$9:C6889,C6889))</f>
        <v/>
      </c>
    </row>
    <row r="6890" spans="2:2" x14ac:dyDescent="0.25">
      <c r="B6890" t="str">
        <f>IF(C6890="","",C6890&amp;COUNTIF(C$9:C6890,C6890))</f>
        <v/>
      </c>
    </row>
    <row r="6891" spans="2:2" x14ac:dyDescent="0.25">
      <c r="B6891" t="str">
        <f>IF(C6891="","",C6891&amp;COUNTIF(C$9:C6891,C6891))</f>
        <v/>
      </c>
    </row>
    <row r="6892" spans="2:2" x14ac:dyDescent="0.25">
      <c r="B6892" t="str">
        <f>IF(C6892="","",C6892&amp;COUNTIF(C$9:C6892,C6892))</f>
        <v/>
      </c>
    </row>
    <row r="6893" spans="2:2" x14ac:dyDescent="0.25">
      <c r="B6893" t="str">
        <f>IF(C6893="","",C6893&amp;COUNTIF(C$9:C6893,C6893))</f>
        <v/>
      </c>
    </row>
    <row r="6894" spans="2:2" x14ac:dyDescent="0.25">
      <c r="B6894" t="str">
        <f>IF(C6894="","",C6894&amp;COUNTIF(C$9:C6894,C6894))</f>
        <v/>
      </c>
    </row>
    <row r="6895" spans="2:2" x14ac:dyDescent="0.25">
      <c r="B6895" t="str">
        <f>IF(C6895="","",C6895&amp;COUNTIF(C$9:C6895,C6895))</f>
        <v/>
      </c>
    </row>
    <row r="6896" spans="2:2" x14ac:dyDescent="0.25">
      <c r="B6896" t="str">
        <f>IF(C6896="","",C6896&amp;COUNTIF(C$9:C6896,C6896))</f>
        <v/>
      </c>
    </row>
    <row r="6897" spans="2:2" x14ac:dyDescent="0.25">
      <c r="B6897" t="str">
        <f>IF(C6897="","",C6897&amp;COUNTIF(C$9:C6897,C6897))</f>
        <v/>
      </c>
    </row>
    <row r="6898" spans="2:2" x14ac:dyDescent="0.25">
      <c r="B6898" t="str">
        <f>IF(C6898="","",C6898&amp;COUNTIF(C$9:C6898,C6898))</f>
        <v/>
      </c>
    </row>
    <row r="6899" spans="2:2" x14ac:dyDescent="0.25">
      <c r="B6899" t="str">
        <f>IF(C6899="","",C6899&amp;COUNTIF(C$9:C6899,C6899))</f>
        <v/>
      </c>
    </row>
    <row r="6900" spans="2:2" x14ac:dyDescent="0.25">
      <c r="B6900" t="str">
        <f>IF(C6900="","",C6900&amp;COUNTIF(C$9:C6900,C6900))</f>
        <v/>
      </c>
    </row>
    <row r="6901" spans="2:2" x14ac:dyDescent="0.25">
      <c r="B6901" t="str">
        <f>IF(C6901="","",C6901&amp;COUNTIF(C$9:C6901,C6901))</f>
        <v/>
      </c>
    </row>
    <row r="6902" spans="2:2" x14ac:dyDescent="0.25">
      <c r="B6902" t="str">
        <f>IF(C6902="","",C6902&amp;COUNTIF(C$9:C6902,C6902))</f>
        <v/>
      </c>
    </row>
    <row r="6903" spans="2:2" x14ac:dyDescent="0.25">
      <c r="B6903" t="str">
        <f>IF(C6903="","",C6903&amp;COUNTIF(C$9:C6903,C6903))</f>
        <v/>
      </c>
    </row>
    <row r="6904" spans="2:2" x14ac:dyDescent="0.25">
      <c r="B6904" t="str">
        <f>IF(C6904="","",C6904&amp;COUNTIF(C$9:C6904,C6904))</f>
        <v/>
      </c>
    </row>
    <row r="6905" spans="2:2" x14ac:dyDescent="0.25">
      <c r="B6905" t="str">
        <f>IF(C6905="","",C6905&amp;COUNTIF(C$9:C6905,C6905))</f>
        <v/>
      </c>
    </row>
    <row r="6906" spans="2:2" x14ac:dyDescent="0.25">
      <c r="B6906" t="str">
        <f>IF(C6906="","",C6906&amp;COUNTIF(C$9:C6906,C6906))</f>
        <v/>
      </c>
    </row>
    <row r="6907" spans="2:2" x14ac:dyDescent="0.25">
      <c r="B6907" t="str">
        <f>IF(C6907="","",C6907&amp;COUNTIF(C$9:C6907,C6907))</f>
        <v/>
      </c>
    </row>
    <row r="6908" spans="2:2" x14ac:dyDescent="0.25">
      <c r="B6908" t="str">
        <f>IF(C6908="","",C6908&amp;COUNTIF(C$9:C6908,C6908))</f>
        <v/>
      </c>
    </row>
    <row r="6909" spans="2:2" x14ac:dyDescent="0.25">
      <c r="B6909" t="str">
        <f>IF(C6909="","",C6909&amp;COUNTIF(C$9:C6909,C6909))</f>
        <v/>
      </c>
    </row>
    <row r="6910" spans="2:2" x14ac:dyDescent="0.25">
      <c r="B6910" t="str">
        <f>IF(C6910="","",C6910&amp;COUNTIF(C$9:C6910,C6910))</f>
        <v/>
      </c>
    </row>
    <row r="6911" spans="2:2" x14ac:dyDescent="0.25">
      <c r="B6911" t="str">
        <f>IF(C6911="","",C6911&amp;COUNTIF(C$9:C6911,C6911))</f>
        <v/>
      </c>
    </row>
    <row r="6912" spans="2:2" x14ac:dyDescent="0.25">
      <c r="B6912" t="str">
        <f>IF(C6912="","",C6912&amp;COUNTIF(C$9:C6912,C6912))</f>
        <v/>
      </c>
    </row>
    <row r="6913" spans="2:2" x14ac:dyDescent="0.25">
      <c r="B6913" t="str">
        <f>IF(C6913="","",C6913&amp;COUNTIF(C$9:C6913,C6913))</f>
        <v/>
      </c>
    </row>
    <row r="6914" spans="2:2" x14ac:dyDescent="0.25">
      <c r="B6914" t="str">
        <f>IF(C6914="","",C6914&amp;COUNTIF(C$9:C6914,C6914))</f>
        <v/>
      </c>
    </row>
    <row r="6915" spans="2:2" x14ac:dyDescent="0.25">
      <c r="B6915" t="str">
        <f>IF(C6915="","",C6915&amp;COUNTIF(C$9:C6915,C6915))</f>
        <v/>
      </c>
    </row>
    <row r="6916" spans="2:2" x14ac:dyDescent="0.25">
      <c r="B6916" t="str">
        <f>IF(C6916="","",C6916&amp;COUNTIF(C$9:C6916,C6916))</f>
        <v/>
      </c>
    </row>
    <row r="6917" spans="2:2" x14ac:dyDescent="0.25">
      <c r="B6917" t="str">
        <f>IF(C6917="","",C6917&amp;COUNTIF(C$9:C6917,C6917))</f>
        <v/>
      </c>
    </row>
    <row r="6918" spans="2:2" x14ac:dyDescent="0.25">
      <c r="B6918" t="str">
        <f>IF(C6918="","",C6918&amp;COUNTIF(C$9:C6918,C6918))</f>
        <v/>
      </c>
    </row>
    <row r="6919" spans="2:2" x14ac:dyDescent="0.25">
      <c r="B6919" t="str">
        <f>IF(C6919="","",C6919&amp;COUNTIF(C$9:C6919,C6919))</f>
        <v/>
      </c>
    </row>
    <row r="6920" spans="2:2" x14ac:dyDescent="0.25">
      <c r="B6920" t="str">
        <f>IF(C6920="","",C6920&amp;COUNTIF(C$9:C6920,C6920))</f>
        <v/>
      </c>
    </row>
    <row r="6921" spans="2:2" x14ac:dyDescent="0.25">
      <c r="B6921" t="str">
        <f>IF(C6921="","",C6921&amp;COUNTIF(C$9:C6921,C6921))</f>
        <v/>
      </c>
    </row>
    <row r="6922" spans="2:2" x14ac:dyDescent="0.25">
      <c r="B6922" t="str">
        <f>IF(C6922="","",C6922&amp;COUNTIF(C$9:C6922,C6922))</f>
        <v/>
      </c>
    </row>
    <row r="6923" spans="2:2" x14ac:dyDescent="0.25">
      <c r="B6923" t="str">
        <f>IF(C6923="","",C6923&amp;COUNTIF(C$9:C6923,C6923))</f>
        <v/>
      </c>
    </row>
    <row r="6924" spans="2:2" x14ac:dyDescent="0.25">
      <c r="B6924" t="str">
        <f>IF(C6924="","",C6924&amp;COUNTIF(C$9:C6924,C6924))</f>
        <v/>
      </c>
    </row>
    <row r="6925" spans="2:2" x14ac:dyDescent="0.25">
      <c r="B6925" t="str">
        <f>IF(C6925="","",C6925&amp;COUNTIF(C$9:C6925,C6925))</f>
        <v/>
      </c>
    </row>
    <row r="6926" spans="2:2" x14ac:dyDescent="0.25">
      <c r="B6926" t="str">
        <f>IF(C6926="","",C6926&amp;COUNTIF(C$9:C6926,C6926))</f>
        <v/>
      </c>
    </row>
    <row r="6927" spans="2:2" x14ac:dyDescent="0.25">
      <c r="B6927" t="str">
        <f>IF(C6927="","",C6927&amp;COUNTIF(C$9:C6927,C6927))</f>
        <v/>
      </c>
    </row>
    <row r="6928" spans="2:2" x14ac:dyDescent="0.25">
      <c r="B6928" t="str">
        <f>IF(C6928="","",C6928&amp;COUNTIF(C$9:C6928,C6928))</f>
        <v/>
      </c>
    </row>
    <row r="6929" spans="2:2" x14ac:dyDescent="0.25">
      <c r="B6929" t="str">
        <f>IF(C6929="","",C6929&amp;COUNTIF(C$9:C6929,C6929))</f>
        <v/>
      </c>
    </row>
    <row r="6930" spans="2:2" x14ac:dyDescent="0.25">
      <c r="B6930" t="str">
        <f>IF(C6930="","",C6930&amp;COUNTIF(C$9:C6930,C6930))</f>
        <v/>
      </c>
    </row>
    <row r="6931" spans="2:2" x14ac:dyDescent="0.25">
      <c r="B6931" t="str">
        <f>IF(C6931="","",C6931&amp;COUNTIF(C$9:C6931,C6931))</f>
        <v/>
      </c>
    </row>
    <row r="6932" spans="2:2" x14ac:dyDescent="0.25">
      <c r="B6932" t="str">
        <f>IF(C6932="","",C6932&amp;COUNTIF(C$9:C6932,C6932))</f>
        <v/>
      </c>
    </row>
    <row r="6933" spans="2:2" x14ac:dyDescent="0.25">
      <c r="B6933" t="str">
        <f>IF(C6933="","",C6933&amp;COUNTIF(C$9:C6933,C6933))</f>
        <v/>
      </c>
    </row>
    <row r="6934" spans="2:2" x14ac:dyDescent="0.25">
      <c r="B6934" t="str">
        <f>IF(C6934="","",C6934&amp;COUNTIF(C$9:C6934,C6934))</f>
        <v/>
      </c>
    </row>
    <row r="6935" spans="2:2" x14ac:dyDescent="0.25">
      <c r="B6935" t="str">
        <f>IF(C6935="","",C6935&amp;COUNTIF(C$9:C6935,C6935))</f>
        <v/>
      </c>
    </row>
    <row r="6936" spans="2:2" x14ac:dyDescent="0.25">
      <c r="B6936" t="str">
        <f>IF(C6936="","",C6936&amp;COUNTIF(C$9:C6936,C6936))</f>
        <v/>
      </c>
    </row>
    <row r="6937" spans="2:2" x14ac:dyDescent="0.25">
      <c r="B6937" t="str">
        <f>IF(C6937="","",C6937&amp;COUNTIF(C$9:C6937,C6937))</f>
        <v/>
      </c>
    </row>
    <row r="6938" spans="2:2" x14ac:dyDescent="0.25">
      <c r="B6938" t="str">
        <f>IF(C6938="","",C6938&amp;COUNTIF(C$9:C6938,C6938))</f>
        <v/>
      </c>
    </row>
    <row r="6939" spans="2:2" x14ac:dyDescent="0.25">
      <c r="B6939" t="str">
        <f>IF(C6939="","",C6939&amp;COUNTIF(C$9:C6939,C6939))</f>
        <v/>
      </c>
    </row>
    <row r="6940" spans="2:2" x14ac:dyDescent="0.25">
      <c r="B6940" t="str">
        <f>IF(C6940="","",C6940&amp;COUNTIF(C$9:C6940,C6940))</f>
        <v/>
      </c>
    </row>
    <row r="6941" spans="2:2" x14ac:dyDescent="0.25">
      <c r="B6941" t="str">
        <f>IF(C6941="","",C6941&amp;COUNTIF(C$9:C6941,C6941))</f>
        <v/>
      </c>
    </row>
    <row r="6942" spans="2:2" x14ac:dyDescent="0.25">
      <c r="B6942" t="str">
        <f>IF(C6942="","",C6942&amp;COUNTIF(C$9:C6942,C6942))</f>
        <v/>
      </c>
    </row>
    <row r="6943" spans="2:2" x14ac:dyDescent="0.25">
      <c r="B6943" t="str">
        <f>IF(C6943="","",C6943&amp;COUNTIF(C$9:C6943,C6943))</f>
        <v/>
      </c>
    </row>
    <row r="6944" spans="2:2" x14ac:dyDescent="0.25">
      <c r="B6944" t="str">
        <f>IF(C6944="","",C6944&amp;COUNTIF(C$9:C6944,C6944))</f>
        <v/>
      </c>
    </row>
    <row r="6945" spans="2:2" x14ac:dyDescent="0.25">
      <c r="B6945" t="str">
        <f>IF(C6945="","",C6945&amp;COUNTIF(C$9:C6945,C6945))</f>
        <v/>
      </c>
    </row>
    <row r="6946" spans="2:2" x14ac:dyDescent="0.25">
      <c r="B6946" t="str">
        <f>IF(C6946="","",C6946&amp;COUNTIF(C$9:C6946,C6946))</f>
        <v/>
      </c>
    </row>
    <row r="6947" spans="2:2" x14ac:dyDescent="0.25">
      <c r="B6947" t="str">
        <f>IF(C6947="","",C6947&amp;COUNTIF(C$9:C6947,C6947))</f>
        <v/>
      </c>
    </row>
    <row r="6948" spans="2:2" x14ac:dyDescent="0.25">
      <c r="B6948" t="str">
        <f>IF(C6948="","",C6948&amp;COUNTIF(C$9:C6948,C6948))</f>
        <v/>
      </c>
    </row>
    <row r="6949" spans="2:2" x14ac:dyDescent="0.25">
      <c r="B6949" t="str">
        <f>IF(C6949="","",C6949&amp;COUNTIF(C$9:C6949,C6949))</f>
        <v/>
      </c>
    </row>
    <row r="6950" spans="2:2" x14ac:dyDescent="0.25">
      <c r="B6950" t="str">
        <f>IF(C6950="","",C6950&amp;COUNTIF(C$9:C6950,C6950))</f>
        <v/>
      </c>
    </row>
    <row r="6951" spans="2:2" x14ac:dyDescent="0.25">
      <c r="B6951" t="str">
        <f>IF(C6951="","",C6951&amp;COUNTIF(C$9:C6951,C6951))</f>
        <v/>
      </c>
    </row>
    <row r="6952" spans="2:2" x14ac:dyDescent="0.25">
      <c r="B6952" t="str">
        <f>IF(C6952="","",C6952&amp;COUNTIF(C$9:C6952,C6952))</f>
        <v/>
      </c>
    </row>
    <row r="6953" spans="2:2" x14ac:dyDescent="0.25">
      <c r="B6953" t="str">
        <f>IF(C6953="","",C6953&amp;COUNTIF(C$9:C6953,C6953))</f>
        <v/>
      </c>
    </row>
    <row r="6954" spans="2:2" x14ac:dyDescent="0.25">
      <c r="B6954" t="str">
        <f>IF(C6954="","",C6954&amp;COUNTIF(C$9:C6954,C6954))</f>
        <v/>
      </c>
    </row>
    <row r="6955" spans="2:2" x14ac:dyDescent="0.25">
      <c r="B6955" t="str">
        <f>IF(C6955="","",C6955&amp;COUNTIF(C$9:C6955,C6955))</f>
        <v/>
      </c>
    </row>
    <row r="6956" spans="2:2" x14ac:dyDescent="0.25">
      <c r="B6956" t="str">
        <f>IF(C6956="","",C6956&amp;COUNTIF(C$9:C6956,C6956))</f>
        <v/>
      </c>
    </row>
    <row r="6957" spans="2:2" x14ac:dyDescent="0.25">
      <c r="B6957" t="str">
        <f>IF(C6957="","",C6957&amp;COUNTIF(C$9:C6957,C6957))</f>
        <v/>
      </c>
    </row>
    <row r="6958" spans="2:2" x14ac:dyDescent="0.25">
      <c r="B6958" t="str">
        <f>IF(C6958="","",C6958&amp;COUNTIF(C$9:C6958,C6958))</f>
        <v/>
      </c>
    </row>
    <row r="6959" spans="2:2" x14ac:dyDescent="0.25">
      <c r="B6959" t="str">
        <f>IF(C6959="","",C6959&amp;COUNTIF(C$9:C6959,C6959))</f>
        <v/>
      </c>
    </row>
    <row r="6960" spans="2:2" x14ac:dyDescent="0.25">
      <c r="B6960" t="str">
        <f>IF(C6960="","",C6960&amp;COUNTIF(C$9:C6960,C6960))</f>
        <v/>
      </c>
    </row>
    <row r="6961" spans="2:2" x14ac:dyDescent="0.25">
      <c r="B6961" t="str">
        <f>IF(C6961="","",C6961&amp;COUNTIF(C$9:C6961,C6961))</f>
        <v/>
      </c>
    </row>
    <row r="6962" spans="2:2" x14ac:dyDescent="0.25">
      <c r="B6962" t="str">
        <f>IF(C6962="","",C6962&amp;COUNTIF(C$9:C6962,C6962))</f>
        <v/>
      </c>
    </row>
    <row r="6963" spans="2:2" x14ac:dyDescent="0.25">
      <c r="B6963" t="str">
        <f>IF(C6963="","",C6963&amp;COUNTIF(C$9:C6963,C6963))</f>
        <v/>
      </c>
    </row>
    <row r="6964" spans="2:2" x14ac:dyDescent="0.25">
      <c r="B6964" t="str">
        <f>IF(C6964="","",C6964&amp;COUNTIF(C$9:C6964,C6964))</f>
        <v/>
      </c>
    </row>
    <row r="6965" spans="2:2" x14ac:dyDescent="0.25">
      <c r="B6965" t="str">
        <f>IF(C6965="","",C6965&amp;COUNTIF(C$9:C6965,C6965))</f>
        <v/>
      </c>
    </row>
    <row r="6966" spans="2:2" x14ac:dyDescent="0.25">
      <c r="B6966" t="str">
        <f>IF(C6966="","",C6966&amp;COUNTIF(C$9:C6966,C6966))</f>
        <v/>
      </c>
    </row>
    <row r="6967" spans="2:2" x14ac:dyDescent="0.25">
      <c r="B6967" t="str">
        <f>IF(C6967="","",C6967&amp;COUNTIF(C$9:C6967,C6967))</f>
        <v/>
      </c>
    </row>
    <row r="6968" spans="2:2" x14ac:dyDescent="0.25">
      <c r="B6968" t="str">
        <f>IF(C6968="","",C6968&amp;COUNTIF(C$9:C6968,C6968))</f>
        <v/>
      </c>
    </row>
    <row r="6969" spans="2:2" x14ac:dyDescent="0.25">
      <c r="B6969" t="str">
        <f>IF(C6969="","",C6969&amp;COUNTIF(C$9:C6969,C6969))</f>
        <v/>
      </c>
    </row>
    <row r="6970" spans="2:2" x14ac:dyDescent="0.25">
      <c r="B6970" t="str">
        <f>IF(C6970="","",C6970&amp;COUNTIF(C$9:C6970,C6970))</f>
        <v/>
      </c>
    </row>
    <row r="6971" spans="2:2" x14ac:dyDescent="0.25">
      <c r="B6971" t="str">
        <f>IF(C6971="","",C6971&amp;COUNTIF(C$9:C6971,C6971))</f>
        <v/>
      </c>
    </row>
    <row r="6972" spans="2:2" x14ac:dyDescent="0.25">
      <c r="B6972" t="str">
        <f>IF(C6972="","",C6972&amp;COUNTIF(C$9:C6972,C6972))</f>
        <v/>
      </c>
    </row>
    <row r="6973" spans="2:2" x14ac:dyDescent="0.25">
      <c r="B6973" t="str">
        <f>IF(C6973="","",C6973&amp;COUNTIF(C$9:C6973,C6973))</f>
        <v/>
      </c>
    </row>
    <row r="6974" spans="2:2" x14ac:dyDescent="0.25">
      <c r="B6974" t="str">
        <f>IF(C6974="","",C6974&amp;COUNTIF(C$9:C6974,C6974))</f>
        <v/>
      </c>
    </row>
    <row r="6975" spans="2:2" x14ac:dyDescent="0.25">
      <c r="B6975" t="str">
        <f>IF(C6975="","",C6975&amp;COUNTIF(C$9:C6975,C6975))</f>
        <v/>
      </c>
    </row>
    <row r="6976" spans="2:2" x14ac:dyDescent="0.25">
      <c r="B6976" t="str">
        <f>IF(C6976="","",C6976&amp;COUNTIF(C$9:C6976,C6976))</f>
        <v/>
      </c>
    </row>
    <row r="6977" spans="2:2" x14ac:dyDescent="0.25">
      <c r="B6977" t="str">
        <f>IF(C6977="","",C6977&amp;COUNTIF(C$9:C6977,C6977))</f>
        <v/>
      </c>
    </row>
    <row r="6978" spans="2:2" x14ac:dyDescent="0.25">
      <c r="B6978" t="str">
        <f>IF(C6978="","",C6978&amp;COUNTIF(C$9:C6978,C6978))</f>
        <v/>
      </c>
    </row>
    <row r="6979" spans="2:2" x14ac:dyDescent="0.25">
      <c r="B6979" t="str">
        <f>IF(C6979="","",C6979&amp;COUNTIF(C$9:C6979,C6979))</f>
        <v/>
      </c>
    </row>
    <row r="6980" spans="2:2" x14ac:dyDescent="0.25">
      <c r="B6980" t="str">
        <f>IF(C6980="","",C6980&amp;COUNTIF(C$9:C6980,C6980))</f>
        <v/>
      </c>
    </row>
    <row r="6981" spans="2:2" x14ac:dyDescent="0.25">
      <c r="B6981" t="str">
        <f>IF(C6981="","",C6981&amp;COUNTIF(C$9:C6981,C6981))</f>
        <v/>
      </c>
    </row>
    <row r="6982" spans="2:2" x14ac:dyDescent="0.25">
      <c r="B6982" t="str">
        <f>IF(C6982="","",C6982&amp;COUNTIF(C$9:C6982,C6982))</f>
        <v/>
      </c>
    </row>
    <row r="6983" spans="2:2" x14ac:dyDescent="0.25">
      <c r="B6983" t="str">
        <f>IF(C6983="","",C6983&amp;COUNTIF(C$9:C6983,C6983))</f>
        <v/>
      </c>
    </row>
    <row r="6984" spans="2:2" x14ac:dyDescent="0.25">
      <c r="B6984" t="str">
        <f>IF(C6984="","",C6984&amp;COUNTIF(C$9:C6984,C6984))</f>
        <v/>
      </c>
    </row>
    <row r="6985" spans="2:2" x14ac:dyDescent="0.25">
      <c r="B6985" t="str">
        <f>IF(C6985="","",C6985&amp;COUNTIF(C$9:C6985,C6985))</f>
        <v/>
      </c>
    </row>
    <row r="6986" spans="2:2" x14ac:dyDescent="0.25">
      <c r="B6986" t="str">
        <f>IF(C6986="","",C6986&amp;COUNTIF(C$9:C6986,C6986))</f>
        <v/>
      </c>
    </row>
    <row r="6987" spans="2:2" x14ac:dyDescent="0.25">
      <c r="B6987" t="str">
        <f>IF(C6987="","",C6987&amp;COUNTIF(C$9:C6987,C6987))</f>
        <v/>
      </c>
    </row>
    <row r="6988" spans="2:2" x14ac:dyDescent="0.25">
      <c r="B6988" t="str">
        <f>IF(C6988="","",C6988&amp;COUNTIF(C$9:C6988,C6988))</f>
        <v/>
      </c>
    </row>
    <row r="6989" spans="2:2" x14ac:dyDescent="0.25">
      <c r="B6989" t="str">
        <f>IF(C6989="","",C6989&amp;COUNTIF(C$9:C6989,C6989))</f>
        <v/>
      </c>
    </row>
    <row r="6990" spans="2:2" x14ac:dyDescent="0.25">
      <c r="B6990" t="str">
        <f>IF(C6990="","",C6990&amp;COUNTIF(C$9:C6990,C6990))</f>
        <v/>
      </c>
    </row>
    <row r="6991" spans="2:2" x14ac:dyDescent="0.25">
      <c r="B6991" t="str">
        <f>IF(C6991="","",C6991&amp;COUNTIF(C$9:C6991,C6991))</f>
        <v/>
      </c>
    </row>
    <row r="6992" spans="2:2" x14ac:dyDescent="0.25">
      <c r="B6992" t="str">
        <f>IF(C6992="","",C6992&amp;COUNTIF(C$9:C6992,C6992))</f>
        <v/>
      </c>
    </row>
    <row r="6993" spans="2:2" x14ac:dyDescent="0.25">
      <c r="B6993" t="str">
        <f>IF(C6993="","",C6993&amp;COUNTIF(C$9:C6993,C6993))</f>
        <v/>
      </c>
    </row>
    <row r="6994" spans="2:2" x14ac:dyDescent="0.25">
      <c r="B6994" t="str">
        <f>IF(C6994="","",C6994&amp;COUNTIF(C$9:C6994,C6994))</f>
        <v/>
      </c>
    </row>
    <row r="6995" spans="2:2" x14ac:dyDescent="0.25">
      <c r="B6995" t="str">
        <f>IF(C6995="","",C6995&amp;COUNTIF(C$9:C6995,C6995))</f>
        <v/>
      </c>
    </row>
    <row r="6996" spans="2:2" x14ac:dyDescent="0.25">
      <c r="B6996" t="str">
        <f>IF(C6996="","",C6996&amp;COUNTIF(C$9:C6996,C6996))</f>
        <v/>
      </c>
    </row>
    <row r="6997" spans="2:2" x14ac:dyDescent="0.25">
      <c r="B6997" t="str">
        <f>IF(C6997="","",C6997&amp;COUNTIF(C$9:C6997,C6997))</f>
        <v/>
      </c>
    </row>
    <row r="6998" spans="2:2" x14ac:dyDescent="0.25">
      <c r="B6998" t="str">
        <f>IF(C6998="","",C6998&amp;COUNTIF(C$9:C6998,C6998))</f>
        <v/>
      </c>
    </row>
    <row r="6999" spans="2:2" x14ac:dyDescent="0.25">
      <c r="B6999" t="str">
        <f>IF(C6999="","",C6999&amp;COUNTIF(C$9:C6999,C6999))</f>
        <v/>
      </c>
    </row>
    <row r="7000" spans="2:2" x14ac:dyDescent="0.25">
      <c r="B7000" t="str">
        <f>IF(C7000="","",C7000&amp;COUNTIF(C$9:C7000,C7000))</f>
        <v/>
      </c>
    </row>
    <row r="7001" spans="2:2" x14ac:dyDescent="0.25">
      <c r="B7001" t="str">
        <f>IF(C7001="","",C7001&amp;COUNTIF(C$9:C7001,C7001))</f>
        <v/>
      </c>
    </row>
    <row r="7002" spans="2:2" x14ac:dyDescent="0.25">
      <c r="B7002" t="str">
        <f>IF(C7002="","",C7002&amp;COUNTIF(C$9:C7002,C7002))</f>
        <v/>
      </c>
    </row>
    <row r="7003" spans="2:2" x14ac:dyDescent="0.25">
      <c r="B7003" t="str">
        <f>IF(C7003="","",C7003&amp;COUNTIF(C$9:C7003,C7003))</f>
        <v/>
      </c>
    </row>
    <row r="7004" spans="2:2" x14ac:dyDescent="0.25">
      <c r="B7004" t="str">
        <f>IF(C7004="","",C7004&amp;COUNTIF(C$9:C7004,C7004))</f>
        <v/>
      </c>
    </row>
    <row r="7005" spans="2:2" x14ac:dyDescent="0.25">
      <c r="B7005" t="str">
        <f>IF(C7005="","",C7005&amp;COUNTIF(C$9:C7005,C7005))</f>
        <v/>
      </c>
    </row>
    <row r="7006" spans="2:2" x14ac:dyDescent="0.25">
      <c r="B7006" t="str">
        <f>IF(C7006="","",C7006&amp;COUNTIF(C$9:C7006,C7006))</f>
        <v/>
      </c>
    </row>
    <row r="7007" spans="2:2" x14ac:dyDescent="0.25">
      <c r="B7007" t="str">
        <f>IF(C7007="","",C7007&amp;COUNTIF(C$9:C7007,C7007))</f>
        <v/>
      </c>
    </row>
    <row r="7008" spans="2:2" x14ac:dyDescent="0.25">
      <c r="B7008" t="str">
        <f>IF(C7008="","",C7008&amp;COUNTIF(C$9:C7008,C7008))</f>
        <v/>
      </c>
    </row>
    <row r="7009" spans="2:2" x14ac:dyDescent="0.25">
      <c r="B7009" t="str">
        <f>IF(C7009="","",C7009&amp;COUNTIF(C$9:C7009,C7009))</f>
        <v/>
      </c>
    </row>
    <row r="7010" spans="2:2" x14ac:dyDescent="0.25">
      <c r="B7010" t="str">
        <f>IF(C7010="","",C7010&amp;COUNTIF(C$9:C7010,C7010))</f>
        <v/>
      </c>
    </row>
    <row r="7011" spans="2:2" x14ac:dyDescent="0.25">
      <c r="B7011" t="str">
        <f>IF(C7011="","",C7011&amp;COUNTIF(C$9:C7011,C7011))</f>
        <v/>
      </c>
    </row>
    <row r="7012" spans="2:2" x14ac:dyDescent="0.25">
      <c r="B7012" t="str">
        <f>IF(C7012="","",C7012&amp;COUNTIF(C$9:C7012,C7012))</f>
        <v/>
      </c>
    </row>
    <row r="7013" spans="2:2" x14ac:dyDescent="0.25">
      <c r="B7013" t="str">
        <f>IF(C7013="","",C7013&amp;COUNTIF(C$9:C7013,C7013))</f>
        <v/>
      </c>
    </row>
    <row r="7014" spans="2:2" x14ac:dyDescent="0.25">
      <c r="B7014" t="str">
        <f>IF(C7014="","",C7014&amp;COUNTIF(C$9:C7014,C7014))</f>
        <v/>
      </c>
    </row>
    <row r="7015" spans="2:2" x14ac:dyDescent="0.25">
      <c r="B7015" t="str">
        <f>IF(C7015="","",C7015&amp;COUNTIF(C$9:C7015,C7015))</f>
        <v/>
      </c>
    </row>
    <row r="7016" spans="2:2" x14ac:dyDescent="0.25">
      <c r="B7016" t="str">
        <f>IF(C7016="","",C7016&amp;COUNTIF(C$9:C7016,C7016))</f>
        <v/>
      </c>
    </row>
    <row r="7017" spans="2:2" x14ac:dyDescent="0.25">
      <c r="B7017" t="str">
        <f>IF(C7017="","",C7017&amp;COUNTIF(C$9:C7017,C7017))</f>
        <v/>
      </c>
    </row>
    <row r="7018" spans="2:2" x14ac:dyDescent="0.25">
      <c r="B7018" t="str">
        <f>IF(C7018="","",C7018&amp;COUNTIF(C$9:C7018,C7018))</f>
        <v/>
      </c>
    </row>
    <row r="7019" spans="2:2" x14ac:dyDescent="0.25">
      <c r="B7019" t="str">
        <f>IF(C7019="","",C7019&amp;COUNTIF(C$9:C7019,C7019))</f>
        <v/>
      </c>
    </row>
    <row r="7020" spans="2:2" x14ac:dyDescent="0.25">
      <c r="B7020" t="str">
        <f>IF(C7020="","",C7020&amp;COUNTIF(C$9:C7020,C7020))</f>
        <v/>
      </c>
    </row>
    <row r="7021" spans="2:2" x14ac:dyDescent="0.25">
      <c r="B7021" t="str">
        <f>IF(C7021="","",C7021&amp;COUNTIF(C$9:C7021,C7021))</f>
        <v/>
      </c>
    </row>
    <row r="7022" spans="2:2" x14ac:dyDescent="0.25">
      <c r="B7022" t="str">
        <f>IF(C7022="","",C7022&amp;COUNTIF(C$9:C7022,C7022))</f>
        <v/>
      </c>
    </row>
    <row r="7023" spans="2:2" x14ac:dyDescent="0.25">
      <c r="B7023" t="str">
        <f>IF(C7023="","",C7023&amp;COUNTIF(C$9:C7023,C7023))</f>
        <v/>
      </c>
    </row>
    <row r="7024" spans="2:2" x14ac:dyDescent="0.25">
      <c r="B7024" t="str">
        <f>IF(C7024="","",C7024&amp;COUNTIF(C$9:C7024,C7024))</f>
        <v/>
      </c>
    </row>
    <row r="7025" spans="2:2" x14ac:dyDescent="0.25">
      <c r="B7025" t="str">
        <f>IF(C7025="","",C7025&amp;COUNTIF(C$9:C7025,C7025))</f>
        <v/>
      </c>
    </row>
    <row r="7026" spans="2:2" x14ac:dyDescent="0.25">
      <c r="B7026" t="str">
        <f>IF(C7026="","",C7026&amp;COUNTIF(C$9:C7026,C7026))</f>
        <v/>
      </c>
    </row>
    <row r="7027" spans="2:2" x14ac:dyDescent="0.25">
      <c r="B7027" t="str">
        <f>IF(C7027="","",C7027&amp;COUNTIF(C$9:C7027,C7027))</f>
        <v/>
      </c>
    </row>
    <row r="7028" spans="2:2" x14ac:dyDescent="0.25">
      <c r="B7028" t="str">
        <f>IF(C7028="","",C7028&amp;COUNTIF(C$9:C7028,C7028))</f>
        <v/>
      </c>
    </row>
    <row r="7029" spans="2:2" x14ac:dyDescent="0.25">
      <c r="B7029" t="str">
        <f>IF(C7029="","",C7029&amp;COUNTIF(C$9:C7029,C7029))</f>
        <v/>
      </c>
    </row>
    <row r="7030" spans="2:2" x14ac:dyDescent="0.25">
      <c r="B7030" t="str">
        <f>IF(C7030="","",C7030&amp;COUNTIF(C$9:C7030,C7030))</f>
        <v/>
      </c>
    </row>
    <row r="7031" spans="2:2" x14ac:dyDescent="0.25">
      <c r="B7031" t="str">
        <f>IF(C7031="","",C7031&amp;COUNTIF(C$9:C7031,C7031))</f>
        <v/>
      </c>
    </row>
    <row r="7032" spans="2:2" x14ac:dyDescent="0.25">
      <c r="B7032" t="str">
        <f>IF(C7032="","",C7032&amp;COUNTIF(C$9:C7032,C7032))</f>
        <v/>
      </c>
    </row>
    <row r="7033" spans="2:2" x14ac:dyDescent="0.25">
      <c r="B7033" t="str">
        <f>IF(C7033="","",C7033&amp;COUNTIF(C$9:C7033,C7033))</f>
        <v/>
      </c>
    </row>
    <row r="7034" spans="2:2" x14ac:dyDescent="0.25">
      <c r="B7034" t="str">
        <f>IF(C7034="","",C7034&amp;COUNTIF(C$9:C7034,C7034))</f>
        <v/>
      </c>
    </row>
    <row r="7035" spans="2:2" x14ac:dyDescent="0.25">
      <c r="B7035" t="str">
        <f>IF(C7035="","",C7035&amp;COUNTIF(C$9:C7035,C7035))</f>
        <v/>
      </c>
    </row>
    <row r="7036" spans="2:2" x14ac:dyDescent="0.25">
      <c r="B7036" t="str">
        <f>IF(C7036="","",C7036&amp;COUNTIF(C$9:C7036,C7036))</f>
        <v/>
      </c>
    </row>
    <row r="7037" spans="2:2" x14ac:dyDescent="0.25">
      <c r="B7037" t="str">
        <f>IF(C7037="","",C7037&amp;COUNTIF(C$9:C7037,C7037))</f>
        <v/>
      </c>
    </row>
    <row r="7038" spans="2:2" x14ac:dyDescent="0.25">
      <c r="B7038" t="str">
        <f>IF(C7038="","",C7038&amp;COUNTIF(C$9:C7038,C7038))</f>
        <v/>
      </c>
    </row>
    <row r="7039" spans="2:2" x14ac:dyDescent="0.25">
      <c r="B7039" t="str">
        <f>IF(C7039="","",C7039&amp;COUNTIF(C$9:C7039,C7039))</f>
        <v/>
      </c>
    </row>
    <row r="7040" spans="2:2" x14ac:dyDescent="0.25">
      <c r="B7040" t="str">
        <f>IF(C7040="","",C7040&amp;COUNTIF(C$9:C7040,C7040))</f>
        <v/>
      </c>
    </row>
    <row r="7041" spans="2:2" x14ac:dyDescent="0.25">
      <c r="B7041" t="str">
        <f>IF(C7041="","",C7041&amp;COUNTIF(C$9:C7041,C7041))</f>
        <v/>
      </c>
    </row>
    <row r="7042" spans="2:2" x14ac:dyDescent="0.25">
      <c r="B7042" t="str">
        <f>IF(C7042="","",C7042&amp;COUNTIF(C$9:C7042,C7042))</f>
        <v/>
      </c>
    </row>
    <row r="7043" spans="2:2" x14ac:dyDescent="0.25">
      <c r="B7043" t="str">
        <f>IF(C7043="","",C7043&amp;COUNTIF(C$9:C7043,C7043))</f>
        <v/>
      </c>
    </row>
    <row r="7044" spans="2:2" x14ac:dyDescent="0.25">
      <c r="B7044" t="str">
        <f>IF(C7044="","",C7044&amp;COUNTIF(C$9:C7044,C7044))</f>
        <v/>
      </c>
    </row>
    <row r="7045" spans="2:2" x14ac:dyDescent="0.25">
      <c r="B7045" t="str">
        <f>IF(C7045="","",C7045&amp;COUNTIF(C$9:C7045,C7045))</f>
        <v/>
      </c>
    </row>
    <row r="7046" spans="2:2" x14ac:dyDescent="0.25">
      <c r="B7046" t="str">
        <f>IF(C7046="","",C7046&amp;COUNTIF(C$9:C7046,C7046))</f>
        <v/>
      </c>
    </row>
    <row r="7047" spans="2:2" x14ac:dyDescent="0.25">
      <c r="B7047" t="str">
        <f>IF(C7047="","",C7047&amp;COUNTIF(C$9:C7047,C7047))</f>
        <v/>
      </c>
    </row>
    <row r="7048" spans="2:2" x14ac:dyDescent="0.25">
      <c r="B7048" t="str">
        <f>IF(C7048="","",C7048&amp;COUNTIF(C$9:C7048,C7048))</f>
        <v/>
      </c>
    </row>
    <row r="7049" spans="2:2" x14ac:dyDescent="0.25">
      <c r="B7049" t="str">
        <f>IF(C7049="","",C7049&amp;COUNTIF(C$9:C7049,C7049))</f>
        <v/>
      </c>
    </row>
    <row r="7050" spans="2:2" x14ac:dyDescent="0.25">
      <c r="B7050" t="str">
        <f>IF(C7050="","",C7050&amp;COUNTIF(C$9:C7050,C7050))</f>
        <v/>
      </c>
    </row>
    <row r="7051" spans="2:2" x14ac:dyDescent="0.25">
      <c r="B7051" t="str">
        <f>IF(C7051="","",C7051&amp;COUNTIF(C$9:C7051,C7051))</f>
        <v/>
      </c>
    </row>
    <row r="7052" spans="2:2" x14ac:dyDescent="0.25">
      <c r="B7052" t="str">
        <f>IF(C7052="","",C7052&amp;COUNTIF(C$9:C7052,C7052))</f>
        <v/>
      </c>
    </row>
    <row r="7053" spans="2:2" x14ac:dyDescent="0.25">
      <c r="B7053" t="str">
        <f>IF(C7053="","",C7053&amp;COUNTIF(C$9:C7053,C7053))</f>
        <v/>
      </c>
    </row>
    <row r="7054" spans="2:2" x14ac:dyDescent="0.25">
      <c r="B7054" t="str">
        <f>IF(C7054="","",C7054&amp;COUNTIF(C$9:C7054,C7054))</f>
        <v/>
      </c>
    </row>
    <row r="7055" spans="2:2" x14ac:dyDescent="0.25">
      <c r="B7055" t="str">
        <f>IF(C7055="","",C7055&amp;COUNTIF(C$9:C7055,C7055))</f>
        <v/>
      </c>
    </row>
    <row r="7056" spans="2:2" x14ac:dyDescent="0.25">
      <c r="B7056" t="str">
        <f>IF(C7056="","",C7056&amp;COUNTIF(C$9:C7056,C7056))</f>
        <v/>
      </c>
    </row>
    <row r="7057" spans="2:2" x14ac:dyDescent="0.25">
      <c r="B7057" t="str">
        <f>IF(C7057="","",C7057&amp;COUNTIF(C$9:C7057,C7057))</f>
        <v/>
      </c>
    </row>
    <row r="7058" spans="2:2" x14ac:dyDescent="0.25">
      <c r="B7058" t="str">
        <f>IF(C7058="","",C7058&amp;COUNTIF(C$9:C7058,C7058))</f>
        <v/>
      </c>
    </row>
    <row r="7059" spans="2:2" x14ac:dyDescent="0.25">
      <c r="B7059" t="str">
        <f>IF(C7059="","",C7059&amp;COUNTIF(C$9:C7059,C7059))</f>
        <v/>
      </c>
    </row>
    <row r="7060" spans="2:2" x14ac:dyDescent="0.25">
      <c r="B7060" t="str">
        <f>IF(C7060="","",C7060&amp;COUNTIF(C$9:C7060,C7060))</f>
        <v/>
      </c>
    </row>
    <row r="7061" spans="2:2" x14ac:dyDescent="0.25">
      <c r="B7061" t="str">
        <f>IF(C7061="","",C7061&amp;COUNTIF(C$9:C7061,C7061))</f>
        <v/>
      </c>
    </row>
    <row r="7062" spans="2:2" x14ac:dyDescent="0.25">
      <c r="B7062" t="str">
        <f>IF(C7062="","",C7062&amp;COUNTIF(C$9:C7062,C7062))</f>
        <v/>
      </c>
    </row>
    <row r="7063" spans="2:2" x14ac:dyDescent="0.25">
      <c r="B7063" t="str">
        <f>IF(C7063="","",C7063&amp;COUNTIF(C$9:C7063,C7063))</f>
        <v/>
      </c>
    </row>
    <row r="7064" spans="2:2" x14ac:dyDescent="0.25">
      <c r="B7064" t="str">
        <f>IF(C7064="","",C7064&amp;COUNTIF(C$9:C7064,C7064))</f>
        <v/>
      </c>
    </row>
    <row r="7065" spans="2:2" x14ac:dyDescent="0.25">
      <c r="B7065" t="str">
        <f>IF(C7065="","",C7065&amp;COUNTIF(C$9:C7065,C7065))</f>
        <v/>
      </c>
    </row>
    <row r="7066" spans="2:2" x14ac:dyDescent="0.25">
      <c r="B7066" t="str">
        <f>IF(C7066="","",C7066&amp;COUNTIF(C$9:C7066,C7066))</f>
        <v/>
      </c>
    </row>
    <row r="7067" spans="2:2" x14ac:dyDescent="0.25">
      <c r="B7067" t="str">
        <f>IF(C7067="","",C7067&amp;COUNTIF(C$9:C7067,C7067))</f>
        <v/>
      </c>
    </row>
    <row r="7068" spans="2:2" x14ac:dyDescent="0.25">
      <c r="B7068" t="str">
        <f>IF(C7068="","",C7068&amp;COUNTIF(C$9:C7068,C7068))</f>
        <v/>
      </c>
    </row>
    <row r="7069" spans="2:2" x14ac:dyDescent="0.25">
      <c r="B7069" t="str">
        <f>IF(C7069="","",C7069&amp;COUNTIF(C$9:C7069,C7069))</f>
        <v/>
      </c>
    </row>
    <row r="7070" spans="2:2" x14ac:dyDescent="0.25">
      <c r="B7070" t="str">
        <f>IF(C7070="","",C7070&amp;COUNTIF(C$9:C7070,C7070))</f>
        <v/>
      </c>
    </row>
    <row r="7071" spans="2:2" x14ac:dyDescent="0.25">
      <c r="B7071" t="str">
        <f>IF(C7071="","",C7071&amp;COUNTIF(C$9:C7071,C7071))</f>
        <v/>
      </c>
    </row>
    <row r="7072" spans="2:2" x14ac:dyDescent="0.25">
      <c r="B7072" t="str">
        <f>IF(C7072="","",C7072&amp;COUNTIF(C$9:C7072,C7072))</f>
        <v/>
      </c>
    </row>
    <row r="7073" spans="2:2" x14ac:dyDescent="0.25">
      <c r="B7073" t="str">
        <f>IF(C7073="","",C7073&amp;COUNTIF(C$9:C7073,C7073))</f>
        <v/>
      </c>
    </row>
    <row r="7074" spans="2:2" x14ac:dyDescent="0.25">
      <c r="B7074" t="str">
        <f>IF(C7074="","",C7074&amp;COUNTIF(C$9:C7074,C7074))</f>
        <v/>
      </c>
    </row>
    <row r="7075" spans="2:2" x14ac:dyDescent="0.25">
      <c r="B7075" t="str">
        <f>IF(C7075="","",C7075&amp;COUNTIF(C$9:C7075,C7075))</f>
        <v/>
      </c>
    </row>
    <row r="7076" spans="2:2" x14ac:dyDescent="0.25">
      <c r="B7076" t="str">
        <f>IF(C7076="","",C7076&amp;COUNTIF(C$9:C7076,C7076))</f>
        <v/>
      </c>
    </row>
    <row r="7077" spans="2:2" x14ac:dyDescent="0.25">
      <c r="B7077" t="str">
        <f>IF(C7077="","",C7077&amp;COUNTIF(C$9:C7077,C7077))</f>
        <v/>
      </c>
    </row>
    <row r="7078" spans="2:2" x14ac:dyDescent="0.25">
      <c r="B7078" t="str">
        <f>IF(C7078="","",C7078&amp;COUNTIF(C$9:C7078,C7078))</f>
        <v/>
      </c>
    </row>
    <row r="7079" spans="2:2" x14ac:dyDescent="0.25">
      <c r="B7079" t="str">
        <f>IF(C7079="","",C7079&amp;COUNTIF(C$9:C7079,C7079))</f>
        <v/>
      </c>
    </row>
    <row r="7080" spans="2:2" x14ac:dyDescent="0.25">
      <c r="B7080" t="str">
        <f>IF(C7080="","",C7080&amp;COUNTIF(C$9:C7080,C7080))</f>
        <v/>
      </c>
    </row>
    <row r="7081" spans="2:2" x14ac:dyDescent="0.25">
      <c r="B7081" t="str">
        <f>IF(C7081="","",C7081&amp;COUNTIF(C$9:C7081,C7081))</f>
        <v/>
      </c>
    </row>
    <row r="7082" spans="2:2" x14ac:dyDescent="0.25">
      <c r="B7082" t="str">
        <f>IF(C7082="","",C7082&amp;COUNTIF(C$9:C7082,C7082))</f>
        <v/>
      </c>
    </row>
    <row r="7083" spans="2:2" x14ac:dyDescent="0.25">
      <c r="B7083" t="str">
        <f>IF(C7083="","",C7083&amp;COUNTIF(C$9:C7083,C7083))</f>
        <v/>
      </c>
    </row>
    <row r="7084" spans="2:2" x14ac:dyDescent="0.25">
      <c r="B7084" t="str">
        <f>IF(C7084="","",C7084&amp;COUNTIF(C$9:C7084,C7084))</f>
        <v/>
      </c>
    </row>
    <row r="7085" spans="2:2" x14ac:dyDescent="0.25">
      <c r="B7085" t="str">
        <f>IF(C7085="","",C7085&amp;COUNTIF(C$9:C7085,C7085))</f>
        <v/>
      </c>
    </row>
    <row r="7086" spans="2:2" x14ac:dyDescent="0.25">
      <c r="B7086" t="str">
        <f>IF(C7086="","",C7086&amp;COUNTIF(C$9:C7086,C7086))</f>
        <v/>
      </c>
    </row>
    <row r="7087" spans="2:2" x14ac:dyDescent="0.25">
      <c r="B7087" t="str">
        <f>IF(C7087="","",C7087&amp;COUNTIF(C$9:C7087,C7087))</f>
        <v/>
      </c>
    </row>
    <row r="7088" spans="2:2" x14ac:dyDescent="0.25">
      <c r="B7088" t="str">
        <f>IF(C7088="","",C7088&amp;COUNTIF(C$9:C7088,C7088))</f>
        <v/>
      </c>
    </row>
    <row r="7089" spans="2:2" x14ac:dyDescent="0.25">
      <c r="B7089" t="str">
        <f>IF(C7089="","",C7089&amp;COUNTIF(C$9:C7089,C7089))</f>
        <v/>
      </c>
    </row>
    <row r="7090" spans="2:2" x14ac:dyDescent="0.25">
      <c r="B7090" t="str">
        <f>IF(C7090="","",C7090&amp;COUNTIF(C$9:C7090,C7090))</f>
        <v/>
      </c>
    </row>
    <row r="7091" spans="2:2" x14ac:dyDescent="0.25">
      <c r="B7091" t="str">
        <f>IF(C7091="","",C7091&amp;COUNTIF(C$9:C7091,C7091))</f>
        <v/>
      </c>
    </row>
    <row r="7092" spans="2:2" x14ac:dyDescent="0.25">
      <c r="B7092" t="str">
        <f>IF(C7092="","",C7092&amp;COUNTIF(C$9:C7092,C7092))</f>
        <v/>
      </c>
    </row>
    <row r="7093" spans="2:2" x14ac:dyDescent="0.25">
      <c r="B7093" t="str">
        <f>IF(C7093="","",C7093&amp;COUNTIF(C$9:C7093,C7093))</f>
        <v/>
      </c>
    </row>
    <row r="7094" spans="2:2" x14ac:dyDescent="0.25">
      <c r="B7094" t="str">
        <f>IF(C7094="","",C7094&amp;COUNTIF(C$9:C7094,C7094))</f>
        <v/>
      </c>
    </row>
    <row r="7095" spans="2:2" x14ac:dyDescent="0.25">
      <c r="B7095" t="str">
        <f>IF(C7095="","",C7095&amp;COUNTIF(C$9:C7095,C7095))</f>
        <v/>
      </c>
    </row>
    <row r="7096" spans="2:2" x14ac:dyDescent="0.25">
      <c r="B7096" t="str">
        <f>IF(C7096="","",C7096&amp;COUNTIF(C$9:C7096,C7096))</f>
        <v/>
      </c>
    </row>
    <row r="7097" spans="2:2" x14ac:dyDescent="0.25">
      <c r="B7097" t="str">
        <f>IF(C7097="","",C7097&amp;COUNTIF(C$9:C7097,C7097))</f>
        <v/>
      </c>
    </row>
    <row r="7098" spans="2:2" x14ac:dyDescent="0.25">
      <c r="B7098" t="str">
        <f>IF(C7098="","",C7098&amp;COUNTIF(C$9:C7098,C7098))</f>
        <v/>
      </c>
    </row>
    <row r="7099" spans="2:2" x14ac:dyDescent="0.25">
      <c r="B7099" t="str">
        <f>IF(C7099="","",C7099&amp;COUNTIF(C$9:C7099,C7099))</f>
        <v/>
      </c>
    </row>
    <row r="7100" spans="2:2" x14ac:dyDescent="0.25">
      <c r="B7100" t="str">
        <f>IF(C7100="","",C7100&amp;COUNTIF(C$9:C7100,C7100))</f>
        <v/>
      </c>
    </row>
    <row r="7101" spans="2:2" x14ac:dyDescent="0.25">
      <c r="B7101" t="str">
        <f>IF(C7101="","",C7101&amp;COUNTIF(C$9:C7101,C7101))</f>
        <v/>
      </c>
    </row>
    <row r="7102" spans="2:2" x14ac:dyDescent="0.25">
      <c r="B7102" t="str">
        <f>IF(C7102="","",C7102&amp;COUNTIF(C$9:C7102,C7102))</f>
        <v/>
      </c>
    </row>
    <row r="7103" spans="2:2" x14ac:dyDescent="0.25">
      <c r="B7103" t="str">
        <f>IF(C7103="","",C7103&amp;COUNTIF(C$9:C7103,C7103))</f>
        <v/>
      </c>
    </row>
    <row r="7104" spans="2:2" x14ac:dyDescent="0.25">
      <c r="B7104" t="str">
        <f>IF(C7104="","",C7104&amp;COUNTIF(C$9:C7104,C7104))</f>
        <v/>
      </c>
    </row>
    <row r="7105" spans="2:2" x14ac:dyDescent="0.25">
      <c r="B7105" t="str">
        <f>IF(C7105="","",C7105&amp;COUNTIF(C$9:C7105,C7105))</f>
        <v/>
      </c>
    </row>
    <row r="7106" spans="2:2" x14ac:dyDescent="0.25">
      <c r="B7106" t="str">
        <f>IF(C7106="","",C7106&amp;COUNTIF(C$9:C7106,C7106))</f>
        <v/>
      </c>
    </row>
    <row r="7107" spans="2:2" x14ac:dyDescent="0.25">
      <c r="B7107" t="str">
        <f>IF(C7107="","",C7107&amp;COUNTIF(C$9:C7107,C7107))</f>
        <v/>
      </c>
    </row>
    <row r="7108" spans="2:2" x14ac:dyDescent="0.25">
      <c r="B7108" t="str">
        <f>IF(C7108="","",C7108&amp;COUNTIF(C$9:C7108,C7108))</f>
        <v/>
      </c>
    </row>
    <row r="7109" spans="2:2" x14ac:dyDescent="0.25">
      <c r="B7109" t="str">
        <f>IF(C7109="","",C7109&amp;COUNTIF(C$9:C7109,C7109))</f>
        <v/>
      </c>
    </row>
    <row r="7110" spans="2:2" x14ac:dyDescent="0.25">
      <c r="B7110" t="str">
        <f>IF(C7110="","",C7110&amp;COUNTIF(C$9:C7110,C7110))</f>
        <v/>
      </c>
    </row>
    <row r="7111" spans="2:2" x14ac:dyDescent="0.25">
      <c r="B7111" t="str">
        <f>IF(C7111="","",C7111&amp;COUNTIF(C$9:C7111,C7111))</f>
        <v/>
      </c>
    </row>
    <row r="7112" spans="2:2" x14ac:dyDescent="0.25">
      <c r="B7112" t="str">
        <f>IF(C7112="","",C7112&amp;COUNTIF(C$9:C7112,C7112))</f>
        <v/>
      </c>
    </row>
    <row r="7113" spans="2:2" x14ac:dyDescent="0.25">
      <c r="B7113" t="str">
        <f>IF(C7113="","",C7113&amp;COUNTIF(C$9:C7113,C7113))</f>
        <v/>
      </c>
    </row>
    <row r="7114" spans="2:2" x14ac:dyDescent="0.25">
      <c r="B7114" t="str">
        <f>IF(C7114="","",C7114&amp;COUNTIF(C$9:C7114,C7114))</f>
        <v/>
      </c>
    </row>
    <row r="7115" spans="2:2" x14ac:dyDescent="0.25">
      <c r="B7115" t="str">
        <f>IF(C7115="","",C7115&amp;COUNTIF(C$9:C7115,C7115))</f>
        <v/>
      </c>
    </row>
    <row r="7116" spans="2:2" x14ac:dyDescent="0.25">
      <c r="B7116" t="str">
        <f>IF(C7116="","",C7116&amp;COUNTIF(C$9:C7116,C7116))</f>
        <v/>
      </c>
    </row>
    <row r="7117" spans="2:2" x14ac:dyDescent="0.25">
      <c r="B7117" t="str">
        <f>IF(C7117="","",C7117&amp;COUNTIF(C$9:C7117,C7117))</f>
        <v/>
      </c>
    </row>
    <row r="7118" spans="2:2" x14ac:dyDescent="0.25">
      <c r="B7118" t="str">
        <f>IF(C7118="","",C7118&amp;COUNTIF(C$9:C7118,C7118))</f>
        <v/>
      </c>
    </row>
    <row r="7119" spans="2:2" x14ac:dyDescent="0.25">
      <c r="B7119" t="str">
        <f>IF(C7119="","",C7119&amp;COUNTIF(C$9:C7119,C7119))</f>
        <v/>
      </c>
    </row>
    <row r="7120" spans="2:2" x14ac:dyDescent="0.25">
      <c r="B7120" t="str">
        <f>IF(C7120="","",C7120&amp;COUNTIF(C$9:C7120,C7120))</f>
        <v/>
      </c>
    </row>
    <row r="7121" spans="2:2" x14ac:dyDescent="0.25">
      <c r="B7121" t="str">
        <f>IF(C7121="","",C7121&amp;COUNTIF(C$9:C7121,C7121))</f>
        <v/>
      </c>
    </row>
    <row r="7122" spans="2:2" x14ac:dyDescent="0.25">
      <c r="B7122" t="str">
        <f>IF(C7122="","",C7122&amp;COUNTIF(C$9:C7122,C7122))</f>
        <v/>
      </c>
    </row>
    <row r="7123" spans="2:2" x14ac:dyDescent="0.25">
      <c r="B7123" t="str">
        <f>IF(C7123="","",C7123&amp;COUNTIF(C$9:C7123,C7123))</f>
        <v/>
      </c>
    </row>
    <row r="7124" spans="2:2" x14ac:dyDescent="0.25">
      <c r="B7124" t="str">
        <f>IF(C7124="","",C7124&amp;COUNTIF(C$9:C7124,C7124))</f>
        <v/>
      </c>
    </row>
    <row r="7125" spans="2:2" x14ac:dyDescent="0.25">
      <c r="B7125" t="str">
        <f>IF(C7125="","",C7125&amp;COUNTIF(C$9:C7125,C7125))</f>
        <v/>
      </c>
    </row>
    <row r="7126" spans="2:2" x14ac:dyDescent="0.25">
      <c r="B7126" t="str">
        <f>IF(C7126="","",C7126&amp;COUNTIF(C$9:C7126,C7126))</f>
        <v/>
      </c>
    </row>
    <row r="7127" spans="2:2" x14ac:dyDescent="0.25">
      <c r="B7127" t="str">
        <f>IF(C7127="","",C7127&amp;COUNTIF(C$9:C7127,C7127))</f>
        <v/>
      </c>
    </row>
    <row r="7128" spans="2:2" x14ac:dyDescent="0.25">
      <c r="B7128" t="str">
        <f>IF(C7128="","",C7128&amp;COUNTIF(C$9:C7128,C7128))</f>
        <v/>
      </c>
    </row>
    <row r="7129" spans="2:2" x14ac:dyDescent="0.25">
      <c r="B7129" t="str">
        <f>IF(C7129="","",C7129&amp;COUNTIF(C$9:C7129,C7129))</f>
        <v/>
      </c>
    </row>
    <row r="7130" spans="2:2" x14ac:dyDescent="0.25">
      <c r="B7130" t="str">
        <f>IF(C7130="","",C7130&amp;COUNTIF(C$9:C7130,C7130))</f>
        <v/>
      </c>
    </row>
    <row r="7131" spans="2:2" x14ac:dyDescent="0.25">
      <c r="B7131" t="str">
        <f>IF(C7131="","",C7131&amp;COUNTIF(C$9:C7131,C7131))</f>
        <v/>
      </c>
    </row>
    <row r="7132" spans="2:2" x14ac:dyDescent="0.25">
      <c r="B7132" t="str">
        <f>IF(C7132="","",C7132&amp;COUNTIF(C$9:C7132,C7132))</f>
        <v/>
      </c>
    </row>
    <row r="7133" spans="2:2" x14ac:dyDescent="0.25">
      <c r="B7133" t="str">
        <f>IF(C7133="","",C7133&amp;COUNTIF(C$9:C7133,C7133))</f>
        <v/>
      </c>
    </row>
    <row r="7134" spans="2:2" x14ac:dyDescent="0.25">
      <c r="B7134" t="str">
        <f>IF(C7134="","",C7134&amp;COUNTIF(C$9:C7134,C7134))</f>
        <v/>
      </c>
    </row>
    <row r="7135" spans="2:2" x14ac:dyDescent="0.25">
      <c r="B7135" t="str">
        <f>IF(C7135="","",C7135&amp;COUNTIF(C$9:C7135,C7135))</f>
        <v/>
      </c>
    </row>
    <row r="7136" spans="2:2" x14ac:dyDescent="0.25">
      <c r="B7136" t="str">
        <f>IF(C7136="","",C7136&amp;COUNTIF(C$9:C7136,C7136))</f>
        <v/>
      </c>
    </row>
    <row r="7137" spans="2:2" x14ac:dyDescent="0.25">
      <c r="B7137" t="str">
        <f>IF(C7137="","",C7137&amp;COUNTIF(C$9:C7137,C7137))</f>
        <v/>
      </c>
    </row>
    <row r="7138" spans="2:2" x14ac:dyDescent="0.25">
      <c r="B7138" t="str">
        <f>IF(C7138="","",C7138&amp;COUNTIF(C$9:C7138,C7138))</f>
        <v/>
      </c>
    </row>
    <row r="7139" spans="2:2" x14ac:dyDescent="0.25">
      <c r="B7139" t="str">
        <f>IF(C7139="","",C7139&amp;COUNTIF(C$9:C7139,C7139))</f>
        <v/>
      </c>
    </row>
    <row r="7140" spans="2:2" x14ac:dyDescent="0.25">
      <c r="B7140" t="str">
        <f>IF(C7140="","",C7140&amp;COUNTIF(C$9:C7140,C7140))</f>
        <v/>
      </c>
    </row>
    <row r="7141" spans="2:2" x14ac:dyDescent="0.25">
      <c r="B7141" t="str">
        <f>IF(C7141="","",C7141&amp;COUNTIF(C$9:C7141,C7141))</f>
        <v/>
      </c>
    </row>
    <row r="7142" spans="2:2" x14ac:dyDescent="0.25">
      <c r="B7142" t="str">
        <f>IF(C7142="","",C7142&amp;COUNTIF(C$9:C7142,C7142))</f>
        <v/>
      </c>
    </row>
    <row r="7143" spans="2:2" x14ac:dyDescent="0.25">
      <c r="B7143" t="str">
        <f>IF(C7143="","",C7143&amp;COUNTIF(C$9:C7143,C7143))</f>
        <v/>
      </c>
    </row>
    <row r="7144" spans="2:2" x14ac:dyDescent="0.25">
      <c r="B7144" t="str">
        <f>IF(C7144="","",C7144&amp;COUNTIF(C$9:C7144,C7144))</f>
        <v/>
      </c>
    </row>
    <row r="7145" spans="2:2" x14ac:dyDescent="0.25">
      <c r="B7145" t="str">
        <f>IF(C7145="","",C7145&amp;COUNTIF(C$9:C7145,C7145))</f>
        <v/>
      </c>
    </row>
    <row r="7146" spans="2:2" x14ac:dyDescent="0.25">
      <c r="B7146" t="str">
        <f>IF(C7146="","",C7146&amp;COUNTIF(C$9:C7146,C7146))</f>
        <v/>
      </c>
    </row>
    <row r="7147" spans="2:2" x14ac:dyDescent="0.25">
      <c r="B7147" t="str">
        <f>IF(C7147="","",C7147&amp;COUNTIF(C$9:C7147,C7147))</f>
        <v/>
      </c>
    </row>
    <row r="7148" spans="2:2" x14ac:dyDescent="0.25">
      <c r="B7148" t="str">
        <f>IF(C7148="","",C7148&amp;COUNTIF(C$9:C7148,C7148))</f>
        <v/>
      </c>
    </row>
    <row r="7149" spans="2:2" x14ac:dyDescent="0.25">
      <c r="B7149" t="str">
        <f>IF(C7149="","",C7149&amp;COUNTIF(C$9:C7149,C7149))</f>
        <v/>
      </c>
    </row>
    <row r="7150" spans="2:2" x14ac:dyDescent="0.25">
      <c r="B7150" t="str">
        <f>IF(C7150="","",C7150&amp;COUNTIF(C$9:C7150,C7150))</f>
        <v/>
      </c>
    </row>
    <row r="7151" spans="2:2" x14ac:dyDescent="0.25">
      <c r="B7151" t="str">
        <f>IF(C7151="","",C7151&amp;COUNTIF(C$9:C7151,C7151))</f>
        <v/>
      </c>
    </row>
    <row r="7152" spans="2:2" x14ac:dyDescent="0.25">
      <c r="B7152" t="str">
        <f>IF(C7152="","",C7152&amp;COUNTIF(C$9:C7152,C7152))</f>
        <v/>
      </c>
    </row>
    <row r="7153" spans="2:2" x14ac:dyDescent="0.25">
      <c r="B7153" t="str">
        <f>IF(C7153="","",C7153&amp;COUNTIF(C$9:C7153,C7153))</f>
        <v/>
      </c>
    </row>
    <row r="7154" spans="2:2" x14ac:dyDescent="0.25">
      <c r="B7154" t="str">
        <f>IF(C7154="","",C7154&amp;COUNTIF(C$9:C7154,C7154))</f>
        <v/>
      </c>
    </row>
    <row r="7155" spans="2:2" x14ac:dyDescent="0.25">
      <c r="B7155" t="str">
        <f>IF(C7155="","",C7155&amp;COUNTIF(C$9:C7155,C7155))</f>
        <v/>
      </c>
    </row>
    <row r="7156" spans="2:2" x14ac:dyDescent="0.25">
      <c r="B7156" t="str">
        <f>IF(C7156="","",C7156&amp;COUNTIF(C$9:C7156,C7156))</f>
        <v/>
      </c>
    </row>
    <row r="7157" spans="2:2" x14ac:dyDescent="0.25">
      <c r="B7157" t="str">
        <f>IF(C7157="","",C7157&amp;COUNTIF(C$9:C7157,C7157))</f>
        <v/>
      </c>
    </row>
    <row r="7158" spans="2:2" x14ac:dyDescent="0.25">
      <c r="B7158" t="str">
        <f>IF(C7158="","",C7158&amp;COUNTIF(C$9:C7158,C7158))</f>
        <v/>
      </c>
    </row>
    <row r="7159" spans="2:2" x14ac:dyDescent="0.25">
      <c r="B7159" t="str">
        <f>IF(C7159="","",C7159&amp;COUNTIF(C$9:C7159,C7159))</f>
        <v/>
      </c>
    </row>
    <row r="7160" spans="2:2" x14ac:dyDescent="0.25">
      <c r="B7160" t="str">
        <f>IF(C7160="","",C7160&amp;COUNTIF(C$9:C7160,C7160))</f>
        <v/>
      </c>
    </row>
    <row r="7161" spans="2:2" x14ac:dyDescent="0.25">
      <c r="B7161" t="str">
        <f>IF(C7161="","",C7161&amp;COUNTIF(C$9:C7161,C7161))</f>
        <v/>
      </c>
    </row>
    <row r="7162" spans="2:2" x14ac:dyDescent="0.25">
      <c r="B7162" t="str">
        <f>IF(C7162="","",C7162&amp;COUNTIF(C$9:C7162,C7162))</f>
        <v/>
      </c>
    </row>
    <row r="7163" spans="2:2" x14ac:dyDescent="0.25">
      <c r="B7163" t="str">
        <f>IF(C7163="","",C7163&amp;COUNTIF(C$9:C7163,C7163))</f>
        <v/>
      </c>
    </row>
    <row r="7164" spans="2:2" x14ac:dyDescent="0.25">
      <c r="B7164" t="str">
        <f>IF(C7164="","",C7164&amp;COUNTIF(C$9:C7164,C7164))</f>
        <v/>
      </c>
    </row>
    <row r="7165" spans="2:2" x14ac:dyDescent="0.25">
      <c r="B7165" t="str">
        <f>IF(C7165="","",C7165&amp;COUNTIF(C$9:C7165,C7165))</f>
        <v/>
      </c>
    </row>
    <row r="7166" spans="2:2" x14ac:dyDescent="0.25">
      <c r="B7166" t="str">
        <f>IF(C7166="","",C7166&amp;COUNTIF(C$9:C7166,C7166))</f>
        <v/>
      </c>
    </row>
    <row r="7167" spans="2:2" x14ac:dyDescent="0.25">
      <c r="B7167" t="str">
        <f>IF(C7167="","",C7167&amp;COUNTIF(C$9:C7167,C7167))</f>
        <v/>
      </c>
    </row>
    <row r="7168" spans="2:2" x14ac:dyDescent="0.25">
      <c r="B7168" t="str">
        <f>IF(C7168="","",C7168&amp;COUNTIF(C$9:C7168,C7168))</f>
        <v/>
      </c>
    </row>
    <row r="7169" spans="2:2" x14ac:dyDescent="0.25">
      <c r="B7169" t="str">
        <f>IF(C7169="","",C7169&amp;COUNTIF(C$9:C7169,C7169))</f>
        <v/>
      </c>
    </row>
    <row r="7170" spans="2:2" x14ac:dyDescent="0.25">
      <c r="B7170" t="str">
        <f>IF(C7170="","",C7170&amp;COUNTIF(C$9:C7170,C7170))</f>
        <v/>
      </c>
    </row>
    <row r="7171" spans="2:2" x14ac:dyDescent="0.25">
      <c r="B7171" t="str">
        <f>IF(C7171="","",C7171&amp;COUNTIF(C$9:C7171,C7171))</f>
        <v/>
      </c>
    </row>
    <row r="7172" spans="2:2" x14ac:dyDescent="0.25">
      <c r="B7172" t="str">
        <f>IF(C7172="","",C7172&amp;COUNTIF(C$9:C7172,C7172))</f>
        <v/>
      </c>
    </row>
    <row r="7173" spans="2:2" x14ac:dyDescent="0.25">
      <c r="B7173" t="str">
        <f>IF(C7173="","",C7173&amp;COUNTIF(C$9:C7173,C7173))</f>
        <v/>
      </c>
    </row>
    <row r="7174" spans="2:2" x14ac:dyDescent="0.25">
      <c r="B7174" t="str">
        <f>IF(C7174="","",C7174&amp;COUNTIF(C$9:C7174,C7174))</f>
        <v/>
      </c>
    </row>
    <row r="7175" spans="2:2" x14ac:dyDescent="0.25">
      <c r="B7175" t="str">
        <f>IF(C7175="","",C7175&amp;COUNTIF(C$9:C7175,C7175))</f>
        <v/>
      </c>
    </row>
    <row r="7176" spans="2:2" x14ac:dyDescent="0.25">
      <c r="B7176" t="str">
        <f>IF(C7176="","",C7176&amp;COUNTIF(C$9:C7176,C7176))</f>
        <v/>
      </c>
    </row>
    <row r="7177" spans="2:2" x14ac:dyDescent="0.25">
      <c r="B7177" t="str">
        <f>IF(C7177="","",C7177&amp;COUNTIF(C$9:C7177,C7177))</f>
        <v/>
      </c>
    </row>
    <row r="7178" spans="2:2" x14ac:dyDescent="0.25">
      <c r="B7178" t="str">
        <f>IF(C7178="","",C7178&amp;COUNTIF(C$9:C7178,C7178))</f>
        <v/>
      </c>
    </row>
    <row r="7179" spans="2:2" x14ac:dyDescent="0.25">
      <c r="B7179" t="str">
        <f>IF(C7179="","",C7179&amp;COUNTIF(C$9:C7179,C7179))</f>
        <v/>
      </c>
    </row>
    <row r="7180" spans="2:2" x14ac:dyDescent="0.25">
      <c r="B7180" t="str">
        <f>IF(C7180="","",C7180&amp;COUNTIF(C$9:C7180,C7180))</f>
        <v/>
      </c>
    </row>
    <row r="7181" spans="2:2" x14ac:dyDescent="0.25">
      <c r="B7181" t="str">
        <f>IF(C7181="","",C7181&amp;COUNTIF(C$9:C7181,C7181))</f>
        <v/>
      </c>
    </row>
    <row r="7182" spans="2:2" x14ac:dyDescent="0.25">
      <c r="B7182" t="str">
        <f>IF(C7182="","",C7182&amp;COUNTIF(C$9:C7182,C7182))</f>
        <v/>
      </c>
    </row>
    <row r="7183" spans="2:2" x14ac:dyDescent="0.25">
      <c r="B7183" t="str">
        <f>IF(C7183="","",C7183&amp;COUNTIF(C$9:C7183,C7183))</f>
        <v/>
      </c>
    </row>
    <row r="7184" spans="2:2" x14ac:dyDescent="0.25">
      <c r="B7184" t="str">
        <f>IF(C7184="","",C7184&amp;COUNTIF(C$9:C7184,C7184))</f>
        <v/>
      </c>
    </row>
    <row r="7185" spans="2:2" x14ac:dyDescent="0.25">
      <c r="B7185" t="str">
        <f>IF(C7185="","",C7185&amp;COUNTIF(C$9:C7185,C7185))</f>
        <v/>
      </c>
    </row>
    <row r="7186" spans="2:2" x14ac:dyDescent="0.25">
      <c r="B7186" t="str">
        <f>IF(C7186="","",C7186&amp;COUNTIF(C$9:C7186,C7186))</f>
        <v/>
      </c>
    </row>
    <row r="7187" spans="2:2" x14ac:dyDescent="0.25">
      <c r="B7187" t="str">
        <f>IF(C7187="","",C7187&amp;COUNTIF(C$9:C7187,C7187))</f>
        <v/>
      </c>
    </row>
    <row r="7188" spans="2:2" x14ac:dyDescent="0.25">
      <c r="B7188" t="str">
        <f>IF(C7188="","",C7188&amp;COUNTIF(C$9:C7188,C7188))</f>
        <v/>
      </c>
    </row>
    <row r="7189" spans="2:2" x14ac:dyDescent="0.25">
      <c r="B7189" t="str">
        <f>IF(C7189="","",C7189&amp;COUNTIF(C$9:C7189,C7189))</f>
        <v/>
      </c>
    </row>
    <row r="7190" spans="2:2" x14ac:dyDescent="0.25">
      <c r="B7190" t="str">
        <f>IF(C7190="","",C7190&amp;COUNTIF(C$9:C7190,C7190))</f>
        <v/>
      </c>
    </row>
    <row r="7191" spans="2:2" x14ac:dyDescent="0.25">
      <c r="B7191" t="str">
        <f>IF(C7191="","",C7191&amp;COUNTIF(C$9:C7191,C7191))</f>
        <v/>
      </c>
    </row>
    <row r="7192" spans="2:2" x14ac:dyDescent="0.25">
      <c r="B7192" t="str">
        <f>IF(C7192="","",C7192&amp;COUNTIF(C$9:C7192,C7192))</f>
        <v/>
      </c>
    </row>
    <row r="7193" spans="2:2" x14ac:dyDescent="0.25">
      <c r="B7193" t="str">
        <f>IF(C7193="","",C7193&amp;COUNTIF(C$9:C7193,C7193))</f>
        <v/>
      </c>
    </row>
    <row r="7194" spans="2:2" x14ac:dyDescent="0.25">
      <c r="B7194" t="str">
        <f>IF(C7194="","",C7194&amp;COUNTIF(C$9:C7194,C7194))</f>
        <v/>
      </c>
    </row>
    <row r="7195" spans="2:2" x14ac:dyDescent="0.25">
      <c r="B7195" t="str">
        <f>IF(C7195="","",C7195&amp;COUNTIF(C$9:C7195,C7195))</f>
        <v/>
      </c>
    </row>
    <row r="7196" spans="2:2" x14ac:dyDescent="0.25">
      <c r="B7196" t="str">
        <f>IF(C7196="","",C7196&amp;COUNTIF(C$9:C7196,C7196))</f>
        <v/>
      </c>
    </row>
    <row r="7197" spans="2:2" x14ac:dyDescent="0.25">
      <c r="B7197" t="str">
        <f>IF(C7197="","",C7197&amp;COUNTIF(C$9:C7197,C7197))</f>
        <v/>
      </c>
    </row>
    <row r="7198" spans="2:2" x14ac:dyDescent="0.25">
      <c r="B7198" t="str">
        <f>IF(C7198="","",C7198&amp;COUNTIF(C$9:C7198,C7198))</f>
        <v/>
      </c>
    </row>
    <row r="7199" spans="2:2" x14ac:dyDescent="0.25">
      <c r="B7199" t="str">
        <f>IF(C7199="","",C7199&amp;COUNTIF(C$9:C7199,C7199))</f>
        <v/>
      </c>
    </row>
    <row r="7200" spans="2:2" x14ac:dyDescent="0.25">
      <c r="B7200" t="str">
        <f>IF(C7200="","",C7200&amp;COUNTIF(C$9:C7200,C7200))</f>
        <v/>
      </c>
    </row>
    <row r="7201" spans="2:2" x14ac:dyDescent="0.25">
      <c r="B7201" t="str">
        <f>IF(C7201="","",C7201&amp;COUNTIF(C$9:C7201,C7201))</f>
        <v/>
      </c>
    </row>
    <row r="7202" spans="2:2" x14ac:dyDescent="0.25">
      <c r="B7202" t="str">
        <f>IF(C7202="","",C7202&amp;COUNTIF(C$9:C7202,C7202))</f>
        <v/>
      </c>
    </row>
    <row r="7203" spans="2:2" x14ac:dyDescent="0.25">
      <c r="B7203" t="str">
        <f>IF(C7203="","",C7203&amp;COUNTIF(C$9:C7203,C7203))</f>
        <v/>
      </c>
    </row>
    <row r="7204" spans="2:2" x14ac:dyDescent="0.25">
      <c r="B7204" t="str">
        <f>IF(C7204="","",C7204&amp;COUNTIF(C$9:C7204,C7204))</f>
        <v/>
      </c>
    </row>
    <row r="7205" spans="2:2" x14ac:dyDescent="0.25">
      <c r="B7205" t="str">
        <f>IF(C7205="","",C7205&amp;COUNTIF(C$9:C7205,C7205))</f>
        <v/>
      </c>
    </row>
    <row r="7206" spans="2:2" x14ac:dyDescent="0.25">
      <c r="B7206" t="str">
        <f>IF(C7206="","",C7206&amp;COUNTIF(C$9:C7206,C7206))</f>
        <v/>
      </c>
    </row>
    <row r="7207" spans="2:2" x14ac:dyDescent="0.25">
      <c r="B7207" t="str">
        <f>IF(C7207="","",C7207&amp;COUNTIF(C$9:C7207,C7207))</f>
        <v/>
      </c>
    </row>
    <row r="7208" spans="2:2" x14ac:dyDescent="0.25">
      <c r="B7208" t="str">
        <f>IF(C7208="","",C7208&amp;COUNTIF(C$9:C7208,C7208))</f>
        <v/>
      </c>
    </row>
    <row r="7209" spans="2:2" x14ac:dyDescent="0.25">
      <c r="B7209" t="str">
        <f>IF(C7209="","",C7209&amp;COUNTIF(C$9:C7209,C7209))</f>
        <v/>
      </c>
    </row>
    <row r="7210" spans="2:2" x14ac:dyDescent="0.25">
      <c r="B7210" t="str">
        <f>IF(C7210="","",C7210&amp;COUNTIF(C$9:C7210,C7210))</f>
        <v/>
      </c>
    </row>
    <row r="7211" spans="2:2" x14ac:dyDescent="0.25">
      <c r="B7211" t="str">
        <f>IF(C7211="","",C7211&amp;COUNTIF(C$9:C7211,C7211))</f>
        <v/>
      </c>
    </row>
    <row r="7212" spans="2:2" x14ac:dyDescent="0.25">
      <c r="B7212" t="str">
        <f>IF(C7212="","",C7212&amp;COUNTIF(C$9:C7212,C7212))</f>
        <v/>
      </c>
    </row>
    <row r="7213" spans="2:2" x14ac:dyDescent="0.25">
      <c r="B7213" t="str">
        <f>IF(C7213="","",C7213&amp;COUNTIF(C$9:C7213,C7213))</f>
        <v/>
      </c>
    </row>
    <row r="7214" spans="2:2" x14ac:dyDescent="0.25">
      <c r="B7214" t="str">
        <f>IF(C7214="","",C7214&amp;COUNTIF(C$9:C7214,C7214))</f>
        <v/>
      </c>
    </row>
    <row r="7215" spans="2:2" x14ac:dyDescent="0.25">
      <c r="B7215" t="str">
        <f>IF(C7215="","",C7215&amp;COUNTIF(C$9:C7215,C7215))</f>
        <v/>
      </c>
    </row>
    <row r="7216" spans="2:2" x14ac:dyDescent="0.25">
      <c r="B7216" t="str">
        <f>IF(C7216="","",C7216&amp;COUNTIF(C$9:C7216,C7216))</f>
        <v/>
      </c>
    </row>
    <row r="7217" spans="2:2" x14ac:dyDescent="0.25">
      <c r="B7217" t="str">
        <f>IF(C7217="","",C7217&amp;COUNTIF(C$9:C7217,C7217))</f>
        <v/>
      </c>
    </row>
    <row r="7218" spans="2:2" x14ac:dyDescent="0.25">
      <c r="B7218" t="str">
        <f>IF(C7218="","",C7218&amp;COUNTIF(C$9:C7218,C7218))</f>
        <v/>
      </c>
    </row>
    <row r="7219" spans="2:2" x14ac:dyDescent="0.25">
      <c r="B7219" t="str">
        <f>IF(C7219="","",C7219&amp;COUNTIF(C$9:C7219,C7219))</f>
        <v/>
      </c>
    </row>
    <row r="7220" spans="2:2" x14ac:dyDescent="0.25">
      <c r="B7220" t="str">
        <f>IF(C7220="","",C7220&amp;COUNTIF(C$9:C7220,C7220))</f>
        <v/>
      </c>
    </row>
    <row r="7221" spans="2:2" x14ac:dyDescent="0.25">
      <c r="B7221" t="str">
        <f>IF(C7221="","",C7221&amp;COUNTIF(C$9:C7221,C7221))</f>
        <v/>
      </c>
    </row>
    <row r="7222" spans="2:2" x14ac:dyDescent="0.25">
      <c r="B7222" t="str">
        <f>IF(C7222="","",C7222&amp;COUNTIF(C$9:C7222,C7222))</f>
        <v/>
      </c>
    </row>
    <row r="7223" spans="2:2" x14ac:dyDescent="0.25">
      <c r="B7223" t="str">
        <f>IF(C7223="","",C7223&amp;COUNTIF(C$9:C7223,C7223))</f>
        <v/>
      </c>
    </row>
    <row r="7224" spans="2:2" x14ac:dyDescent="0.25">
      <c r="B7224" t="str">
        <f>IF(C7224="","",C7224&amp;COUNTIF(C$9:C7224,C7224))</f>
        <v/>
      </c>
    </row>
    <row r="7225" spans="2:2" x14ac:dyDescent="0.25">
      <c r="B7225" t="str">
        <f>IF(C7225="","",C7225&amp;COUNTIF(C$9:C7225,C7225))</f>
        <v/>
      </c>
    </row>
    <row r="7226" spans="2:2" x14ac:dyDescent="0.25">
      <c r="B7226" t="str">
        <f>IF(C7226="","",C7226&amp;COUNTIF(C$9:C7226,C7226))</f>
        <v/>
      </c>
    </row>
    <row r="7227" spans="2:2" x14ac:dyDescent="0.25">
      <c r="B7227" t="str">
        <f>IF(C7227="","",C7227&amp;COUNTIF(C$9:C7227,C7227))</f>
        <v/>
      </c>
    </row>
    <row r="7228" spans="2:2" x14ac:dyDescent="0.25">
      <c r="B7228" t="str">
        <f>IF(C7228="","",C7228&amp;COUNTIF(C$9:C7228,C7228))</f>
        <v/>
      </c>
    </row>
    <row r="7229" spans="2:2" x14ac:dyDescent="0.25">
      <c r="B7229" t="str">
        <f>IF(C7229="","",C7229&amp;COUNTIF(C$9:C7229,C7229))</f>
        <v/>
      </c>
    </row>
    <row r="7230" spans="2:2" x14ac:dyDescent="0.25">
      <c r="B7230" t="str">
        <f>IF(C7230="","",C7230&amp;COUNTIF(C$9:C7230,C7230))</f>
        <v/>
      </c>
    </row>
    <row r="7231" spans="2:2" x14ac:dyDescent="0.25">
      <c r="B7231" t="str">
        <f>IF(C7231="","",C7231&amp;COUNTIF(C$9:C7231,C7231))</f>
        <v/>
      </c>
    </row>
    <row r="7232" spans="2:2" x14ac:dyDescent="0.25">
      <c r="B7232" t="str">
        <f>IF(C7232="","",C7232&amp;COUNTIF(C$9:C7232,C7232))</f>
        <v/>
      </c>
    </row>
    <row r="7233" spans="2:2" x14ac:dyDescent="0.25">
      <c r="B7233" t="str">
        <f>IF(C7233="","",C7233&amp;COUNTIF(C$9:C7233,C7233))</f>
        <v/>
      </c>
    </row>
    <row r="7234" spans="2:2" x14ac:dyDescent="0.25">
      <c r="B7234" t="str">
        <f>IF(C7234="","",C7234&amp;COUNTIF(C$9:C7234,C7234))</f>
        <v/>
      </c>
    </row>
    <row r="7235" spans="2:2" x14ac:dyDescent="0.25">
      <c r="B7235" t="str">
        <f>IF(C7235="","",C7235&amp;COUNTIF(C$9:C7235,C7235))</f>
        <v/>
      </c>
    </row>
    <row r="7236" spans="2:2" x14ac:dyDescent="0.25">
      <c r="B7236" t="str">
        <f>IF(C7236="","",C7236&amp;COUNTIF(C$9:C7236,C7236))</f>
        <v/>
      </c>
    </row>
    <row r="7237" spans="2:2" x14ac:dyDescent="0.25">
      <c r="B7237" t="str">
        <f>IF(C7237="","",C7237&amp;COUNTIF(C$9:C7237,C7237))</f>
        <v/>
      </c>
    </row>
    <row r="7238" spans="2:2" x14ac:dyDescent="0.25">
      <c r="B7238" t="str">
        <f>IF(C7238="","",C7238&amp;COUNTIF(C$9:C7238,C7238))</f>
        <v/>
      </c>
    </row>
    <row r="7239" spans="2:2" x14ac:dyDescent="0.25">
      <c r="B7239" t="str">
        <f>IF(C7239="","",C7239&amp;COUNTIF(C$9:C7239,C7239))</f>
        <v/>
      </c>
    </row>
    <row r="7240" spans="2:2" x14ac:dyDescent="0.25">
      <c r="B7240" t="str">
        <f>IF(C7240="","",C7240&amp;COUNTIF(C$9:C7240,C7240))</f>
        <v/>
      </c>
    </row>
    <row r="7241" spans="2:2" x14ac:dyDescent="0.25">
      <c r="B7241" t="str">
        <f>IF(C7241="","",C7241&amp;COUNTIF(C$9:C7241,C7241))</f>
        <v/>
      </c>
    </row>
    <row r="7242" spans="2:2" x14ac:dyDescent="0.25">
      <c r="B7242" t="str">
        <f>IF(C7242="","",C7242&amp;COUNTIF(C$9:C7242,C7242))</f>
        <v/>
      </c>
    </row>
    <row r="7243" spans="2:2" x14ac:dyDescent="0.25">
      <c r="B7243" t="str">
        <f>IF(C7243="","",C7243&amp;COUNTIF(C$9:C7243,C7243))</f>
        <v/>
      </c>
    </row>
    <row r="7244" spans="2:2" x14ac:dyDescent="0.25">
      <c r="B7244" t="str">
        <f>IF(C7244="","",C7244&amp;COUNTIF(C$9:C7244,C7244))</f>
        <v/>
      </c>
    </row>
    <row r="7245" spans="2:2" x14ac:dyDescent="0.25">
      <c r="B7245" t="str">
        <f>IF(C7245="","",C7245&amp;COUNTIF(C$9:C7245,C7245))</f>
        <v/>
      </c>
    </row>
    <row r="7246" spans="2:2" x14ac:dyDescent="0.25">
      <c r="B7246" t="str">
        <f>IF(C7246="","",C7246&amp;COUNTIF(C$9:C7246,C7246))</f>
        <v/>
      </c>
    </row>
    <row r="7247" spans="2:2" x14ac:dyDescent="0.25">
      <c r="B7247" t="str">
        <f>IF(C7247="","",C7247&amp;COUNTIF(C$9:C7247,C7247))</f>
        <v/>
      </c>
    </row>
    <row r="7248" spans="2:2" x14ac:dyDescent="0.25">
      <c r="B7248" t="str">
        <f>IF(C7248="","",C7248&amp;COUNTIF(C$9:C7248,C7248))</f>
        <v/>
      </c>
    </row>
    <row r="7249" spans="2:2" x14ac:dyDescent="0.25">
      <c r="B7249" t="str">
        <f>IF(C7249="","",C7249&amp;COUNTIF(C$9:C7249,C7249))</f>
        <v/>
      </c>
    </row>
    <row r="7250" spans="2:2" x14ac:dyDescent="0.25">
      <c r="B7250" t="str">
        <f>IF(C7250="","",C7250&amp;COUNTIF(C$9:C7250,C7250))</f>
        <v/>
      </c>
    </row>
    <row r="7251" spans="2:2" x14ac:dyDescent="0.25">
      <c r="B7251" t="str">
        <f>IF(C7251="","",C7251&amp;COUNTIF(C$9:C7251,C7251))</f>
        <v/>
      </c>
    </row>
    <row r="7252" spans="2:2" x14ac:dyDescent="0.25">
      <c r="B7252" t="str">
        <f>IF(C7252="","",C7252&amp;COUNTIF(C$9:C7252,C7252))</f>
        <v/>
      </c>
    </row>
    <row r="7253" spans="2:2" x14ac:dyDescent="0.25">
      <c r="B7253" t="str">
        <f>IF(C7253="","",C7253&amp;COUNTIF(C$9:C7253,C7253))</f>
        <v/>
      </c>
    </row>
    <row r="7254" spans="2:2" x14ac:dyDescent="0.25">
      <c r="B7254" t="str">
        <f>IF(C7254="","",C7254&amp;COUNTIF(C$9:C7254,C7254))</f>
        <v/>
      </c>
    </row>
    <row r="7255" spans="2:2" x14ac:dyDescent="0.25">
      <c r="B7255" t="str">
        <f>IF(C7255="","",C7255&amp;COUNTIF(C$9:C7255,C7255))</f>
        <v/>
      </c>
    </row>
    <row r="7256" spans="2:2" x14ac:dyDescent="0.25">
      <c r="B7256" t="str">
        <f>IF(C7256="","",C7256&amp;COUNTIF(C$9:C7256,C7256))</f>
        <v/>
      </c>
    </row>
    <row r="7257" spans="2:2" x14ac:dyDescent="0.25">
      <c r="B7257" t="str">
        <f>IF(C7257="","",C7257&amp;COUNTIF(C$9:C7257,C7257))</f>
        <v/>
      </c>
    </row>
    <row r="7258" spans="2:2" x14ac:dyDescent="0.25">
      <c r="B7258" t="str">
        <f>IF(C7258="","",C7258&amp;COUNTIF(C$9:C7258,C7258))</f>
        <v/>
      </c>
    </row>
    <row r="7259" spans="2:2" x14ac:dyDescent="0.25">
      <c r="B7259" t="str">
        <f>IF(C7259="","",C7259&amp;COUNTIF(C$9:C7259,C7259))</f>
        <v/>
      </c>
    </row>
    <row r="7260" spans="2:2" x14ac:dyDescent="0.25">
      <c r="B7260" t="str">
        <f>IF(C7260="","",C7260&amp;COUNTIF(C$9:C7260,C7260))</f>
        <v/>
      </c>
    </row>
    <row r="7261" spans="2:2" x14ac:dyDescent="0.25">
      <c r="B7261" t="str">
        <f>IF(C7261="","",C7261&amp;COUNTIF(C$9:C7261,C7261))</f>
        <v/>
      </c>
    </row>
    <row r="7262" spans="2:2" x14ac:dyDescent="0.25">
      <c r="B7262" t="str">
        <f>IF(C7262="","",C7262&amp;COUNTIF(C$9:C7262,C7262))</f>
        <v/>
      </c>
    </row>
    <row r="7263" spans="2:2" x14ac:dyDescent="0.25">
      <c r="B7263" t="str">
        <f>IF(C7263="","",C7263&amp;COUNTIF(C$9:C7263,C7263))</f>
        <v/>
      </c>
    </row>
    <row r="7264" spans="2:2" x14ac:dyDescent="0.25">
      <c r="B7264" t="str">
        <f>IF(C7264="","",C7264&amp;COUNTIF(C$9:C7264,C7264))</f>
        <v/>
      </c>
    </row>
    <row r="7265" spans="2:2" x14ac:dyDescent="0.25">
      <c r="B7265" t="str">
        <f>IF(C7265="","",C7265&amp;COUNTIF(C$9:C7265,C7265))</f>
        <v/>
      </c>
    </row>
    <row r="7266" spans="2:2" x14ac:dyDescent="0.25">
      <c r="B7266" t="str">
        <f>IF(C7266="","",C7266&amp;COUNTIF(C$9:C7266,C7266))</f>
        <v/>
      </c>
    </row>
    <row r="7267" spans="2:2" x14ac:dyDescent="0.25">
      <c r="B7267" t="str">
        <f>IF(C7267="","",C7267&amp;COUNTIF(C$9:C7267,C7267))</f>
        <v/>
      </c>
    </row>
    <row r="7268" spans="2:2" x14ac:dyDescent="0.25">
      <c r="B7268" t="str">
        <f>IF(C7268="","",C7268&amp;COUNTIF(C$9:C7268,C7268))</f>
        <v/>
      </c>
    </row>
    <row r="7269" spans="2:2" x14ac:dyDescent="0.25">
      <c r="B7269" t="str">
        <f>IF(C7269="","",C7269&amp;COUNTIF(C$9:C7269,C7269))</f>
        <v/>
      </c>
    </row>
    <row r="7270" spans="2:2" x14ac:dyDescent="0.25">
      <c r="B7270" t="str">
        <f>IF(C7270="","",C7270&amp;COUNTIF(C$9:C7270,C7270))</f>
        <v/>
      </c>
    </row>
    <row r="7271" spans="2:2" x14ac:dyDescent="0.25">
      <c r="B7271" t="str">
        <f>IF(C7271="","",C7271&amp;COUNTIF(C$9:C7271,C7271))</f>
        <v/>
      </c>
    </row>
    <row r="7272" spans="2:2" x14ac:dyDescent="0.25">
      <c r="B7272" t="str">
        <f>IF(C7272="","",C7272&amp;COUNTIF(C$9:C7272,C7272))</f>
        <v/>
      </c>
    </row>
    <row r="7273" spans="2:2" x14ac:dyDescent="0.25">
      <c r="B7273" t="str">
        <f>IF(C7273="","",C7273&amp;COUNTIF(C$9:C7273,C7273))</f>
        <v/>
      </c>
    </row>
    <row r="7274" spans="2:2" x14ac:dyDescent="0.25">
      <c r="B7274" t="str">
        <f>IF(C7274="","",C7274&amp;COUNTIF(C$9:C7274,C7274))</f>
        <v/>
      </c>
    </row>
    <row r="7275" spans="2:2" x14ac:dyDescent="0.25">
      <c r="B7275" t="str">
        <f>IF(C7275="","",C7275&amp;COUNTIF(C$9:C7275,C7275))</f>
        <v/>
      </c>
    </row>
    <row r="7276" spans="2:2" x14ac:dyDescent="0.25">
      <c r="B7276" t="str">
        <f>IF(C7276="","",C7276&amp;COUNTIF(C$9:C7276,C7276))</f>
        <v/>
      </c>
    </row>
    <row r="7277" spans="2:2" x14ac:dyDescent="0.25">
      <c r="B7277" t="str">
        <f>IF(C7277="","",C7277&amp;COUNTIF(C$9:C7277,C7277))</f>
        <v/>
      </c>
    </row>
    <row r="7278" spans="2:2" x14ac:dyDescent="0.25">
      <c r="B7278" t="str">
        <f>IF(C7278="","",C7278&amp;COUNTIF(C$9:C7278,C7278))</f>
        <v/>
      </c>
    </row>
    <row r="7279" spans="2:2" x14ac:dyDescent="0.25">
      <c r="B7279" t="str">
        <f>IF(C7279="","",C7279&amp;COUNTIF(C$9:C7279,C7279))</f>
        <v/>
      </c>
    </row>
    <row r="7280" spans="2:2" x14ac:dyDescent="0.25">
      <c r="B7280" t="str">
        <f>IF(C7280="","",C7280&amp;COUNTIF(C$9:C7280,C7280))</f>
        <v/>
      </c>
    </row>
    <row r="7281" spans="2:2" x14ac:dyDescent="0.25">
      <c r="B7281" t="str">
        <f>IF(C7281="","",C7281&amp;COUNTIF(C$9:C7281,C7281))</f>
        <v/>
      </c>
    </row>
    <row r="7282" spans="2:2" x14ac:dyDescent="0.25">
      <c r="B7282" t="str">
        <f>IF(C7282="","",C7282&amp;COUNTIF(C$9:C7282,C7282))</f>
        <v/>
      </c>
    </row>
    <row r="7283" spans="2:2" x14ac:dyDescent="0.25">
      <c r="B7283" t="str">
        <f>IF(C7283="","",C7283&amp;COUNTIF(C$9:C7283,C7283))</f>
        <v/>
      </c>
    </row>
    <row r="7284" spans="2:2" x14ac:dyDescent="0.25">
      <c r="B7284" t="str">
        <f>IF(C7284="","",C7284&amp;COUNTIF(C$9:C7284,C7284))</f>
        <v/>
      </c>
    </row>
    <row r="7285" spans="2:2" x14ac:dyDescent="0.25">
      <c r="B7285" t="str">
        <f>IF(C7285="","",C7285&amp;COUNTIF(C$9:C7285,C7285))</f>
        <v/>
      </c>
    </row>
    <row r="7286" spans="2:2" x14ac:dyDescent="0.25">
      <c r="B7286" t="str">
        <f>IF(C7286="","",C7286&amp;COUNTIF(C$9:C7286,C7286))</f>
        <v/>
      </c>
    </row>
    <row r="7287" spans="2:2" x14ac:dyDescent="0.25">
      <c r="B7287" t="str">
        <f>IF(C7287="","",C7287&amp;COUNTIF(C$9:C7287,C7287))</f>
        <v/>
      </c>
    </row>
    <row r="7288" spans="2:2" x14ac:dyDescent="0.25">
      <c r="B7288" t="str">
        <f>IF(C7288="","",C7288&amp;COUNTIF(C$9:C7288,C7288))</f>
        <v/>
      </c>
    </row>
    <row r="7289" spans="2:2" x14ac:dyDescent="0.25">
      <c r="B7289" t="str">
        <f>IF(C7289="","",C7289&amp;COUNTIF(C$9:C7289,C7289))</f>
        <v/>
      </c>
    </row>
    <row r="7290" spans="2:2" x14ac:dyDescent="0.25">
      <c r="B7290" t="str">
        <f>IF(C7290="","",C7290&amp;COUNTIF(C$9:C7290,C7290))</f>
        <v/>
      </c>
    </row>
    <row r="7291" spans="2:2" x14ac:dyDescent="0.25">
      <c r="B7291" t="str">
        <f>IF(C7291="","",C7291&amp;COUNTIF(C$9:C7291,C7291))</f>
        <v/>
      </c>
    </row>
    <row r="7292" spans="2:2" x14ac:dyDescent="0.25">
      <c r="B7292" t="str">
        <f>IF(C7292="","",C7292&amp;COUNTIF(C$9:C7292,C7292))</f>
        <v/>
      </c>
    </row>
    <row r="7293" spans="2:2" x14ac:dyDescent="0.25">
      <c r="B7293" t="str">
        <f>IF(C7293="","",C7293&amp;COUNTIF(C$9:C7293,C7293))</f>
        <v/>
      </c>
    </row>
    <row r="7294" spans="2:2" x14ac:dyDescent="0.25">
      <c r="B7294" t="str">
        <f>IF(C7294="","",C7294&amp;COUNTIF(C$9:C7294,C7294))</f>
        <v/>
      </c>
    </row>
    <row r="7295" spans="2:2" x14ac:dyDescent="0.25">
      <c r="B7295" t="str">
        <f>IF(C7295="","",C7295&amp;COUNTIF(C$9:C7295,C7295))</f>
        <v/>
      </c>
    </row>
    <row r="7296" spans="2:2" x14ac:dyDescent="0.25">
      <c r="B7296" t="str">
        <f>IF(C7296="","",C7296&amp;COUNTIF(C$9:C7296,C7296))</f>
        <v/>
      </c>
    </row>
    <row r="7297" spans="2:2" x14ac:dyDescent="0.25">
      <c r="B7297" t="str">
        <f>IF(C7297="","",C7297&amp;COUNTIF(C$9:C7297,C7297))</f>
        <v/>
      </c>
    </row>
    <row r="7298" spans="2:2" x14ac:dyDescent="0.25">
      <c r="B7298" t="str">
        <f>IF(C7298="","",C7298&amp;COUNTIF(C$9:C7298,C7298))</f>
        <v/>
      </c>
    </row>
    <row r="7299" spans="2:2" x14ac:dyDescent="0.25">
      <c r="B7299" t="str">
        <f>IF(C7299="","",C7299&amp;COUNTIF(C$9:C7299,C7299))</f>
        <v/>
      </c>
    </row>
    <row r="7300" spans="2:2" x14ac:dyDescent="0.25">
      <c r="B7300" t="str">
        <f>IF(C7300="","",C7300&amp;COUNTIF(C$9:C7300,C7300))</f>
        <v/>
      </c>
    </row>
    <row r="7301" spans="2:2" x14ac:dyDescent="0.25">
      <c r="B7301" t="str">
        <f>IF(C7301="","",C7301&amp;COUNTIF(C$9:C7301,C7301))</f>
        <v/>
      </c>
    </row>
    <row r="7302" spans="2:2" x14ac:dyDescent="0.25">
      <c r="B7302" t="str">
        <f>IF(C7302="","",C7302&amp;COUNTIF(C$9:C7302,C7302))</f>
        <v/>
      </c>
    </row>
    <row r="7303" spans="2:2" x14ac:dyDescent="0.25">
      <c r="B7303" t="str">
        <f>IF(C7303="","",C7303&amp;COUNTIF(C$9:C7303,C7303))</f>
        <v/>
      </c>
    </row>
    <row r="7304" spans="2:2" x14ac:dyDescent="0.25">
      <c r="B7304" t="str">
        <f>IF(C7304="","",C7304&amp;COUNTIF(C$9:C7304,C7304))</f>
        <v/>
      </c>
    </row>
    <row r="7305" spans="2:2" x14ac:dyDescent="0.25">
      <c r="B7305" t="str">
        <f>IF(C7305="","",C7305&amp;COUNTIF(C$9:C7305,C7305))</f>
        <v/>
      </c>
    </row>
    <row r="7306" spans="2:2" x14ac:dyDescent="0.25">
      <c r="B7306" t="str">
        <f>IF(C7306="","",C7306&amp;COUNTIF(C$9:C7306,C7306))</f>
        <v/>
      </c>
    </row>
    <row r="7307" spans="2:2" x14ac:dyDescent="0.25">
      <c r="B7307" t="str">
        <f>IF(C7307="","",C7307&amp;COUNTIF(C$9:C7307,C7307))</f>
        <v/>
      </c>
    </row>
    <row r="7308" spans="2:2" x14ac:dyDescent="0.25">
      <c r="B7308" t="str">
        <f>IF(C7308="","",C7308&amp;COUNTIF(C$9:C7308,C7308))</f>
        <v/>
      </c>
    </row>
    <row r="7309" spans="2:2" x14ac:dyDescent="0.25">
      <c r="B7309" t="str">
        <f>IF(C7309="","",C7309&amp;COUNTIF(C$9:C7309,C7309))</f>
        <v/>
      </c>
    </row>
    <row r="7310" spans="2:2" x14ac:dyDescent="0.25">
      <c r="B7310" t="str">
        <f>IF(C7310="","",C7310&amp;COUNTIF(C$9:C7310,C7310))</f>
        <v/>
      </c>
    </row>
    <row r="7311" spans="2:2" x14ac:dyDescent="0.25">
      <c r="B7311" t="str">
        <f>IF(C7311="","",C7311&amp;COUNTIF(C$9:C7311,C7311))</f>
        <v/>
      </c>
    </row>
    <row r="7312" spans="2:2" x14ac:dyDescent="0.25">
      <c r="B7312" t="str">
        <f>IF(C7312="","",C7312&amp;COUNTIF(C$9:C7312,C7312))</f>
        <v/>
      </c>
    </row>
    <row r="7313" spans="2:2" x14ac:dyDescent="0.25">
      <c r="B7313" t="str">
        <f>IF(C7313="","",C7313&amp;COUNTIF(C$9:C7313,C7313))</f>
        <v/>
      </c>
    </row>
    <row r="7314" spans="2:2" x14ac:dyDescent="0.25">
      <c r="B7314" t="str">
        <f>IF(C7314="","",C7314&amp;COUNTIF(C$9:C7314,C7314))</f>
        <v/>
      </c>
    </row>
    <row r="7315" spans="2:2" x14ac:dyDescent="0.25">
      <c r="B7315" t="str">
        <f>IF(C7315="","",C7315&amp;COUNTIF(C$9:C7315,C7315))</f>
        <v/>
      </c>
    </row>
    <row r="7316" spans="2:2" x14ac:dyDescent="0.25">
      <c r="B7316" t="str">
        <f>IF(C7316="","",C7316&amp;COUNTIF(C$9:C7316,C7316))</f>
        <v/>
      </c>
    </row>
    <row r="7317" spans="2:2" x14ac:dyDescent="0.25">
      <c r="B7317" t="str">
        <f>IF(C7317="","",C7317&amp;COUNTIF(C$9:C7317,C7317))</f>
        <v/>
      </c>
    </row>
    <row r="7318" spans="2:2" x14ac:dyDescent="0.25">
      <c r="B7318" t="str">
        <f>IF(C7318="","",C7318&amp;COUNTIF(C$9:C7318,C7318))</f>
        <v/>
      </c>
    </row>
    <row r="7319" spans="2:2" x14ac:dyDescent="0.25">
      <c r="B7319" t="str">
        <f>IF(C7319="","",C7319&amp;COUNTIF(C$9:C7319,C7319))</f>
        <v/>
      </c>
    </row>
    <row r="7320" spans="2:2" x14ac:dyDescent="0.25">
      <c r="B7320" t="str">
        <f>IF(C7320="","",C7320&amp;COUNTIF(C$9:C7320,C7320))</f>
        <v/>
      </c>
    </row>
    <row r="7321" spans="2:2" x14ac:dyDescent="0.25">
      <c r="B7321" t="str">
        <f>IF(C7321="","",C7321&amp;COUNTIF(C$9:C7321,C7321))</f>
        <v/>
      </c>
    </row>
    <row r="7322" spans="2:2" x14ac:dyDescent="0.25">
      <c r="B7322" t="str">
        <f>IF(C7322="","",C7322&amp;COUNTIF(C$9:C7322,C7322))</f>
        <v/>
      </c>
    </row>
    <row r="7323" spans="2:2" x14ac:dyDescent="0.25">
      <c r="B7323" t="str">
        <f>IF(C7323="","",C7323&amp;COUNTIF(C$9:C7323,C7323))</f>
        <v/>
      </c>
    </row>
    <row r="7324" spans="2:2" x14ac:dyDescent="0.25">
      <c r="B7324" t="str">
        <f>IF(C7324="","",C7324&amp;COUNTIF(C$9:C7324,C7324))</f>
        <v/>
      </c>
    </row>
    <row r="7325" spans="2:2" x14ac:dyDescent="0.25">
      <c r="B7325" t="str">
        <f>IF(C7325="","",C7325&amp;COUNTIF(C$9:C7325,C7325))</f>
        <v/>
      </c>
    </row>
    <row r="7326" spans="2:2" x14ac:dyDescent="0.25">
      <c r="B7326" t="str">
        <f>IF(C7326="","",C7326&amp;COUNTIF(C$9:C7326,C7326))</f>
        <v/>
      </c>
    </row>
    <row r="7327" spans="2:2" x14ac:dyDescent="0.25">
      <c r="B7327" t="str">
        <f>IF(C7327="","",C7327&amp;COUNTIF(C$9:C7327,C7327))</f>
        <v/>
      </c>
    </row>
    <row r="7328" spans="2:2" x14ac:dyDescent="0.25">
      <c r="B7328" t="str">
        <f>IF(C7328="","",C7328&amp;COUNTIF(C$9:C7328,C7328))</f>
        <v/>
      </c>
    </row>
    <row r="7329" spans="2:2" x14ac:dyDescent="0.25">
      <c r="B7329" t="str">
        <f>IF(C7329="","",C7329&amp;COUNTIF(C$9:C7329,C7329))</f>
        <v/>
      </c>
    </row>
    <row r="7330" spans="2:2" x14ac:dyDescent="0.25">
      <c r="B7330" t="str">
        <f>IF(C7330="","",C7330&amp;COUNTIF(C$9:C7330,C7330))</f>
        <v/>
      </c>
    </row>
    <row r="7331" spans="2:2" x14ac:dyDescent="0.25">
      <c r="B7331" t="str">
        <f>IF(C7331="","",C7331&amp;COUNTIF(C$9:C7331,C7331))</f>
        <v/>
      </c>
    </row>
    <row r="7332" spans="2:2" x14ac:dyDescent="0.25">
      <c r="B7332" t="str">
        <f>IF(C7332="","",C7332&amp;COUNTIF(C$9:C7332,C7332))</f>
        <v/>
      </c>
    </row>
    <row r="7333" spans="2:2" x14ac:dyDescent="0.25">
      <c r="B7333" t="str">
        <f>IF(C7333="","",C7333&amp;COUNTIF(C$9:C7333,C7333))</f>
        <v/>
      </c>
    </row>
    <row r="7334" spans="2:2" x14ac:dyDescent="0.25">
      <c r="B7334" t="str">
        <f>IF(C7334="","",C7334&amp;COUNTIF(C$9:C7334,C7334))</f>
        <v/>
      </c>
    </row>
    <row r="7335" spans="2:2" x14ac:dyDescent="0.25">
      <c r="B7335" t="str">
        <f>IF(C7335="","",C7335&amp;COUNTIF(C$9:C7335,C7335))</f>
        <v/>
      </c>
    </row>
    <row r="7336" spans="2:2" x14ac:dyDescent="0.25">
      <c r="B7336" t="str">
        <f>IF(C7336="","",C7336&amp;COUNTIF(C$9:C7336,C7336))</f>
        <v/>
      </c>
    </row>
    <row r="7337" spans="2:2" x14ac:dyDescent="0.25">
      <c r="B7337" t="str">
        <f>IF(C7337="","",C7337&amp;COUNTIF(C$9:C7337,C7337))</f>
        <v/>
      </c>
    </row>
    <row r="7338" spans="2:2" x14ac:dyDescent="0.25">
      <c r="B7338" t="str">
        <f>IF(C7338="","",C7338&amp;COUNTIF(C$9:C7338,C7338))</f>
        <v/>
      </c>
    </row>
    <row r="7339" spans="2:2" x14ac:dyDescent="0.25">
      <c r="B7339" t="str">
        <f>IF(C7339="","",C7339&amp;COUNTIF(C$9:C7339,C7339))</f>
        <v/>
      </c>
    </row>
    <row r="7340" spans="2:2" x14ac:dyDescent="0.25">
      <c r="B7340" t="str">
        <f>IF(C7340="","",C7340&amp;COUNTIF(C$9:C7340,C7340))</f>
        <v/>
      </c>
    </row>
    <row r="7341" spans="2:2" x14ac:dyDescent="0.25">
      <c r="B7341" t="str">
        <f>IF(C7341="","",C7341&amp;COUNTIF(C$9:C7341,C7341))</f>
        <v/>
      </c>
    </row>
    <row r="7342" spans="2:2" x14ac:dyDescent="0.25">
      <c r="B7342" t="str">
        <f>IF(C7342="","",C7342&amp;COUNTIF(C$9:C7342,C7342))</f>
        <v/>
      </c>
    </row>
    <row r="7343" spans="2:2" x14ac:dyDescent="0.25">
      <c r="B7343" t="str">
        <f>IF(C7343="","",C7343&amp;COUNTIF(C$9:C7343,C7343))</f>
        <v/>
      </c>
    </row>
    <row r="7344" spans="2:2" x14ac:dyDescent="0.25">
      <c r="B7344" t="str">
        <f>IF(C7344="","",C7344&amp;COUNTIF(C$9:C7344,C7344))</f>
        <v/>
      </c>
    </row>
    <row r="7345" spans="2:2" x14ac:dyDescent="0.25">
      <c r="B7345" t="str">
        <f>IF(C7345="","",C7345&amp;COUNTIF(C$9:C7345,C7345))</f>
        <v/>
      </c>
    </row>
    <row r="7346" spans="2:2" x14ac:dyDescent="0.25">
      <c r="B7346" t="str">
        <f>IF(C7346="","",C7346&amp;COUNTIF(C$9:C7346,C7346))</f>
        <v/>
      </c>
    </row>
    <row r="7347" spans="2:2" x14ac:dyDescent="0.25">
      <c r="B7347" t="str">
        <f>IF(C7347="","",C7347&amp;COUNTIF(C$9:C7347,C7347))</f>
        <v/>
      </c>
    </row>
    <row r="7348" spans="2:2" x14ac:dyDescent="0.25">
      <c r="B7348" t="str">
        <f>IF(C7348="","",C7348&amp;COUNTIF(C$9:C7348,C7348))</f>
        <v/>
      </c>
    </row>
    <row r="7349" spans="2:2" x14ac:dyDescent="0.25">
      <c r="B7349" t="str">
        <f>IF(C7349="","",C7349&amp;COUNTIF(C$9:C7349,C7349))</f>
        <v/>
      </c>
    </row>
    <row r="7350" spans="2:2" x14ac:dyDescent="0.25">
      <c r="B7350" t="str">
        <f>IF(C7350="","",C7350&amp;COUNTIF(C$9:C7350,C7350))</f>
        <v/>
      </c>
    </row>
    <row r="7351" spans="2:2" x14ac:dyDescent="0.25">
      <c r="B7351" t="str">
        <f>IF(C7351="","",C7351&amp;COUNTIF(C$9:C7351,C7351))</f>
        <v/>
      </c>
    </row>
    <row r="7352" spans="2:2" x14ac:dyDescent="0.25">
      <c r="B7352" t="str">
        <f>IF(C7352="","",C7352&amp;COUNTIF(C$9:C7352,C7352))</f>
        <v/>
      </c>
    </row>
    <row r="7353" spans="2:2" x14ac:dyDescent="0.25">
      <c r="B7353" t="str">
        <f>IF(C7353="","",C7353&amp;COUNTIF(C$9:C7353,C7353))</f>
        <v/>
      </c>
    </row>
    <row r="7354" spans="2:2" x14ac:dyDescent="0.25">
      <c r="B7354" t="str">
        <f>IF(C7354="","",C7354&amp;COUNTIF(C$9:C7354,C7354))</f>
        <v/>
      </c>
    </row>
    <row r="7355" spans="2:2" x14ac:dyDescent="0.25">
      <c r="B7355" t="str">
        <f>IF(C7355="","",C7355&amp;COUNTIF(C$9:C7355,C7355))</f>
        <v/>
      </c>
    </row>
    <row r="7356" spans="2:2" x14ac:dyDescent="0.25">
      <c r="B7356" t="str">
        <f>IF(C7356="","",C7356&amp;COUNTIF(C$9:C7356,C7356))</f>
        <v/>
      </c>
    </row>
    <row r="7357" spans="2:2" x14ac:dyDescent="0.25">
      <c r="B7357" t="str">
        <f>IF(C7357="","",C7357&amp;COUNTIF(C$9:C7357,C7357))</f>
        <v/>
      </c>
    </row>
    <row r="7358" spans="2:2" x14ac:dyDescent="0.25">
      <c r="B7358" t="str">
        <f>IF(C7358="","",C7358&amp;COUNTIF(C$9:C7358,C7358))</f>
        <v/>
      </c>
    </row>
    <row r="7359" spans="2:2" x14ac:dyDescent="0.25">
      <c r="B7359" t="str">
        <f>IF(C7359="","",C7359&amp;COUNTIF(C$9:C7359,C7359))</f>
        <v/>
      </c>
    </row>
    <row r="7360" spans="2:2" x14ac:dyDescent="0.25">
      <c r="B7360" t="str">
        <f>IF(C7360="","",C7360&amp;COUNTIF(C$9:C7360,C7360))</f>
        <v/>
      </c>
    </row>
    <row r="7361" spans="2:2" x14ac:dyDescent="0.25">
      <c r="B7361" t="str">
        <f>IF(C7361="","",C7361&amp;COUNTIF(C$9:C7361,C7361))</f>
        <v/>
      </c>
    </row>
    <row r="7362" spans="2:2" x14ac:dyDescent="0.25">
      <c r="B7362" t="str">
        <f>IF(C7362="","",C7362&amp;COUNTIF(C$9:C7362,C7362))</f>
        <v/>
      </c>
    </row>
    <row r="7363" spans="2:2" x14ac:dyDescent="0.25">
      <c r="B7363" t="str">
        <f>IF(C7363="","",C7363&amp;COUNTIF(C$9:C7363,C7363))</f>
        <v/>
      </c>
    </row>
    <row r="7364" spans="2:2" x14ac:dyDescent="0.25">
      <c r="B7364" t="str">
        <f>IF(C7364="","",C7364&amp;COUNTIF(C$9:C7364,C7364))</f>
        <v/>
      </c>
    </row>
    <row r="7365" spans="2:2" x14ac:dyDescent="0.25">
      <c r="B7365" t="str">
        <f>IF(C7365="","",C7365&amp;COUNTIF(C$9:C7365,C7365))</f>
        <v/>
      </c>
    </row>
    <row r="7366" spans="2:2" x14ac:dyDescent="0.25">
      <c r="B7366" t="str">
        <f>IF(C7366="","",C7366&amp;COUNTIF(C$9:C7366,C7366))</f>
        <v/>
      </c>
    </row>
    <row r="7367" spans="2:2" x14ac:dyDescent="0.25">
      <c r="B7367" t="str">
        <f>IF(C7367="","",C7367&amp;COUNTIF(C$9:C7367,C7367))</f>
        <v/>
      </c>
    </row>
    <row r="7368" spans="2:2" x14ac:dyDescent="0.25">
      <c r="B7368" t="str">
        <f>IF(C7368="","",C7368&amp;COUNTIF(C$9:C7368,C7368))</f>
        <v/>
      </c>
    </row>
    <row r="7369" spans="2:2" x14ac:dyDescent="0.25">
      <c r="B7369" t="str">
        <f>IF(C7369="","",C7369&amp;COUNTIF(C$9:C7369,C7369))</f>
        <v/>
      </c>
    </row>
    <row r="7370" spans="2:2" x14ac:dyDescent="0.25">
      <c r="B7370" t="str">
        <f>IF(C7370="","",C7370&amp;COUNTIF(C$9:C7370,C7370))</f>
        <v/>
      </c>
    </row>
    <row r="7371" spans="2:2" x14ac:dyDescent="0.25">
      <c r="B7371" t="str">
        <f>IF(C7371="","",C7371&amp;COUNTIF(C$9:C7371,C7371))</f>
        <v/>
      </c>
    </row>
    <row r="7372" spans="2:2" x14ac:dyDescent="0.25">
      <c r="B7372" t="str">
        <f>IF(C7372="","",C7372&amp;COUNTIF(C$9:C7372,C7372))</f>
        <v/>
      </c>
    </row>
    <row r="7373" spans="2:2" x14ac:dyDescent="0.25">
      <c r="B7373" t="str">
        <f>IF(C7373="","",C7373&amp;COUNTIF(C$9:C7373,C7373))</f>
        <v/>
      </c>
    </row>
    <row r="7374" spans="2:2" x14ac:dyDescent="0.25">
      <c r="B7374" t="str">
        <f>IF(C7374="","",C7374&amp;COUNTIF(C$9:C7374,C7374))</f>
        <v/>
      </c>
    </row>
    <row r="7375" spans="2:2" x14ac:dyDescent="0.25">
      <c r="B7375" t="str">
        <f>IF(C7375="","",C7375&amp;COUNTIF(C$9:C7375,C7375))</f>
        <v/>
      </c>
    </row>
    <row r="7376" spans="2:2" x14ac:dyDescent="0.25">
      <c r="B7376" t="str">
        <f>IF(C7376="","",C7376&amp;COUNTIF(C$9:C7376,C7376))</f>
        <v/>
      </c>
    </row>
    <row r="7377" spans="2:2" x14ac:dyDescent="0.25">
      <c r="B7377" t="str">
        <f>IF(C7377="","",C7377&amp;COUNTIF(C$9:C7377,C7377))</f>
        <v/>
      </c>
    </row>
    <row r="7378" spans="2:2" x14ac:dyDescent="0.25">
      <c r="B7378" t="str">
        <f>IF(C7378="","",C7378&amp;COUNTIF(C$9:C7378,C7378))</f>
        <v/>
      </c>
    </row>
    <row r="7379" spans="2:2" x14ac:dyDescent="0.25">
      <c r="B7379" t="str">
        <f>IF(C7379="","",C7379&amp;COUNTIF(C$9:C7379,C7379))</f>
        <v/>
      </c>
    </row>
    <row r="7380" spans="2:2" x14ac:dyDescent="0.25">
      <c r="B7380" t="str">
        <f>IF(C7380="","",C7380&amp;COUNTIF(C$9:C7380,C7380))</f>
        <v/>
      </c>
    </row>
    <row r="7381" spans="2:2" x14ac:dyDescent="0.25">
      <c r="B7381" t="str">
        <f>IF(C7381="","",C7381&amp;COUNTIF(C$9:C7381,C7381))</f>
        <v/>
      </c>
    </row>
    <row r="7382" spans="2:2" x14ac:dyDescent="0.25">
      <c r="B7382" t="str">
        <f>IF(C7382="","",C7382&amp;COUNTIF(C$9:C7382,C7382))</f>
        <v/>
      </c>
    </row>
    <row r="7383" spans="2:2" x14ac:dyDescent="0.25">
      <c r="B7383" t="str">
        <f>IF(C7383="","",C7383&amp;COUNTIF(C$9:C7383,C7383))</f>
        <v/>
      </c>
    </row>
    <row r="7384" spans="2:2" x14ac:dyDescent="0.25">
      <c r="B7384" t="str">
        <f>IF(C7384="","",C7384&amp;COUNTIF(C$9:C7384,C7384))</f>
        <v/>
      </c>
    </row>
    <row r="7385" spans="2:2" x14ac:dyDescent="0.25">
      <c r="B7385" t="str">
        <f>IF(C7385="","",C7385&amp;COUNTIF(C$9:C7385,C7385))</f>
        <v/>
      </c>
    </row>
    <row r="7386" spans="2:2" x14ac:dyDescent="0.25">
      <c r="B7386" t="str">
        <f>IF(C7386="","",C7386&amp;COUNTIF(C$9:C7386,C7386))</f>
        <v/>
      </c>
    </row>
    <row r="7387" spans="2:2" x14ac:dyDescent="0.25">
      <c r="B7387" t="str">
        <f>IF(C7387="","",C7387&amp;COUNTIF(C$9:C7387,C7387))</f>
        <v/>
      </c>
    </row>
    <row r="7388" spans="2:2" x14ac:dyDescent="0.25">
      <c r="B7388" t="str">
        <f>IF(C7388="","",C7388&amp;COUNTIF(C$9:C7388,C7388))</f>
        <v/>
      </c>
    </row>
    <row r="7389" spans="2:2" x14ac:dyDescent="0.25">
      <c r="B7389" t="str">
        <f>IF(C7389="","",C7389&amp;COUNTIF(C$9:C7389,C7389))</f>
        <v/>
      </c>
    </row>
    <row r="7390" spans="2:2" x14ac:dyDescent="0.25">
      <c r="B7390" t="str">
        <f>IF(C7390="","",C7390&amp;COUNTIF(C$9:C7390,C7390))</f>
        <v/>
      </c>
    </row>
    <row r="7391" spans="2:2" x14ac:dyDescent="0.25">
      <c r="B7391" t="str">
        <f>IF(C7391="","",C7391&amp;COUNTIF(C$9:C7391,C7391))</f>
        <v/>
      </c>
    </row>
    <row r="7392" spans="2:2" x14ac:dyDescent="0.25">
      <c r="B7392" t="str">
        <f>IF(C7392="","",C7392&amp;COUNTIF(C$9:C7392,C7392))</f>
        <v/>
      </c>
    </row>
    <row r="7393" spans="2:2" x14ac:dyDescent="0.25">
      <c r="B7393" t="str">
        <f>IF(C7393="","",C7393&amp;COUNTIF(C$9:C7393,C7393))</f>
        <v/>
      </c>
    </row>
    <row r="7394" spans="2:2" x14ac:dyDescent="0.25">
      <c r="B7394" t="str">
        <f>IF(C7394="","",C7394&amp;COUNTIF(C$9:C7394,C7394))</f>
        <v/>
      </c>
    </row>
    <row r="7395" spans="2:2" x14ac:dyDescent="0.25">
      <c r="B7395" t="str">
        <f>IF(C7395="","",C7395&amp;COUNTIF(C$9:C7395,C7395))</f>
        <v/>
      </c>
    </row>
    <row r="7396" spans="2:2" x14ac:dyDescent="0.25">
      <c r="B7396" t="str">
        <f>IF(C7396="","",C7396&amp;COUNTIF(C$9:C7396,C7396))</f>
        <v/>
      </c>
    </row>
    <row r="7397" spans="2:2" x14ac:dyDescent="0.25">
      <c r="B7397" t="str">
        <f>IF(C7397="","",C7397&amp;COUNTIF(C$9:C7397,C7397))</f>
        <v/>
      </c>
    </row>
    <row r="7398" spans="2:2" x14ac:dyDescent="0.25">
      <c r="B7398" t="str">
        <f>IF(C7398="","",C7398&amp;COUNTIF(C$9:C7398,C7398))</f>
        <v/>
      </c>
    </row>
    <row r="7399" spans="2:2" x14ac:dyDescent="0.25">
      <c r="B7399" t="str">
        <f>IF(C7399="","",C7399&amp;COUNTIF(C$9:C7399,C7399))</f>
        <v/>
      </c>
    </row>
    <row r="7400" spans="2:2" x14ac:dyDescent="0.25">
      <c r="B7400" t="str">
        <f>IF(C7400="","",C7400&amp;COUNTIF(C$9:C7400,C7400))</f>
        <v/>
      </c>
    </row>
    <row r="7401" spans="2:2" x14ac:dyDescent="0.25">
      <c r="B7401" t="str">
        <f>IF(C7401="","",C7401&amp;COUNTIF(C$9:C7401,C7401))</f>
        <v/>
      </c>
    </row>
    <row r="7402" spans="2:2" x14ac:dyDescent="0.25">
      <c r="B7402" t="str">
        <f>IF(C7402="","",C7402&amp;COUNTIF(C$9:C7402,C7402))</f>
        <v/>
      </c>
    </row>
    <row r="7403" spans="2:2" x14ac:dyDescent="0.25">
      <c r="B7403" t="str">
        <f>IF(C7403="","",C7403&amp;COUNTIF(C$9:C7403,C7403))</f>
        <v/>
      </c>
    </row>
    <row r="7404" spans="2:2" x14ac:dyDescent="0.25">
      <c r="B7404" t="str">
        <f>IF(C7404="","",C7404&amp;COUNTIF(C$9:C7404,C7404))</f>
        <v/>
      </c>
    </row>
    <row r="7405" spans="2:2" x14ac:dyDescent="0.25">
      <c r="B7405" t="str">
        <f>IF(C7405="","",C7405&amp;COUNTIF(C$9:C7405,C7405))</f>
        <v/>
      </c>
    </row>
    <row r="7406" spans="2:2" x14ac:dyDescent="0.25">
      <c r="B7406" t="str">
        <f>IF(C7406="","",C7406&amp;COUNTIF(C$9:C7406,C7406))</f>
        <v/>
      </c>
    </row>
    <row r="7407" spans="2:2" x14ac:dyDescent="0.25">
      <c r="B7407" t="str">
        <f>IF(C7407="","",C7407&amp;COUNTIF(C$9:C7407,C7407))</f>
        <v/>
      </c>
    </row>
    <row r="7408" spans="2:2" x14ac:dyDescent="0.25">
      <c r="B7408" t="str">
        <f>IF(C7408="","",C7408&amp;COUNTIF(C$9:C7408,C7408))</f>
        <v/>
      </c>
    </row>
    <row r="7409" spans="2:2" x14ac:dyDescent="0.25">
      <c r="B7409" t="str">
        <f>IF(C7409="","",C7409&amp;COUNTIF(C$9:C7409,C7409))</f>
        <v/>
      </c>
    </row>
    <row r="7410" spans="2:2" x14ac:dyDescent="0.25">
      <c r="B7410" t="str">
        <f>IF(C7410="","",C7410&amp;COUNTIF(C$9:C7410,C7410))</f>
        <v/>
      </c>
    </row>
    <row r="7411" spans="2:2" x14ac:dyDescent="0.25">
      <c r="B7411" t="str">
        <f>IF(C7411="","",C7411&amp;COUNTIF(C$9:C7411,C7411))</f>
        <v/>
      </c>
    </row>
    <row r="7412" spans="2:2" x14ac:dyDescent="0.25">
      <c r="B7412" t="str">
        <f>IF(C7412="","",C7412&amp;COUNTIF(C$9:C7412,C7412))</f>
        <v/>
      </c>
    </row>
    <row r="7413" spans="2:2" x14ac:dyDescent="0.25">
      <c r="B7413" t="str">
        <f>IF(C7413="","",C7413&amp;COUNTIF(C$9:C7413,C7413))</f>
        <v/>
      </c>
    </row>
    <row r="7414" spans="2:2" x14ac:dyDescent="0.25">
      <c r="B7414" t="str">
        <f>IF(C7414="","",C7414&amp;COUNTIF(C$9:C7414,C7414))</f>
        <v/>
      </c>
    </row>
    <row r="7415" spans="2:2" x14ac:dyDescent="0.25">
      <c r="B7415" t="str">
        <f>IF(C7415="","",C7415&amp;COUNTIF(C$9:C7415,C7415))</f>
        <v/>
      </c>
    </row>
    <row r="7416" spans="2:2" x14ac:dyDescent="0.25">
      <c r="B7416" t="str">
        <f>IF(C7416="","",C7416&amp;COUNTIF(C$9:C7416,C7416))</f>
        <v/>
      </c>
    </row>
    <row r="7417" spans="2:2" x14ac:dyDescent="0.25">
      <c r="B7417" t="str">
        <f>IF(C7417="","",C7417&amp;COUNTIF(C$9:C7417,C7417))</f>
        <v/>
      </c>
    </row>
    <row r="7418" spans="2:2" x14ac:dyDescent="0.25">
      <c r="B7418" t="str">
        <f>IF(C7418="","",C7418&amp;COUNTIF(C$9:C7418,C7418))</f>
        <v/>
      </c>
    </row>
    <row r="7419" spans="2:2" x14ac:dyDescent="0.25">
      <c r="B7419" t="str">
        <f>IF(C7419="","",C7419&amp;COUNTIF(C$9:C7419,C7419))</f>
        <v/>
      </c>
    </row>
    <row r="7420" spans="2:2" x14ac:dyDescent="0.25">
      <c r="B7420" t="str">
        <f>IF(C7420="","",C7420&amp;COUNTIF(C$9:C7420,C7420))</f>
        <v/>
      </c>
    </row>
    <row r="7421" spans="2:2" x14ac:dyDescent="0.25">
      <c r="B7421" t="str">
        <f>IF(C7421="","",C7421&amp;COUNTIF(C$9:C7421,C7421))</f>
        <v/>
      </c>
    </row>
    <row r="7422" spans="2:2" x14ac:dyDescent="0.25">
      <c r="B7422" t="str">
        <f>IF(C7422="","",C7422&amp;COUNTIF(C$9:C7422,C7422))</f>
        <v/>
      </c>
    </row>
    <row r="7423" spans="2:2" x14ac:dyDescent="0.25">
      <c r="B7423" t="str">
        <f>IF(C7423="","",C7423&amp;COUNTIF(C$9:C7423,C7423))</f>
        <v/>
      </c>
    </row>
    <row r="7424" spans="2:2" x14ac:dyDescent="0.25">
      <c r="B7424" t="str">
        <f>IF(C7424="","",C7424&amp;COUNTIF(C$9:C7424,C7424))</f>
        <v/>
      </c>
    </row>
    <row r="7425" spans="2:2" x14ac:dyDescent="0.25">
      <c r="B7425" t="str">
        <f>IF(C7425="","",C7425&amp;COUNTIF(C$9:C7425,C7425))</f>
        <v/>
      </c>
    </row>
    <row r="7426" spans="2:2" x14ac:dyDescent="0.25">
      <c r="B7426" t="str">
        <f>IF(C7426="","",C7426&amp;COUNTIF(C$9:C7426,C7426))</f>
        <v/>
      </c>
    </row>
    <row r="7427" spans="2:2" x14ac:dyDescent="0.25">
      <c r="B7427" t="str">
        <f>IF(C7427="","",C7427&amp;COUNTIF(C$9:C7427,C7427))</f>
        <v/>
      </c>
    </row>
    <row r="7428" spans="2:2" x14ac:dyDescent="0.25">
      <c r="B7428" t="str">
        <f>IF(C7428="","",C7428&amp;COUNTIF(C$9:C7428,C7428))</f>
        <v/>
      </c>
    </row>
    <row r="7429" spans="2:2" x14ac:dyDescent="0.25">
      <c r="B7429" t="str">
        <f>IF(C7429="","",C7429&amp;COUNTIF(C$9:C7429,C7429))</f>
        <v/>
      </c>
    </row>
    <row r="7430" spans="2:2" x14ac:dyDescent="0.25">
      <c r="B7430" t="str">
        <f>IF(C7430="","",C7430&amp;COUNTIF(C$9:C7430,C7430))</f>
        <v/>
      </c>
    </row>
    <row r="7431" spans="2:2" x14ac:dyDescent="0.25">
      <c r="B7431" t="str">
        <f>IF(C7431="","",C7431&amp;COUNTIF(C$9:C7431,C7431))</f>
        <v/>
      </c>
    </row>
    <row r="7432" spans="2:2" x14ac:dyDescent="0.25">
      <c r="B7432" t="str">
        <f>IF(C7432="","",C7432&amp;COUNTIF(C$9:C7432,C7432))</f>
        <v/>
      </c>
    </row>
    <row r="7433" spans="2:2" x14ac:dyDescent="0.25">
      <c r="B7433" t="str">
        <f>IF(C7433="","",C7433&amp;COUNTIF(C$9:C7433,C7433))</f>
        <v/>
      </c>
    </row>
    <row r="7434" spans="2:2" x14ac:dyDescent="0.25">
      <c r="B7434" t="str">
        <f>IF(C7434="","",C7434&amp;COUNTIF(C$9:C7434,C7434))</f>
        <v/>
      </c>
    </row>
    <row r="7435" spans="2:2" x14ac:dyDescent="0.25">
      <c r="B7435" t="str">
        <f>IF(C7435="","",C7435&amp;COUNTIF(C$9:C7435,C7435))</f>
        <v/>
      </c>
    </row>
    <row r="7436" spans="2:2" x14ac:dyDescent="0.25">
      <c r="B7436" t="str">
        <f>IF(C7436="","",C7436&amp;COUNTIF(C$9:C7436,C7436))</f>
        <v/>
      </c>
    </row>
    <row r="7437" spans="2:2" x14ac:dyDescent="0.25">
      <c r="B7437" t="str">
        <f>IF(C7437="","",C7437&amp;COUNTIF(C$9:C7437,C7437))</f>
        <v/>
      </c>
    </row>
    <row r="7438" spans="2:2" x14ac:dyDescent="0.25">
      <c r="B7438" t="str">
        <f>IF(C7438="","",C7438&amp;COUNTIF(C$9:C7438,C7438))</f>
        <v/>
      </c>
    </row>
    <row r="7439" spans="2:2" x14ac:dyDescent="0.25">
      <c r="B7439" t="str">
        <f>IF(C7439="","",C7439&amp;COUNTIF(C$9:C7439,C7439))</f>
        <v/>
      </c>
    </row>
    <row r="7440" spans="2:2" x14ac:dyDescent="0.25">
      <c r="B7440" t="str">
        <f>IF(C7440="","",C7440&amp;COUNTIF(C$9:C7440,C7440))</f>
        <v/>
      </c>
    </row>
    <row r="7441" spans="2:2" x14ac:dyDescent="0.25">
      <c r="B7441" t="str">
        <f>IF(C7441="","",C7441&amp;COUNTIF(C$9:C7441,C7441))</f>
        <v/>
      </c>
    </row>
    <row r="7442" spans="2:2" x14ac:dyDescent="0.25">
      <c r="B7442" t="str">
        <f>IF(C7442="","",C7442&amp;COUNTIF(C$9:C7442,C7442))</f>
        <v/>
      </c>
    </row>
    <row r="7443" spans="2:2" x14ac:dyDescent="0.25">
      <c r="B7443" t="str">
        <f>IF(C7443="","",C7443&amp;COUNTIF(C$9:C7443,C7443))</f>
        <v/>
      </c>
    </row>
    <row r="7444" spans="2:2" x14ac:dyDescent="0.25">
      <c r="B7444" t="str">
        <f>IF(C7444="","",C7444&amp;COUNTIF(C$9:C7444,C7444))</f>
        <v/>
      </c>
    </row>
    <row r="7445" spans="2:2" x14ac:dyDescent="0.25">
      <c r="B7445" t="str">
        <f>IF(C7445="","",C7445&amp;COUNTIF(C$9:C7445,C7445))</f>
        <v/>
      </c>
    </row>
    <row r="7446" spans="2:2" x14ac:dyDescent="0.25">
      <c r="B7446" t="str">
        <f>IF(C7446="","",C7446&amp;COUNTIF(C$9:C7446,C7446))</f>
        <v/>
      </c>
    </row>
    <row r="7447" spans="2:2" x14ac:dyDescent="0.25">
      <c r="B7447" t="str">
        <f>IF(C7447="","",C7447&amp;COUNTIF(C$9:C7447,C7447))</f>
        <v/>
      </c>
    </row>
    <row r="7448" spans="2:2" x14ac:dyDescent="0.25">
      <c r="B7448" t="str">
        <f>IF(C7448="","",C7448&amp;COUNTIF(C$9:C7448,C7448))</f>
        <v/>
      </c>
    </row>
    <row r="7449" spans="2:2" x14ac:dyDescent="0.25">
      <c r="B7449" t="str">
        <f>IF(C7449="","",C7449&amp;COUNTIF(C$9:C7449,C7449))</f>
        <v/>
      </c>
    </row>
    <row r="7450" spans="2:2" x14ac:dyDescent="0.25">
      <c r="B7450" t="str">
        <f>IF(C7450="","",C7450&amp;COUNTIF(C$9:C7450,C7450))</f>
        <v/>
      </c>
    </row>
    <row r="7451" spans="2:2" x14ac:dyDescent="0.25">
      <c r="B7451" t="str">
        <f>IF(C7451="","",C7451&amp;COUNTIF(C$9:C7451,C7451))</f>
        <v/>
      </c>
    </row>
    <row r="7452" spans="2:2" x14ac:dyDescent="0.25">
      <c r="B7452" t="str">
        <f>IF(C7452="","",C7452&amp;COUNTIF(C$9:C7452,C7452))</f>
        <v/>
      </c>
    </row>
    <row r="7453" spans="2:2" x14ac:dyDescent="0.25">
      <c r="B7453" t="str">
        <f>IF(C7453="","",C7453&amp;COUNTIF(C$9:C7453,C7453))</f>
        <v/>
      </c>
    </row>
    <row r="7454" spans="2:2" x14ac:dyDescent="0.25">
      <c r="B7454" t="str">
        <f>IF(C7454="","",C7454&amp;COUNTIF(C$9:C7454,C7454))</f>
        <v/>
      </c>
    </row>
    <row r="7455" spans="2:2" x14ac:dyDescent="0.25">
      <c r="B7455" t="str">
        <f>IF(C7455="","",C7455&amp;COUNTIF(C$9:C7455,C7455))</f>
        <v/>
      </c>
    </row>
    <row r="7456" spans="2:2" x14ac:dyDescent="0.25">
      <c r="B7456" t="str">
        <f>IF(C7456="","",C7456&amp;COUNTIF(C$9:C7456,C7456))</f>
        <v/>
      </c>
    </row>
    <row r="7457" spans="2:2" x14ac:dyDescent="0.25">
      <c r="B7457" t="str">
        <f>IF(C7457="","",C7457&amp;COUNTIF(C$9:C7457,C7457))</f>
        <v/>
      </c>
    </row>
    <row r="7458" spans="2:2" x14ac:dyDescent="0.25">
      <c r="B7458" t="str">
        <f>IF(C7458="","",C7458&amp;COUNTIF(C$9:C7458,C7458))</f>
        <v/>
      </c>
    </row>
    <row r="7459" spans="2:2" x14ac:dyDescent="0.25">
      <c r="B7459" t="str">
        <f>IF(C7459="","",C7459&amp;COUNTIF(C$9:C7459,C7459))</f>
        <v/>
      </c>
    </row>
    <row r="7460" spans="2:2" x14ac:dyDescent="0.25">
      <c r="B7460" t="str">
        <f>IF(C7460="","",C7460&amp;COUNTIF(C$9:C7460,C7460))</f>
        <v/>
      </c>
    </row>
    <row r="7461" spans="2:2" x14ac:dyDescent="0.25">
      <c r="B7461" t="str">
        <f>IF(C7461="","",C7461&amp;COUNTIF(C$9:C7461,C7461))</f>
        <v/>
      </c>
    </row>
    <row r="7462" spans="2:2" x14ac:dyDescent="0.25">
      <c r="B7462" t="str">
        <f>IF(C7462="","",C7462&amp;COUNTIF(C$9:C7462,C7462))</f>
        <v/>
      </c>
    </row>
    <row r="7463" spans="2:2" x14ac:dyDescent="0.25">
      <c r="B7463" t="str">
        <f>IF(C7463="","",C7463&amp;COUNTIF(C$9:C7463,C7463))</f>
        <v/>
      </c>
    </row>
    <row r="7464" spans="2:2" x14ac:dyDescent="0.25">
      <c r="B7464" t="str">
        <f>IF(C7464="","",C7464&amp;COUNTIF(C$9:C7464,C7464))</f>
        <v/>
      </c>
    </row>
    <row r="7465" spans="2:2" x14ac:dyDescent="0.25">
      <c r="B7465" t="str">
        <f>IF(C7465="","",C7465&amp;COUNTIF(C$9:C7465,C7465))</f>
        <v/>
      </c>
    </row>
    <row r="7466" spans="2:2" x14ac:dyDescent="0.25">
      <c r="B7466" t="str">
        <f>IF(C7466="","",C7466&amp;COUNTIF(C$9:C7466,C7466))</f>
        <v/>
      </c>
    </row>
    <row r="7467" spans="2:2" x14ac:dyDescent="0.25">
      <c r="B7467" t="str">
        <f>IF(C7467="","",C7467&amp;COUNTIF(C$9:C7467,C7467))</f>
        <v/>
      </c>
    </row>
    <row r="7468" spans="2:2" x14ac:dyDescent="0.25">
      <c r="B7468" t="str">
        <f>IF(C7468="","",C7468&amp;COUNTIF(C$9:C7468,C7468))</f>
        <v/>
      </c>
    </row>
    <row r="7469" spans="2:2" x14ac:dyDescent="0.25">
      <c r="B7469" t="str">
        <f>IF(C7469="","",C7469&amp;COUNTIF(C$9:C7469,C7469))</f>
        <v/>
      </c>
    </row>
    <row r="7470" spans="2:2" x14ac:dyDescent="0.25">
      <c r="B7470" t="str">
        <f>IF(C7470="","",C7470&amp;COUNTIF(C$9:C7470,C7470))</f>
        <v/>
      </c>
    </row>
    <row r="7471" spans="2:2" x14ac:dyDescent="0.25">
      <c r="B7471" t="str">
        <f>IF(C7471="","",C7471&amp;COUNTIF(C$9:C7471,C7471))</f>
        <v/>
      </c>
    </row>
    <row r="7472" spans="2:2" x14ac:dyDescent="0.25">
      <c r="B7472" t="str">
        <f>IF(C7472="","",C7472&amp;COUNTIF(C$9:C7472,C7472))</f>
        <v/>
      </c>
    </row>
    <row r="7473" spans="2:2" x14ac:dyDescent="0.25">
      <c r="B7473" t="str">
        <f>IF(C7473="","",C7473&amp;COUNTIF(C$9:C7473,C7473))</f>
        <v/>
      </c>
    </row>
    <row r="7474" spans="2:2" x14ac:dyDescent="0.25">
      <c r="B7474" t="str">
        <f>IF(C7474="","",C7474&amp;COUNTIF(C$9:C7474,C7474))</f>
        <v/>
      </c>
    </row>
    <row r="7475" spans="2:2" x14ac:dyDescent="0.25">
      <c r="B7475" t="str">
        <f>IF(C7475="","",C7475&amp;COUNTIF(C$9:C7475,C7475))</f>
        <v/>
      </c>
    </row>
    <row r="7476" spans="2:2" x14ac:dyDescent="0.25">
      <c r="B7476" t="str">
        <f>IF(C7476="","",C7476&amp;COUNTIF(C$9:C7476,C7476))</f>
        <v/>
      </c>
    </row>
    <row r="7477" spans="2:2" x14ac:dyDescent="0.25">
      <c r="B7477" t="str">
        <f>IF(C7477="","",C7477&amp;COUNTIF(C$9:C7477,C7477))</f>
        <v/>
      </c>
    </row>
    <row r="7478" spans="2:2" x14ac:dyDescent="0.25">
      <c r="B7478" t="str">
        <f>IF(C7478="","",C7478&amp;COUNTIF(C$9:C7478,C7478))</f>
        <v/>
      </c>
    </row>
    <row r="7479" spans="2:2" x14ac:dyDescent="0.25">
      <c r="B7479" t="str">
        <f>IF(C7479="","",C7479&amp;COUNTIF(C$9:C7479,C7479))</f>
        <v/>
      </c>
    </row>
    <row r="7480" spans="2:2" x14ac:dyDescent="0.25">
      <c r="B7480" t="str">
        <f>IF(C7480="","",C7480&amp;COUNTIF(C$9:C7480,C7480))</f>
        <v/>
      </c>
    </row>
    <row r="7481" spans="2:2" x14ac:dyDescent="0.25">
      <c r="B7481" t="str">
        <f>IF(C7481="","",C7481&amp;COUNTIF(C$9:C7481,C7481))</f>
        <v/>
      </c>
    </row>
    <row r="7482" spans="2:2" x14ac:dyDescent="0.25">
      <c r="B7482" t="str">
        <f>IF(C7482="","",C7482&amp;COUNTIF(C$9:C7482,C7482))</f>
        <v/>
      </c>
    </row>
    <row r="7483" spans="2:2" x14ac:dyDescent="0.25">
      <c r="B7483" t="str">
        <f>IF(C7483="","",C7483&amp;COUNTIF(C$9:C7483,C7483))</f>
        <v/>
      </c>
    </row>
    <row r="7484" spans="2:2" x14ac:dyDescent="0.25">
      <c r="B7484" t="str">
        <f>IF(C7484="","",C7484&amp;COUNTIF(C$9:C7484,C7484))</f>
        <v/>
      </c>
    </row>
    <row r="7485" spans="2:2" x14ac:dyDescent="0.25">
      <c r="B7485" t="str">
        <f>IF(C7485="","",C7485&amp;COUNTIF(C$9:C7485,C7485))</f>
        <v/>
      </c>
    </row>
    <row r="7486" spans="2:2" x14ac:dyDescent="0.25">
      <c r="B7486" t="str">
        <f>IF(C7486="","",C7486&amp;COUNTIF(C$9:C7486,C7486))</f>
        <v/>
      </c>
    </row>
    <row r="7487" spans="2:2" x14ac:dyDescent="0.25">
      <c r="B7487" t="str">
        <f>IF(C7487="","",C7487&amp;COUNTIF(C$9:C7487,C7487))</f>
        <v/>
      </c>
    </row>
    <row r="7488" spans="2:2" x14ac:dyDescent="0.25">
      <c r="B7488" t="str">
        <f>IF(C7488="","",C7488&amp;COUNTIF(C$9:C7488,C7488))</f>
        <v/>
      </c>
    </row>
    <row r="7489" spans="2:2" x14ac:dyDescent="0.25">
      <c r="B7489" t="str">
        <f>IF(C7489="","",C7489&amp;COUNTIF(C$9:C7489,C7489))</f>
        <v/>
      </c>
    </row>
    <row r="7490" spans="2:2" x14ac:dyDescent="0.25">
      <c r="B7490" t="str">
        <f>IF(C7490="","",C7490&amp;COUNTIF(C$9:C7490,C7490))</f>
        <v/>
      </c>
    </row>
    <row r="7491" spans="2:2" x14ac:dyDescent="0.25">
      <c r="B7491" t="str">
        <f>IF(C7491="","",C7491&amp;COUNTIF(C$9:C7491,C7491))</f>
        <v/>
      </c>
    </row>
    <row r="7492" spans="2:2" x14ac:dyDescent="0.25">
      <c r="B7492" t="str">
        <f>IF(C7492="","",C7492&amp;COUNTIF(C$9:C7492,C7492))</f>
        <v/>
      </c>
    </row>
    <row r="7493" spans="2:2" x14ac:dyDescent="0.25">
      <c r="B7493" t="str">
        <f>IF(C7493="","",C7493&amp;COUNTIF(C$9:C7493,C7493))</f>
        <v/>
      </c>
    </row>
    <row r="7494" spans="2:2" x14ac:dyDescent="0.25">
      <c r="B7494" t="str">
        <f>IF(C7494="","",C7494&amp;COUNTIF(C$9:C7494,C7494))</f>
        <v/>
      </c>
    </row>
    <row r="7495" spans="2:2" x14ac:dyDescent="0.25">
      <c r="B7495" t="str">
        <f>IF(C7495="","",C7495&amp;COUNTIF(C$9:C7495,C7495))</f>
        <v/>
      </c>
    </row>
    <row r="7496" spans="2:2" x14ac:dyDescent="0.25">
      <c r="B7496" t="str">
        <f>IF(C7496="","",C7496&amp;COUNTIF(C$9:C7496,C7496))</f>
        <v/>
      </c>
    </row>
    <row r="7497" spans="2:2" x14ac:dyDescent="0.25">
      <c r="B7497" t="str">
        <f>IF(C7497="","",C7497&amp;COUNTIF(C$9:C7497,C7497))</f>
        <v/>
      </c>
    </row>
    <row r="7498" spans="2:2" x14ac:dyDescent="0.25">
      <c r="B7498" t="str">
        <f>IF(C7498="","",C7498&amp;COUNTIF(C$9:C7498,C7498))</f>
        <v/>
      </c>
    </row>
    <row r="7499" spans="2:2" x14ac:dyDescent="0.25">
      <c r="B7499" t="str">
        <f>IF(C7499="","",C7499&amp;COUNTIF(C$9:C7499,C7499))</f>
        <v/>
      </c>
    </row>
    <row r="7500" spans="2:2" x14ac:dyDescent="0.25">
      <c r="B7500" t="str">
        <f>IF(C7500="","",C7500&amp;COUNTIF(C$9:C7500,C7500))</f>
        <v/>
      </c>
    </row>
    <row r="7501" spans="2:2" x14ac:dyDescent="0.25">
      <c r="B7501" t="str">
        <f>IF(C7501="","",C7501&amp;COUNTIF(C$9:C7501,C7501))</f>
        <v/>
      </c>
    </row>
    <row r="7502" spans="2:2" x14ac:dyDescent="0.25">
      <c r="B7502" t="str">
        <f>IF(C7502="","",C7502&amp;COUNTIF(C$9:C7502,C7502))</f>
        <v/>
      </c>
    </row>
    <row r="7503" spans="2:2" x14ac:dyDescent="0.25">
      <c r="B7503" t="str">
        <f>IF(C7503="","",C7503&amp;COUNTIF(C$9:C7503,C7503))</f>
        <v/>
      </c>
    </row>
    <row r="7504" spans="2:2" x14ac:dyDescent="0.25">
      <c r="B7504" t="str">
        <f>IF(C7504="","",C7504&amp;COUNTIF(C$9:C7504,C7504))</f>
        <v/>
      </c>
    </row>
    <row r="7505" spans="2:2" x14ac:dyDescent="0.25">
      <c r="B7505" t="str">
        <f>IF(C7505="","",C7505&amp;COUNTIF(C$9:C7505,C7505))</f>
        <v/>
      </c>
    </row>
    <row r="7506" spans="2:2" x14ac:dyDescent="0.25">
      <c r="B7506" t="str">
        <f>IF(C7506="","",C7506&amp;COUNTIF(C$9:C7506,C7506))</f>
        <v/>
      </c>
    </row>
    <row r="7507" spans="2:2" x14ac:dyDescent="0.25">
      <c r="B7507" t="str">
        <f>IF(C7507="","",C7507&amp;COUNTIF(C$9:C7507,C7507))</f>
        <v/>
      </c>
    </row>
    <row r="7508" spans="2:2" x14ac:dyDescent="0.25">
      <c r="B7508" t="str">
        <f>IF(C7508="","",C7508&amp;COUNTIF(C$9:C7508,C7508))</f>
        <v/>
      </c>
    </row>
    <row r="7509" spans="2:2" x14ac:dyDescent="0.25">
      <c r="B7509" t="str">
        <f>IF(C7509="","",C7509&amp;COUNTIF(C$9:C7509,C7509))</f>
        <v/>
      </c>
    </row>
    <row r="7510" spans="2:2" x14ac:dyDescent="0.25">
      <c r="B7510" t="str">
        <f>IF(C7510="","",C7510&amp;COUNTIF(C$9:C7510,C7510))</f>
        <v/>
      </c>
    </row>
    <row r="7511" spans="2:2" x14ac:dyDescent="0.25">
      <c r="B7511" t="str">
        <f>IF(C7511="","",C7511&amp;COUNTIF(C$9:C7511,C7511))</f>
        <v/>
      </c>
    </row>
    <row r="7512" spans="2:2" x14ac:dyDescent="0.25">
      <c r="B7512" t="str">
        <f>IF(C7512="","",C7512&amp;COUNTIF(C$9:C7512,C7512))</f>
        <v/>
      </c>
    </row>
    <row r="7513" spans="2:2" x14ac:dyDescent="0.25">
      <c r="B7513" t="str">
        <f>IF(C7513="","",C7513&amp;COUNTIF(C$9:C7513,C7513))</f>
        <v/>
      </c>
    </row>
    <row r="7514" spans="2:2" x14ac:dyDescent="0.25">
      <c r="B7514" t="str">
        <f>IF(C7514="","",C7514&amp;COUNTIF(C$9:C7514,C7514))</f>
        <v/>
      </c>
    </row>
    <row r="7515" spans="2:2" x14ac:dyDescent="0.25">
      <c r="B7515" t="str">
        <f>IF(C7515="","",C7515&amp;COUNTIF(C$9:C7515,C7515))</f>
        <v/>
      </c>
    </row>
    <row r="7516" spans="2:2" x14ac:dyDescent="0.25">
      <c r="B7516" t="str">
        <f>IF(C7516="","",C7516&amp;COUNTIF(C$9:C7516,C7516))</f>
        <v/>
      </c>
    </row>
    <row r="7517" spans="2:2" x14ac:dyDescent="0.25">
      <c r="B7517" t="str">
        <f>IF(C7517="","",C7517&amp;COUNTIF(C$9:C7517,C7517))</f>
        <v/>
      </c>
    </row>
    <row r="7518" spans="2:2" x14ac:dyDescent="0.25">
      <c r="B7518" t="str">
        <f>IF(C7518="","",C7518&amp;COUNTIF(C$9:C7518,C7518))</f>
        <v/>
      </c>
    </row>
    <row r="7519" spans="2:2" x14ac:dyDescent="0.25">
      <c r="B7519" t="str">
        <f>IF(C7519="","",C7519&amp;COUNTIF(C$9:C7519,C7519))</f>
        <v/>
      </c>
    </row>
    <row r="7520" spans="2:2" x14ac:dyDescent="0.25">
      <c r="B7520" t="str">
        <f>IF(C7520="","",C7520&amp;COUNTIF(C$9:C7520,C7520))</f>
        <v/>
      </c>
    </row>
    <row r="7521" spans="2:2" x14ac:dyDescent="0.25">
      <c r="B7521" t="str">
        <f>IF(C7521="","",C7521&amp;COUNTIF(C$9:C7521,C7521))</f>
        <v/>
      </c>
    </row>
    <row r="7522" spans="2:2" x14ac:dyDescent="0.25">
      <c r="B7522" t="str">
        <f>IF(C7522="","",C7522&amp;COUNTIF(C$9:C7522,C7522))</f>
        <v/>
      </c>
    </row>
    <row r="7523" spans="2:2" x14ac:dyDescent="0.25">
      <c r="B7523" t="str">
        <f>IF(C7523="","",C7523&amp;COUNTIF(C$9:C7523,C7523))</f>
        <v/>
      </c>
    </row>
    <row r="7524" spans="2:2" x14ac:dyDescent="0.25">
      <c r="B7524" t="str">
        <f>IF(C7524="","",C7524&amp;COUNTIF(C$9:C7524,C7524))</f>
        <v/>
      </c>
    </row>
    <row r="7525" spans="2:2" x14ac:dyDescent="0.25">
      <c r="B7525" t="str">
        <f>IF(C7525="","",C7525&amp;COUNTIF(C$9:C7525,C7525))</f>
        <v/>
      </c>
    </row>
    <row r="7526" spans="2:2" x14ac:dyDescent="0.25">
      <c r="B7526" t="str">
        <f>IF(C7526="","",C7526&amp;COUNTIF(C$9:C7526,C7526))</f>
        <v/>
      </c>
    </row>
    <row r="7527" spans="2:2" x14ac:dyDescent="0.25">
      <c r="B7527" t="str">
        <f>IF(C7527="","",C7527&amp;COUNTIF(C$9:C7527,C7527))</f>
        <v/>
      </c>
    </row>
    <row r="7528" spans="2:2" x14ac:dyDescent="0.25">
      <c r="B7528" t="str">
        <f>IF(C7528="","",C7528&amp;COUNTIF(C$9:C7528,C7528))</f>
        <v/>
      </c>
    </row>
    <row r="7529" spans="2:2" x14ac:dyDescent="0.25">
      <c r="B7529" t="str">
        <f>IF(C7529="","",C7529&amp;COUNTIF(C$9:C7529,C7529))</f>
        <v/>
      </c>
    </row>
    <row r="7530" spans="2:2" x14ac:dyDescent="0.25">
      <c r="B7530" t="str">
        <f>IF(C7530="","",C7530&amp;COUNTIF(C$9:C7530,C7530))</f>
        <v/>
      </c>
    </row>
    <row r="7531" spans="2:2" x14ac:dyDescent="0.25">
      <c r="B7531" t="str">
        <f>IF(C7531="","",C7531&amp;COUNTIF(C$9:C7531,C7531))</f>
        <v/>
      </c>
    </row>
    <row r="7532" spans="2:2" x14ac:dyDescent="0.25">
      <c r="B7532" t="str">
        <f>IF(C7532="","",C7532&amp;COUNTIF(C$9:C7532,C7532))</f>
        <v/>
      </c>
    </row>
    <row r="7533" spans="2:2" x14ac:dyDescent="0.25">
      <c r="B7533" t="str">
        <f>IF(C7533="","",C7533&amp;COUNTIF(C$9:C7533,C7533))</f>
        <v/>
      </c>
    </row>
    <row r="7534" spans="2:2" x14ac:dyDescent="0.25">
      <c r="B7534" t="str">
        <f>IF(C7534="","",C7534&amp;COUNTIF(C$9:C7534,C7534))</f>
        <v/>
      </c>
    </row>
    <row r="7535" spans="2:2" x14ac:dyDescent="0.25">
      <c r="B7535" t="str">
        <f>IF(C7535="","",C7535&amp;COUNTIF(C$9:C7535,C7535))</f>
        <v/>
      </c>
    </row>
    <row r="7536" spans="2:2" x14ac:dyDescent="0.25">
      <c r="B7536" t="str">
        <f>IF(C7536="","",C7536&amp;COUNTIF(C$9:C7536,C7536))</f>
        <v/>
      </c>
    </row>
    <row r="7537" spans="2:2" x14ac:dyDescent="0.25">
      <c r="B7537" t="str">
        <f>IF(C7537="","",C7537&amp;COUNTIF(C$9:C7537,C7537))</f>
        <v/>
      </c>
    </row>
    <row r="7538" spans="2:2" x14ac:dyDescent="0.25">
      <c r="B7538" t="str">
        <f>IF(C7538="","",C7538&amp;COUNTIF(C$9:C7538,C7538))</f>
        <v/>
      </c>
    </row>
    <row r="7539" spans="2:2" x14ac:dyDescent="0.25">
      <c r="B7539" t="str">
        <f>IF(C7539="","",C7539&amp;COUNTIF(C$9:C7539,C7539))</f>
        <v/>
      </c>
    </row>
    <row r="7540" spans="2:2" x14ac:dyDescent="0.25">
      <c r="B7540" t="str">
        <f>IF(C7540="","",C7540&amp;COUNTIF(C$9:C7540,C7540))</f>
        <v/>
      </c>
    </row>
    <row r="7541" spans="2:2" x14ac:dyDescent="0.25">
      <c r="B7541" t="str">
        <f>IF(C7541="","",C7541&amp;COUNTIF(C$9:C7541,C7541))</f>
        <v/>
      </c>
    </row>
    <row r="7542" spans="2:2" x14ac:dyDescent="0.25">
      <c r="B7542" t="str">
        <f>IF(C7542="","",C7542&amp;COUNTIF(C$9:C7542,C7542))</f>
        <v/>
      </c>
    </row>
    <row r="7543" spans="2:2" x14ac:dyDescent="0.25">
      <c r="B7543" t="str">
        <f>IF(C7543="","",C7543&amp;COUNTIF(C$9:C7543,C7543))</f>
        <v/>
      </c>
    </row>
    <row r="7544" spans="2:2" x14ac:dyDescent="0.25">
      <c r="B7544" t="str">
        <f>IF(C7544="","",C7544&amp;COUNTIF(C$9:C7544,C7544))</f>
        <v/>
      </c>
    </row>
    <row r="7545" spans="2:2" x14ac:dyDescent="0.25">
      <c r="B7545" t="str">
        <f>IF(C7545="","",C7545&amp;COUNTIF(C$9:C7545,C7545))</f>
        <v/>
      </c>
    </row>
    <row r="7546" spans="2:2" x14ac:dyDescent="0.25">
      <c r="B7546" t="str">
        <f>IF(C7546="","",C7546&amp;COUNTIF(C$9:C7546,C7546))</f>
        <v/>
      </c>
    </row>
    <row r="7547" spans="2:2" x14ac:dyDescent="0.25">
      <c r="B7547" t="str">
        <f>IF(C7547="","",C7547&amp;COUNTIF(C$9:C7547,C7547))</f>
        <v/>
      </c>
    </row>
    <row r="7548" spans="2:2" x14ac:dyDescent="0.25">
      <c r="B7548" t="str">
        <f>IF(C7548="","",C7548&amp;COUNTIF(C$9:C7548,C7548))</f>
        <v/>
      </c>
    </row>
    <row r="7549" spans="2:2" x14ac:dyDescent="0.25">
      <c r="B7549" t="str">
        <f>IF(C7549="","",C7549&amp;COUNTIF(C$9:C7549,C7549))</f>
        <v/>
      </c>
    </row>
    <row r="7550" spans="2:2" x14ac:dyDescent="0.25">
      <c r="B7550" t="str">
        <f>IF(C7550="","",C7550&amp;COUNTIF(C$9:C7550,C7550))</f>
        <v/>
      </c>
    </row>
    <row r="7551" spans="2:2" x14ac:dyDescent="0.25">
      <c r="B7551" t="str">
        <f>IF(C7551="","",C7551&amp;COUNTIF(C$9:C7551,C7551))</f>
        <v/>
      </c>
    </row>
    <row r="7552" spans="2:2" x14ac:dyDescent="0.25">
      <c r="B7552" t="str">
        <f>IF(C7552="","",C7552&amp;COUNTIF(C$9:C7552,C7552))</f>
        <v/>
      </c>
    </row>
    <row r="7553" spans="2:2" x14ac:dyDescent="0.25">
      <c r="B7553" t="str">
        <f>IF(C7553="","",C7553&amp;COUNTIF(C$9:C7553,C7553))</f>
        <v/>
      </c>
    </row>
    <row r="7554" spans="2:2" x14ac:dyDescent="0.25">
      <c r="B7554" t="str">
        <f>IF(C7554="","",C7554&amp;COUNTIF(C$9:C7554,C7554))</f>
        <v/>
      </c>
    </row>
    <row r="7555" spans="2:2" x14ac:dyDescent="0.25">
      <c r="B7555" t="str">
        <f>IF(C7555="","",C7555&amp;COUNTIF(C$9:C7555,C7555))</f>
        <v/>
      </c>
    </row>
    <row r="7556" spans="2:2" x14ac:dyDescent="0.25">
      <c r="B7556" t="str">
        <f>IF(C7556="","",C7556&amp;COUNTIF(C$9:C7556,C7556))</f>
        <v/>
      </c>
    </row>
    <row r="7557" spans="2:2" x14ac:dyDescent="0.25">
      <c r="B7557" t="str">
        <f>IF(C7557="","",C7557&amp;COUNTIF(C$9:C7557,C7557))</f>
        <v/>
      </c>
    </row>
    <row r="7558" spans="2:2" x14ac:dyDescent="0.25">
      <c r="B7558" t="str">
        <f>IF(C7558="","",C7558&amp;COUNTIF(C$9:C7558,C7558))</f>
        <v/>
      </c>
    </row>
    <row r="7559" spans="2:2" x14ac:dyDescent="0.25">
      <c r="B7559" t="str">
        <f>IF(C7559="","",C7559&amp;COUNTIF(C$9:C7559,C7559))</f>
        <v/>
      </c>
    </row>
    <row r="7560" spans="2:2" x14ac:dyDescent="0.25">
      <c r="B7560" t="str">
        <f>IF(C7560="","",C7560&amp;COUNTIF(C$9:C7560,C7560))</f>
        <v/>
      </c>
    </row>
    <row r="7561" spans="2:2" x14ac:dyDescent="0.25">
      <c r="B7561" t="str">
        <f>IF(C7561="","",C7561&amp;COUNTIF(C$9:C7561,C7561))</f>
        <v/>
      </c>
    </row>
    <row r="7562" spans="2:2" x14ac:dyDescent="0.25">
      <c r="B7562" t="str">
        <f>IF(C7562="","",C7562&amp;COUNTIF(C$9:C7562,C7562))</f>
        <v/>
      </c>
    </row>
    <row r="7563" spans="2:2" x14ac:dyDescent="0.25">
      <c r="B7563" t="str">
        <f>IF(C7563="","",C7563&amp;COUNTIF(C$9:C7563,C7563))</f>
        <v/>
      </c>
    </row>
    <row r="7564" spans="2:2" x14ac:dyDescent="0.25">
      <c r="B7564" t="str">
        <f>IF(C7564="","",C7564&amp;COUNTIF(C$9:C7564,C7564))</f>
        <v/>
      </c>
    </row>
    <row r="7565" spans="2:2" x14ac:dyDescent="0.25">
      <c r="B7565" t="str">
        <f>IF(C7565="","",C7565&amp;COUNTIF(C$9:C7565,C7565))</f>
        <v/>
      </c>
    </row>
    <row r="7566" spans="2:2" x14ac:dyDescent="0.25">
      <c r="B7566" t="str">
        <f>IF(C7566="","",C7566&amp;COUNTIF(C$9:C7566,C7566))</f>
        <v/>
      </c>
    </row>
    <row r="7567" spans="2:2" x14ac:dyDescent="0.25">
      <c r="B7567" t="str">
        <f>IF(C7567="","",C7567&amp;COUNTIF(C$9:C7567,C7567))</f>
        <v/>
      </c>
    </row>
    <row r="7568" spans="2:2" x14ac:dyDescent="0.25">
      <c r="B7568" t="str">
        <f>IF(C7568="","",C7568&amp;COUNTIF(C$9:C7568,C7568))</f>
        <v/>
      </c>
    </row>
    <row r="7569" spans="2:2" x14ac:dyDescent="0.25">
      <c r="B7569" t="str">
        <f>IF(C7569="","",C7569&amp;COUNTIF(C$9:C7569,C7569))</f>
        <v/>
      </c>
    </row>
    <row r="7570" spans="2:2" x14ac:dyDescent="0.25">
      <c r="B7570" t="str">
        <f>IF(C7570="","",C7570&amp;COUNTIF(C$9:C7570,C7570))</f>
        <v/>
      </c>
    </row>
    <row r="7571" spans="2:2" x14ac:dyDescent="0.25">
      <c r="B7571" t="str">
        <f>IF(C7571="","",C7571&amp;COUNTIF(C$9:C7571,C7571))</f>
        <v/>
      </c>
    </row>
    <row r="7572" spans="2:2" x14ac:dyDescent="0.25">
      <c r="B7572" t="str">
        <f>IF(C7572="","",C7572&amp;COUNTIF(C$9:C7572,C7572))</f>
        <v/>
      </c>
    </row>
    <row r="7573" spans="2:2" x14ac:dyDescent="0.25">
      <c r="B7573" t="str">
        <f>IF(C7573="","",C7573&amp;COUNTIF(C$9:C7573,C7573))</f>
        <v/>
      </c>
    </row>
    <row r="7574" spans="2:2" x14ac:dyDescent="0.25">
      <c r="B7574" t="str">
        <f>IF(C7574="","",C7574&amp;COUNTIF(C$9:C7574,C7574))</f>
        <v/>
      </c>
    </row>
    <row r="7575" spans="2:2" x14ac:dyDescent="0.25">
      <c r="B7575" t="str">
        <f>IF(C7575="","",C7575&amp;COUNTIF(C$9:C7575,C7575))</f>
        <v/>
      </c>
    </row>
    <row r="7576" spans="2:2" x14ac:dyDescent="0.25">
      <c r="B7576" t="str">
        <f>IF(C7576="","",C7576&amp;COUNTIF(C$9:C7576,C7576))</f>
        <v/>
      </c>
    </row>
    <row r="7577" spans="2:2" x14ac:dyDescent="0.25">
      <c r="B7577" t="str">
        <f>IF(C7577="","",C7577&amp;COUNTIF(C$9:C7577,C7577))</f>
        <v/>
      </c>
    </row>
    <row r="7578" spans="2:2" x14ac:dyDescent="0.25">
      <c r="B7578" t="str">
        <f>IF(C7578="","",C7578&amp;COUNTIF(C$9:C7578,C7578))</f>
        <v/>
      </c>
    </row>
    <row r="7579" spans="2:2" x14ac:dyDescent="0.25">
      <c r="B7579" t="str">
        <f>IF(C7579="","",C7579&amp;COUNTIF(C$9:C7579,C7579))</f>
        <v/>
      </c>
    </row>
    <row r="7580" spans="2:2" x14ac:dyDescent="0.25">
      <c r="B7580" t="str">
        <f>IF(C7580="","",C7580&amp;COUNTIF(C$9:C7580,C7580))</f>
        <v/>
      </c>
    </row>
    <row r="7581" spans="2:2" x14ac:dyDescent="0.25">
      <c r="B7581" t="str">
        <f>IF(C7581="","",C7581&amp;COUNTIF(C$9:C7581,C7581))</f>
        <v/>
      </c>
    </row>
    <row r="7582" spans="2:2" x14ac:dyDescent="0.25">
      <c r="B7582" t="str">
        <f>IF(C7582="","",C7582&amp;COUNTIF(C$9:C7582,C7582))</f>
        <v/>
      </c>
    </row>
    <row r="7583" spans="2:2" x14ac:dyDescent="0.25">
      <c r="B7583" t="str">
        <f>IF(C7583="","",C7583&amp;COUNTIF(C$9:C7583,C7583))</f>
        <v/>
      </c>
    </row>
    <row r="7584" spans="2:2" x14ac:dyDescent="0.25">
      <c r="B7584" t="str">
        <f>IF(C7584="","",C7584&amp;COUNTIF(C$9:C7584,C7584))</f>
        <v/>
      </c>
    </row>
    <row r="7585" spans="2:2" x14ac:dyDescent="0.25">
      <c r="B7585" t="str">
        <f>IF(C7585="","",C7585&amp;COUNTIF(C$9:C7585,C7585))</f>
        <v/>
      </c>
    </row>
    <row r="7586" spans="2:2" x14ac:dyDescent="0.25">
      <c r="B7586" t="str">
        <f>IF(C7586="","",C7586&amp;COUNTIF(C$9:C7586,C7586))</f>
        <v/>
      </c>
    </row>
    <row r="7587" spans="2:2" x14ac:dyDescent="0.25">
      <c r="B7587" t="str">
        <f>IF(C7587="","",C7587&amp;COUNTIF(C$9:C7587,C7587))</f>
        <v/>
      </c>
    </row>
    <row r="7588" spans="2:2" x14ac:dyDescent="0.25">
      <c r="B7588" t="str">
        <f>IF(C7588="","",C7588&amp;COUNTIF(C$9:C7588,C7588))</f>
        <v/>
      </c>
    </row>
    <row r="7589" spans="2:2" x14ac:dyDescent="0.25">
      <c r="B7589" t="str">
        <f>IF(C7589="","",C7589&amp;COUNTIF(C$9:C7589,C7589))</f>
        <v/>
      </c>
    </row>
    <row r="7590" spans="2:2" x14ac:dyDescent="0.25">
      <c r="B7590" t="str">
        <f>IF(C7590="","",C7590&amp;COUNTIF(C$9:C7590,C7590))</f>
        <v/>
      </c>
    </row>
    <row r="7591" spans="2:2" x14ac:dyDescent="0.25">
      <c r="B7591" t="str">
        <f>IF(C7591="","",C7591&amp;COUNTIF(C$9:C7591,C7591))</f>
        <v/>
      </c>
    </row>
    <row r="7592" spans="2:2" x14ac:dyDescent="0.25">
      <c r="B7592" t="str">
        <f>IF(C7592="","",C7592&amp;COUNTIF(C$9:C7592,C7592))</f>
        <v/>
      </c>
    </row>
    <row r="7593" spans="2:2" x14ac:dyDescent="0.25">
      <c r="B7593" t="str">
        <f>IF(C7593="","",C7593&amp;COUNTIF(C$9:C7593,C7593))</f>
        <v/>
      </c>
    </row>
    <row r="7594" spans="2:2" x14ac:dyDescent="0.25">
      <c r="B7594" t="str">
        <f>IF(C7594="","",C7594&amp;COUNTIF(C$9:C7594,C7594))</f>
        <v/>
      </c>
    </row>
    <row r="7595" spans="2:2" x14ac:dyDescent="0.25">
      <c r="B7595" t="str">
        <f>IF(C7595="","",C7595&amp;COUNTIF(C$9:C7595,C7595))</f>
        <v/>
      </c>
    </row>
    <row r="7596" spans="2:2" x14ac:dyDescent="0.25">
      <c r="B7596" t="str">
        <f>IF(C7596="","",C7596&amp;COUNTIF(C$9:C7596,C7596))</f>
        <v/>
      </c>
    </row>
    <row r="7597" spans="2:2" x14ac:dyDescent="0.25">
      <c r="B7597" t="str">
        <f>IF(C7597="","",C7597&amp;COUNTIF(C$9:C7597,C7597))</f>
        <v/>
      </c>
    </row>
    <row r="7598" spans="2:2" x14ac:dyDescent="0.25">
      <c r="B7598" t="str">
        <f>IF(C7598="","",C7598&amp;COUNTIF(C$9:C7598,C7598))</f>
        <v/>
      </c>
    </row>
    <row r="7599" spans="2:2" x14ac:dyDescent="0.25">
      <c r="B7599" t="str">
        <f>IF(C7599="","",C7599&amp;COUNTIF(C$9:C7599,C7599))</f>
        <v/>
      </c>
    </row>
    <row r="7600" spans="2:2" x14ac:dyDescent="0.25">
      <c r="B7600" t="str">
        <f>IF(C7600="","",C7600&amp;COUNTIF(C$9:C7600,C7600))</f>
        <v/>
      </c>
    </row>
    <row r="7601" spans="2:2" x14ac:dyDescent="0.25">
      <c r="B7601" t="str">
        <f>IF(C7601="","",C7601&amp;COUNTIF(C$9:C7601,C7601))</f>
        <v/>
      </c>
    </row>
    <row r="7602" spans="2:2" x14ac:dyDescent="0.25">
      <c r="B7602" t="str">
        <f>IF(C7602="","",C7602&amp;COUNTIF(C$9:C7602,C7602))</f>
        <v/>
      </c>
    </row>
    <row r="7603" spans="2:2" x14ac:dyDescent="0.25">
      <c r="B7603" t="str">
        <f>IF(C7603="","",C7603&amp;COUNTIF(C$9:C7603,C7603))</f>
        <v/>
      </c>
    </row>
    <row r="7604" spans="2:2" x14ac:dyDescent="0.25">
      <c r="B7604" t="str">
        <f>IF(C7604="","",C7604&amp;COUNTIF(C$9:C7604,C7604))</f>
        <v/>
      </c>
    </row>
    <row r="7605" spans="2:2" x14ac:dyDescent="0.25">
      <c r="B7605" t="str">
        <f>IF(C7605="","",C7605&amp;COUNTIF(C$9:C7605,C7605))</f>
        <v/>
      </c>
    </row>
    <row r="7606" spans="2:2" x14ac:dyDescent="0.25">
      <c r="B7606" t="str">
        <f>IF(C7606="","",C7606&amp;COUNTIF(C$9:C7606,C7606))</f>
        <v/>
      </c>
    </row>
    <row r="7607" spans="2:2" x14ac:dyDescent="0.25">
      <c r="B7607" t="str">
        <f>IF(C7607="","",C7607&amp;COUNTIF(C$9:C7607,C7607))</f>
        <v/>
      </c>
    </row>
    <row r="7608" spans="2:2" x14ac:dyDescent="0.25">
      <c r="B7608" t="str">
        <f>IF(C7608="","",C7608&amp;COUNTIF(C$9:C7608,C7608))</f>
        <v/>
      </c>
    </row>
    <row r="7609" spans="2:2" x14ac:dyDescent="0.25">
      <c r="B7609" t="str">
        <f>IF(C7609="","",C7609&amp;COUNTIF(C$9:C7609,C7609))</f>
        <v/>
      </c>
    </row>
    <row r="7610" spans="2:2" x14ac:dyDescent="0.25">
      <c r="B7610" t="str">
        <f>IF(C7610="","",C7610&amp;COUNTIF(C$9:C7610,C7610))</f>
        <v/>
      </c>
    </row>
    <row r="7611" spans="2:2" x14ac:dyDescent="0.25">
      <c r="B7611" t="str">
        <f>IF(C7611="","",C7611&amp;COUNTIF(C$9:C7611,C7611))</f>
        <v/>
      </c>
    </row>
    <row r="7612" spans="2:2" x14ac:dyDescent="0.25">
      <c r="B7612" t="str">
        <f>IF(C7612="","",C7612&amp;COUNTIF(C$9:C7612,C7612))</f>
        <v/>
      </c>
    </row>
    <row r="7613" spans="2:2" x14ac:dyDescent="0.25">
      <c r="B7613" t="str">
        <f>IF(C7613="","",C7613&amp;COUNTIF(C$9:C7613,C7613))</f>
        <v/>
      </c>
    </row>
    <row r="7614" spans="2:2" x14ac:dyDescent="0.25">
      <c r="B7614" t="str">
        <f>IF(C7614="","",C7614&amp;COUNTIF(C$9:C7614,C7614))</f>
        <v/>
      </c>
    </row>
    <row r="7615" spans="2:2" x14ac:dyDescent="0.25">
      <c r="B7615" t="str">
        <f>IF(C7615="","",C7615&amp;COUNTIF(C$9:C7615,C7615))</f>
        <v/>
      </c>
    </row>
    <row r="7616" spans="2:2" x14ac:dyDescent="0.25">
      <c r="B7616" t="str">
        <f>IF(C7616="","",C7616&amp;COUNTIF(C$9:C7616,C7616))</f>
        <v/>
      </c>
    </row>
    <row r="7617" spans="2:2" x14ac:dyDescent="0.25">
      <c r="B7617" t="str">
        <f>IF(C7617="","",C7617&amp;COUNTIF(C$9:C7617,C7617))</f>
        <v/>
      </c>
    </row>
    <row r="7618" spans="2:2" x14ac:dyDescent="0.25">
      <c r="B7618" t="str">
        <f>IF(C7618="","",C7618&amp;COUNTIF(C$9:C7618,C7618))</f>
        <v/>
      </c>
    </row>
    <row r="7619" spans="2:2" x14ac:dyDescent="0.25">
      <c r="B7619" t="str">
        <f>IF(C7619="","",C7619&amp;COUNTIF(C$9:C7619,C7619))</f>
        <v/>
      </c>
    </row>
    <row r="7620" spans="2:2" x14ac:dyDescent="0.25">
      <c r="B7620" t="str">
        <f>IF(C7620="","",C7620&amp;COUNTIF(C$9:C7620,C7620))</f>
        <v/>
      </c>
    </row>
    <row r="7621" spans="2:2" x14ac:dyDescent="0.25">
      <c r="B7621" t="str">
        <f>IF(C7621="","",C7621&amp;COUNTIF(C$9:C7621,C7621))</f>
        <v/>
      </c>
    </row>
    <row r="7622" spans="2:2" x14ac:dyDescent="0.25">
      <c r="B7622" t="str">
        <f>IF(C7622="","",C7622&amp;COUNTIF(C$9:C7622,C7622))</f>
        <v/>
      </c>
    </row>
    <row r="7623" spans="2:2" x14ac:dyDescent="0.25">
      <c r="B7623" t="str">
        <f>IF(C7623="","",C7623&amp;COUNTIF(C$9:C7623,C7623))</f>
        <v/>
      </c>
    </row>
    <row r="7624" spans="2:2" x14ac:dyDescent="0.25">
      <c r="B7624" t="str">
        <f>IF(C7624="","",C7624&amp;COUNTIF(C$9:C7624,C7624))</f>
        <v/>
      </c>
    </row>
    <row r="7625" spans="2:2" x14ac:dyDescent="0.25">
      <c r="B7625" t="str">
        <f>IF(C7625="","",C7625&amp;COUNTIF(C$9:C7625,C7625))</f>
        <v/>
      </c>
    </row>
    <row r="7626" spans="2:2" x14ac:dyDescent="0.25">
      <c r="B7626" t="str">
        <f>IF(C7626="","",C7626&amp;COUNTIF(C$9:C7626,C7626))</f>
        <v/>
      </c>
    </row>
    <row r="7627" spans="2:2" x14ac:dyDescent="0.25">
      <c r="B7627" t="str">
        <f>IF(C7627="","",C7627&amp;COUNTIF(C$9:C7627,C7627))</f>
        <v/>
      </c>
    </row>
    <row r="7628" spans="2:2" x14ac:dyDescent="0.25">
      <c r="B7628" t="str">
        <f>IF(C7628="","",C7628&amp;COUNTIF(C$9:C7628,C7628))</f>
        <v/>
      </c>
    </row>
    <row r="7629" spans="2:2" x14ac:dyDescent="0.25">
      <c r="B7629" t="str">
        <f>IF(C7629="","",C7629&amp;COUNTIF(C$9:C7629,C7629))</f>
        <v/>
      </c>
    </row>
    <row r="7630" spans="2:2" x14ac:dyDescent="0.25">
      <c r="B7630" t="str">
        <f>IF(C7630="","",C7630&amp;COUNTIF(C$9:C7630,C7630))</f>
        <v/>
      </c>
    </row>
    <row r="7631" spans="2:2" x14ac:dyDescent="0.25">
      <c r="B7631" t="str">
        <f>IF(C7631="","",C7631&amp;COUNTIF(C$9:C7631,C7631))</f>
        <v/>
      </c>
    </row>
    <row r="7632" spans="2:2" x14ac:dyDescent="0.25">
      <c r="B7632" t="str">
        <f>IF(C7632="","",C7632&amp;COUNTIF(C$9:C7632,C7632))</f>
        <v/>
      </c>
    </row>
    <row r="7633" spans="2:2" x14ac:dyDescent="0.25">
      <c r="B7633" t="str">
        <f>IF(C7633="","",C7633&amp;COUNTIF(C$9:C7633,C7633))</f>
        <v/>
      </c>
    </row>
    <row r="7634" spans="2:2" x14ac:dyDescent="0.25">
      <c r="B7634" t="str">
        <f>IF(C7634="","",C7634&amp;COUNTIF(C$9:C7634,C7634))</f>
        <v/>
      </c>
    </row>
    <row r="7635" spans="2:2" x14ac:dyDescent="0.25">
      <c r="B7635" t="str">
        <f>IF(C7635="","",C7635&amp;COUNTIF(C$9:C7635,C7635))</f>
        <v/>
      </c>
    </row>
    <row r="7636" spans="2:2" x14ac:dyDescent="0.25">
      <c r="B7636" t="str">
        <f>IF(C7636="","",C7636&amp;COUNTIF(C$9:C7636,C7636))</f>
        <v/>
      </c>
    </row>
    <row r="7637" spans="2:2" x14ac:dyDescent="0.25">
      <c r="B7637" t="str">
        <f>IF(C7637="","",C7637&amp;COUNTIF(C$9:C7637,C7637))</f>
        <v/>
      </c>
    </row>
    <row r="7638" spans="2:2" x14ac:dyDescent="0.25">
      <c r="B7638" t="str">
        <f>IF(C7638="","",C7638&amp;COUNTIF(C$9:C7638,C7638))</f>
        <v/>
      </c>
    </row>
    <row r="7639" spans="2:2" x14ac:dyDescent="0.25">
      <c r="B7639" t="str">
        <f>IF(C7639="","",C7639&amp;COUNTIF(C$9:C7639,C7639))</f>
        <v/>
      </c>
    </row>
    <row r="7640" spans="2:2" x14ac:dyDescent="0.25">
      <c r="B7640" t="str">
        <f>IF(C7640="","",C7640&amp;COUNTIF(C$9:C7640,C7640))</f>
        <v/>
      </c>
    </row>
    <row r="7641" spans="2:2" x14ac:dyDescent="0.25">
      <c r="B7641" t="str">
        <f>IF(C7641="","",C7641&amp;COUNTIF(C$9:C7641,C7641))</f>
        <v/>
      </c>
    </row>
    <row r="7642" spans="2:2" x14ac:dyDescent="0.25">
      <c r="B7642" t="str">
        <f>IF(C7642="","",C7642&amp;COUNTIF(C$9:C7642,C7642))</f>
        <v/>
      </c>
    </row>
    <row r="7643" spans="2:2" x14ac:dyDescent="0.25">
      <c r="B7643" t="str">
        <f>IF(C7643="","",C7643&amp;COUNTIF(C$9:C7643,C7643))</f>
        <v/>
      </c>
    </row>
    <row r="7644" spans="2:2" x14ac:dyDescent="0.25">
      <c r="B7644" t="str">
        <f>IF(C7644="","",C7644&amp;COUNTIF(C$9:C7644,C7644))</f>
        <v/>
      </c>
    </row>
    <row r="7645" spans="2:2" x14ac:dyDescent="0.25">
      <c r="B7645" t="str">
        <f>IF(C7645="","",C7645&amp;COUNTIF(C$9:C7645,C7645))</f>
        <v/>
      </c>
    </row>
    <row r="7646" spans="2:2" x14ac:dyDescent="0.25">
      <c r="B7646" t="str">
        <f>IF(C7646="","",C7646&amp;COUNTIF(C$9:C7646,C7646))</f>
        <v/>
      </c>
    </row>
    <row r="7647" spans="2:2" x14ac:dyDescent="0.25">
      <c r="B7647" t="str">
        <f>IF(C7647="","",C7647&amp;COUNTIF(C$9:C7647,C7647))</f>
        <v/>
      </c>
    </row>
    <row r="7648" spans="2:2" x14ac:dyDescent="0.25">
      <c r="B7648" t="str">
        <f>IF(C7648="","",C7648&amp;COUNTIF(C$9:C7648,C7648))</f>
        <v/>
      </c>
    </row>
    <row r="7649" spans="2:2" x14ac:dyDescent="0.25">
      <c r="B7649" t="str">
        <f>IF(C7649="","",C7649&amp;COUNTIF(C$9:C7649,C7649))</f>
        <v/>
      </c>
    </row>
    <row r="7650" spans="2:2" x14ac:dyDescent="0.25">
      <c r="B7650" t="str">
        <f>IF(C7650="","",C7650&amp;COUNTIF(C$9:C7650,C7650))</f>
        <v/>
      </c>
    </row>
    <row r="7651" spans="2:2" x14ac:dyDescent="0.25">
      <c r="B7651" t="str">
        <f>IF(C7651="","",C7651&amp;COUNTIF(C$9:C7651,C7651))</f>
        <v/>
      </c>
    </row>
    <row r="7652" spans="2:2" x14ac:dyDescent="0.25">
      <c r="B7652" t="str">
        <f>IF(C7652="","",C7652&amp;COUNTIF(C$9:C7652,C7652))</f>
        <v/>
      </c>
    </row>
    <row r="7653" spans="2:2" x14ac:dyDescent="0.25">
      <c r="B7653" t="str">
        <f>IF(C7653="","",C7653&amp;COUNTIF(C$9:C7653,C7653))</f>
        <v/>
      </c>
    </row>
    <row r="7654" spans="2:2" x14ac:dyDescent="0.25">
      <c r="B7654" t="str">
        <f>IF(C7654="","",C7654&amp;COUNTIF(C$9:C7654,C7654))</f>
        <v/>
      </c>
    </row>
    <row r="7655" spans="2:2" x14ac:dyDescent="0.25">
      <c r="B7655" t="str">
        <f>IF(C7655="","",C7655&amp;COUNTIF(C$9:C7655,C7655))</f>
        <v/>
      </c>
    </row>
    <row r="7656" spans="2:2" x14ac:dyDescent="0.25">
      <c r="B7656" t="str">
        <f>IF(C7656="","",C7656&amp;COUNTIF(C$9:C7656,C7656))</f>
        <v/>
      </c>
    </row>
    <row r="7657" spans="2:2" x14ac:dyDescent="0.25">
      <c r="B7657" t="str">
        <f>IF(C7657="","",C7657&amp;COUNTIF(C$9:C7657,C7657))</f>
        <v/>
      </c>
    </row>
    <row r="7658" spans="2:2" x14ac:dyDescent="0.25">
      <c r="B7658" t="str">
        <f>IF(C7658="","",C7658&amp;COUNTIF(C$9:C7658,C7658))</f>
        <v/>
      </c>
    </row>
    <row r="7659" spans="2:2" x14ac:dyDescent="0.25">
      <c r="B7659" t="str">
        <f>IF(C7659="","",C7659&amp;COUNTIF(C$9:C7659,C7659))</f>
        <v/>
      </c>
    </row>
    <row r="7660" spans="2:2" x14ac:dyDescent="0.25">
      <c r="B7660" t="str">
        <f>IF(C7660="","",C7660&amp;COUNTIF(C$9:C7660,C7660))</f>
        <v/>
      </c>
    </row>
    <row r="7661" spans="2:2" x14ac:dyDescent="0.25">
      <c r="B7661" t="str">
        <f>IF(C7661="","",C7661&amp;COUNTIF(C$9:C7661,C7661))</f>
        <v/>
      </c>
    </row>
    <row r="7662" spans="2:2" x14ac:dyDescent="0.25">
      <c r="B7662" t="str">
        <f>IF(C7662="","",C7662&amp;COUNTIF(C$9:C7662,C7662))</f>
        <v/>
      </c>
    </row>
    <row r="7663" spans="2:2" x14ac:dyDescent="0.25">
      <c r="B7663" t="str">
        <f>IF(C7663="","",C7663&amp;COUNTIF(C$9:C7663,C7663))</f>
        <v/>
      </c>
    </row>
    <row r="7664" spans="2:2" x14ac:dyDescent="0.25">
      <c r="B7664" t="str">
        <f>IF(C7664="","",C7664&amp;COUNTIF(C$9:C7664,C7664))</f>
        <v/>
      </c>
    </row>
    <row r="7665" spans="2:2" x14ac:dyDescent="0.25">
      <c r="B7665" t="str">
        <f>IF(C7665="","",C7665&amp;COUNTIF(C$9:C7665,C7665))</f>
        <v/>
      </c>
    </row>
    <row r="7666" spans="2:2" x14ac:dyDescent="0.25">
      <c r="B7666" t="str">
        <f>IF(C7666="","",C7666&amp;COUNTIF(C$9:C7666,C7666))</f>
        <v/>
      </c>
    </row>
    <row r="7667" spans="2:2" x14ac:dyDescent="0.25">
      <c r="B7667" t="str">
        <f>IF(C7667="","",C7667&amp;COUNTIF(C$9:C7667,C7667))</f>
        <v/>
      </c>
    </row>
    <row r="7668" spans="2:2" x14ac:dyDescent="0.25">
      <c r="B7668" t="str">
        <f>IF(C7668="","",C7668&amp;COUNTIF(C$9:C7668,C7668))</f>
        <v/>
      </c>
    </row>
    <row r="7669" spans="2:2" x14ac:dyDescent="0.25">
      <c r="B7669" t="str">
        <f>IF(C7669="","",C7669&amp;COUNTIF(C$9:C7669,C7669))</f>
        <v/>
      </c>
    </row>
    <row r="7670" spans="2:2" x14ac:dyDescent="0.25">
      <c r="B7670" t="str">
        <f>IF(C7670="","",C7670&amp;COUNTIF(C$9:C7670,C7670))</f>
        <v/>
      </c>
    </row>
    <row r="7671" spans="2:2" x14ac:dyDescent="0.25">
      <c r="B7671" t="str">
        <f>IF(C7671="","",C7671&amp;COUNTIF(C$9:C7671,C7671))</f>
        <v/>
      </c>
    </row>
    <row r="7672" spans="2:2" x14ac:dyDescent="0.25">
      <c r="B7672" t="str">
        <f>IF(C7672="","",C7672&amp;COUNTIF(C$9:C7672,C7672))</f>
        <v/>
      </c>
    </row>
    <row r="7673" spans="2:2" x14ac:dyDescent="0.25">
      <c r="B7673" t="str">
        <f>IF(C7673="","",C7673&amp;COUNTIF(C$9:C7673,C7673))</f>
        <v/>
      </c>
    </row>
    <row r="7674" spans="2:2" x14ac:dyDescent="0.25">
      <c r="B7674" t="str">
        <f>IF(C7674="","",C7674&amp;COUNTIF(C$9:C7674,C7674))</f>
        <v/>
      </c>
    </row>
    <row r="7675" spans="2:2" x14ac:dyDescent="0.25">
      <c r="B7675" t="str">
        <f>IF(C7675="","",C7675&amp;COUNTIF(C$9:C7675,C7675))</f>
        <v/>
      </c>
    </row>
    <row r="7676" spans="2:2" x14ac:dyDescent="0.25">
      <c r="B7676" t="str">
        <f>IF(C7676="","",C7676&amp;COUNTIF(C$9:C7676,C7676))</f>
        <v/>
      </c>
    </row>
    <row r="7677" spans="2:2" x14ac:dyDescent="0.25">
      <c r="B7677" t="str">
        <f>IF(C7677="","",C7677&amp;COUNTIF(C$9:C7677,C7677))</f>
        <v/>
      </c>
    </row>
    <row r="7678" spans="2:2" x14ac:dyDescent="0.25">
      <c r="B7678" t="str">
        <f>IF(C7678="","",C7678&amp;COUNTIF(C$9:C7678,C7678))</f>
        <v/>
      </c>
    </row>
    <row r="7679" spans="2:2" x14ac:dyDescent="0.25">
      <c r="B7679" t="str">
        <f>IF(C7679="","",C7679&amp;COUNTIF(C$9:C7679,C7679))</f>
        <v/>
      </c>
    </row>
    <row r="7680" spans="2:2" x14ac:dyDescent="0.25">
      <c r="B7680" t="str">
        <f>IF(C7680="","",C7680&amp;COUNTIF(C$9:C7680,C7680))</f>
        <v/>
      </c>
    </row>
    <row r="7681" spans="2:2" x14ac:dyDescent="0.25">
      <c r="B7681" t="str">
        <f>IF(C7681="","",C7681&amp;COUNTIF(C$9:C7681,C7681))</f>
        <v/>
      </c>
    </row>
    <row r="7682" spans="2:2" x14ac:dyDescent="0.25">
      <c r="B7682" t="str">
        <f>IF(C7682="","",C7682&amp;COUNTIF(C$9:C7682,C7682))</f>
        <v/>
      </c>
    </row>
    <row r="7683" spans="2:2" x14ac:dyDescent="0.25">
      <c r="B7683" t="str">
        <f>IF(C7683="","",C7683&amp;COUNTIF(C$9:C7683,C7683))</f>
        <v/>
      </c>
    </row>
    <row r="7684" spans="2:2" x14ac:dyDescent="0.25">
      <c r="B7684" t="str">
        <f>IF(C7684="","",C7684&amp;COUNTIF(C$9:C7684,C7684))</f>
        <v/>
      </c>
    </row>
    <row r="7685" spans="2:2" x14ac:dyDescent="0.25">
      <c r="B7685" t="str">
        <f>IF(C7685="","",C7685&amp;COUNTIF(C$9:C7685,C7685))</f>
        <v/>
      </c>
    </row>
    <row r="7686" spans="2:2" x14ac:dyDescent="0.25">
      <c r="B7686" t="str">
        <f>IF(C7686="","",C7686&amp;COUNTIF(C$9:C7686,C7686))</f>
        <v/>
      </c>
    </row>
    <row r="7687" spans="2:2" x14ac:dyDescent="0.25">
      <c r="B7687" t="str">
        <f>IF(C7687="","",C7687&amp;COUNTIF(C$9:C7687,C7687))</f>
        <v/>
      </c>
    </row>
    <row r="7688" spans="2:2" x14ac:dyDescent="0.25">
      <c r="B7688" t="str">
        <f>IF(C7688="","",C7688&amp;COUNTIF(C$9:C7688,C7688))</f>
        <v/>
      </c>
    </row>
    <row r="7689" spans="2:2" x14ac:dyDescent="0.25">
      <c r="B7689" t="str">
        <f>IF(C7689="","",C7689&amp;COUNTIF(C$9:C7689,C7689))</f>
        <v/>
      </c>
    </row>
    <row r="7690" spans="2:2" x14ac:dyDescent="0.25">
      <c r="B7690" t="str">
        <f>IF(C7690="","",C7690&amp;COUNTIF(C$9:C7690,C7690))</f>
        <v/>
      </c>
    </row>
    <row r="7691" spans="2:2" x14ac:dyDescent="0.25">
      <c r="B7691" t="str">
        <f>IF(C7691="","",C7691&amp;COUNTIF(C$9:C7691,C7691))</f>
        <v/>
      </c>
    </row>
    <row r="7692" spans="2:2" x14ac:dyDescent="0.25">
      <c r="B7692" t="str">
        <f>IF(C7692="","",C7692&amp;COUNTIF(C$9:C7692,C7692))</f>
        <v/>
      </c>
    </row>
    <row r="7693" spans="2:2" x14ac:dyDescent="0.25">
      <c r="B7693" t="str">
        <f>IF(C7693="","",C7693&amp;COUNTIF(C$9:C7693,C7693))</f>
        <v/>
      </c>
    </row>
    <row r="7694" spans="2:2" x14ac:dyDescent="0.25">
      <c r="B7694" t="str">
        <f>IF(C7694="","",C7694&amp;COUNTIF(C$9:C7694,C7694))</f>
        <v/>
      </c>
    </row>
    <row r="7695" spans="2:2" x14ac:dyDescent="0.25">
      <c r="B7695" t="str">
        <f>IF(C7695="","",C7695&amp;COUNTIF(C$9:C7695,C7695))</f>
        <v/>
      </c>
    </row>
    <row r="7696" spans="2:2" x14ac:dyDescent="0.25">
      <c r="B7696" t="str">
        <f>IF(C7696="","",C7696&amp;COUNTIF(C$9:C7696,C7696))</f>
        <v/>
      </c>
    </row>
    <row r="7697" spans="2:2" x14ac:dyDescent="0.25">
      <c r="B7697" t="str">
        <f>IF(C7697="","",C7697&amp;COUNTIF(C$9:C7697,C7697))</f>
        <v/>
      </c>
    </row>
    <row r="7698" spans="2:2" x14ac:dyDescent="0.25">
      <c r="B7698" t="str">
        <f>IF(C7698="","",C7698&amp;COUNTIF(C$9:C7698,C7698))</f>
        <v/>
      </c>
    </row>
    <row r="7699" spans="2:2" x14ac:dyDescent="0.25">
      <c r="B7699" t="str">
        <f>IF(C7699="","",C7699&amp;COUNTIF(C$9:C7699,C7699))</f>
        <v/>
      </c>
    </row>
    <row r="7700" spans="2:2" x14ac:dyDescent="0.25">
      <c r="B7700" t="str">
        <f>IF(C7700="","",C7700&amp;COUNTIF(C$9:C7700,C7700))</f>
        <v/>
      </c>
    </row>
    <row r="7701" spans="2:2" x14ac:dyDescent="0.25">
      <c r="B7701" t="str">
        <f>IF(C7701="","",C7701&amp;COUNTIF(C$9:C7701,C7701))</f>
        <v/>
      </c>
    </row>
    <row r="7702" spans="2:2" x14ac:dyDescent="0.25">
      <c r="B7702" t="str">
        <f>IF(C7702="","",C7702&amp;COUNTIF(C$9:C7702,C7702))</f>
        <v/>
      </c>
    </row>
    <row r="7703" spans="2:2" x14ac:dyDescent="0.25">
      <c r="B7703" t="str">
        <f>IF(C7703="","",C7703&amp;COUNTIF(C$9:C7703,C7703))</f>
        <v/>
      </c>
    </row>
    <row r="7704" spans="2:2" x14ac:dyDescent="0.25">
      <c r="B7704" t="str">
        <f>IF(C7704="","",C7704&amp;COUNTIF(C$9:C7704,C7704))</f>
        <v/>
      </c>
    </row>
    <row r="7705" spans="2:2" x14ac:dyDescent="0.25">
      <c r="B7705" t="str">
        <f>IF(C7705="","",C7705&amp;COUNTIF(C$9:C7705,C7705))</f>
        <v/>
      </c>
    </row>
    <row r="7706" spans="2:2" x14ac:dyDescent="0.25">
      <c r="B7706" t="str">
        <f>IF(C7706="","",C7706&amp;COUNTIF(C$9:C7706,C7706))</f>
        <v/>
      </c>
    </row>
    <row r="7707" spans="2:2" x14ac:dyDescent="0.25">
      <c r="B7707" t="str">
        <f>IF(C7707="","",C7707&amp;COUNTIF(C$9:C7707,C7707))</f>
        <v/>
      </c>
    </row>
    <row r="7708" spans="2:2" x14ac:dyDescent="0.25">
      <c r="B7708" t="str">
        <f>IF(C7708="","",C7708&amp;COUNTIF(C$9:C7708,C7708))</f>
        <v/>
      </c>
    </row>
    <row r="7709" spans="2:2" x14ac:dyDescent="0.25">
      <c r="B7709" t="str">
        <f>IF(C7709="","",C7709&amp;COUNTIF(C$9:C7709,C7709))</f>
        <v/>
      </c>
    </row>
    <row r="7710" spans="2:2" x14ac:dyDescent="0.25">
      <c r="B7710" t="str">
        <f>IF(C7710="","",C7710&amp;COUNTIF(C$9:C7710,C7710))</f>
        <v/>
      </c>
    </row>
    <row r="7711" spans="2:2" x14ac:dyDescent="0.25">
      <c r="B7711" t="str">
        <f>IF(C7711="","",C7711&amp;COUNTIF(C$9:C7711,C7711))</f>
        <v/>
      </c>
    </row>
    <row r="7712" spans="2:2" x14ac:dyDescent="0.25">
      <c r="B7712" t="str">
        <f>IF(C7712="","",C7712&amp;COUNTIF(C$9:C7712,C7712))</f>
        <v/>
      </c>
    </row>
    <row r="7713" spans="2:2" x14ac:dyDescent="0.25">
      <c r="B7713" t="str">
        <f>IF(C7713="","",C7713&amp;COUNTIF(C$9:C7713,C7713))</f>
        <v/>
      </c>
    </row>
    <row r="7714" spans="2:2" x14ac:dyDescent="0.25">
      <c r="B7714" t="str">
        <f>IF(C7714="","",C7714&amp;COUNTIF(C$9:C7714,C7714))</f>
        <v/>
      </c>
    </row>
    <row r="7715" spans="2:2" x14ac:dyDescent="0.25">
      <c r="B7715" t="str">
        <f>IF(C7715="","",C7715&amp;COUNTIF(C$9:C7715,C7715))</f>
        <v/>
      </c>
    </row>
    <row r="7716" spans="2:2" x14ac:dyDescent="0.25">
      <c r="B7716" t="str">
        <f>IF(C7716="","",C7716&amp;COUNTIF(C$9:C7716,C7716))</f>
        <v/>
      </c>
    </row>
    <row r="7717" spans="2:2" x14ac:dyDescent="0.25">
      <c r="B7717" t="str">
        <f>IF(C7717="","",C7717&amp;COUNTIF(C$9:C7717,C7717))</f>
        <v/>
      </c>
    </row>
    <row r="7718" spans="2:2" x14ac:dyDescent="0.25">
      <c r="B7718" t="str">
        <f>IF(C7718="","",C7718&amp;COUNTIF(C$9:C7718,C7718))</f>
        <v/>
      </c>
    </row>
    <row r="7719" spans="2:2" x14ac:dyDescent="0.25">
      <c r="B7719" t="str">
        <f>IF(C7719="","",C7719&amp;COUNTIF(C$9:C7719,C7719))</f>
        <v/>
      </c>
    </row>
    <row r="7720" spans="2:2" x14ac:dyDescent="0.25">
      <c r="B7720" t="str">
        <f>IF(C7720="","",C7720&amp;COUNTIF(C$9:C7720,C7720))</f>
        <v/>
      </c>
    </row>
    <row r="7721" spans="2:2" x14ac:dyDescent="0.25">
      <c r="B7721" t="str">
        <f>IF(C7721="","",C7721&amp;COUNTIF(C$9:C7721,C7721))</f>
        <v/>
      </c>
    </row>
    <row r="7722" spans="2:2" x14ac:dyDescent="0.25">
      <c r="B7722" t="str">
        <f>IF(C7722="","",C7722&amp;COUNTIF(C$9:C7722,C7722))</f>
        <v/>
      </c>
    </row>
    <row r="7723" spans="2:2" x14ac:dyDescent="0.25">
      <c r="B7723" t="str">
        <f>IF(C7723="","",C7723&amp;COUNTIF(C$9:C7723,C7723))</f>
        <v/>
      </c>
    </row>
    <row r="7724" spans="2:2" x14ac:dyDescent="0.25">
      <c r="B7724" t="str">
        <f>IF(C7724="","",C7724&amp;COUNTIF(C$9:C7724,C7724))</f>
        <v/>
      </c>
    </row>
    <row r="7725" spans="2:2" x14ac:dyDescent="0.25">
      <c r="B7725" t="str">
        <f>IF(C7725="","",C7725&amp;COUNTIF(C$9:C7725,C7725))</f>
        <v/>
      </c>
    </row>
    <row r="7726" spans="2:2" x14ac:dyDescent="0.25">
      <c r="B7726" t="str">
        <f>IF(C7726="","",C7726&amp;COUNTIF(C$9:C7726,C7726))</f>
        <v/>
      </c>
    </row>
    <row r="7727" spans="2:2" x14ac:dyDescent="0.25">
      <c r="B7727" t="str">
        <f>IF(C7727="","",C7727&amp;COUNTIF(C$9:C7727,C7727))</f>
        <v/>
      </c>
    </row>
    <row r="7728" spans="2:2" x14ac:dyDescent="0.25">
      <c r="B7728" t="str">
        <f>IF(C7728="","",C7728&amp;COUNTIF(C$9:C7728,C7728))</f>
        <v/>
      </c>
    </row>
    <row r="7729" spans="2:2" x14ac:dyDescent="0.25">
      <c r="B7729" t="str">
        <f>IF(C7729="","",C7729&amp;COUNTIF(C$9:C7729,C7729))</f>
        <v/>
      </c>
    </row>
    <row r="7730" spans="2:2" x14ac:dyDescent="0.25">
      <c r="B7730" t="str">
        <f>IF(C7730="","",C7730&amp;COUNTIF(C$9:C7730,C7730))</f>
        <v/>
      </c>
    </row>
    <row r="7731" spans="2:2" x14ac:dyDescent="0.25">
      <c r="B7731" t="str">
        <f>IF(C7731="","",C7731&amp;COUNTIF(C$9:C7731,C7731))</f>
        <v/>
      </c>
    </row>
    <row r="7732" spans="2:2" x14ac:dyDescent="0.25">
      <c r="B7732" t="str">
        <f>IF(C7732="","",C7732&amp;COUNTIF(C$9:C7732,C7732))</f>
        <v/>
      </c>
    </row>
    <row r="7733" spans="2:2" x14ac:dyDescent="0.25">
      <c r="B7733" t="str">
        <f>IF(C7733="","",C7733&amp;COUNTIF(C$9:C7733,C7733))</f>
        <v/>
      </c>
    </row>
    <row r="7734" spans="2:2" x14ac:dyDescent="0.25">
      <c r="B7734" t="str">
        <f>IF(C7734="","",C7734&amp;COUNTIF(C$9:C7734,C7734))</f>
        <v/>
      </c>
    </row>
    <row r="7735" spans="2:2" x14ac:dyDescent="0.25">
      <c r="B7735" t="str">
        <f>IF(C7735="","",C7735&amp;COUNTIF(C$9:C7735,C7735))</f>
        <v/>
      </c>
    </row>
    <row r="7736" spans="2:2" x14ac:dyDescent="0.25">
      <c r="B7736" t="str">
        <f>IF(C7736="","",C7736&amp;COUNTIF(C$9:C7736,C7736))</f>
        <v/>
      </c>
    </row>
    <row r="7737" spans="2:2" x14ac:dyDescent="0.25">
      <c r="B7737" t="str">
        <f>IF(C7737="","",C7737&amp;COUNTIF(C$9:C7737,C7737))</f>
        <v/>
      </c>
    </row>
    <row r="7738" spans="2:2" x14ac:dyDescent="0.25">
      <c r="B7738" t="str">
        <f>IF(C7738="","",C7738&amp;COUNTIF(C$9:C7738,C7738))</f>
        <v/>
      </c>
    </row>
    <row r="7739" spans="2:2" x14ac:dyDescent="0.25">
      <c r="B7739" t="str">
        <f>IF(C7739="","",C7739&amp;COUNTIF(C$9:C7739,C7739))</f>
        <v/>
      </c>
    </row>
    <row r="7740" spans="2:2" x14ac:dyDescent="0.25">
      <c r="B7740" t="str">
        <f>IF(C7740="","",C7740&amp;COUNTIF(C$9:C7740,C7740))</f>
        <v/>
      </c>
    </row>
    <row r="7741" spans="2:2" x14ac:dyDescent="0.25">
      <c r="B7741" t="str">
        <f>IF(C7741="","",C7741&amp;COUNTIF(C$9:C7741,C7741))</f>
        <v/>
      </c>
    </row>
    <row r="7742" spans="2:2" x14ac:dyDescent="0.25">
      <c r="B7742" t="str">
        <f>IF(C7742="","",C7742&amp;COUNTIF(C$9:C7742,C7742))</f>
        <v/>
      </c>
    </row>
    <row r="7743" spans="2:2" x14ac:dyDescent="0.25">
      <c r="B7743" t="str">
        <f>IF(C7743="","",C7743&amp;COUNTIF(C$9:C7743,C7743))</f>
        <v/>
      </c>
    </row>
    <row r="7744" spans="2:2" x14ac:dyDescent="0.25">
      <c r="B7744" t="str">
        <f>IF(C7744="","",C7744&amp;COUNTIF(C$9:C7744,C7744))</f>
        <v/>
      </c>
    </row>
    <row r="7745" spans="2:2" x14ac:dyDescent="0.25">
      <c r="B7745" t="str">
        <f>IF(C7745="","",C7745&amp;COUNTIF(C$9:C7745,C7745))</f>
        <v/>
      </c>
    </row>
    <row r="7746" spans="2:2" x14ac:dyDescent="0.25">
      <c r="B7746" t="str">
        <f>IF(C7746="","",C7746&amp;COUNTIF(C$9:C7746,C7746))</f>
        <v/>
      </c>
    </row>
    <row r="7747" spans="2:2" x14ac:dyDescent="0.25">
      <c r="B7747" t="str">
        <f>IF(C7747="","",C7747&amp;COUNTIF(C$9:C7747,C7747))</f>
        <v/>
      </c>
    </row>
    <row r="7748" spans="2:2" x14ac:dyDescent="0.25">
      <c r="B7748" t="str">
        <f>IF(C7748="","",C7748&amp;COUNTIF(C$9:C7748,C7748))</f>
        <v/>
      </c>
    </row>
    <row r="7749" spans="2:2" x14ac:dyDescent="0.25">
      <c r="B7749" t="str">
        <f>IF(C7749="","",C7749&amp;COUNTIF(C$9:C7749,C7749))</f>
        <v/>
      </c>
    </row>
    <row r="7750" spans="2:2" x14ac:dyDescent="0.25">
      <c r="B7750" t="str">
        <f>IF(C7750="","",C7750&amp;COUNTIF(C$9:C7750,C7750))</f>
        <v/>
      </c>
    </row>
    <row r="7751" spans="2:2" x14ac:dyDescent="0.25">
      <c r="B7751" t="str">
        <f>IF(C7751="","",C7751&amp;COUNTIF(C$9:C7751,C7751))</f>
        <v/>
      </c>
    </row>
    <row r="7752" spans="2:2" x14ac:dyDescent="0.25">
      <c r="B7752" t="str">
        <f>IF(C7752="","",C7752&amp;COUNTIF(C$9:C7752,C7752))</f>
        <v/>
      </c>
    </row>
    <row r="7753" spans="2:2" x14ac:dyDescent="0.25">
      <c r="B7753" t="str">
        <f>IF(C7753="","",C7753&amp;COUNTIF(C$9:C7753,C7753))</f>
        <v/>
      </c>
    </row>
    <row r="7754" spans="2:2" x14ac:dyDescent="0.25">
      <c r="B7754" t="str">
        <f>IF(C7754="","",C7754&amp;COUNTIF(C$9:C7754,C7754))</f>
        <v/>
      </c>
    </row>
    <row r="7755" spans="2:2" x14ac:dyDescent="0.25">
      <c r="B7755" t="str">
        <f>IF(C7755="","",C7755&amp;COUNTIF(C$9:C7755,C7755))</f>
        <v/>
      </c>
    </row>
    <row r="7756" spans="2:2" x14ac:dyDescent="0.25">
      <c r="B7756" t="str">
        <f>IF(C7756="","",C7756&amp;COUNTIF(C$9:C7756,C7756))</f>
        <v/>
      </c>
    </row>
    <row r="7757" spans="2:2" x14ac:dyDescent="0.25">
      <c r="B7757" t="str">
        <f>IF(C7757="","",C7757&amp;COUNTIF(C$9:C7757,C7757))</f>
        <v/>
      </c>
    </row>
    <row r="7758" spans="2:2" x14ac:dyDescent="0.25">
      <c r="B7758" t="str">
        <f>IF(C7758="","",C7758&amp;COUNTIF(C$9:C7758,C7758))</f>
        <v/>
      </c>
    </row>
    <row r="7759" spans="2:2" x14ac:dyDescent="0.25">
      <c r="B7759" t="str">
        <f>IF(C7759="","",C7759&amp;COUNTIF(C$9:C7759,C7759))</f>
        <v/>
      </c>
    </row>
    <row r="7760" spans="2:2" x14ac:dyDescent="0.25">
      <c r="B7760" t="str">
        <f>IF(C7760="","",C7760&amp;COUNTIF(C$9:C7760,C7760))</f>
        <v/>
      </c>
    </row>
    <row r="7761" spans="2:2" x14ac:dyDescent="0.25">
      <c r="B7761" t="str">
        <f>IF(C7761="","",C7761&amp;COUNTIF(C$9:C7761,C7761))</f>
        <v/>
      </c>
    </row>
    <row r="7762" spans="2:2" x14ac:dyDescent="0.25">
      <c r="B7762" t="str">
        <f>IF(C7762="","",C7762&amp;COUNTIF(C$9:C7762,C7762))</f>
        <v/>
      </c>
    </row>
    <row r="7763" spans="2:2" x14ac:dyDescent="0.25">
      <c r="B7763" t="str">
        <f>IF(C7763="","",C7763&amp;COUNTIF(C$9:C7763,C7763))</f>
        <v/>
      </c>
    </row>
    <row r="7764" spans="2:2" x14ac:dyDescent="0.25">
      <c r="B7764" t="str">
        <f>IF(C7764="","",C7764&amp;COUNTIF(C$9:C7764,C7764))</f>
        <v/>
      </c>
    </row>
    <row r="7765" spans="2:2" x14ac:dyDescent="0.25">
      <c r="B7765" t="str">
        <f>IF(C7765="","",C7765&amp;COUNTIF(C$9:C7765,C7765))</f>
        <v/>
      </c>
    </row>
    <row r="7766" spans="2:2" x14ac:dyDescent="0.25">
      <c r="B7766" t="str">
        <f>IF(C7766="","",C7766&amp;COUNTIF(C$9:C7766,C7766))</f>
        <v/>
      </c>
    </row>
    <row r="7767" spans="2:2" x14ac:dyDescent="0.25">
      <c r="B7767" t="str">
        <f>IF(C7767="","",C7767&amp;COUNTIF(C$9:C7767,C7767))</f>
        <v/>
      </c>
    </row>
    <row r="7768" spans="2:2" x14ac:dyDescent="0.25">
      <c r="B7768" t="str">
        <f>IF(C7768="","",C7768&amp;COUNTIF(C$9:C7768,C7768))</f>
        <v/>
      </c>
    </row>
    <row r="7769" spans="2:2" x14ac:dyDescent="0.25">
      <c r="B7769" t="str">
        <f>IF(C7769="","",C7769&amp;COUNTIF(C$9:C7769,C7769))</f>
        <v/>
      </c>
    </row>
    <row r="7770" spans="2:2" x14ac:dyDescent="0.25">
      <c r="B7770" t="str">
        <f>IF(C7770="","",C7770&amp;COUNTIF(C$9:C7770,C7770))</f>
        <v/>
      </c>
    </row>
    <row r="7771" spans="2:2" x14ac:dyDescent="0.25">
      <c r="B7771" t="str">
        <f>IF(C7771="","",C7771&amp;COUNTIF(C$9:C7771,C7771))</f>
        <v/>
      </c>
    </row>
    <row r="7772" spans="2:2" x14ac:dyDescent="0.25">
      <c r="B7772" t="str">
        <f>IF(C7772="","",C7772&amp;COUNTIF(C$9:C7772,C7772))</f>
        <v/>
      </c>
    </row>
    <row r="7773" spans="2:2" x14ac:dyDescent="0.25">
      <c r="B7773" t="str">
        <f>IF(C7773="","",C7773&amp;COUNTIF(C$9:C7773,C7773))</f>
        <v/>
      </c>
    </row>
    <row r="7774" spans="2:2" x14ac:dyDescent="0.25">
      <c r="B7774" t="str">
        <f>IF(C7774="","",C7774&amp;COUNTIF(C$9:C7774,C7774))</f>
        <v/>
      </c>
    </row>
    <row r="7775" spans="2:2" x14ac:dyDescent="0.25">
      <c r="B7775" t="str">
        <f>IF(C7775="","",C7775&amp;COUNTIF(C$9:C7775,C7775))</f>
        <v/>
      </c>
    </row>
    <row r="7776" spans="2:2" x14ac:dyDescent="0.25">
      <c r="B7776" t="str">
        <f>IF(C7776="","",C7776&amp;COUNTIF(C$9:C7776,C7776))</f>
        <v/>
      </c>
    </row>
    <row r="7777" spans="2:2" x14ac:dyDescent="0.25">
      <c r="B7777" t="str">
        <f>IF(C7777="","",C7777&amp;COUNTIF(C$9:C7777,C7777))</f>
        <v/>
      </c>
    </row>
    <row r="7778" spans="2:2" x14ac:dyDescent="0.25">
      <c r="B7778" t="str">
        <f>IF(C7778="","",C7778&amp;COUNTIF(C$9:C7778,C7778))</f>
        <v/>
      </c>
    </row>
    <row r="7779" spans="2:2" x14ac:dyDescent="0.25">
      <c r="B7779" t="str">
        <f>IF(C7779="","",C7779&amp;COUNTIF(C$9:C7779,C7779))</f>
        <v/>
      </c>
    </row>
    <row r="7780" spans="2:2" x14ac:dyDescent="0.25">
      <c r="B7780" t="str">
        <f>IF(C7780="","",C7780&amp;COUNTIF(C$9:C7780,C7780))</f>
        <v/>
      </c>
    </row>
    <row r="7781" spans="2:2" x14ac:dyDescent="0.25">
      <c r="B7781" t="str">
        <f>IF(C7781="","",C7781&amp;COUNTIF(C$9:C7781,C7781))</f>
        <v/>
      </c>
    </row>
    <row r="7782" spans="2:2" x14ac:dyDescent="0.25">
      <c r="B7782" t="str">
        <f>IF(C7782="","",C7782&amp;COUNTIF(C$9:C7782,C7782))</f>
        <v/>
      </c>
    </row>
    <row r="7783" spans="2:2" x14ac:dyDescent="0.25">
      <c r="B7783" t="str">
        <f>IF(C7783="","",C7783&amp;COUNTIF(C$9:C7783,C7783))</f>
        <v/>
      </c>
    </row>
    <row r="7784" spans="2:2" x14ac:dyDescent="0.25">
      <c r="B7784" t="str">
        <f>IF(C7784="","",C7784&amp;COUNTIF(C$9:C7784,C7784))</f>
        <v/>
      </c>
    </row>
    <row r="7785" spans="2:2" x14ac:dyDescent="0.25">
      <c r="B7785" t="str">
        <f>IF(C7785="","",C7785&amp;COUNTIF(C$9:C7785,C7785))</f>
        <v/>
      </c>
    </row>
    <row r="7786" spans="2:2" x14ac:dyDescent="0.25">
      <c r="B7786" t="str">
        <f>IF(C7786="","",C7786&amp;COUNTIF(C$9:C7786,C7786))</f>
        <v/>
      </c>
    </row>
    <row r="7787" spans="2:2" x14ac:dyDescent="0.25">
      <c r="B7787" t="str">
        <f>IF(C7787="","",C7787&amp;COUNTIF(C$9:C7787,C7787))</f>
        <v/>
      </c>
    </row>
    <row r="7788" spans="2:2" x14ac:dyDescent="0.25">
      <c r="B7788" t="str">
        <f>IF(C7788="","",C7788&amp;COUNTIF(C$9:C7788,C7788))</f>
        <v/>
      </c>
    </row>
    <row r="7789" spans="2:2" x14ac:dyDescent="0.25">
      <c r="B7789" t="str">
        <f>IF(C7789="","",C7789&amp;COUNTIF(C$9:C7789,C7789))</f>
        <v/>
      </c>
    </row>
    <row r="7790" spans="2:2" x14ac:dyDescent="0.25">
      <c r="B7790" t="str">
        <f>IF(C7790="","",C7790&amp;COUNTIF(C$9:C7790,C7790))</f>
        <v/>
      </c>
    </row>
    <row r="7791" spans="2:2" x14ac:dyDescent="0.25">
      <c r="B7791" t="str">
        <f>IF(C7791="","",C7791&amp;COUNTIF(C$9:C7791,C7791))</f>
        <v/>
      </c>
    </row>
    <row r="7792" spans="2:2" x14ac:dyDescent="0.25">
      <c r="B7792" t="str">
        <f>IF(C7792="","",C7792&amp;COUNTIF(C$9:C7792,C7792))</f>
        <v/>
      </c>
    </row>
    <row r="7793" spans="2:2" x14ac:dyDescent="0.25">
      <c r="B7793" t="str">
        <f>IF(C7793="","",C7793&amp;COUNTIF(C$9:C7793,C7793))</f>
        <v/>
      </c>
    </row>
    <row r="7794" spans="2:2" x14ac:dyDescent="0.25">
      <c r="B7794" t="str">
        <f>IF(C7794="","",C7794&amp;COUNTIF(C$9:C7794,C7794))</f>
        <v/>
      </c>
    </row>
    <row r="7795" spans="2:2" x14ac:dyDescent="0.25">
      <c r="B7795" t="str">
        <f>IF(C7795="","",C7795&amp;COUNTIF(C$9:C7795,C7795))</f>
        <v/>
      </c>
    </row>
    <row r="7796" spans="2:2" x14ac:dyDescent="0.25">
      <c r="B7796" t="str">
        <f>IF(C7796="","",C7796&amp;COUNTIF(C$9:C7796,C7796))</f>
        <v/>
      </c>
    </row>
    <row r="7797" spans="2:2" x14ac:dyDescent="0.25">
      <c r="B7797" t="str">
        <f>IF(C7797="","",C7797&amp;COUNTIF(C$9:C7797,C7797))</f>
        <v/>
      </c>
    </row>
    <row r="7798" spans="2:2" x14ac:dyDescent="0.25">
      <c r="B7798" t="str">
        <f>IF(C7798="","",C7798&amp;COUNTIF(C$9:C7798,C7798))</f>
        <v/>
      </c>
    </row>
    <row r="7799" spans="2:2" x14ac:dyDescent="0.25">
      <c r="B7799" t="str">
        <f>IF(C7799="","",C7799&amp;COUNTIF(C$9:C7799,C7799))</f>
        <v/>
      </c>
    </row>
    <row r="7800" spans="2:2" x14ac:dyDescent="0.25">
      <c r="B7800" t="str">
        <f>IF(C7800="","",C7800&amp;COUNTIF(C$9:C7800,C7800))</f>
        <v/>
      </c>
    </row>
    <row r="7801" spans="2:2" x14ac:dyDescent="0.25">
      <c r="B7801" t="str">
        <f>IF(C7801="","",C7801&amp;COUNTIF(C$9:C7801,C7801))</f>
        <v/>
      </c>
    </row>
    <row r="7802" spans="2:2" x14ac:dyDescent="0.25">
      <c r="B7802" t="str">
        <f>IF(C7802="","",C7802&amp;COUNTIF(C$9:C7802,C7802))</f>
        <v/>
      </c>
    </row>
    <row r="7803" spans="2:2" x14ac:dyDescent="0.25">
      <c r="B7803" t="str">
        <f>IF(C7803="","",C7803&amp;COUNTIF(C$9:C7803,C7803))</f>
        <v/>
      </c>
    </row>
    <row r="7804" spans="2:2" x14ac:dyDescent="0.25">
      <c r="B7804" t="str">
        <f>IF(C7804="","",C7804&amp;COUNTIF(C$9:C7804,C7804))</f>
        <v/>
      </c>
    </row>
    <row r="7805" spans="2:2" x14ac:dyDescent="0.25">
      <c r="B7805" t="str">
        <f>IF(C7805="","",C7805&amp;COUNTIF(C$9:C7805,C7805))</f>
        <v/>
      </c>
    </row>
    <row r="7806" spans="2:2" x14ac:dyDescent="0.25">
      <c r="B7806" t="str">
        <f>IF(C7806="","",C7806&amp;COUNTIF(C$9:C7806,C7806))</f>
        <v/>
      </c>
    </row>
    <row r="7807" spans="2:2" x14ac:dyDescent="0.25">
      <c r="B7807" t="str">
        <f>IF(C7807="","",C7807&amp;COUNTIF(C$9:C7807,C7807))</f>
        <v/>
      </c>
    </row>
    <row r="7808" spans="2:2" x14ac:dyDescent="0.25">
      <c r="B7808" t="str">
        <f>IF(C7808="","",C7808&amp;COUNTIF(C$9:C7808,C7808))</f>
        <v/>
      </c>
    </row>
    <row r="7809" spans="2:2" x14ac:dyDescent="0.25">
      <c r="B7809" t="str">
        <f>IF(C7809="","",C7809&amp;COUNTIF(C$9:C7809,C7809))</f>
        <v/>
      </c>
    </row>
    <row r="7810" spans="2:2" x14ac:dyDescent="0.25">
      <c r="B7810" t="str">
        <f>IF(C7810="","",C7810&amp;COUNTIF(C$9:C7810,C7810))</f>
        <v/>
      </c>
    </row>
    <row r="7811" spans="2:2" x14ac:dyDescent="0.25">
      <c r="B7811" t="str">
        <f>IF(C7811="","",C7811&amp;COUNTIF(C$9:C7811,C7811))</f>
        <v/>
      </c>
    </row>
    <row r="7812" spans="2:2" x14ac:dyDescent="0.25">
      <c r="B7812" t="str">
        <f>IF(C7812="","",C7812&amp;COUNTIF(C$9:C7812,C7812))</f>
        <v/>
      </c>
    </row>
    <row r="7813" spans="2:2" x14ac:dyDescent="0.25">
      <c r="B7813" t="str">
        <f>IF(C7813="","",C7813&amp;COUNTIF(C$9:C7813,C7813))</f>
        <v/>
      </c>
    </row>
    <row r="7814" spans="2:2" x14ac:dyDescent="0.25">
      <c r="B7814" t="str">
        <f>IF(C7814="","",C7814&amp;COUNTIF(C$9:C7814,C7814))</f>
        <v/>
      </c>
    </row>
    <row r="7815" spans="2:2" x14ac:dyDescent="0.25">
      <c r="B7815" t="str">
        <f>IF(C7815="","",C7815&amp;COUNTIF(C$9:C7815,C7815))</f>
        <v/>
      </c>
    </row>
    <row r="7816" spans="2:2" x14ac:dyDescent="0.25">
      <c r="B7816" t="str">
        <f>IF(C7816="","",C7816&amp;COUNTIF(C$9:C7816,C7816))</f>
        <v/>
      </c>
    </row>
    <row r="7817" spans="2:2" x14ac:dyDescent="0.25">
      <c r="B7817" t="str">
        <f>IF(C7817="","",C7817&amp;COUNTIF(C$9:C7817,C7817))</f>
        <v/>
      </c>
    </row>
    <row r="7818" spans="2:2" x14ac:dyDescent="0.25">
      <c r="B7818" t="str">
        <f>IF(C7818="","",C7818&amp;COUNTIF(C$9:C7818,C7818))</f>
        <v/>
      </c>
    </row>
    <row r="7819" spans="2:2" x14ac:dyDescent="0.25">
      <c r="B7819" t="str">
        <f>IF(C7819="","",C7819&amp;COUNTIF(C$9:C7819,C7819))</f>
        <v/>
      </c>
    </row>
    <row r="7820" spans="2:2" x14ac:dyDescent="0.25">
      <c r="B7820" t="str">
        <f>IF(C7820="","",C7820&amp;COUNTIF(C$9:C7820,C7820))</f>
        <v/>
      </c>
    </row>
    <row r="7821" spans="2:2" x14ac:dyDescent="0.25">
      <c r="B7821" t="str">
        <f>IF(C7821="","",C7821&amp;COUNTIF(C$9:C7821,C7821))</f>
        <v/>
      </c>
    </row>
    <row r="7822" spans="2:2" x14ac:dyDescent="0.25">
      <c r="B7822" t="str">
        <f>IF(C7822="","",C7822&amp;COUNTIF(C$9:C7822,C7822))</f>
        <v/>
      </c>
    </row>
    <row r="7823" spans="2:2" x14ac:dyDescent="0.25">
      <c r="B7823" t="str">
        <f>IF(C7823="","",C7823&amp;COUNTIF(C$9:C7823,C7823))</f>
        <v/>
      </c>
    </row>
    <row r="7824" spans="2:2" x14ac:dyDescent="0.25">
      <c r="B7824" t="str">
        <f>IF(C7824="","",C7824&amp;COUNTIF(C$9:C7824,C7824))</f>
        <v/>
      </c>
    </row>
    <row r="7825" spans="2:2" x14ac:dyDescent="0.25">
      <c r="B7825" t="str">
        <f>IF(C7825="","",C7825&amp;COUNTIF(C$9:C7825,C7825))</f>
        <v/>
      </c>
    </row>
    <row r="7826" spans="2:2" x14ac:dyDescent="0.25">
      <c r="B7826" t="str">
        <f>IF(C7826="","",C7826&amp;COUNTIF(C$9:C7826,C7826))</f>
        <v/>
      </c>
    </row>
    <row r="7827" spans="2:2" x14ac:dyDescent="0.25">
      <c r="B7827" t="str">
        <f>IF(C7827="","",C7827&amp;COUNTIF(C$9:C7827,C7827))</f>
        <v/>
      </c>
    </row>
    <row r="7828" spans="2:2" x14ac:dyDescent="0.25">
      <c r="B7828" t="str">
        <f>IF(C7828="","",C7828&amp;COUNTIF(C$9:C7828,C7828))</f>
        <v/>
      </c>
    </row>
    <row r="7829" spans="2:2" x14ac:dyDescent="0.25">
      <c r="B7829" t="str">
        <f>IF(C7829="","",C7829&amp;COUNTIF(C$9:C7829,C7829))</f>
        <v/>
      </c>
    </row>
    <row r="7830" spans="2:2" x14ac:dyDescent="0.25">
      <c r="B7830" t="str">
        <f>IF(C7830="","",C7830&amp;COUNTIF(C$9:C7830,C7830))</f>
        <v/>
      </c>
    </row>
    <row r="7831" spans="2:2" x14ac:dyDescent="0.25">
      <c r="B7831" t="str">
        <f>IF(C7831="","",C7831&amp;COUNTIF(C$9:C7831,C7831))</f>
        <v/>
      </c>
    </row>
    <row r="7832" spans="2:2" x14ac:dyDescent="0.25">
      <c r="B7832" t="str">
        <f>IF(C7832="","",C7832&amp;COUNTIF(C$9:C7832,C7832))</f>
        <v/>
      </c>
    </row>
    <row r="7833" spans="2:2" x14ac:dyDescent="0.25">
      <c r="B7833" t="str">
        <f>IF(C7833="","",C7833&amp;COUNTIF(C$9:C7833,C7833))</f>
        <v/>
      </c>
    </row>
    <row r="7834" spans="2:2" x14ac:dyDescent="0.25">
      <c r="B7834" t="str">
        <f>IF(C7834="","",C7834&amp;COUNTIF(C$9:C7834,C7834))</f>
        <v/>
      </c>
    </row>
    <row r="7835" spans="2:2" x14ac:dyDescent="0.25">
      <c r="B7835" t="str">
        <f>IF(C7835="","",C7835&amp;COUNTIF(C$9:C7835,C7835))</f>
        <v/>
      </c>
    </row>
    <row r="7836" spans="2:2" x14ac:dyDescent="0.25">
      <c r="B7836" t="str">
        <f>IF(C7836="","",C7836&amp;COUNTIF(C$9:C7836,C7836))</f>
        <v/>
      </c>
    </row>
    <row r="7837" spans="2:2" x14ac:dyDescent="0.25">
      <c r="B7837" t="str">
        <f>IF(C7837="","",C7837&amp;COUNTIF(C$9:C7837,C7837))</f>
        <v/>
      </c>
    </row>
    <row r="7838" spans="2:2" x14ac:dyDescent="0.25">
      <c r="B7838" t="str">
        <f>IF(C7838="","",C7838&amp;COUNTIF(C$9:C7838,C7838))</f>
        <v/>
      </c>
    </row>
    <row r="7839" spans="2:2" x14ac:dyDescent="0.25">
      <c r="B7839" t="str">
        <f>IF(C7839="","",C7839&amp;COUNTIF(C$9:C7839,C7839))</f>
        <v/>
      </c>
    </row>
    <row r="7840" spans="2:2" x14ac:dyDescent="0.25">
      <c r="B7840" t="str">
        <f>IF(C7840="","",C7840&amp;COUNTIF(C$9:C7840,C7840))</f>
        <v/>
      </c>
    </row>
    <row r="7841" spans="2:2" x14ac:dyDescent="0.25">
      <c r="B7841" t="str">
        <f>IF(C7841="","",C7841&amp;COUNTIF(C$9:C7841,C7841))</f>
        <v/>
      </c>
    </row>
    <row r="7842" spans="2:2" x14ac:dyDescent="0.25">
      <c r="B7842" t="str">
        <f>IF(C7842="","",C7842&amp;COUNTIF(C$9:C7842,C7842))</f>
        <v/>
      </c>
    </row>
    <row r="7843" spans="2:2" x14ac:dyDescent="0.25">
      <c r="B7843" t="str">
        <f>IF(C7843="","",C7843&amp;COUNTIF(C$9:C7843,C7843))</f>
        <v/>
      </c>
    </row>
    <row r="7844" spans="2:2" x14ac:dyDescent="0.25">
      <c r="B7844" t="str">
        <f>IF(C7844="","",C7844&amp;COUNTIF(C$9:C7844,C7844))</f>
        <v/>
      </c>
    </row>
    <row r="7845" spans="2:2" x14ac:dyDescent="0.25">
      <c r="B7845" t="str">
        <f>IF(C7845="","",C7845&amp;COUNTIF(C$9:C7845,C7845))</f>
        <v/>
      </c>
    </row>
    <row r="7846" spans="2:2" x14ac:dyDescent="0.25">
      <c r="B7846" t="str">
        <f>IF(C7846="","",C7846&amp;COUNTIF(C$9:C7846,C7846))</f>
        <v/>
      </c>
    </row>
    <row r="7847" spans="2:2" x14ac:dyDescent="0.25">
      <c r="B7847" t="str">
        <f>IF(C7847="","",C7847&amp;COUNTIF(C$9:C7847,C7847))</f>
        <v/>
      </c>
    </row>
    <row r="7848" spans="2:2" x14ac:dyDescent="0.25">
      <c r="B7848" t="str">
        <f>IF(C7848="","",C7848&amp;COUNTIF(C$9:C7848,C7848))</f>
        <v/>
      </c>
    </row>
    <row r="7849" spans="2:2" x14ac:dyDescent="0.25">
      <c r="B7849" t="str">
        <f>IF(C7849="","",C7849&amp;COUNTIF(C$9:C7849,C7849))</f>
        <v/>
      </c>
    </row>
    <row r="7850" spans="2:2" x14ac:dyDescent="0.25">
      <c r="B7850" t="str">
        <f>IF(C7850="","",C7850&amp;COUNTIF(C$9:C7850,C7850))</f>
        <v/>
      </c>
    </row>
    <row r="7851" spans="2:2" x14ac:dyDescent="0.25">
      <c r="B7851" t="str">
        <f>IF(C7851="","",C7851&amp;COUNTIF(C$9:C7851,C7851))</f>
        <v/>
      </c>
    </row>
    <row r="7852" spans="2:2" x14ac:dyDescent="0.25">
      <c r="B7852" t="str">
        <f>IF(C7852="","",C7852&amp;COUNTIF(C$9:C7852,C7852))</f>
        <v/>
      </c>
    </row>
    <row r="7853" spans="2:2" x14ac:dyDescent="0.25">
      <c r="B7853" t="str">
        <f>IF(C7853="","",C7853&amp;COUNTIF(C$9:C7853,C7853))</f>
        <v/>
      </c>
    </row>
    <row r="7854" spans="2:2" x14ac:dyDescent="0.25">
      <c r="B7854" t="str">
        <f>IF(C7854="","",C7854&amp;COUNTIF(C$9:C7854,C7854))</f>
        <v/>
      </c>
    </row>
    <row r="7855" spans="2:2" x14ac:dyDescent="0.25">
      <c r="B7855" t="str">
        <f>IF(C7855="","",C7855&amp;COUNTIF(C$9:C7855,C7855))</f>
        <v/>
      </c>
    </row>
    <row r="7856" spans="2:2" x14ac:dyDescent="0.25">
      <c r="B7856" t="str">
        <f>IF(C7856="","",C7856&amp;COUNTIF(C$9:C7856,C7856))</f>
        <v/>
      </c>
    </row>
    <row r="7857" spans="2:2" x14ac:dyDescent="0.25">
      <c r="B7857" t="str">
        <f>IF(C7857="","",C7857&amp;COUNTIF(C$9:C7857,C7857))</f>
        <v/>
      </c>
    </row>
    <row r="7858" spans="2:2" x14ac:dyDescent="0.25">
      <c r="B7858" t="str">
        <f>IF(C7858="","",C7858&amp;COUNTIF(C$9:C7858,C7858))</f>
        <v/>
      </c>
    </row>
    <row r="7859" spans="2:2" x14ac:dyDescent="0.25">
      <c r="B7859" t="str">
        <f>IF(C7859="","",C7859&amp;COUNTIF(C$9:C7859,C7859))</f>
        <v/>
      </c>
    </row>
    <row r="7860" spans="2:2" x14ac:dyDescent="0.25">
      <c r="B7860" t="str">
        <f>IF(C7860="","",C7860&amp;COUNTIF(C$9:C7860,C7860))</f>
        <v/>
      </c>
    </row>
    <row r="7861" spans="2:2" x14ac:dyDescent="0.25">
      <c r="B7861" t="str">
        <f>IF(C7861="","",C7861&amp;COUNTIF(C$9:C7861,C7861))</f>
        <v/>
      </c>
    </row>
    <row r="7862" spans="2:2" x14ac:dyDescent="0.25">
      <c r="B7862" t="str">
        <f>IF(C7862="","",C7862&amp;COUNTIF(C$9:C7862,C7862))</f>
        <v/>
      </c>
    </row>
    <row r="7863" spans="2:2" x14ac:dyDescent="0.25">
      <c r="B7863" t="str">
        <f>IF(C7863="","",C7863&amp;COUNTIF(C$9:C7863,C7863))</f>
        <v/>
      </c>
    </row>
    <row r="7864" spans="2:2" x14ac:dyDescent="0.25">
      <c r="B7864" t="str">
        <f>IF(C7864="","",C7864&amp;COUNTIF(C$9:C7864,C7864))</f>
        <v/>
      </c>
    </row>
    <row r="7865" spans="2:2" x14ac:dyDescent="0.25">
      <c r="B7865" t="str">
        <f>IF(C7865="","",C7865&amp;COUNTIF(C$9:C7865,C7865))</f>
        <v/>
      </c>
    </row>
    <row r="7866" spans="2:2" x14ac:dyDescent="0.25">
      <c r="B7866" t="str">
        <f>IF(C7866="","",C7866&amp;COUNTIF(C$9:C7866,C7866))</f>
        <v/>
      </c>
    </row>
    <row r="7867" spans="2:2" x14ac:dyDescent="0.25">
      <c r="B7867" t="str">
        <f>IF(C7867="","",C7867&amp;COUNTIF(C$9:C7867,C7867))</f>
        <v/>
      </c>
    </row>
    <row r="7868" spans="2:2" x14ac:dyDescent="0.25">
      <c r="B7868" t="str">
        <f>IF(C7868="","",C7868&amp;COUNTIF(C$9:C7868,C7868))</f>
        <v/>
      </c>
    </row>
    <row r="7869" spans="2:2" x14ac:dyDescent="0.25">
      <c r="B7869" t="str">
        <f>IF(C7869="","",C7869&amp;COUNTIF(C$9:C7869,C7869))</f>
        <v/>
      </c>
    </row>
    <row r="7870" spans="2:2" x14ac:dyDescent="0.25">
      <c r="B7870" t="str">
        <f>IF(C7870="","",C7870&amp;COUNTIF(C$9:C7870,C7870))</f>
        <v/>
      </c>
    </row>
    <row r="7871" spans="2:2" x14ac:dyDescent="0.25">
      <c r="B7871" t="str">
        <f>IF(C7871="","",C7871&amp;COUNTIF(C$9:C7871,C7871))</f>
        <v/>
      </c>
    </row>
    <row r="7872" spans="2:2" x14ac:dyDescent="0.25">
      <c r="B7872" t="str">
        <f>IF(C7872="","",C7872&amp;COUNTIF(C$9:C7872,C7872))</f>
        <v/>
      </c>
    </row>
    <row r="7873" spans="2:2" x14ac:dyDescent="0.25">
      <c r="B7873" t="str">
        <f>IF(C7873="","",C7873&amp;COUNTIF(C$9:C7873,C7873))</f>
        <v/>
      </c>
    </row>
    <row r="7874" spans="2:2" x14ac:dyDescent="0.25">
      <c r="B7874" t="str">
        <f>IF(C7874="","",C7874&amp;COUNTIF(C$9:C7874,C7874))</f>
        <v/>
      </c>
    </row>
    <row r="7875" spans="2:2" x14ac:dyDescent="0.25">
      <c r="B7875" t="str">
        <f>IF(C7875="","",C7875&amp;COUNTIF(C$9:C7875,C7875))</f>
        <v/>
      </c>
    </row>
    <row r="7876" spans="2:2" x14ac:dyDescent="0.25">
      <c r="B7876" t="str">
        <f>IF(C7876="","",C7876&amp;COUNTIF(C$9:C7876,C7876))</f>
        <v/>
      </c>
    </row>
    <row r="7877" spans="2:2" x14ac:dyDescent="0.25">
      <c r="B7877" t="str">
        <f>IF(C7877="","",C7877&amp;COUNTIF(C$9:C7877,C7877))</f>
        <v/>
      </c>
    </row>
    <row r="7878" spans="2:2" x14ac:dyDescent="0.25">
      <c r="B7878" t="str">
        <f>IF(C7878="","",C7878&amp;COUNTIF(C$9:C7878,C7878))</f>
        <v/>
      </c>
    </row>
    <row r="7879" spans="2:2" x14ac:dyDescent="0.25">
      <c r="B7879" t="str">
        <f>IF(C7879="","",C7879&amp;COUNTIF(C$9:C7879,C7879))</f>
        <v/>
      </c>
    </row>
    <row r="7880" spans="2:2" x14ac:dyDescent="0.25">
      <c r="B7880" t="str">
        <f>IF(C7880="","",C7880&amp;COUNTIF(C$9:C7880,C7880))</f>
        <v/>
      </c>
    </row>
    <row r="7881" spans="2:2" x14ac:dyDescent="0.25">
      <c r="B7881" t="str">
        <f>IF(C7881="","",C7881&amp;COUNTIF(C$9:C7881,C7881))</f>
        <v/>
      </c>
    </row>
    <row r="7882" spans="2:2" x14ac:dyDescent="0.25">
      <c r="B7882" t="str">
        <f>IF(C7882="","",C7882&amp;COUNTIF(C$9:C7882,C7882))</f>
        <v/>
      </c>
    </row>
    <row r="7883" spans="2:2" x14ac:dyDescent="0.25">
      <c r="B7883" t="str">
        <f>IF(C7883="","",C7883&amp;COUNTIF(C$9:C7883,C7883))</f>
        <v/>
      </c>
    </row>
    <row r="7884" spans="2:2" x14ac:dyDescent="0.25">
      <c r="B7884" t="str">
        <f>IF(C7884="","",C7884&amp;COUNTIF(C$9:C7884,C7884))</f>
        <v/>
      </c>
    </row>
    <row r="7885" spans="2:2" x14ac:dyDescent="0.25">
      <c r="B7885" t="str">
        <f>IF(C7885="","",C7885&amp;COUNTIF(C$9:C7885,C7885))</f>
        <v/>
      </c>
    </row>
    <row r="7886" spans="2:2" x14ac:dyDescent="0.25">
      <c r="B7886" t="str">
        <f>IF(C7886="","",C7886&amp;COUNTIF(C$9:C7886,C7886))</f>
        <v/>
      </c>
    </row>
    <row r="7887" spans="2:2" x14ac:dyDescent="0.25">
      <c r="B7887" t="str">
        <f>IF(C7887="","",C7887&amp;COUNTIF(C$9:C7887,C7887))</f>
        <v/>
      </c>
    </row>
    <row r="7888" spans="2:2" x14ac:dyDescent="0.25">
      <c r="B7888" t="str">
        <f>IF(C7888="","",C7888&amp;COUNTIF(C$9:C7888,C7888))</f>
        <v/>
      </c>
    </row>
    <row r="7889" spans="2:2" x14ac:dyDescent="0.25">
      <c r="B7889" t="str">
        <f>IF(C7889="","",C7889&amp;COUNTIF(C$9:C7889,C7889))</f>
        <v/>
      </c>
    </row>
    <row r="7890" spans="2:2" x14ac:dyDescent="0.25">
      <c r="B7890" t="str">
        <f>IF(C7890="","",C7890&amp;COUNTIF(C$9:C7890,C7890))</f>
        <v/>
      </c>
    </row>
    <row r="7891" spans="2:2" x14ac:dyDescent="0.25">
      <c r="B7891" t="str">
        <f>IF(C7891="","",C7891&amp;COUNTIF(C$9:C7891,C7891))</f>
        <v/>
      </c>
    </row>
    <row r="7892" spans="2:2" x14ac:dyDescent="0.25">
      <c r="B7892" t="str">
        <f>IF(C7892="","",C7892&amp;COUNTIF(C$9:C7892,C7892))</f>
        <v/>
      </c>
    </row>
    <row r="7893" spans="2:2" x14ac:dyDescent="0.25">
      <c r="B7893" t="str">
        <f>IF(C7893="","",C7893&amp;COUNTIF(C$9:C7893,C7893))</f>
        <v/>
      </c>
    </row>
    <row r="7894" spans="2:2" x14ac:dyDescent="0.25">
      <c r="B7894" t="str">
        <f>IF(C7894="","",C7894&amp;COUNTIF(C$9:C7894,C7894))</f>
        <v/>
      </c>
    </row>
    <row r="7895" spans="2:2" x14ac:dyDescent="0.25">
      <c r="B7895" t="str">
        <f>IF(C7895="","",C7895&amp;COUNTIF(C$9:C7895,C7895))</f>
        <v/>
      </c>
    </row>
    <row r="7896" spans="2:2" x14ac:dyDescent="0.25">
      <c r="B7896" t="str">
        <f>IF(C7896="","",C7896&amp;COUNTIF(C$9:C7896,C7896))</f>
        <v/>
      </c>
    </row>
    <row r="7897" spans="2:2" x14ac:dyDescent="0.25">
      <c r="B7897" t="str">
        <f>IF(C7897="","",C7897&amp;COUNTIF(C$9:C7897,C7897))</f>
        <v/>
      </c>
    </row>
    <row r="7898" spans="2:2" x14ac:dyDescent="0.25">
      <c r="B7898" t="str">
        <f>IF(C7898="","",C7898&amp;COUNTIF(C$9:C7898,C7898))</f>
        <v/>
      </c>
    </row>
    <row r="7899" spans="2:2" x14ac:dyDescent="0.25">
      <c r="B7899" t="str">
        <f>IF(C7899="","",C7899&amp;COUNTIF(C$9:C7899,C7899))</f>
        <v/>
      </c>
    </row>
    <row r="7900" spans="2:2" x14ac:dyDescent="0.25">
      <c r="B7900" t="str">
        <f>IF(C7900="","",C7900&amp;COUNTIF(C$9:C7900,C7900))</f>
        <v/>
      </c>
    </row>
    <row r="7901" spans="2:2" x14ac:dyDescent="0.25">
      <c r="B7901" t="str">
        <f>IF(C7901="","",C7901&amp;COUNTIF(C$9:C7901,C7901))</f>
        <v/>
      </c>
    </row>
    <row r="7902" spans="2:2" x14ac:dyDescent="0.25">
      <c r="B7902" t="str">
        <f>IF(C7902="","",C7902&amp;COUNTIF(C$9:C7902,C7902))</f>
        <v/>
      </c>
    </row>
    <row r="7903" spans="2:2" x14ac:dyDescent="0.25">
      <c r="B7903" t="str">
        <f>IF(C7903="","",C7903&amp;COUNTIF(C$9:C7903,C7903))</f>
        <v/>
      </c>
    </row>
    <row r="7904" spans="2:2" x14ac:dyDescent="0.25">
      <c r="B7904" t="str">
        <f>IF(C7904="","",C7904&amp;COUNTIF(C$9:C7904,C7904))</f>
        <v/>
      </c>
    </row>
    <row r="7905" spans="2:2" x14ac:dyDescent="0.25">
      <c r="B7905" t="str">
        <f>IF(C7905="","",C7905&amp;COUNTIF(C$9:C7905,C7905))</f>
        <v/>
      </c>
    </row>
    <row r="7906" spans="2:2" x14ac:dyDescent="0.25">
      <c r="B7906" t="str">
        <f>IF(C7906="","",C7906&amp;COUNTIF(C$9:C7906,C7906))</f>
        <v/>
      </c>
    </row>
    <row r="7907" spans="2:2" x14ac:dyDescent="0.25">
      <c r="B7907" t="str">
        <f>IF(C7907="","",C7907&amp;COUNTIF(C$9:C7907,C7907))</f>
        <v/>
      </c>
    </row>
    <row r="7908" spans="2:2" x14ac:dyDescent="0.25">
      <c r="B7908" t="str">
        <f>IF(C7908="","",C7908&amp;COUNTIF(C$9:C7908,C7908))</f>
        <v/>
      </c>
    </row>
    <row r="7909" spans="2:2" x14ac:dyDescent="0.25">
      <c r="B7909" t="str">
        <f>IF(C7909="","",C7909&amp;COUNTIF(C$9:C7909,C7909))</f>
        <v/>
      </c>
    </row>
    <row r="7910" spans="2:2" x14ac:dyDescent="0.25">
      <c r="B7910" t="str">
        <f>IF(C7910="","",C7910&amp;COUNTIF(C$9:C7910,C7910))</f>
        <v/>
      </c>
    </row>
    <row r="7911" spans="2:2" x14ac:dyDescent="0.25">
      <c r="B7911" t="str">
        <f>IF(C7911="","",C7911&amp;COUNTIF(C$9:C7911,C7911))</f>
        <v/>
      </c>
    </row>
    <row r="7912" spans="2:2" x14ac:dyDescent="0.25">
      <c r="B7912" t="str">
        <f>IF(C7912="","",C7912&amp;COUNTIF(C$9:C7912,C7912))</f>
        <v/>
      </c>
    </row>
    <row r="7913" spans="2:2" x14ac:dyDescent="0.25">
      <c r="B7913" t="str">
        <f>IF(C7913="","",C7913&amp;COUNTIF(C$9:C7913,C7913))</f>
        <v/>
      </c>
    </row>
    <row r="7914" spans="2:2" x14ac:dyDescent="0.25">
      <c r="B7914" t="str">
        <f>IF(C7914="","",C7914&amp;COUNTIF(C$9:C7914,C7914))</f>
        <v/>
      </c>
    </row>
    <row r="7915" spans="2:2" x14ac:dyDescent="0.25">
      <c r="B7915" t="str">
        <f>IF(C7915="","",C7915&amp;COUNTIF(C$9:C7915,C7915))</f>
        <v/>
      </c>
    </row>
    <row r="7916" spans="2:2" x14ac:dyDescent="0.25">
      <c r="B7916" t="str">
        <f>IF(C7916="","",C7916&amp;COUNTIF(C$9:C7916,C7916))</f>
        <v/>
      </c>
    </row>
    <row r="7917" spans="2:2" x14ac:dyDescent="0.25">
      <c r="B7917" t="str">
        <f>IF(C7917="","",C7917&amp;COUNTIF(C$9:C7917,C7917))</f>
        <v/>
      </c>
    </row>
    <row r="7918" spans="2:2" x14ac:dyDescent="0.25">
      <c r="B7918" t="str">
        <f>IF(C7918="","",C7918&amp;COUNTIF(C$9:C7918,C7918))</f>
        <v/>
      </c>
    </row>
    <row r="7919" spans="2:2" x14ac:dyDescent="0.25">
      <c r="B7919" t="str">
        <f>IF(C7919="","",C7919&amp;COUNTIF(C$9:C7919,C7919))</f>
        <v/>
      </c>
    </row>
    <row r="7920" spans="2:2" x14ac:dyDescent="0.25">
      <c r="B7920" t="str">
        <f>IF(C7920="","",C7920&amp;COUNTIF(C$9:C7920,C7920))</f>
        <v/>
      </c>
    </row>
    <row r="7921" spans="2:2" x14ac:dyDescent="0.25">
      <c r="B7921" t="str">
        <f>IF(C7921="","",C7921&amp;COUNTIF(C$9:C7921,C7921))</f>
        <v/>
      </c>
    </row>
    <row r="7922" spans="2:2" x14ac:dyDescent="0.25">
      <c r="B7922" t="str">
        <f>IF(C7922="","",C7922&amp;COUNTIF(C$9:C7922,C7922))</f>
        <v/>
      </c>
    </row>
    <row r="7923" spans="2:2" x14ac:dyDescent="0.25">
      <c r="B7923" t="str">
        <f>IF(C7923="","",C7923&amp;COUNTIF(C$9:C7923,C7923))</f>
        <v/>
      </c>
    </row>
    <row r="7924" spans="2:2" x14ac:dyDescent="0.25">
      <c r="B7924" t="str">
        <f>IF(C7924="","",C7924&amp;COUNTIF(C$9:C7924,C7924))</f>
        <v/>
      </c>
    </row>
    <row r="7925" spans="2:2" x14ac:dyDescent="0.25">
      <c r="B7925" t="str">
        <f>IF(C7925="","",C7925&amp;COUNTIF(C$9:C7925,C7925))</f>
        <v/>
      </c>
    </row>
    <row r="7926" spans="2:2" x14ac:dyDescent="0.25">
      <c r="B7926" t="str">
        <f>IF(C7926="","",C7926&amp;COUNTIF(C$9:C7926,C7926))</f>
        <v/>
      </c>
    </row>
    <row r="7927" spans="2:2" x14ac:dyDescent="0.25">
      <c r="B7927" t="str">
        <f>IF(C7927="","",C7927&amp;COUNTIF(C$9:C7927,C7927))</f>
        <v/>
      </c>
    </row>
    <row r="7928" spans="2:2" x14ac:dyDescent="0.25">
      <c r="B7928" t="str">
        <f>IF(C7928="","",C7928&amp;COUNTIF(C$9:C7928,C7928))</f>
        <v/>
      </c>
    </row>
    <row r="7929" spans="2:2" x14ac:dyDescent="0.25">
      <c r="B7929" t="str">
        <f>IF(C7929="","",C7929&amp;COUNTIF(C$9:C7929,C7929))</f>
        <v/>
      </c>
    </row>
    <row r="7930" spans="2:2" x14ac:dyDescent="0.25">
      <c r="B7930" t="str">
        <f>IF(C7930="","",C7930&amp;COUNTIF(C$9:C7930,C7930))</f>
        <v/>
      </c>
    </row>
    <row r="7931" spans="2:2" x14ac:dyDescent="0.25">
      <c r="B7931" t="str">
        <f>IF(C7931="","",C7931&amp;COUNTIF(C$9:C7931,C7931))</f>
        <v/>
      </c>
    </row>
    <row r="7932" spans="2:2" x14ac:dyDescent="0.25">
      <c r="B7932" t="str">
        <f>IF(C7932="","",C7932&amp;COUNTIF(C$9:C7932,C7932))</f>
        <v/>
      </c>
    </row>
    <row r="7933" spans="2:2" x14ac:dyDescent="0.25">
      <c r="B7933" t="str">
        <f>IF(C7933="","",C7933&amp;COUNTIF(C$9:C7933,C7933))</f>
        <v/>
      </c>
    </row>
    <row r="7934" spans="2:2" x14ac:dyDescent="0.25">
      <c r="B7934" t="str">
        <f>IF(C7934="","",C7934&amp;COUNTIF(C$9:C7934,C7934))</f>
        <v/>
      </c>
    </row>
    <row r="7935" spans="2:2" x14ac:dyDescent="0.25">
      <c r="B7935" t="str">
        <f>IF(C7935="","",C7935&amp;COUNTIF(C$9:C7935,C7935))</f>
        <v/>
      </c>
    </row>
    <row r="7936" spans="2:2" x14ac:dyDescent="0.25">
      <c r="B7936" t="str">
        <f>IF(C7936="","",C7936&amp;COUNTIF(C$9:C7936,C7936))</f>
        <v/>
      </c>
    </row>
    <row r="7937" spans="2:2" x14ac:dyDescent="0.25">
      <c r="B7937" t="str">
        <f>IF(C7937="","",C7937&amp;COUNTIF(C$9:C7937,C7937))</f>
        <v/>
      </c>
    </row>
    <row r="7938" spans="2:2" x14ac:dyDescent="0.25">
      <c r="B7938" t="str">
        <f>IF(C7938="","",C7938&amp;COUNTIF(C$9:C7938,C7938))</f>
        <v/>
      </c>
    </row>
    <row r="7939" spans="2:2" x14ac:dyDescent="0.25">
      <c r="B7939" t="str">
        <f>IF(C7939="","",C7939&amp;COUNTIF(C$9:C7939,C7939))</f>
        <v/>
      </c>
    </row>
    <row r="7940" spans="2:2" x14ac:dyDescent="0.25">
      <c r="B7940" t="str">
        <f>IF(C7940="","",C7940&amp;COUNTIF(C$9:C7940,C7940))</f>
        <v/>
      </c>
    </row>
    <row r="7941" spans="2:2" x14ac:dyDescent="0.25">
      <c r="B7941" t="str">
        <f>IF(C7941="","",C7941&amp;COUNTIF(C$9:C7941,C7941))</f>
        <v/>
      </c>
    </row>
    <row r="7942" spans="2:2" x14ac:dyDescent="0.25">
      <c r="B7942" t="str">
        <f>IF(C7942="","",C7942&amp;COUNTIF(C$9:C7942,C7942))</f>
        <v/>
      </c>
    </row>
    <row r="7943" spans="2:2" x14ac:dyDescent="0.25">
      <c r="B7943" t="str">
        <f>IF(C7943="","",C7943&amp;COUNTIF(C$9:C7943,C7943))</f>
        <v/>
      </c>
    </row>
    <row r="7944" spans="2:2" x14ac:dyDescent="0.25">
      <c r="B7944" t="str">
        <f>IF(C7944="","",C7944&amp;COUNTIF(C$9:C7944,C7944))</f>
        <v/>
      </c>
    </row>
    <row r="7945" spans="2:2" x14ac:dyDescent="0.25">
      <c r="B7945" t="str">
        <f>IF(C7945="","",C7945&amp;COUNTIF(C$9:C7945,C7945))</f>
        <v/>
      </c>
    </row>
    <row r="7946" spans="2:2" x14ac:dyDescent="0.25">
      <c r="B7946" t="str">
        <f>IF(C7946="","",C7946&amp;COUNTIF(C$9:C7946,C7946))</f>
        <v/>
      </c>
    </row>
    <row r="7947" spans="2:2" x14ac:dyDescent="0.25">
      <c r="B7947" t="str">
        <f>IF(C7947="","",C7947&amp;COUNTIF(C$9:C7947,C7947))</f>
        <v/>
      </c>
    </row>
    <row r="7948" spans="2:2" x14ac:dyDescent="0.25">
      <c r="B7948" t="str">
        <f>IF(C7948="","",C7948&amp;COUNTIF(C$9:C7948,C7948))</f>
        <v/>
      </c>
    </row>
    <row r="7949" spans="2:2" x14ac:dyDescent="0.25">
      <c r="B7949" t="str">
        <f>IF(C7949="","",C7949&amp;COUNTIF(C$9:C7949,C7949))</f>
        <v/>
      </c>
    </row>
    <row r="7950" spans="2:2" x14ac:dyDescent="0.25">
      <c r="B7950" t="str">
        <f>IF(C7950="","",C7950&amp;COUNTIF(C$9:C7950,C7950))</f>
        <v/>
      </c>
    </row>
    <row r="7951" spans="2:2" x14ac:dyDescent="0.25">
      <c r="B7951" t="str">
        <f>IF(C7951="","",C7951&amp;COUNTIF(C$9:C7951,C7951))</f>
        <v/>
      </c>
    </row>
    <row r="7952" spans="2:2" x14ac:dyDescent="0.25">
      <c r="B7952" t="str">
        <f>IF(C7952="","",C7952&amp;COUNTIF(C$9:C7952,C7952))</f>
        <v/>
      </c>
    </row>
    <row r="7953" spans="2:2" x14ac:dyDescent="0.25">
      <c r="B7953" t="str">
        <f>IF(C7953="","",C7953&amp;COUNTIF(C$9:C7953,C7953))</f>
        <v/>
      </c>
    </row>
    <row r="7954" spans="2:2" x14ac:dyDescent="0.25">
      <c r="B7954" t="str">
        <f>IF(C7954="","",C7954&amp;COUNTIF(C$9:C7954,C7954))</f>
        <v/>
      </c>
    </row>
    <row r="7955" spans="2:2" x14ac:dyDescent="0.25">
      <c r="B7955" t="str">
        <f>IF(C7955="","",C7955&amp;COUNTIF(C$9:C7955,C7955))</f>
        <v/>
      </c>
    </row>
    <row r="7956" spans="2:2" x14ac:dyDescent="0.25">
      <c r="B7956" t="str">
        <f>IF(C7956="","",C7956&amp;COUNTIF(C$9:C7956,C7956))</f>
        <v/>
      </c>
    </row>
    <row r="7957" spans="2:2" x14ac:dyDescent="0.25">
      <c r="B7957" t="str">
        <f>IF(C7957="","",C7957&amp;COUNTIF(C$9:C7957,C7957))</f>
        <v/>
      </c>
    </row>
    <row r="7958" spans="2:2" x14ac:dyDescent="0.25">
      <c r="B7958" t="str">
        <f>IF(C7958="","",C7958&amp;COUNTIF(C$9:C7958,C7958))</f>
        <v/>
      </c>
    </row>
    <row r="7959" spans="2:2" x14ac:dyDescent="0.25">
      <c r="B7959" t="str">
        <f>IF(C7959="","",C7959&amp;COUNTIF(C$9:C7959,C7959))</f>
        <v/>
      </c>
    </row>
    <row r="7960" spans="2:2" x14ac:dyDescent="0.25">
      <c r="B7960" t="str">
        <f>IF(C7960="","",C7960&amp;COUNTIF(C$9:C7960,C7960))</f>
        <v/>
      </c>
    </row>
    <row r="7961" spans="2:2" x14ac:dyDescent="0.25">
      <c r="B7961" t="str">
        <f>IF(C7961="","",C7961&amp;COUNTIF(C$9:C7961,C7961))</f>
        <v/>
      </c>
    </row>
    <row r="7962" spans="2:2" x14ac:dyDescent="0.25">
      <c r="B7962" t="str">
        <f>IF(C7962="","",C7962&amp;COUNTIF(C$9:C7962,C7962))</f>
        <v/>
      </c>
    </row>
    <row r="7963" spans="2:2" x14ac:dyDescent="0.25">
      <c r="B7963" t="str">
        <f>IF(C7963="","",C7963&amp;COUNTIF(C$9:C7963,C7963))</f>
        <v/>
      </c>
    </row>
    <row r="7964" spans="2:2" x14ac:dyDescent="0.25">
      <c r="B7964" t="str">
        <f>IF(C7964="","",C7964&amp;COUNTIF(C$9:C7964,C7964))</f>
        <v/>
      </c>
    </row>
    <row r="7965" spans="2:2" x14ac:dyDescent="0.25">
      <c r="B7965" t="str">
        <f>IF(C7965="","",C7965&amp;COUNTIF(C$9:C7965,C7965))</f>
        <v/>
      </c>
    </row>
    <row r="7966" spans="2:2" x14ac:dyDescent="0.25">
      <c r="B7966" t="str">
        <f>IF(C7966="","",C7966&amp;COUNTIF(C$9:C7966,C7966))</f>
        <v/>
      </c>
    </row>
    <row r="7967" spans="2:2" x14ac:dyDescent="0.25">
      <c r="B7967" t="str">
        <f>IF(C7967="","",C7967&amp;COUNTIF(C$9:C7967,C7967))</f>
        <v/>
      </c>
    </row>
    <row r="7968" spans="2:2" x14ac:dyDescent="0.25">
      <c r="B7968" t="str">
        <f>IF(C7968="","",C7968&amp;COUNTIF(C$9:C7968,C7968))</f>
        <v/>
      </c>
    </row>
    <row r="7969" spans="2:2" x14ac:dyDescent="0.25">
      <c r="B7969" t="str">
        <f>IF(C7969="","",C7969&amp;COUNTIF(C$9:C7969,C7969))</f>
        <v/>
      </c>
    </row>
    <row r="7970" spans="2:2" x14ac:dyDescent="0.25">
      <c r="B7970" t="str">
        <f>IF(C7970="","",C7970&amp;COUNTIF(C$9:C7970,C7970))</f>
        <v/>
      </c>
    </row>
    <row r="7971" spans="2:2" x14ac:dyDescent="0.25">
      <c r="B7971" t="str">
        <f>IF(C7971="","",C7971&amp;COUNTIF(C$9:C7971,C7971))</f>
        <v/>
      </c>
    </row>
    <row r="7972" spans="2:2" x14ac:dyDescent="0.25">
      <c r="B7972" t="str">
        <f>IF(C7972="","",C7972&amp;COUNTIF(C$9:C7972,C7972))</f>
        <v/>
      </c>
    </row>
    <row r="7973" spans="2:2" x14ac:dyDescent="0.25">
      <c r="B7973" t="str">
        <f>IF(C7973="","",C7973&amp;COUNTIF(C$9:C7973,C7973))</f>
        <v/>
      </c>
    </row>
    <row r="7974" spans="2:2" x14ac:dyDescent="0.25">
      <c r="B7974" t="str">
        <f>IF(C7974="","",C7974&amp;COUNTIF(C$9:C7974,C7974))</f>
        <v/>
      </c>
    </row>
    <row r="7975" spans="2:2" x14ac:dyDescent="0.25">
      <c r="B7975" t="str">
        <f>IF(C7975="","",C7975&amp;COUNTIF(C$9:C7975,C7975))</f>
        <v/>
      </c>
    </row>
    <row r="7976" spans="2:2" x14ac:dyDescent="0.25">
      <c r="B7976" t="str">
        <f>IF(C7976="","",C7976&amp;COUNTIF(C$9:C7976,C7976))</f>
        <v/>
      </c>
    </row>
    <row r="7977" spans="2:2" x14ac:dyDescent="0.25">
      <c r="B7977" t="str">
        <f>IF(C7977="","",C7977&amp;COUNTIF(C$9:C7977,C7977))</f>
        <v/>
      </c>
    </row>
    <row r="7978" spans="2:2" x14ac:dyDescent="0.25">
      <c r="B7978" t="str">
        <f>IF(C7978="","",C7978&amp;COUNTIF(C$9:C7978,C7978))</f>
        <v/>
      </c>
    </row>
    <row r="7979" spans="2:2" x14ac:dyDescent="0.25">
      <c r="B7979" t="str">
        <f>IF(C7979="","",C7979&amp;COUNTIF(C$9:C7979,C7979))</f>
        <v/>
      </c>
    </row>
    <row r="7980" spans="2:2" x14ac:dyDescent="0.25">
      <c r="B7980" t="str">
        <f>IF(C7980="","",C7980&amp;COUNTIF(C$9:C7980,C7980))</f>
        <v/>
      </c>
    </row>
    <row r="7981" spans="2:2" x14ac:dyDescent="0.25">
      <c r="B7981" t="str">
        <f>IF(C7981="","",C7981&amp;COUNTIF(C$9:C7981,C7981))</f>
        <v/>
      </c>
    </row>
    <row r="7982" spans="2:2" x14ac:dyDescent="0.25">
      <c r="B7982" t="str">
        <f>IF(C7982="","",C7982&amp;COUNTIF(C$9:C7982,C7982))</f>
        <v/>
      </c>
    </row>
    <row r="7983" spans="2:2" x14ac:dyDescent="0.25">
      <c r="B7983" t="str">
        <f>IF(C7983="","",C7983&amp;COUNTIF(C$9:C7983,C7983))</f>
        <v/>
      </c>
    </row>
    <row r="7984" spans="2:2" x14ac:dyDescent="0.25">
      <c r="B7984" t="str">
        <f>IF(C7984="","",C7984&amp;COUNTIF(C$9:C7984,C7984))</f>
        <v/>
      </c>
    </row>
    <row r="7985" spans="2:2" x14ac:dyDescent="0.25">
      <c r="B7985" t="str">
        <f>IF(C7985="","",C7985&amp;COUNTIF(C$9:C7985,C7985))</f>
        <v/>
      </c>
    </row>
    <row r="7986" spans="2:2" x14ac:dyDescent="0.25">
      <c r="B7986" t="str">
        <f>IF(C7986="","",C7986&amp;COUNTIF(C$9:C7986,C7986))</f>
        <v/>
      </c>
    </row>
    <row r="7987" spans="2:2" x14ac:dyDescent="0.25">
      <c r="B7987" t="str">
        <f>IF(C7987="","",C7987&amp;COUNTIF(C$9:C7987,C7987))</f>
        <v/>
      </c>
    </row>
    <row r="7988" spans="2:2" x14ac:dyDescent="0.25">
      <c r="B7988" t="str">
        <f>IF(C7988="","",C7988&amp;COUNTIF(C$9:C7988,C7988))</f>
        <v/>
      </c>
    </row>
    <row r="7989" spans="2:2" x14ac:dyDescent="0.25">
      <c r="B7989" t="str">
        <f>IF(C7989="","",C7989&amp;COUNTIF(C$9:C7989,C7989))</f>
        <v/>
      </c>
    </row>
    <row r="7990" spans="2:2" x14ac:dyDescent="0.25">
      <c r="B7990" t="str">
        <f>IF(C7990="","",C7990&amp;COUNTIF(C$9:C7990,C7990))</f>
        <v/>
      </c>
    </row>
    <row r="7991" spans="2:2" x14ac:dyDescent="0.25">
      <c r="B7991" t="str">
        <f>IF(C7991="","",C7991&amp;COUNTIF(C$9:C7991,C7991))</f>
        <v/>
      </c>
    </row>
    <row r="7992" spans="2:2" x14ac:dyDescent="0.25">
      <c r="B7992" t="str">
        <f>IF(C7992="","",C7992&amp;COUNTIF(C$9:C7992,C7992))</f>
        <v/>
      </c>
    </row>
    <row r="7993" spans="2:2" x14ac:dyDescent="0.25">
      <c r="B7993" t="str">
        <f>IF(C7993="","",C7993&amp;COUNTIF(C$9:C7993,C7993))</f>
        <v/>
      </c>
    </row>
    <row r="7994" spans="2:2" x14ac:dyDescent="0.25">
      <c r="B7994" t="str">
        <f>IF(C7994="","",C7994&amp;COUNTIF(C$9:C7994,C7994))</f>
        <v/>
      </c>
    </row>
    <row r="7995" spans="2:2" x14ac:dyDescent="0.25">
      <c r="B7995" t="str">
        <f>IF(C7995="","",C7995&amp;COUNTIF(C$9:C7995,C7995))</f>
        <v/>
      </c>
    </row>
    <row r="7996" spans="2:2" x14ac:dyDescent="0.25">
      <c r="B7996" t="str">
        <f>IF(C7996="","",C7996&amp;COUNTIF(C$9:C7996,C7996))</f>
        <v/>
      </c>
    </row>
    <row r="7997" spans="2:2" x14ac:dyDescent="0.25">
      <c r="B7997" t="str">
        <f>IF(C7997="","",C7997&amp;COUNTIF(C$9:C7997,C7997))</f>
        <v/>
      </c>
    </row>
    <row r="7998" spans="2:2" x14ac:dyDescent="0.25">
      <c r="B7998" t="str">
        <f>IF(C7998="","",C7998&amp;COUNTIF(C$9:C7998,C7998))</f>
        <v/>
      </c>
    </row>
    <row r="7999" spans="2:2" x14ac:dyDescent="0.25">
      <c r="B7999" t="str">
        <f>IF(C7999="","",C7999&amp;COUNTIF(C$9:C7999,C7999))</f>
        <v/>
      </c>
    </row>
    <row r="8000" spans="2:2" x14ac:dyDescent="0.25">
      <c r="B8000" t="str">
        <f>IF(C8000="","",C8000&amp;COUNTIF(C$9:C8000,C8000))</f>
        <v/>
      </c>
    </row>
    <row r="8001" spans="2:2" x14ac:dyDescent="0.25">
      <c r="B8001" t="str">
        <f>IF(C8001="","",C8001&amp;COUNTIF(C$9:C8001,C8001))</f>
        <v/>
      </c>
    </row>
    <row r="8002" spans="2:2" x14ac:dyDescent="0.25">
      <c r="B8002" t="str">
        <f>IF(C8002="","",C8002&amp;COUNTIF(C$9:C8002,C8002))</f>
        <v/>
      </c>
    </row>
    <row r="8003" spans="2:2" x14ac:dyDescent="0.25">
      <c r="B8003" t="str">
        <f>IF(C8003="","",C8003&amp;COUNTIF(C$9:C8003,C8003))</f>
        <v/>
      </c>
    </row>
    <row r="8004" spans="2:2" x14ac:dyDescent="0.25">
      <c r="B8004" t="str">
        <f>IF(C8004="","",C8004&amp;COUNTIF(C$9:C8004,C8004))</f>
        <v/>
      </c>
    </row>
    <row r="8005" spans="2:2" x14ac:dyDescent="0.25">
      <c r="B8005" t="str">
        <f>IF(C8005="","",C8005&amp;COUNTIF(C$9:C8005,C8005))</f>
        <v/>
      </c>
    </row>
    <row r="8006" spans="2:2" x14ac:dyDescent="0.25">
      <c r="B8006" t="str">
        <f>IF(C8006="","",C8006&amp;COUNTIF(C$9:C8006,C8006))</f>
        <v/>
      </c>
    </row>
    <row r="8007" spans="2:2" x14ac:dyDescent="0.25">
      <c r="B8007" t="str">
        <f>IF(C8007="","",C8007&amp;COUNTIF(C$9:C8007,C8007))</f>
        <v/>
      </c>
    </row>
    <row r="8008" spans="2:2" x14ac:dyDescent="0.25">
      <c r="B8008" t="str">
        <f>IF(C8008="","",C8008&amp;COUNTIF(C$9:C8008,C8008))</f>
        <v/>
      </c>
    </row>
    <row r="8009" spans="2:2" x14ac:dyDescent="0.25">
      <c r="B8009" t="str">
        <f>IF(C8009="","",C8009&amp;COUNTIF(C$9:C8009,C8009))</f>
        <v/>
      </c>
    </row>
    <row r="8010" spans="2:2" x14ac:dyDescent="0.25">
      <c r="B8010" t="str">
        <f>IF(C8010="","",C8010&amp;COUNTIF(C$9:C8010,C8010))</f>
        <v/>
      </c>
    </row>
    <row r="8011" spans="2:2" x14ac:dyDescent="0.25">
      <c r="B8011" t="str">
        <f>IF(C8011="","",C8011&amp;COUNTIF(C$9:C8011,C8011))</f>
        <v/>
      </c>
    </row>
    <row r="8012" spans="2:2" x14ac:dyDescent="0.25">
      <c r="B8012" t="str">
        <f>IF(C8012="","",C8012&amp;COUNTIF(C$9:C8012,C8012))</f>
        <v/>
      </c>
    </row>
    <row r="8013" spans="2:2" x14ac:dyDescent="0.25">
      <c r="B8013" t="str">
        <f>IF(C8013="","",C8013&amp;COUNTIF(C$9:C8013,C8013))</f>
        <v/>
      </c>
    </row>
    <row r="8014" spans="2:2" x14ac:dyDescent="0.25">
      <c r="B8014" t="str">
        <f>IF(C8014="","",C8014&amp;COUNTIF(C$9:C8014,C8014))</f>
        <v/>
      </c>
    </row>
    <row r="8015" spans="2:2" x14ac:dyDescent="0.25">
      <c r="B8015" t="str">
        <f>IF(C8015="","",C8015&amp;COUNTIF(C$9:C8015,C8015))</f>
        <v/>
      </c>
    </row>
    <row r="8016" spans="2:2" x14ac:dyDescent="0.25">
      <c r="B8016" t="str">
        <f>IF(C8016="","",C8016&amp;COUNTIF(C$9:C8016,C8016))</f>
        <v/>
      </c>
    </row>
    <row r="8017" spans="2:2" x14ac:dyDescent="0.25">
      <c r="B8017" t="str">
        <f>IF(C8017="","",C8017&amp;COUNTIF(C$9:C8017,C8017))</f>
        <v/>
      </c>
    </row>
    <row r="8018" spans="2:2" x14ac:dyDescent="0.25">
      <c r="B8018" t="str">
        <f>IF(C8018="","",C8018&amp;COUNTIF(C$9:C8018,C8018))</f>
        <v/>
      </c>
    </row>
    <row r="8019" spans="2:2" x14ac:dyDescent="0.25">
      <c r="B8019" t="str">
        <f>IF(C8019="","",C8019&amp;COUNTIF(C$9:C8019,C8019))</f>
        <v/>
      </c>
    </row>
    <row r="8020" spans="2:2" x14ac:dyDescent="0.25">
      <c r="B8020" t="str">
        <f>IF(C8020="","",C8020&amp;COUNTIF(C$9:C8020,C8020))</f>
        <v/>
      </c>
    </row>
    <row r="8021" spans="2:2" x14ac:dyDescent="0.25">
      <c r="B8021" t="str">
        <f>IF(C8021="","",C8021&amp;COUNTIF(C$9:C8021,C8021))</f>
        <v/>
      </c>
    </row>
    <row r="8022" spans="2:2" x14ac:dyDescent="0.25">
      <c r="B8022" t="str">
        <f>IF(C8022="","",C8022&amp;COUNTIF(C$9:C8022,C8022))</f>
        <v/>
      </c>
    </row>
    <row r="8023" spans="2:2" x14ac:dyDescent="0.25">
      <c r="B8023" t="str">
        <f>IF(C8023="","",C8023&amp;COUNTIF(C$9:C8023,C8023))</f>
        <v/>
      </c>
    </row>
    <row r="8024" spans="2:2" x14ac:dyDescent="0.25">
      <c r="B8024" t="str">
        <f>IF(C8024="","",C8024&amp;COUNTIF(C$9:C8024,C8024))</f>
        <v/>
      </c>
    </row>
    <row r="8025" spans="2:2" x14ac:dyDescent="0.25">
      <c r="B8025" t="str">
        <f>IF(C8025="","",C8025&amp;COUNTIF(C$9:C8025,C8025))</f>
        <v/>
      </c>
    </row>
    <row r="8026" spans="2:2" x14ac:dyDescent="0.25">
      <c r="B8026" t="str">
        <f>IF(C8026="","",C8026&amp;COUNTIF(C$9:C8026,C8026))</f>
        <v/>
      </c>
    </row>
    <row r="8027" spans="2:2" x14ac:dyDescent="0.25">
      <c r="B8027" t="str">
        <f>IF(C8027="","",C8027&amp;COUNTIF(C$9:C8027,C8027))</f>
        <v/>
      </c>
    </row>
    <row r="8028" spans="2:2" x14ac:dyDescent="0.25">
      <c r="B8028" t="str">
        <f>IF(C8028="","",C8028&amp;COUNTIF(C$9:C8028,C8028))</f>
        <v/>
      </c>
    </row>
    <row r="8029" spans="2:2" x14ac:dyDescent="0.25">
      <c r="B8029" t="str">
        <f>IF(C8029="","",C8029&amp;COUNTIF(C$9:C8029,C8029))</f>
        <v/>
      </c>
    </row>
    <row r="8030" spans="2:2" x14ac:dyDescent="0.25">
      <c r="B8030" t="str">
        <f>IF(C8030="","",C8030&amp;COUNTIF(C$9:C8030,C8030))</f>
        <v/>
      </c>
    </row>
    <row r="8031" spans="2:2" x14ac:dyDescent="0.25">
      <c r="B8031" t="str">
        <f>IF(C8031="","",C8031&amp;COUNTIF(C$9:C8031,C8031))</f>
        <v/>
      </c>
    </row>
    <row r="8032" spans="2:2" x14ac:dyDescent="0.25">
      <c r="B8032" t="str">
        <f>IF(C8032="","",C8032&amp;COUNTIF(C$9:C8032,C8032))</f>
        <v/>
      </c>
    </row>
    <row r="8033" spans="2:2" x14ac:dyDescent="0.25">
      <c r="B8033" t="str">
        <f>IF(C8033="","",C8033&amp;COUNTIF(C$9:C8033,C8033))</f>
        <v/>
      </c>
    </row>
    <row r="8034" spans="2:2" x14ac:dyDescent="0.25">
      <c r="B8034" t="str">
        <f>IF(C8034="","",C8034&amp;COUNTIF(C$9:C8034,C8034))</f>
        <v/>
      </c>
    </row>
    <row r="8035" spans="2:2" x14ac:dyDescent="0.25">
      <c r="B8035" t="str">
        <f>IF(C8035="","",C8035&amp;COUNTIF(C$9:C8035,C8035))</f>
        <v/>
      </c>
    </row>
    <row r="8036" spans="2:2" x14ac:dyDescent="0.25">
      <c r="B8036" t="str">
        <f>IF(C8036="","",C8036&amp;COUNTIF(C$9:C8036,C8036))</f>
        <v/>
      </c>
    </row>
    <row r="8037" spans="2:2" x14ac:dyDescent="0.25">
      <c r="B8037" t="str">
        <f>IF(C8037="","",C8037&amp;COUNTIF(C$9:C8037,C8037))</f>
        <v/>
      </c>
    </row>
    <row r="8038" spans="2:2" x14ac:dyDescent="0.25">
      <c r="B8038" t="str">
        <f>IF(C8038="","",C8038&amp;COUNTIF(C$9:C8038,C8038))</f>
        <v/>
      </c>
    </row>
    <row r="8039" spans="2:2" x14ac:dyDescent="0.25">
      <c r="B8039" t="str">
        <f>IF(C8039="","",C8039&amp;COUNTIF(C$9:C8039,C8039))</f>
        <v/>
      </c>
    </row>
    <row r="8040" spans="2:2" x14ac:dyDescent="0.25">
      <c r="B8040" t="str">
        <f>IF(C8040="","",C8040&amp;COUNTIF(C$9:C8040,C8040))</f>
        <v/>
      </c>
    </row>
    <row r="8041" spans="2:2" x14ac:dyDescent="0.25">
      <c r="B8041" t="str">
        <f>IF(C8041="","",C8041&amp;COUNTIF(C$9:C8041,C8041))</f>
        <v/>
      </c>
    </row>
    <row r="8042" spans="2:2" x14ac:dyDescent="0.25">
      <c r="B8042" t="str">
        <f>IF(C8042="","",C8042&amp;COUNTIF(C$9:C8042,C8042))</f>
        <v/>
      </c>
    </row>
    <row r="8043" spans="2:2" x14ac:dyDescent="0.25">
      <c r="B8043" t="str">
        <f>IF(C8043="","",C8043&amp;COUNTIF(C$9:C8043,C8043))</f>
        <v/>
      </c>
    </row>
    <row r="8044" spans="2:2" x14ac:dyDescent="0.25">
      <c r="B8044" t="str">
        <f>IF(C8044="","",C8044&amp;COUNTIF(C$9:C8044,C8044))</f>
        <v/>
      </c>
    </row>
    <row r="8045" spans="2:2" x14ac:dyDescent="0.25">
      <c r="B8045" t="str">
        <f>IF(C8045="","",C8045&amp;COUNTIF(C$9:C8045,C8045))</f>
        <v/>
      </c>
    </row>
    <row r="8046" spans="2:2" x14ac:dyDescent="0.25">
      <c r="B8046" t="str">
        <f>IF(C8046="","",C8046&amp;COUNTIF(C$9:C8046,C8046))</f>
        <v/>
      </c>
    </row>
    <row r="8047" spans="2:2" x14ac:dyDescent="0.25">
      <c r="B8047" t="str">
        <f>IF(C8047="","",C8047&amp;COUNTIF(C$9:C8047,C8047))</f>
        <v/>
      </c>
    </row>
    <row r="8048" spans="2:2" x14ac:dyDescent="0.25">
      <c r="B8048" t="str">
        <f>IF(C8048="","",C8048&amp;COUNTIF(C$9:C8048,C8048))</f>
        <v/>
      </c>
    </row>
    <row r="8049" spans="2:2" x14ac:dyDescent="0.25">
      <c r="B8049" t="str">
        <f>IF(C8049="","",C8049&amp;COUNTIF(C$9:C8049,C8049))</f>
        <v/>
      </c>
    </row>
    <row r="8050" spans="2:2" x14ac:dyDescent="0.25">
      <c r="B8050" t="str">
        <f>IF(C8050="","",C8050&amp;COUNTIF(C$9:C8050,C8050))</f>
        <v/>
      </c>
    </row>
    <row r="8051" spans="2:2" x14ac:dyDescent="0.25">
      <c r="B8051" t="str">
        <f>IF(C8051="","",C8051&amp;COUNTIF(C$9:C8051,C8051))</f>
        <v/>
      </c>
    </row>
    <row r="8052" spans="2:2" x14ac:dyDescent="0.25">
      <c r="B8052" t="str">
        <f>IF(C8052="","",C8052&amp;COUNTIF(C$9:C8052,C8052))</f>
        <v/>
      </c>
    </row>
    <row r="8053" spans="2:2" x14ac:dyDescent="0.25">
      <c r="B8053" t="str">
        <f>IF(C8053="","",C8053&amp;COUNTIF(C$9:C8053,C8053))</f>
        <v/>
      </c>
    </row>
    <row r="8054" spans="2:2" x14ac:dyDescent="0.25">
      <c r="B8054" t="str">
        <f>IF(C8054="","",C8054&amp;COUNTIF(C$9:C8054,C8054))</f>
        <v/>
      </c>
    </row>
    <row r="8055" spans="2:2" x14ac:dyDescent="0.25">
      <c r="B8055" t="str">
        <f>IF(C8055="","",C8055&amp;COUNTIF(C$9:C8055,C8055))</f>
        <v/>
      </c>
    </row>
    <row r="8056" spans="2:2" x14ac:dyDescent="0.25">
      <c r="B8056" t="str">
        <f>IF(C8056="","",C8056&amp;COUNTIF(C$9:C8056,C8056))</f>
        <v/>
      </c>
    </row>
    <row r="8057" spans="2:2" x14ac:dyDescent="0.25">
      <c r="B8057" t="str">
        <f>IF(C8057="","",C8057&amp;COUNTIF(C$9:C8057,C8057))</f>
        <v/>
      </c>
    </row>
    <row r="8058" spans="2:2" x14ac:dyDescent="0.25">
      <c r="B8058" t="str">
        <f>IF(C8058="","",C8058&amp;COUNTIF(C$9:C8058,C8058))</f>
        <v/>
      </c>
    </row>
    <row r="8059" spans="2:2" x14ac:dyDescent="0.25">
      <c r="B8059" t="str">
        <f>IF(C8059="","",C8059&amp;COUNTIF(C$9:C8059,C8059))</f>
        <v/>
      </c>
    </row>
    <row r="8060" spans="2:2" x14ac:dyDescent="0.25">
      <c r="B8060" t="str">
        <f>IF(C8060="","",C8060&amp;COUNTIF(C$9:C8060,C8060))</f>
        <v/>
      </c>
    </row>
    <row r="8061" spans="2:2" x14ac:dyDescent="0.25">
      <c r="B8061" t="str">
        <f>IF(C8061="","",C8061&amp;COUNTIF(C$9:C8061,C8061))</f>
        <v/>
      </c>
    </row>
    <row r="8062" spans="2:2" x14ac:dyDescent="0.25">
      <c r="B8062" t="str">
        <f>IF(C8062="","",C8062&amp;COUNTIF(C$9:C8062,C8062))</f>
        <v/>
      </c>
    </row>
    <row r="8063" spans="2:2" x14ac:dyDescent="0.25">
      <c r="B8063" t="str">
        <f>IF(C8063="","",C8063&amp;COUNTIF(C$9:C8063,C8063))</f>
        <v/>
      </c>
    </row>
    <row r="8064" spans="2:2" x14ac:dyDescent="0.25">
      <c r="B8064" t="str">
        <f>IF(C8064="","",C8064&amp;COUNTIF(C$9:C8064,C8064))</f>
        <v/>
      </c>
    </row>
    <row r="8065" spans="2:2" x14ac:dyDescent="0.25">
      <c r="B8065" t="str">
        <f>IF(C8065="","",C8065&amp;COUNTIF(C$9:C8065,C8065))</f>
        <v/>
      </c>
    </row>
    <row r="8066" spans="2:2" x14ac:dyDescent="0.25">
      <c r="B8066" t="str">
        <f>IF(C8066="","",C8066&amp;COUNTIF(C$9:C8066,C8066))</f>
        <v/>
      </c>
    </row>
    <row r="8067" spans="2:2" x14ac:dyDescent="0.25">
      <c r="B8067" t="str">
        <f>IF(C8067="","",C8067&amp;COUNTIF(C$9:C8067,C8067))</f>
        <v/>
      </c>
    </row>
    <row r="8068" spans="2:2" x14ac:dyDescent="0.25">
      <c r="B8068" t="str">
        <f>IF(C8068="","",C8068&amp;COUNTIF(C$9:C8068,C8068))</f>
        <v/>
      </c>
    </row>
    <row r="8069" spans="2:2" x14ac:dyDescent="0.25">
      <c r="B8069" t="str">
        <f>IF(C8069="","",C8069&amp;COUNTIF(C$9:C8069,C8069))</f>
        <v/>
      </c>
    </row>
    <row r="8070" spans="2:2" x14ac:dyDescent="0.25">
      <c r="B8070" t="str">
        <f>IF(C8070="","",C8070&amp;COUNTIF(C$9:C8070,C8070))</f>
        <v/>
      </c>
    </row>
    <row r="8071" spans="2:2" x14ac:dyDescent="0.25">
      <c r="B8071" t="str">
        <f>IF(C8071="","",C8071&amp;COUNTIF(C$9:C8071,C8071))</f>
        <v/>
      </c>
    </row>
    <row r="8072" spans="2:2" x14ac:dyDescent="0.25">
      <c r="B8072" t="str">
        <f>IF(C8072="","",C8072&amp;COUNTIF(C$9:C8072,C8072))</f>
        <v/>
      </c>
    </row>
    <row r="8073" spans="2:2" x14ac:dyDescent="0.25">
      <c r="B8073" t="str">
        <f>IF(C8073="","",C8073&amp;COUNTIF(C$9:C8073,C8073))</f>
        <v/>
      </c>
    </row>
    <row r="8074" spans="2:2" x14ac:dyDescent="0.25">
      <c r="B8074" t="str">
        <f>IF(C8074="","",C8074&amp;COUNTIF(C$9:C8074,C8074))</f>
        <v/>
      </c>
    </row>
    <row r="8075" spans="2:2" x14ac:dyDescent="0.25">
      <c r="B8075" t="str">
        <f>IF(C8075="","",C8075&amp;COUNTIF(C$9:C8075,C8075))</f>
        <v/>
      </c>
    </row>
    <row r="8076" spans="2:2" x14ac:dyDescent="0.25">
      <c r="B8076" t="str">
        <f>IF(C8076="","",C8076&amp;COUNTIF(C$9:C8076,C8076))</f>
        <v/>
      </c>
    </row>
    <row r="8077" spans="2:2" x14ac:dyDescent="0.25">
      <c r="B8077" t="str">
        <f>IF(C8077="","",C8077&amp;COUNTIF(C$9:C8077,C8077))</f>
        <v/>
      </c>
    </row>
    <row r="8078" spans="2:2" x14ac:dyDescent="0.25">
      <c r="B8078" t="str">
        <f>IF(C8078="","",C8078&amp;COUNTIF(C$9:C8078,C8078))</f>
        <v/>
      </c>
    </row>
    <row r="8079" spans="2:2" x14ac:dyDescent="0.25">
      <c r="B8079" t="str">
        <f>IF(C8079="","",C8079&amp;COUNTIF(C$9:C8079,C8079))</f>
        <v/>
      </c>
    </row>
    <row r="8080" spans="2:2" x14ac:dyDescent="0.25">
      <c r="B8080" t="str">
        <f>IF(C8080="","",C8080&amp;COUNTIF(C$9:C8080,C8080))</f>
        <v/>
      </c>
    </row>
    <row r="8081" spans="2:2" x14ac:dyDescent="0.25">
      <c r="B8081" t="str">
        <f>IF(C8081="","",C8081&amp;COUNTIF(C$9:C8081,C8081))</f>
        <v/>
      </c>
    </row>
    <row r="8082" spans="2:2" x14ac:dyDescent="0.25">
      <c r="B8082" t="str">
        <f>IF(C8082="","",C8082&amp;COUNTIF(C$9:C8082,C8082))</f>
        <v/>
      </c>
    </row>
    <row r="8083" spans="2:2" x14ac:dyDescent="0.25">
      <c r="B8083" t="str">
        <f>IF(C8083="","",C8083&amp;COUNTIF(C$9:C8083,C8083))</f>
        <v/>
      </c>
    </row>
    <row r="8084" spans="2:2" x14ac:dyDescent="0.25">
      <c r="B8084" t="str">
        <f>IF(C8084="","",C8084&amp;COUNTIF(C$9:C8084,C8084))</f>
        <v/>
      </c>
    </row>
    <row r="8085" spans="2:2" x14ac:dyDescent="0.25">
      <c r="B8085" t="str">
        <f>IF(C8085="","",C8085&amp;COUNTIF(C$9:C8085,C8085))</f>
        <v/>
      </c>
    </row>
    <row r="8086" spans="2:2" x14ac:dyDescent="0.25">
      <c r="B8086" t="str">
        <f>IF(C8086="","",C8086&amp;COUNTIF(C$9:C8086,C8086))</f>
        <v/>
      </c>
    </row>
    <row r="8087" spans="2:2" x14ac:dyDescent="0.25">
      <c r="B8087" t="str">
        <f>IF(C8087="","",C8087&amp;COUNTIF(C$9:C8087,C8087))</f>
        <v/>
      </c>
    </row>
    <row r="8088" spans="2:2" x14ac:dyDescent="0.25">
      <c r="B8088" t="str">
        <f>IF(C8088="","",C8088&amp;COUNTIF(C$9:C8088,C8088))</f>
        <v/>
      </c>
    </row>
    <row r="8089" spans="2:2" x14ac:dyDescent="0.25">
      <c r="B8089" t="str">
        <f>IF(C8089="","",C8089&amp;COUNTIF(C$9:C8089,C8089))</f>
        <v/>
      </c>
    </row>
    <row r="8090" spans="2:2" x14ac:dyDescent="0.25">
      <c r="B8090" t="str">
        <f>IF(C8090="","",C8090&amp;COUNTIF(C$9:C8090,C8090))</f>
        <v/>
      </c>
    </row>
    <row r="8091" spans="2:2" x14ac:dyDescent="0.25">
      <c r="B8091" t="str">
        <f>IF(C8091="","",C8091&amp;COUNTIF(C$9:C8091,C8091))</f>
        <v/>
      </c>
    </row>
    <row r="8092" spans="2:2" x14ac:dyDescent="0.25">
      <c r="B8092" t="str">
        <f>IF(C8092="","",C8092&amp;COUNTIF(C$9:C8092,C8092))</f>
        <v/>
      </c>
    </row>
    <row r="8093" spans="2:2" x14ac:dyDescent="0.25">
      <c r="B8093" t="str">
        <f>IF(C8093="","",C8093&amp;COUNTIF(C$9:C8093,C8093))</f>
        <v/>
      </c>
    </row>
    <row r="8094" spans="2:2" x14ac:dyDescent="0.25">
      <c r="B8094" t="str">
        <f>IF(C8094="","",C8094&amp;COUNTIF(C$9:C8094,C8094))</f>
        <v/>
      </c>
    </row>
    <row r="8095" spans="2:2" x14ac:dyDescent="0.25">
      <c r="B8095" t="str">
        <f>IF(C8095="","",C8095&amp;COUNTIF(C$9:C8095,C8095))</f>
        <v/>
      </c>
    </row>
    <row r="8096" spans="2:2" x14ac:dyDescent="0.25">
      <c r="B8096" t="str">
        <f>IF(C8096="","",C8096&amp;COUNTIF(C$9:C8096,C8096))</f>
        <v/>
      </c>
    </row>
    <row r="8097" spans="2:2" x14ac:dyDescent="0.25">
      <c r="B8097" t="str">
        <f>IF(C8097="","",C8097&amp;COUNTIF(C$9:C8097,C8097))</f>
        <v/>
      </c>
    </row>
    <row r="8098" spans="2:2" x14ac:dyDescent="0.25">
      <c r="B8098" t="str">
        <f>IF(C8098="","",C8098&amp;COUNTIF(C$9:C8098,C8098))</f>
        <v/>
      </c>
    </row>
    <row r="8099" spans="2:2" x14ac:dyDescent="0.25">
      <c r="B8099" t="str">
        <f>IF(C8099="","",C8099&amp;COUNTIF(C$9:C8099,C8099))</f>
        <v/>
      </c>
    </row>
    <row r="8100" spans="2:2" x14ac:dyDescent="0.25">
      <c r="B8100" t="str">
        <f>IF(C8100="","",C8100&amp;COUNTIF(C$9:C8100,C8100))</f>
        <v/>
      </c>
    </row>
    <row r="8101" spans="2:2" x14ac:dyDescent="0.25">
      <c r="B8101" t="str">
        <f>IF(C8101="","",C8101&amp;COUNTIF(C$9:C8101,C8101))</f>
        <v/>
      </c>
    </row>
    <row r="8102" spans="2:2" x14ac:dyDescent="0.25">
      <c r="B8102" t="str">
        <f>IF(C8102="","",C8102&amp;COUNTIF(C$9:C8102,C8102))</f>
        <v/>
      </c>
    </row>
    <row r="8103" spans="2:2" x14ac:dyDescent="0.25">
      <c r="B8103" t="str">
        <f>IF(C8103="","",C8103&amp;COUNTIF(C$9:C8103,C8103))</f>
        <v/>
      </c>
    </row>
    <row r="8104" spans="2:2" x14ac:dyDescent="0.25">
      <c r="B8104" t="str">
        <f>IF(C8104="","",C8104&amp;COUNTIF(C$9:C8104,C8104))</f>
        <v/>
      </c>
    </row>
    <row r="8105" spans="2:2" x14ac:dyDescent="0.25">
      <c r="B8105" t="str">
        <f>IF(C8105="","",C8105&amp;COUNTIF(C$9:C8105,C8105))</f>
        <v/>
      </c>
    </row>
    <row r="8106" spans="2:2" x14ac:dyDescent="0.25">
      <c r="B8106" t="str">
        <f>IF(C8106="","",C8106&amp;COUNTIF(C$9:C8106,C8106))</f>
        <v/>
      </c>
    </row>
    <row r="8107" spans="2:2" x14ac:dyDescent="0.25">
      <c r="B8107" t="str">
        <f>IF(C8107="","",C8107&amp;COUNTIF(C$9:C8107,C8107))</f>
        <v/>
      </c>
    </row>
    <row r="8108" spans="2:2" x14ac:dyDescent="0.25">
      <c r="B8108" t="str">
        <f>IF(C8108="","",C8108&amp;COUNTIF(C$9:C8108,C8108))</f>
        <v/>
      </c>
    </row>
    <row r="8109" spans="2:2" x14ac:dyDescent="0.25">
      <c r="B8109" t="str">
        <f>IF(C8109="","",C8109&amp;COUNTIF(C$9:C8109,C8109))</f>
        <v/>
      </c>
    </row>
    <row r="8110" spans="2:2" x14ac:dyDescent="0.25">
      <c r="B8110" t="str">
        <f>IF(C8110="","",C8110&amp;COUNTIF(C$9:C8110,C8110))</f>
        <v/>
      </c>
    </row>
    <row r="8111" spans="2:2" x14ac:dyDescent="0.25">
      <c r="B8111" t="str">
        <f>IF(C8111="","",C8111&amp;COUNTIF(C$9:C8111,C8111))</f>
        <v/>
      </c>
    </row>
    <row r="8112" spans="2:2" x14ac:dyDescent="0.25">
      <c r="B8112" t="str">
        <f>IF(C8112="","",C8112&amp;COUNTIF(C$9:C8112,C8112))</f>
        <v/>
      </c>
    </row>
    <row r="8113" spans="2:2" x14ac:dyDescent="0.25">
      <c r="B8113" t="str">
        <f>IF(C8113="","",C8113&amp;COUNTIF(C$9:C8113,C8113))</f>
        <v/>
      </c>
    </row>
    <row r="8114" spans="2:2" x14ac:dyDescent="0.25">
      <c r="B8114" t="str">
        <f>IF(C8114="","",C8114&amp;COUNTIF(C$9:C8114,C8114))</f>
        <v/>
      </c>
    </row>
    <row r="8115" spans="2:2" x14ac:dyDescent="0.25">
      <c r="B8115" t="str">
        <f>IF(C8115="","",C8115&amp;COUNTIF(C$9:C8115,C8115))</f>
        <v/>
      </c>
    </row>
    <row r="8116" spans="2:2" x14ac:dyDescent="0.25">
      <c r="B8116" t="str">
        <f>IF(C8116="","",C8116&amp;COUNTIF(C$9:C8116,C8116))</f>
        <v/>
      </c>
    </row>
    <row r="8117" spans="2:2" x14ac:dyDescent="0.25">
      <c r="B8117" t="str">
        <f>IF(C8117="","",C8117&amp;COUNTIF(C$9:C8117,C8117))</f>
        <v/>
      </c>
    </row>
    <row r="8118" spans="2:2" x14ac:dyDescent="0.25">
      <c r="B8118" t="str">
        <f>IF(C8118="","",C8118&amp;COUNTIF(C$9:C8118,C8118))</f>
        <v/>
      </c>
    </row>
    <row r="8119" spans="2:2" x14ac:dyDescent="0.25">
      <c r="B8119" t="str">
        <f>IF(C8119="","",C8119&amp;COUNTIF(C$9:C8119,C8119))</f>
        <v/>
      </c>
    </row>
    <row r="8120" spans="2:2" x14ac:dyDescent="0.25">
      <c r="B8120" t="str">
        <f>IF(C8120="","",C8120&amp;COUNTIF(C$9:C8120,C8120))</f>
        <v/>
      </c>
    </row>
    <row r="8121" spans="2:2" x14ac:dyDescent="0.25">
      <c r="B8121" t="str">
        <f>IF(C8121="","",C8121&amp;COUNTIF(C$9:C8121,C8121))</f>
        <v/>
      </c>
    </row>
    <row r="8122" spans="2:2" x14ac:dyDescent="0.25">
      <c r="B8122" t="str">
        <f>IF(C8122="","",C8122&amp;COUNTIF(C$9:C8122,C8122))</f>
        <v/>
      </c>
    </row>
    <row r="8123" spans="2:2" x14ac:dyDescent="0.25">
      <c r="B8123" t="str">
        <f>IF(C8123="","",C8123&amp;COUNTIF(C$9:C8123,C8123))</f>
        <v/>
      </c>
    </row>
    <row r="8124" spans="2:2" x14ac:dyDescent="0.25">
      <c r="B8124" t="str">
        <f>IF(C8124="","",C8124&amp;COUNTIF(C$9:C8124,C8124))</f>
        <v/>
      </c>
    </row>
    <row r="8125" spans="2:2" x14ac:dyDescent="0.25">
      <c r="B8125" t="str">
        <f>IF(C8125="","",C8125&amp;COUNTIF(C$9:C8125,C8125))</f>
        <v/>
      </c>
    </row>
    <row r="8126" spans="2:2" x14ac:dyDescent="0.25">
      <c r="B8126" t="str">
        <f>IF(C8126="","",C8126&amp;COUNTIF(C$9:C8126,C8126))</f>
        <v/>
      </c>
    </row>
    <row r="8127" spans="2:2" x14ac:dyDescent="0.25">
      <c r="B8127" t="str">
        <f>IF(C8127="","",C8127&amp;COUNTIF(C$9:C8127,C8127))</f>
        <v/>
      </c>
    </row>
    <row r="8128" spans="2:2" x14ac:dyDescent="0.25">
      <c r="B8128" t="str">
        <f>IF(C8128="","",C8128&amp;COUNTIF(C$9:C8128,C8128))</f>
        <v/>
      </c>
    </row>
    <row r="8129" spans="2:2" x14ac:dyDescent="0.25">
      <c r="B8129" t="str">
        <f>IF(C8129="","",C8129&amp;COUNTIF(C$9:C8129,C8129))</f>
        <v/>
      </c>
    </row>
    <row r="8130" spans="2:2" x14ac:dyDescent="0.25">
      <c r="B8130" t="str">
        <f>IF(C8130="","",C8130&amp;COUNTIF(C$9:C8130,C8130))</f>
        <v/>
      </c>
    </row>
    <row r="8131" spans="2:2" x14ac:dyDescent="0.25">
      <c r="B8131" t="str">
        <f>IF(C8131="","",C8131&amp;COUNTIF(C$9:C8131,C8131))</f>
        <v/>
      </c>
    </row>
    <row r="8132" spans="2:2" x14ac:dyDescent="0.25">
      <c r="B8132" t="str">
        <f>IF(C8132="","",C8132&amp;COUNTIF(C$9:C8132,C8132))</f>
        <v/>
      </c>
    </row>
    <row r="8133" spans="2:2" x14ac:dyDescent="0.25">
      <c r="B8133" t="str">
        <f>IF(C8133="","",C8133&amp;COUNTIF(C$9:C8133,C8133))</f>
        <v/>
      </c>
    </row>
    <row r="8134" spans="2:2" x14ac:dyDescent="0.25">
      <c r="B8134" t="str">
        <f>IF(C8134="","",C8134&amp;COUNTIF(C$9:C8134,C8134))</f>
        <v/>
      </c>
    </row>
    <row r="8135" spans="2:2" x14ac:dyDescent="0.25">
      <c r="B8135" t="str">
        <f>IF(C8135="","",C8135&amp;COUNTIF(C$9:C8135,C8135))</f>
        <v/>
      </c>
    </row>
    <row r="8136" spans="2:2" x14ac:dyDescent="0.25">
      <c r="B8136" t="str">
        <f>IF(C8136="","",C8136&amp;COUNTIF(C$9:C8136,C8136))</f>
        <v/>
      </c>
    </row>
    <row r="8137" spans="2:2" x14ac:dyDescent="0.25">
      <c r="B8137" t="str">
        <f>IF(C8137="","",C8137&amp;COUNTIF(C$9:C8137,C8137))</f>
        <v/>
      </c>
    </row>
    <row r="8138" spans="2:2" x14ac:dyDescent="0.25">
      <c r="B8138" t="str">
        <f>IF(C8138="","",C8138&amp;COUNTIF(C$9:C8138,C8138))</f>
        <v/>
      </c>
    </row>
    <row r="8139" spans="2:2" x14ac:dyDescent="0.25">
      <c r="B8139" t="str">
        <f>IF(C8139="","",C8139&amp;COUNTIF(C$9:C8139,C8139))</f>
        <v/>
      </c>
    </row>
    <row r="8140" spans="2:2" x14ac:dyDescent="0.25">
      <c r="B8140" t="str">
        <f>IF(C8140="","",C8140&amp;COUNTIF(C$9:C8140,C8140))</f>
        <v/>
      </c>
    </row>
    <row r="8141" spans="2:2" x14ac:dyDescent="0.25">
      <c r="B8141" t="str">
        <f>IF(C8141="","",C8141&amp;COUNTIF(C$9:C8141,C8141))</f>
        <v/>
      </c>
    </row>
    <row r="8142" spans="2:2" x14ac:dyDescent="0.25">
      <c r="B8142" t="str">
        <f>IF(C8142="","",C8142&amp;COUNTIF(C$9:C8142,C8142))</f>
        <v/>
      </c>
    </row>
    <row r="8143" spans="2:2" x14ac:dyDescent="0.25">
      <c r="B8143" t="str">
        <f>IF(C8143="","",C8143&amp;COUNTIF(C$9:C8143,C8143))</f>
        <v/>
      </c>
    </row>
    <row r="8144" spans="2:2" x14ac:dyDescent="0.25">
      <c r="B8144" t="str">
        <f>IF(C8144="","",C8144&amp;COUNTIF(C$9:C8144,C8144))</f>
        <v/>
      </c>
    </row>
    <row r="8145" spans="2:2" x14ac:dyDescent="0.25">
      <c r="B8145" t="str">
        <f>IF(C8145="","",C8145&amp;COUNTIF(C$9:C8145,C8145))</f>
        <v/>
      </c>
    </row>
    <row r="8146" spans="2:2" x14ac:dyDescent="0.25">
      <c r="B8146" t="str">
        <f>IF(C8146="","",C8146&amp;COUNTIF(C$9:C8146,C8146))</f>
        <v/>
      </c>
    </row>
    <row r="8147" spans="2:2" x14ac:dyDescent="0.25">
      <c r="B8147" t="str">
        <f>IF(C8147="","",C8147&amp;COUNTIF(C$9:C8147,C8147))</f>
        <v/>
      </c>
    </row>
    <row r="8148" spans="2:2" x14ac:dyDescent="0.25">
      <c r="B8148" t="str">
        <f>IF(C8148="","",C8148&amp;COUNTIF(C$9:C8148,C8148))</f>
        <v/>
      </c>
    </row>
    <row r="8149" spans="2:2" x14ac:dyDescent="0.25">
      <c r="B8149" t="str">
        <f>IF(C8149="","",C8149&amp;COUNTIF(C$9:C8149,C8149))</f>
        <v/>
      </c>
    </row>
    <row r="8150" spans="2:2" x14ac:dyDescent="0.25">
      <c r="B8150" t="str">
        <f>IF(C8150="","",C8150&amp;COUNTIF(C$9:C8150,C8150))</f>
        <v/>
      </c>
    </row>
    <row r="8151" spans="2:2" x14ac:dyDescent="0.25">
      <c r="B8151" t="str">
        <f>IF(C8151="","",C8151&amp;COUNTIF(C$9:C8151,C8151))</f>
        <v/>
      </c>
    </row>
    <row r="8152" spans="2:2" x14ac:dyDescent="0.25">
      <c r="B8152" t="str">
        <f>IF(C8152="","",C8152&amp;COUNTIF(C$9:C8152,C8152))</f>
        <v/>
      </c>
    </row>
    <row r="8153" spans="2:2" x14ac:dyDescent="0.25">
      <c r="B8153" t="str">
        <f>IF(C8153="","",C8153&amp;COUNTIF(C$9:C8153,C8153))</f>
        <v/>
      </c>
    </row>
    <row r="8154" spans="2:2" x14ac:dyDescent="0.25">
      <c r="B8154" t="str">
        <f>IF(C8154="","",C8154&amp;COUNTIF(C$9:C8154,C8154))</f>
        <v/>
      </c>
    </row>
    <row r="8155" spans="2:2" x14ac:dyDescent="0.25">
      <c r="B8155" t="str">
        <f>IF(C8155="","",C8155&amp;COUNTIF(C$9:C8155,C8155))</f>
        <v/>
      </c>
    </row>
    <row r="8156" spans="2:2" x14ac:dyDescent="0.25">
      <c r="B8156" t="str">
        <f>IF(C8156="","",C8156&amp;COUNTIF(C$9:C8156,C8156))</f>
        <v/>
      </c>
    </row>
    <row r="8157" spans="2:2" x14ac:dyDescent="0.25">
      <c r="B8157" t="str">
        <f>IF(C8157="","",C8157&amp;COUNTIF(C$9:C8157,C8157))</f>
        <v/>
      </c>
    </row>
    <row r="8158" spans="2:2" x14ac:dyDescent="0.25">
      <c r="B8158" t="str">
        <f>IF(C8158="","",C8158&amp;COUNTIF(C$9:C8158,C8158))</f>
        <v/>
      </c>
    </row>
    <row r="8159" spans="2:2" x14ac:dyDescent="0.25">
      <c r="B8159" t="str">
        <f>IF(C8159="","",C8159&amp;COUNTIF(C$9:C8159,C8159))</f>
        <v/>
      </c>
    </row>
    <row r="8160" spans="2:2" x14ac:dyDescent="0.25">
      <c r="B8160" t="str">
        <f>IF(C8160="","",C8160&amp;COUNTIF(C$9:C8160,C8160))</f>
        <v/>
      </c>
    </row>
    <row r="8161" spans="2:2" x14ac:dyDescent="0.25">
      <c r="B8161" t="str">
        <f>IF(C8161="","",C8161&amp;COUNTIF(C$9:C8161,C8161))</f>
        <v/>
      </c>
    </row>
    <row r="8162" spans="2:2" x14ac:dyDescent="0.25">
      <c r="B8162" t="str">
        <f>IF(C8162="","",C8162&amp;COUNTIF(C$9:C8162,C8162))</f>
        <v/>
      </c>
    </row>
    <row r="8163" spans="2:2" x14ac:dyDescent="0.25">
      <c r="B8163" t="str">
        <f>IF(C8163="","",C8163&amp;COUNTIF(C$9:C8163,C8163))</f>
        <v/>
      </c>
    </row>
    <row r="8164" spans="2:2" x14ac:dyDescent="0.25">
      <c r="B8164" t="str">
        <f>IF(C8164="","",C8164&amp;COUNTIF(C$9:C8164,C8164))</f>
        <v/>
      </c>
    </row>
    <row r="8165" spans="2:2" x14ac:dyDescent="0.25">
      <c r="B8165" t="str">
        <f>IF(C8165="","",C8165&amp;COUNTIF(C$9:C8165,C8165))</f>
        <v/>
      </c>
    </row>
    <row r="8166" spans="2:2" x14ac:dyDescent="0.25">
      <c r="B8166" t="str">
        <f>IF(C8166="","",C8166&amp;COUNTIF(C$9:C8166,C8166))</f>
        <v/>
      </c>
    </row>
    <row r="8167" spans="2:2" x14ac:dyDescent="0.25">
      <c r="B8167" t="str">
        <f>IF(C8167="","",C8167&amp;COUNTIF(C$9:C8167,C8167))</f>
        <v/>
      </c>
    </row>
    <row r="8168" spans="2:2" x14ac:dyDescent="0.25">
      <c r="B8168" t="str">
        <f>IF(C8168="","",C8168&amp;COUNTIF(C$9:C8168,C8168))</f>
        <v/>
      </c>
    </row>
    <row r="8169" spans="2:2" x14ac:dyDescent="0.25">
      <c r="B8169" t="str">
        <f>IF(C8169="","",C8169&amp;COUNTIF(C$9:C8169,C8169))</f>
        <v/>
      </c>
    </row>
    <row r="8170" spans="2:2" x14ac:dyDescent="0.25">
      <c r="B8170" t="str">
        <f>IF(C8170="","",C8170&amp;COUNTIF(C$9:C8170,C8170))</f>
        <v/>
      </c>
    </row>
    <row r="8171" spans="2:2" x14ac:dyDescent="0.25">
      <c r="B8171" t="str">
        <f>IF(C8171="","",C8171&amp;COUNTIF(C$9:C8171,C8171))</f>
        <v/>
      </c>
    </row>
    <row r="8172" spans="2:2" x14ac:dyDescent="0.25">
      <c r="B8172" t="str">
        <f>IF(C8172="","",C8172&amp;COUNTIF(C$9:C8172,C8172))</f>
        <v/>
      </c>
    </row>
    <row r="8173" spans="2:2" x14ac:dyDescent="0.25">
      <c r="B8173" t="str">
        <f>IF(C8173="","",C8173&amp;COUNTIF(C$9:C8173,C8173))</f>
        <v/>
      </c>
    </row>
    <row r="8174" spans="2:2" x14ac:dyDescent="0.25">
      <c r="B8174" t="str">
        <f>IF(C8174="","",C8174&amp;COUNTIF(C$9:C8174,C8174))</f>
        <v/>
      </c>
    </row>
    <row r="8175" spans="2:2" x14ac:dyDescent="0.25">
      <c r="B8175" t="str">
        <f>IF(C8175="","",C8175&amp;COUNTIF(C$9:C8175,C8175))</f>
        <v/>
      </c>
    </row>
    <row r="8176" spans="2:2" x14ac:dyDescent="0.25">
      <c r="B8176" t="str">
        <f>IF(C8176="","",C8176&amp;COUNTIF(C$9:C8176,C8176))</f>
        <v/>
      </c>
    </row>
    <row r="8177" spans="2:2" x14ac:dyDescent="0.25">
      <c r="B8177" t="str">
        <f>IF(C8177="","",C8177&amp;COUNTIF(C$9:C8177,C8177))</f>
        <v/>
      </c>
    </row>
    <row r="8178" spans="2:2" x14ac:dyDescent="0.25">
      <c r="B8178" t="str">
        <f>IF(C8178="","",C8178&amp;COUNTIF(C$9:C8178,C8178))</f>
        <v/>
      </c>
    </row>
    <row r="8179" spans="2:2" x14ac:dyDescent="0.25">
      <c r="B8179" t="str">
        <f>IF(C8179="","",C8179&amp;COUNTIF(C$9:C8179,C8179))</f>
        <v/>
      </c>
    </row>
    <row r="8180" spans="2:2" x14ac:dyDescent="0.25">
      <c r="B8180" t="str">
        <f>IF(C8180="","",C8180&amp;COUNTIF(C$9:C8180,C8180))</f>
        <v/>
      </c>
    </row>
    <row r="8181" spans="2:2" x14ac:dyDescent="0.25">
      <c r="B8181" t="str">
        <f>IF(C8181="","",C8181&amp;COUNTIF(C$9:C8181,C8181))</f>
        <v/>
      </c>
    </row>
    <row r="8182" spans="2:2" x14ac:dyDescent="0.25">
      <c r="B8182" t="str">
        <f>IF(C8182="","",C8182&amp;COUNTIF(C$9:C8182,C8182))</f>
        <v/>
      </c>
    </row>
    <row r="8183" spans="2:2" x14ac:dyDescent="0.25">
      <c r="B8183" t="str">
        <f>IF(C8183="","",C8183&amp;COUNTIF(C$9:C8183,C8183))</f>
        <v/>
      </c>
    </row>
    <row r="8184" spans="2:2" x14ac:dyDescent="0.25">
      <c r="B8184" t="str">
        <f>IF(C8184="","",C8184&amp;COUNTIF(C$9:C8184,C8184))</f>
        <v/>
      </c>
    </row>
    <row r="8185" spans="2:2" x14ac:dyDescent="0.25">
      <c r="B8185" t="str">
        <f>IF(C8185="","",C8185&amp;COUNTIF(C$9:C8185,C8185))</f>
        <v/>
      </c>
    </row>
    <row r="8186" spans="2:2" x14ac:dyDescent="0.25">
      <c r="B8186" t="str">
        <f>IF(C8186="","",C8186&amp;COUNTIF(C$9:C8186,C8186))</f>
        <v/>
      </c>
    </row>
    <row r="8187" spans="2:2" x14ac:dyDescent="0.25">
      <c r="B8187" t="str">
        <f>IF(C8187="","",C8187&amp;COUNTIF(C$9:C8187,C8187))</f>
        <v/>
      </c>
    </row>
    <row r="8188" spans="2:2" x14ac:dyDescent="0.25">
      <c r="B8188" t="str">
        <f>IF(C8188="","",C8188&amp;COUNTIF(C$9:C8188,C8188))</f>
        <v/>
      </c>
    </row>
    <row r="8189" spans="2:2" x14ac:dyDescent="0.25">
      <c r="B8189" t="str">
        <f>IF(C8189="","",C8189&amp;COUNTIF(C$9:C8189,C8189))</f>
        <v/>
      </c>
    </row>
    <row r="8190" spans="2:2" x14ac:dyDescent="0.25">
      <c r="B8190" t="str">
        <f>IF(C8190="","",C8190&amp;COUNTIF(C$9:C8190,C8190))</f>
        <v/>
      </c>
    </row>
    <row r="8191" spans="2:2" x14ac:dyDescent="0.25">
      <c r="B8191" t="str">
        <f>IF(C8191="","",C8191&amp;COUNTIF(C$9:C8191,C8191))</f>
        <v/>
      </c>
    </row>
    <row r="8192" spans="2:2" x14ac:dyDescent="0.25">
      <c r="B8192" t="str">
        <f>IF(C8192="","",C8192&amp;COUNTIF(C$9:C8192,C8192))</f>
        <v/>
      </c>
    </row>
    <row r="8193" spans="2:2" x14ac:dyDescent="0.25">
      <c r="B8193" t="str">
        <f>IF(C8193="","",C8193&amp;COUNTIF(C$9:C8193,C8193))</f>
        <v/>
      </c>
    </row>
    <row r="8194" spans="2:2" x14ac:dyDescent="0.25">
      <c r="B8194" t="str">
        <f>IF(C8194="","",C8194&amp;COUNTIF(C$9:C8194,C8194))</f>
        <v/>
      </c>
    </row>
    <row r="8195" spans="2:2" x14ac:dyDescent="0.25">
      <c r="B8195" t="str">
        <f>IF(C8195="","",C8195&amp;COUNTIF(C$9:C8195,C8195))</f>
        <v/>
      </c>
    </row>
    <row r="8196" spans="2:2" x14ac:dyDescent="0.25">
      <c r="B8196" t="str">
        <f>IF(C8196="","",C8196&amp;COUNTIF(C$9:C8196,C8196))</f>
        <v/>
      </c>
    </row>
    <row r="8197" spans="2:2" x14ac:dyDescent="0.25">
      <c r="B8197" t="str">
        <f>IF(C8197="","",C8197&amp;COUNTIF(C$9:C8197,C8197))</f>
        <v/>
      </c>
    </row>
    <row r="8198" spans="2:2" x14ac:dyDescent="0.25">
      <c r="B8198" t="str">
        <f>IF(C8198="","",C8198&amp;COUNTIF(C$9:C8198,C8198))</f>
        <v/>
      </c>
    </row>
    <row r="8199" spans="2:2" x14ac:dyDescent="0.25">
      <c r="B8199" t="str">
        <f>IF(C8199="","",C8199&amp;COUNTIF(C$9:C8199,C8199))</f>
        <v/>
      </c>
    </row>
    <row r="8200" spans="2:2" x14ac:dyDescent="0.25">
      <c r="B8200" t="str">
        <f>IF(C8200="","",C8200&amp;COUNTIF(C$9:C8200,C8200))</f>
        <v/>
      </c>
    </row>
    <row r="8201" spans="2:2" x14ac:dyDescent="0.25">
      <c r="B8201" t="str">
        <f>IF(C8201="","",C8201&amp;COUNTIF(C$9:C8201,C8201))</f>
        <v/>
      </c>
    </row>
    <row r="8202" spans="2:2" x14ac:dyDescent="0.25">
      <c r="B8202" t="str">
        <f>IF(C8202="","",C8202&amp;COUNTIF(C$9:C8202,C8202))</f>
        <v/>
      </c>
    </row>
    <row r="8203" spans="2:2" x14ac:dyDescent="0.25">
      <c r="B8203" t="str">
        <f>IF(C8203="","",C8203&amp;COUNTIF(C$9:C8203,C8203))</f>
        <v/>
      </c>
    </row>
    <row r="8204" spans="2:2" x14ac:dyDescent="0.25">
      <c r="B8204" t="str">
        <f>IF(C8204="","",C8204&amp;COUNTIF(C$9:C8204,C8204))</f>
        <v/>
      </c>
    </row>
    <row r="8205" spans="2:2" x14ac:dyDescent="0.25">
      <c r="B8205" t="str">
        <f>IF(C8205="","",C8205&amp;COUNTIF(C$9:C8205,C8205))</f>
        <v/>
      </c>
    </row>
    <row r="8206" spans="2:2" x14ac:dyDescent="0.25">
      <c r="B8206" t="str">
        <f>IF(C8206="","",C8206&amp;COUNTIF(C$9:C8206,C8206))</f>
        <v/>
      </c>
    </row>
    <row r="8207" spans="2:2" x14ac:dyDescent="0.25">
      <c r="B8207" t="str">
        <f>IF(C8207="","",C8207&amp;COUNTIF(C$9:C8207,C8207))</f>
        <v/>
      </c>
    </row>
    <row r="8208" spans="2:2" x14ac:dyDescent="0.25">
      <c r="B8208" t="str">
        <f>IF(C8208="","",C8208&amp;COUNTIF(C$9:C8208,C8208))</f>
        <v/>
      </c>
    </row>
    <row r="8209" spans="2:2" x14ac:dyDescent="0.25">
      <c r="B8209" t="str">
        <f>IF(C8209="","",C8209&amp;COUNTIF(C$9:C8209,C8209))</f>
        <v/>
      </c>
    </row>
    <row r="8210" spans="2:2" x14ac:dyDescent="0.25">
      <c r="B8210" t="str">
        <f>IF(C8210="","",C8210&amp;COUNTIF(C$9:C8210,C8210))</f>
        <v/>
      </c>
    </row>
    <row r="8211" spans="2:2" x14ac:dyDescent="0.25">
      <c r="B8211" t="str">
        <f>IF(C8211="","",C8211&amp;COUNTIF(C$9:C8211,C8211))</f>
        <v/>
      </c>
    </row>
    <row r="8212" spans="2:2" x14ac:dyDescent="0.25">
      <c r="B8212" t="str">
        <f>IF(C8212="","",C8212&amp;COUNTIF(C$9:C8212,C8212))</f>
        <v/>
      </c>
    </row>
    <row r="8213" spans="2:2" x14ac:dyDescent="0.25">
      <c r="B8213" t="str">
        <f>IF(C8213="","",C8213&amp;COUNTIF(C$9:C8213,C8213))</f>
        <v/>
      </c>
    </row>
    <row r="8214" spans="2:2" x14ac:dyDescent="0.25">
      <c r="B8214" t="str">
        <f>IF(C8214="","",C8214&amp;COUNTIF(C$9:C8214,C8214))</f>
        <v/>
      </c>
    </row>
    <row r="8215" spans="2:2" x14ac:dyDescent="0.25">
      <c r="B8215" t="str">
        <f>IF(C8215="","",C8215&amp;COUNTIF(C$9:C8215,C8215))</f>
        <v/>
      </c>
    </row>
    <row r="8216" spans="2:2" x14ac:dyDescent="0.25">
      <c r="B8216" t="str">
        <f>IF(C8216="","",C8216&amp;COUNTIF(C$9:C8216,C8216))</f>
        <v/>
      </c>
    </row>
    <row r="8217" spans="2:2" x14ac:dyDescent="0.25">
      <c r="B8217" t="str">
        <f>IF(C8217="","",C8217&amp;COUNTIF(C$9:C8217,C8217))</f>
        <v/>
      </c>
    </row>
    <row r="8218" spans="2:2" x14ac:dyDescent="0.25">
      <c r="B8218" t="str">
        <f>IF(C8218="","",C8218&amp;COUNTIF(C$9:C8218,C8218))</f>
        <v/>
      </c>
    </row>
    <row r="8219" spans="2:2" x14ac:dyDescent="0.25">
      <c r="B8219" t="str">
        <f>IF(C8219="","",C8219&amp;COUNTIF(C$9:C8219,C8219))</f>
        <v/>
      </c>
    </row>
    <row r="8220" spans="2:2" x14ac:dyDescent="0.25">
      <c r="B8220" t="str">
        <f>IF(C8220="","",C8220&amp;COUNTIF(C$9:C8220,C8220))</f>
        <v/>
      </c>
    </row>
    <row r="8221" spans="2:2" x14ac:dyDescent="0.25">
      <c r="B8221" t="str">
        <f>IF(C8221="","",C8221&amp;COUNTIF(C$9:C8221,C8221))</f>
        <v/>
      </c>
    </row>
    <row r="8222" spans="2:2" x14ac:dyDescent="0.25">
      <c r="B8222" t="str">
        <f>IF(C8222="","",C8222&amp;COUNTIF(C$9:C8222,C8222))</f>
        <v/>
      </c>
    </row>
    <row r="8223" spans="2:2" x14ac:dyDescent="0.25">
      <c r="B8223" t="str">
        <f>IF(C8223="","",C8223&amp;COUNTIF(C$9:C8223,C8223))</f>
        <v/>
      </c>
    </row>
    <row r="8224" spans="2:2" x14ac:dyDescent="0.25">
      <c r="B8224" t="str">
        <f>IF(C8224="","",C8224&amp;COUNTIF(C$9:C8224,C8224))</f>
        <v/>
      </c>
    </row>
    <row r="8225" spans="2:2" x14ac:dyDescent="0.25">
      <c r="B8225" t="str">
        <f>IF(C8225="","",C8225&amp;COUNTIF(C$9:C8225,C8225))</f>
        <v/>
      </c>
    </row>
    <row r="8226" spans="2:2" x14ac:dyDescent="0.25">
      <c r="B8226" t="str">
        <f>IF(C8226="","",C8226&amp;COUNTIF(C$9:C8226,C8226))</f>
        <v/>
      </c>
    </row>
    <row r="8227" spans="2:2" x14ac:dyDescent="0.25">
      <c r="B8227" t="str">
        <f>IF(C8227="","",C8227&amp;COUNTIF(C$9:C8227,C8227))</f>
        <v/>
      </c>
    </row>
    <row r="8228" spans="2:2" x14ac:dyDescent="0.25">
      <c r="B8228" t="str">
        <f>IF(C8228="","",C8228&amp;COUNTIF(C$9:C8228,C8228))</f>
        <v/>
      </c>
    </row>
    <row r="8229" spans="2:2" x14ac:dyDescent="0.25">
      <c r="B8229" t="str">
        <f>IF(C8229="","",C8229&amp;COUNTIF(C$9:C8229,C8229))</f>
        <v/>
      </c>
    </row>
    <row r="8230" spans="2:2" x14ac:dyDescent="0.25">
      <c r="B8230" t="str">
        <f>IF(C8230="","",C8230&amp;COUNTIF(C$9:C8230,C8230))</f>
        <v/>
      </c>
    </row>
    <row r="8231" spans="2:2" x14ac:dyDescent="0.25">
      <c r="B8231" t="str">
        <f>IF(C8231="","",C8231&amp;COUNTIF(C$9:C8231,C8231))</f>
        <v/>
      </c>
    </row>
    <row r="8232" spans="2:2" x14ac:dyDescent="0.25">
      <c r="B8232" t="str">
        <f>IF(C8232="","",C8232&amp;COUNTIF(C$9:C8232,C8232))</f>
        <v/>
      </c>
    </row>
    <row r="8233" spans="2:2" x14ac:dyDescent="0.25">
      <c r="B8233" t="str">
        <f>IF(C8233="","",C8233&amp;COUNTIF(C$9:C8233,C8233))</f>
        <v/>
      </c>
    </row>
    <row r="8234" spans="2:2" x14ac:dyDescent="0.25">
      <c r="B8234" t="str">
        <f>IF(C8234="","",C8234&amp;COUNTIF(C$9:C8234,C8234))</f>
        <v/>
      </c>
    </row>
    <row r="8235" spans="2:2" x14ac:dyDescent="0.25">
      <c r="B8235" t="str">
        <f>IF(C8235="","",C8235&amp;COUNTIF(C$9:C8235,C8235))</f>
        <v/>
      </c>
    </row>
    <row r="8236" spans="2:2" x14ac:dyDescent="0.25">
      <c r="B8236" t="str">
        <f>IF(C8236="","",C8236&amp;COUNTIF(C$9:C8236,C8236))</f>
        <v/>
      </c>
    </row>
    <row r="8237" spans="2:2" x14ac:dyDescent="0.25">
      <c r="B8237" t="str">
        <f>IF(C8237="","",C8237&amp;COUNTIF(C$9:C8237,C8237))</f>
        <v/>
      </c>
    </row>
    <row r="8238" spans="2:2" x14ac:dyDescent="0.25">
      <c r="B8238" t="str">
        <f>IF(C8238="","",C8238&amp;COUNTIF(C$9:C8238,C8238))</f>
        <v/>
      </c>
    </row>
    <row r="8239" spans="2:2" x14ac:dyDescent="0.25">
      <c r="B8239" t="str">
        <f>IF(C8239="","",C8239&amp;COUNTIF(C$9:C8239,C8239))</f>
        <v/>
      </c>
    </row>
    <row r="8240" spans="2:2" x14ac:dyDescent="0.25">
      <c r="B8240" t="str">
        <f>IF(C8240="","",C8240&amp;COUNTIF(C$9:C8240,C8240))</f>
        <v/>
      </c>
    </row>
    <row r="8241" spans="2:2" x14ac:dyDescent="0.25">
      <c r="B8241" t="str">
        <f>IF(C8241="","",C8241&amp;COUNTIF(C$9:C8241,C8241))</f>
        <v/>
      </c>
    </row>
    <row r="8242" spans="2:2" x14ac:dyDescent="0.25">
      <c r="B8242" t="str">
        <f>IF(C8242="","",C8242&amp;COUNTIF(C$9:C8242,C8242))</f>
        <v/>
      </c>
    </row>
    <row r="8243" spans="2:2" x14ac:dyDescent="0.25">
      <c r="B8243" t="str">
        <f>IF(C8243="","",C8243&amp;COUNTIF(C$9:C8243,C8243))</f>
        <v/>
      </c>
    </row>
    <row r="8244" spans="2:2" x14ac:dyDescent="0.25">
      <c r="B8244" t="str">
        <f>IF(C8244="","",C8244&amp;COUNTIF(C$9:C8244,C8244))</f>
        <v/>
      </c>
    </row>
    <row r="8245" spans="2:2" x14ac:dyDescent="0.25">
      <c r="B8245" t="str">
        <f>IF(C8245="","",C8245&amp;COUNTIF(C$9:C8245,C8245))</f>
        <v/>
      </c>
    </row>
    <row r="8246" spans="2:2" x14ac:dyDescent="0.25">
      <c r="B8246" t="str">
        <f>IF(C8246="","",C8246&amp;COUNTIF(C$9:C8246,C8246))</f>
        <v/>
      </c>
    </row>
    <row r="8247" spans="2:2" x14ac:dyDescent="0.25">
      <c r="B8247" t="str">
        <f>IF(C8247="","",C8247&amp;COUNTIF(C$9:C8247,C8247))</f>
        <v/>
      </c>
    </row>
    <row r="8248" spans="2:2" x14ac:dyDescent="0.25">
      <c r="B8248" t="str">
        <f>IF(C8248="","",C8248&amp;COUNTIF(C$9:C8248,C8248))</f>
        <v/>
      </c>
    </row>
    <row r="8249" spans="2:2" x14ac:dyDescent="0.25">
      <c r="B8249" t="str">
        <f>IF(C8249="","",C8249&amp;COUNTIF(C$9:C8249,C8249))</f>
        <v/>
      </c>
    </row>
    <row r="8250" spans="2:2" x14ac:dyDescent="0.25">
      <c r="B8250" t="str">
        <f>IF(C8250="","",C8250&amp;COUNTIF(C$9:C8250,C8250))</f>
        <v/>
      </c>
    </row>
    <row r="8251" spans="2:2" x14ac:dyDescent="0.25">
      <c r="B8251" t="str">
        <f>IF(C8251="","",C8251&amp;COUNTIF(C$9:C8251,C8251))</f>
        <v/>
      </c>
    </row>
    <row r="8252" spans="2:2" x14ac:dyDescent="0.25">
      <c r="B8252" t="str">
        <f>IF(C8252="","",C8252&amp;COUNTIF(C$9:C8252,C8252))</f>
        <v/>
      </c>
    </row>
    <row r="8253" spans="2:2" x14ac:dyDescent="0.25">
      <c r="B8253" t="str">
        <f>IF(C8253="","",C8253&amp;COUNTIF(C$9:C8253,C8253))</f>
        <v/>
      </c>
    </row>
    <row r="8254" spans="2:2" x14ac:dyDescent="0.25">
      <c r="B8254" t="str">
        <f>IF(C8254="","",C8254&amp;COUNTIF(C$9:C8254,C8254))</f>
        <v/>
      </c>
    </row>
    <row r="8255" spans="2:2" x14ac:dyDescent="0.25">
      <c r="B8255" t="str">
        <f>IF(C8255="","",C8255&amp;COUNTIF(C$9:C8255,C8255))</f>
        <v/>
      </c>
    </row>
    <row r="8256" spans="2:2" x14ac:dyDescent="0.25">
      <c r="B8256" t="str">
        <f>IF(C8256="","",C8256&amp;COUNTIF(C$9:C8256,C8256))</f>
        <v/>
      </c>
    </row>
    <row r="8257" spans="2:2" x14ac:dyDescent="0.25">
      <c r="B8257" t="str">
        <f>IF(C8257="","",C8257&amp;COUNTIF(C$9:C8257,C8257))</f>
        <v/>
      </c>
    </row>
    <row r="8258" spans="2:2" x14ac:dyDescent="0.25">
      <c r="B8258" t="str">
        <f>IF(C8258="","",C8258&amp;COUNTIF(C$9:C8258,C8258))</f>
        <v/>
      </c>
    </row>
    <row r="8259" spans="2:2" x14ac:dyDescent="0.25">
      <c r="B8259" t="str">
        <f>IF(C8259="","",C8259&amp;COUNTIF(C$9:C8259,C8259))</f>
        <v/>
      </c>
    </row>
    <row r="8260" spans="2:2" x14ac:dyDescent="0.25">
      <c r="B8260" t="str">
        <f>IF(C8260="","",C8260&amp;COUNTIF(C$9:C8260,C8260))</f>
        <v/>
      </c>
    </row>
    <row r="8261" spans="2:2" x14ac:dyDescent="0.25">
      <c r="B8261" t="str">
        <f>IF(C8261="","",C8261&amp;COUNTIF(C$9:C8261,C8261))</f>
        <v/>
      </c>
    </row>
    <row r="8262" spans="2:2" x14ac:dyDescent="0.25">
      <c r="B8262" t="str">
        <f>IF(C8262="","",C8262&amp;COUNTIF(C$9:C8262,C8262))</f>
        <v/>
      </c>
    </row>
    <row r="8263" spans="2:2" x14ac:dyDescent="0.25">
      <c r="B8263" t="str">
        <f>IF(C8263="","",C8263&amp;COUNTIF(C$9:C8263,C8263))</f>
        <v/>
      </c>
    </row>
    <row r="8264" spans="2:2" x14ac:dyDescent="0.25">
      <c r="B8264" t="str">
        <f>IF(C8264="","",C8264&amp;COUNTIF(C$9:C8264,C8264))</f>
        <v/>
      </c>
    </row>
    <row r="8265" spans="2:2" x14ac:dyDescent="0.25">
      <c r="B8265" t="str">
        <f>IF(C8265="","",C8265&amp;COUNTIF(C$9:C8265,C8265))</f>
        <v/>
      </c>
    </row>
    <row r="8266" spans="2:2" x14ac:dyDescent="0.25">
      <c r="B8266" t="str">
        <f>IF(C8266="","",C8266&amp;COUNTIF(C$9:C8266,C8266))</f>
        <v/>
      </c>
    </row>
    <row r="8267" spans="2:2" x14ac:dyDescent="0.25">
      <c r="B8267" t="str">
        <f>IF(C8267="","",C8267&amp;COUNTIF(C$9:C8267,C8267))</f>
        <v/>
      </c>
    </row>
    <row r="8268" spans="2:2" x14ac:dyDescent="0.25">
      <c r="B8268" t="str">
        <f>IF(C8268="","",C8268&amp;COUNTIF(C$9:C8268,C8268))</f>
        <v/>
      </c>
    </row>
    <row r="8269" spans="2:2" x14ac:dyDescent="0.25">
      <c r="B8269" t="str">
        <f>IF(C8269="","",C8269&amp;COUNTIF(C$9:C8269,C8269))</f>
        <v/>
      </c>
    </row>
    <row r="8270" spans="2:2" x14ac:dyDescent="0.25">
      <c r="B8270" t="str">
        <f>IF(C8270="","",C8270&amp;COUNTIF(C$9:C8270,C8270))</f>
        <v/>
      </c>
    </row>
    <row r="8271" spans="2:2" x14ac:dyDescent="0.25">
      <c r="B8271" t="str">
        <f>IF(C8271="","",C8271&amp;COUNTIF(C$9:C8271,C8271))</f>
        <v/>
      </c>
    </row>
    <row r="8272" spans="2:2" x14ac:dyDescent="0.25">
      <c r="B8272" t="str">
        <f>IF(C8272="","",C8272&amp;COUNTIF(C$9:C8272,C8272))</f>
        <v/>
      </c>
    </row>
    <row r="8273" spans="2:2" x14ac:dyDescent="0.25">
      <c r="B8273" t="str">
        <f>IF(C8273="","",C8273&amp;COUNTIF(C$9:C8273,C8273))</f>
        <v/>
      </c>
    </row>
    <row r="8274" spans="2:2" x14ac:dyDescent="0.25">
      <c r="B8274" t="str">
        <f>IF(C8274="","",C8274&amp;COUNTIF(C$9:C8274,C8274))</f>
        <v/>
      </c>
    </row>
    <row r="8275" spans="2:2" x14ac:dyDescent="0.25">
      <c r="B8275" t="str">
        <f>IF(C8275="","",C8275&amp;COUNTIF(C$9:C8275,C8275))</f>
        <v/>
      </c>
    </row>
    <row r="8276" spans="2:2" x14ac:dyDescent="0.25">
      <c r="B8276" t="str">
        <f>IF(C8276="","",C8276&amp;COUNTIF(C$9:C8276,C8276))</f>
        <v/>
      </c>
    </row>
    <row r="8277" spans="2:2" x14ac:dyDescent="0.25">
      <c r="B8277" t="str">
        <f>IF(C8277="","",C8277&amp;COUNTIF(C$9:C8277,C8277))</f>
        <v/>
      </c>
    </row>
    <row r="8278" spans="2:2" x14ac:dyDescent="0.25">
      <c r="B8278" t="str">
        <f>IF(C8278="","",C8278&amp;COUNTIF(C$9:C8278,C8278))</f>
        <v/>
      </c>
    </row>
    <row r="8279" spans="2:2" x14ac:dyDescent="0.25">
      <c r="B8279" t="str">
        <f>IF(C8279="","",C8279&amp;COUNTIF(C$9:C8279,C8279))</f>
        <v/>
      </c>
    </row>
    <row r="8280" spans="2:2" x14ac:dyDescent="0.25">
      <c r="B8280" t="str">
        <f>IF(C8280="","",C8280&amp;COUNTIF(C$9:C8280,C8280))</f>
        <v/>
      </c>
    </row>
    <row r="8281" spans="2:2" x14ac:dyDescent="0.25">
      <c r="B8281" t="str">
        <f>IF(C8281="","",C8281&amp;COUNTIF(C$9:C8281,C8281))</f>
        <v/>
      </c>
    </row>
    <row r="8282" spans="2:2" x14ac:dyDescent="0.25">
      <c r="B8282" t="str">
        <f>IF(C8282="","",C8282&amp;COUNTIF(C$9:C8282,C8282))</f>
        <v/>
      </c>
    </row>
    <row r="8283" spans="2:2" x14ac:dyDescent="0.25">
      <c r="B8283" t="str">
        <f>IF(C8283="","",C8283&amp;COUNTIF(C$9:C8283,C8283))</f>
        <v/>
      </c>
    </row>
    <row r="8284" spans="2:2" x14ac:dyDescent="0.25">
      <c r="B8284" t="str">
        <f>IF(C8284="","",C8284&amp;COUNTIF(C$9:C8284,C8284))</f>
        <v/>
      </c>
    </row>
    <row r="8285" spans="2:2" x14ac:dyDescent="0.25">
      <c r="B8285" t="str">
        <f>IF(C8285="","",C8285&amp;COUNTIF(C$9:C8285,C8285))</f>
        <v/>
      </c>
    </row>
    <row r="8286" spans="2:2" x14ac:dyDescent="0.25">
      <c r="B8286" t="str">
        <f>IF(C8286="","",C8286&amp;COUNTIF(C$9:C8286,C8286))</f>
        <v/>
      </c>
    </row>
    <row r="8287" spans="2:2" x14ac:dyDescent="0.25">
      <c r="B8287" t="str">
        <f>IF(C8287="","",C8287&amp;COUNTIF(C$9:C8287,C8287))</f>
        <v/>
      </c>
    </row>
    <row r="8288" spans="2:2" x14ac:dyDescent="0.25">
      <c r="B8288" t="str">
        <f>IF(C8288="","",C8288&amp;COUNTIF(C$9:C8288,C8288))</f>
        <v/>
      </c>
    </row>
    <row r="8289" spans="2:2" x14ac:dyDescent="0.25">
      <c r="B8289" t="str">
        <f>IF(C8289="","",C8289&amp;COUNTIF(C$9:C8289,C8289))</f>
        <v/>
      </c>
    </row>
    <row r="8290" spans="2:2" x14ac:dyDescent="0.25">
      <c r="B8290" t="str">
        <f>IF(C8290="","",C8290&amp;COUNTIF(C$9:C8290,C8290))</f>
        <v/>
      </c>
    </row>
    <row r="8291" spans="2:2" x14ac:dyDescent="0.25">
      <c r="B8291" t="str">
        <f>IF(C8291="","",C8291&amp;COUNTIF(C$9:C8291,C8291))</f>
        <v/>
      </c>
    </row>
    <row r="8292" spans="2:2" x14ac:dyDescent="0.25">
      <c r="B8292" t="str">
        <f>IF(C8292="","",C8292&amp;COUNTIF(C$9:C8292,C8292))</f>
        <v/>
      </c>
    </row>
    <row r="8293" spans="2:2" x14ac:dyDescent="0.25">
      <c r="B8293" t="str">
        <f>IF(C8293="","",C8293&amp;COUNTIF(C$9:C8293,C8293))</f>
        <v/>
      </c>
    </row>
    <row r="8294" spans="2:2" x14ac:dyDescent="0.25">
      <c r="B8294" t="str">
        <f>IF(C8294="","",C8294&amp;COUNTIF(C$9:C8294,C8294))</f>
        <v/>
      </c>
    </row>
    <row r="8295" spans="2:2" x14ac:dyDescent="0.25">
      <c r="B8295" t="str">
        <f>IF(C8295="","",C8295&amp;COUNTIF(C$9:C8295,C8295))</f>
        <v/>
      </c>
    </row>
    <row r="8296" spans="2:2" x14ac:dyDescent="0.25">
      <c r="B8296" t="str">
        <f>IF(C8296="","",C8296&amp;COUNTIF(C$9:C8296,C8296))</f>
        <v/>
      </c>
    </row>
    <row r="8297" spans="2:2" x14ac:dyDescent="0.25">
      <c r="B8297" t="str">
        <f>IF(C8297="","",C8297&amp;COUNTIF(C$9:C8297,C8297))</f>
        <v/>
      </c>
    </row>
    <row r="8298" spans="2:2" x14ac:dyDescent="0.25">
      <c r="B8298" t="str">
        <f>IF(C8298="","",C8298&amp;COUNTIF(C$9:C8298,C8298))</f>
        <v/>
      </c>
    </row>
    <row r="8299" spans="2:2" x14ac:dyDescent="0.25">
      <c r="B8299" t="str">
        <f>IF(C8299="","",C8299&amp;COUNTIF(C$9:C8299,C8299))</f>
        <v/>
      </c>
    </row>
    <row r="8300" spans="2:2" x14ac:dyDescent="0.25">
      <c r="B8300" t="str">
        <f>IF(C8300="","",C8300&amp;COUNTIF(C$9:C8300,C8300))</f>
        <v/>
      </c>
    </row>
    <row r="8301" spans="2:2" x14ac:dyDescent="0.25">
      <c r="B8301" t="str">
        <f>IF(C8301="","",C8301&amp;COUNTIF(C$9:C8301,C8301))</f>
        <v/>
      </c>
    </row>
    <row r="8302" spans="2:2" x14ac:dyDescent="0.25">
      <c r="B8302" t="str">
        <f>IF(C8302="","",C8302&amp;COUNTIF(C$9:C8302,C8302))</f>
        <v/>
      </c>
    </row>
    <row r="8303" spans="2:2" x14ac:dyDescent="0.25">
      <c r="B8303" t="str">
        <f>IF(C8303="","",C8303&amp;COUNTIF(C$9:C8303,C8303))</f>
        <v/>
      </c>
    </row>
    <row r="8304" spans="2:2" x14ac:dyDescent="0.25">
      <c r="B8304" t="str">
        <f>IF(C8304="","",C8304&amp;COUNTIF(C$9:C8304,C8304))</f>
        <v/>
      </c>
    </row>
    <row r="8305" spans="2:2" x14ac:dyDescent="0.25">
      <c r="B8305" t="str">
        <f>IF(C8305="","",C8305&amp;COUNTIF(C$9:C8305,C8305))</f>
        <v/>
      </c>
    </row>
    <row r="8306" spans="2:2" x14ac:dyDescent="0.25">
      <c r="B8306" t="str">
        <f>IF(C8306="","",C8306&amp;COUNTIF(C$9:C8306,C8306))</f>
        <v/>
      </c>
    </row>
    <row r="8307" spans="2:2" x14ac:dyDescent="0.25">
      <c r="B8307" t="str">
        <f>IF(C8307="","",C8307&amp;COUNTIF(C$9:C8307,C8307))</f>
        <v/>
      </c>
    </row>
    <row r="8308" spans="2:2" x14ac:dyDescent="0.25">
      <c r="B8308" t="str">
        <f>IF(C8308="","",C8308&amp;COUNTIF(C$9:C8308,C8308))</f>
        <v/>
      </c>
    </row>
    <row r="8309" spans="2:2" x14ac:dyDescent="0.25">
      <c r="B8309" t="str">
        <f>IF(C8309="","",C8309&amp;COUNTIF(C$9:C8309,C8309))</f>
        <v/>
      </c>
    </row>
    <row r="8310" spans="2:2" x14ac:dyDescent="0.25">
      <c r="B8310" t="str">
        <f>IF(C8310="","",C8310&amp;COUNTIF(C$9:C8310,C8310))</f>
        <v/>
      </c>
    </row>
    <row r="8311" spans="2:2" x14ac:dyDescent="0.25">
      <c r="B8311" t="str">
        <f>IF(C8311="","",C8311&amp;COUNTIF(C$9:C8311,C8311))</f>
        <v/>
      </c>
    </row>
    <row r="8312" spans="2:2" x14ac:dyDescent="0.25">
      <c r="B8312" t="str">
        <f>IF(C8312="","",C8312&amp;COUNTIF(C$9:C8312,C8312))</f>
        <v/>
      </c>
    </row>
    <row r="8313" spans="2:2" x14ac:dyDescent="0.25">
      <c r="B8313" t="str">
        <f>IF(C8313="","",C8313&amp;COUNTIF(C$9:C8313,C8313))</f>
        <v/>
      </c>
    </row>
    <row r="8314" spans="2:2" x14ac:dyDescent="0.25">
      <c r="B8314" t="str">
        <f>IF(C8314="","",C8314&amp;COUNTIF(C$9:C8314,C8314))</f>
        <v/>
      </c>
    </row>
    <row r="8315" spans="2:2" x14ac:dyDescent="0.25">
      <c r="B8315" t="str">
        <f>IF(C8315="","",C8315&amp;COUNTIF(C$9:C8315,C8315))</f>
        <v/>
      </c>
    </row>
    <row r="8316" spans="2:2" x14ac:dyDescent="0.25">
      <c r="B8316" t="str">
        <f>IF(C8316="","",C8316&amp;COUNTIF(C$9:C8316,C8316))</f>
        <v/>
      </c>
    </row>
    <row r="8317" spans="2:2" x14ac:dyDescent="0.25">
      <c r="B8317" t="str">
        <f>IF(C8317="","",C8317&amp;COUNTIF(C$9:C8317,C8317))</f>
        <v/>
      </c>
    </row>
    <row r="8318" spans="2:2" x14ac:dyDescent="0.25">
      <c r="B8318" t="str">
        <f>IF(C8318="","",C8318&amp;COUNTIF(C$9:C8318,C8318))</f>
        <v/>
      </c>
    </row>
    <row r="8319" spans="2:2" x14ac:dyDescent="0.25">
      <c r="B8319" t="str">
        <f>IF(C8319="","",C8319&amp;COUNTIF(C$9:C8319,C8319))</f>
        <v/>
      </c>
    </row>
    <row r="8320" spans="2:2" x14ac:dyDescent="0.25">
      <c r="B8320" t="str">
        <f>IF(C8320="","",C8320&amp;COUNTIF(C$9:C8320,C8320))</f>
        <v/>
      </c>
    </row>
    <row r="8321" spans="2:2" x14ac:dyDescent="0.25">
      <c r="B8321" t="str">
        <f>IF(C8321="","",C8321&amp;COUNTIF(C$9:C8321,C8321))</f>
        <v/>
      </c>
    </row>
    <row r="8322" spans="2:2" x14ac:dyDescent="0.25">
      <c r="B8322" t="str">
        <f>IF(C8322="","",C8322&amp;COUNTIF(C$9:C8322,C8322))</f>
        <v/>
      </c>
    </row>
    <row r="8323" spans="2:2" x14ac:dyDescent="0.25">
      <c r="B8323" t="str">
        <f>IF(C8323="","",C8323&amp;COUNTIF(C$9:C8323,C8323))</f>
        <v/>
      </c>
    </row>
    <row r="8324" spans="2:2" x14ac:dyDescent="0.25">
      <c r="B8324" t="str">
        <f>IF(C8324="","",C8324&amp;COUNTIF(C$9:C8324,C8324))</f>
        <v/>
      </c>
    </row>
    <row r="8325" spans="2:2" x14ac:dyDescent="0.25">
      <c r="B8325" t="str">
        <f>IF(C8325="","",C8325&amp;COUNTIF(C$9:C8325,C8325))</f>
        <v/>
      </c>
    </row>
    <row r="8326" spans="2:2" x14ac:dyDescent="0.25">
      <c r="B8326" t="str">
        <f>IF(C8326="","",C8326&amp;COUNTIF(C$9:C8326,C8326))</f>
        <v/>
      </c>
    </row>
    <row r="8327" spans="2:2" x14ac:dyDescent="0.25">
      <c r="B8327" t="str">
        <f>IF(C8327="","",C8327&amp;COUNTIF(C$9:C8327,C8327))</f>
        <v/>
      </c>
    </row>
    <row r="8328" spans="2:2" x14ac:dyDescent="0.25">
      <c r="B8328" t="str">
        <f>IF(C8328="","",C8328&amp;COUNTIF(C$9:C8328,C8328))</f>
        <v/>
      </c>
    </row>
    <row r="8329" spans="2:2" x14ac:dyDescent="0.25">
      <c r="B8329" t="str">
        <f>IF(C8329="","",C8329&amp;COUNTIF(C$9:C8329,C8329))</f>
        <v/>
      </c>
    </row>
    <row r="8330" spans="2:2" x14ac:dyDescent="0.25">
      <c r="B8330" t="str">
        <f>IF(C8330="","",C8330&amp;COUNTIF(C$9:C8330,C8330))</f>
        <v/>
      </c>
    </row>
    <row r="8331" spans="2:2" x14ac:dyDescent="0.25">
      <c r="B8331" t="str">
        <f>IF(C8331="","",C8331&amp;COUNTIF(C$9:C8331,C8331))</f>
        <v/>
      </c>
    </row>
    <row r="8332" spans="2:2" x14ac:dyDescent="0.25">
      <c r="B8332" t="str">
        <f>IF(C8332="","",C8332&amp;COUNTIF(C$9:C8332,C8332))</f>
        <v/>
      </c>
    </row>
    <row r="8333" spans="2:2" x14ac:dyDescent="0.25">
      <c r="B8333" t="str">
        <f>IF(C8333="","",C8333&amp;COUNTIF(C$9:C8333,C8333))</f>
        <v/>
      </c>
    </row>
    <row r="8334" spans="2:2" x14ac:dyDescent="0.25">
      <c r="B8334" t="str">
        <f>IF(C8334="","",C8334&amp;COUNTIF(C$9:C8334,C8334))</f>
        <v/>
      </c>
    </row>
    <row r="8335" spans="2:2" x14ac:dyDescent="0.25">
      <c r="B8335" t="str">
        <f>IF(C8335="","",C8335&amp;COUNTIF(C$9:C8335,C8335))</f>
        <v/>
      </c>
    </row>
    <row r="8336" spans="2:2" x14ac:dyDescent="0.25">
      <c r="B8336" t="str">
        <f>IF(C8336="","",C8336&amp;COUNTIF(C$9:C8336,C8336))</f>
        <v/>
      </c>
    </row>
    <row r="8337" spans="2:2" x14ac:dyDescent="0.25">
      <c r="B8337" t="str">
        <f>IF(C8337="","",C8337&amp;COUNTIF(C$9:C8337,C8337))</f>
        <v/>
      </c>
    </row>
    <row r="8338" spans="2:2" x14ac:dyDescent="0.25">
      <c r="B8338" t="str">
        <f>IF(C8338="","",C8338&amp;COUNTIF(C$9:C8338,C8338))</f>
        <v/>
      </c>
    </row>
    <row r="8339" spans="2:2" x14ac:dyDescent="0.25">
      <c r="B8339" t="str">
        <f>IF(C8339="","",C8339&amp;COUNTIF(C$9:C8339,C8339))</f>
        <v/>
      </c>
    </row>
    <row r="8340" spans="2:2" x14ac:dyDescent="0.25">
      <c r="B8340" t="str">
        <f>IF(C8340="","",C8340&amp;COUNTIF(C$9:C8340,C8340))</f>
        <v/>
      </c>
    </row>
    <row r="8341" spans="2:2" x14ac:dyDescent="0.25">
      <c r="B8341" t="str">
        <f>IF(C8341="","",C8341&amp;COUNTIF(C$9:C8341,C8341))</f>
        <v/>
      </c>
    </row>
    <row r="8342" spans="2:2" x14ac:dyDescent="0.25">
      <c r="B8342" t="str">
        <f>IF(C8342="","",C8342&amp;COUNTIF(C$9:C8342,C8342))</f>
        <v/>
      </c>
    </row>
    <row r="8343" spans="2:2" x14ac:dyDescent="0.25">
      <c r="B8343" t="str">
        <f>IF(C8343="","",C8343&amp;COUNTIF(C$9:C8343,C8343))</f>
        <v/>
      </c>
    </row>
    <row r="8344" spans="2:2" x14ac:dyDescent="0.25">
      <c r="B8344" t="str">
        <f>IF(C8344="","",C8344&amp;COUNTIF(C$9:C8344,C8344))</f>
        <v/>
      </c>
    </row>
    <row r="8345" spans="2:2" x14ac:dyDescent="0.25">
      <c r="B8345" t="str">
        <f>IF(C8345="","",C8345&amp;COUNTIF(C$9:C8345,C8345))</f>
        <v/>
      </c>
    </row>
    <row r="8346" spans="2:2" x14ac:dyDescent="0.25">
      <c r="B8346" t="str">
        <f>IF(C8346="","",C8346&amp;COUNTIF(C$9:C8346,C8346))</f>
        <v/>
      </c>
    </row>
    <row r="8347" spans="2:2" x14ac:dyDescent="0.25">
      <c r="B8347" t="str">
        <f>IF(C8347="","",C8347&amp;COUNTIF(C$9:C8347,C8347))</f>
        <v/>
      </c>
    </row>
    <row r="8348" spans="2:2" x14ac:dyDescent="0.25">
      <c r="B8348" t="str">
        <f>IF(C8348="","",C8348&amp;COUNTIF(C$9:C8348,C8348))</f>
        <v/>
      </c>
    </row>
    <row r="8349" spans="2:2" x14ac:dyDescent="0.25">
      <c r="B8349" t="str">
        <f>IF(C8349="","",C8349&amp;COUNTIF(C$9:C8349,C8349))</f>
        <v/>
      </c>
    </row>
    <row r="8350" spans="2:2" x14ac:dyDescent="0.25">
      <c r="B8350" t="str">
        <f>IF(C8350="","",C8350&amp;COUNTIF(C$9:C8350,C8350))</f>
        <v/>
      </c>
    </row>
    <row r="8351" spans="2:2" x14ac:dyDescent="0.25">
      <c r="B8351" t="str">
        <f>IF(C8351="","",C8351&amp;COUNTIF(C$9:C8351,C8351))</f>
        <v/>
      </c>
    </row>
    <row r="8352" spans="2:2" x14ac:dyDescent="0.25">
      <c r="B8352" t="str">
        <f>IF(C8352="","",C8352&amp;COUNTIF(C$9:C8352,C8352))</f>
        <v/>
      </c>
    </row>
    <row r="8353" spans="2:2" x14ac:dyDescent="0.25">
      <c r="B8353" t="str">
        <f>IF(C8353="","",C8353&amp;COUNTIF(C$9:C8353,C8353))</f>
        <v/>
      </c>
    </row>
    <row r="8354" spans="2:2" x14ac:dyDescent="0.25">
      <c r="B8354" t="str">
        <f>IF(C8354="","",C8354&amp;COUNTIF(C$9:C8354,C8354))</f>
        <v/>
      </c>
    </row>
    <row r="8355" spans="2:2" x14ac:dyDescent="0.25">
      <c r="B8355" t="str">
        <f>IF(C8355="","",C8355&amp;COUNTIF(C$9:C8355,C8355))</f>
        <v/>
      </c>
    </row>
    <row r="8356" spans="2:2" x14ac:dyDescent="0.25">
      <c r="B8356" t="str">
        <f>IF(C8356="","",C8356&amp;COUNTIF(C$9:C8356,C8356))</f>
        <v/>
      </c>
    </row>
    <row r="8357" spans="2:2" x14ac:dyDescent="0.25">
      <c r="B8357" t="str">
        <f>IF(C8357="","",C8357&amp;COUNTIF(C$9:C8357,C8357))</f>
        <v/>
      </c>
    </row>
    <row r="8358" spans="2:2" x14ac:dyDescent="0.25">
      <c r="B8358" t="str">
        <f>IF(C8358="","",C8358&amp;COUNTIF(C$9:C8358,C8358))</f>
        <v/>
      </c>
    </row>
    <row r="8359" spans="2:2" x14ac:dyDescent="0.25">
      <c r="B8359" t="str">
        <f>IF(C8359="","",C8359&amp;COUNTIF(C$9:C8359,C8359))</f>
        <v/>
      </c>
    </row>
    <row r="8360" spans="2:2" x14ac:dyDescent="0.25">
      <c r="B8360" t="str">
        <f>IF(C8360="","",C8360&amp;COUNTIF(C$9:C8360,C8360))</f>
        <v/>
      </c>
    </row>
    <row r="8361" spans="2:2" x14ac:dyDescent="0.25">
      <c r="B8361" t="str">
        <f>IF(C8361="","",C8361&amp;COUNTIF(C$9:C8361,C8361))</f>
        <v/>
      </c>
    </row>
    <row r="8362" spans="2:2" x14ac:dyDescent="0.25">
      <c r="B8362" t="str">
        <f>IF(C8362="","",C8362&amp;COUNTIF(C$9:C8362,C8362))</f>
        <v/>
      </c>
    </row>
    <row r="8363" spans="2:2" x14ac:dyDescent="0.25">
      <c r="B8363" t="str">
        <f>IF(C8363="","",C8363&amp;COUNTIF(C$9:C8363,C8363))</f>
        <v/>
      </c>
    </row>
    <row r="8364" spans="2:2" x14ac:dyDescent="0.25">
      <c r="B8364" t="str">
        <f>IF(C8364="","",C8364&amp;COUNTIF(C$9:C8364,C8364))</f>
        <v/>
      </c>
    </row>
    <row r="8365" spans="2:2" x14ac:dyDescent="0.25">
      <c r="B8365" t="str">
        <f>IF(C8365="","",C8365&amp;COUNTIF(C$9:C8365,C8365))</f>
        <v/>
      </c>
    </row>
    <row r="8366" spans="2:2" x14ac:dyDescent="0.25">
      <c r="B8366" t="str">
        <f>IF(C8366="","",C8366&amp;COUNTIF(C$9:C8366,C8366))</f>
        <v/>
      </c>
    </row>
    <row r="8367" spans="2:2" x14ac:dyDescent="0.25">
      <c r="B8367" t="str">
        <f>IF(C8367="","",C8367&amp;COUNTIF(C$9:C8367,C8367))</f>
        <v/>
      </c>
    </row>
    <row r="8368" spans="2:2" x14ac:dyDescent="0.25">
      <c r="B8368" t="str">
        <f>IF(C8368="","",C8368&amp;COUNTIF(C$9:C8368,C8368))</f>
        <v/>
      </c>
    </row>
    <row r="8369" spans="2:2" x14ac:dyDescent="0.25">
      <c r="B8369" t="str">
        <f>IF(C8369="","",C8369&amp;COUNTIF(C$9:C8369,C8369))</f>
        <v/>
      </c>
    </row>
    <row r="8370" spans="2:2" x14ac:dyDescent="0.25">
      <c r="B8370" t="str">
        <f>IF(C8370="","",C8370&amp;COUNTIF(C$9:C8370,C8370))</f>
        <v/>
      </c>
    </row>
    <row r="8371" spans="2:2" x14ac:dyDescent="0.25">
      <c r="B8371" t="str">
        <f>IF(C8371="","",C8371&amp;COUNTIF(C$9:C8371,C8371))</f>
        <v/>
      </c>
    </row>
    <row r="8372" spans="2:2" x14ac:dyDescent="0.25">
      <c r="B8372" t="str">
        <f>IF(C8372="","",C8372&amp;COUNTIF(C$9:C8372,C8372))</f>
        <v/>
      </c>
    </row>
    <row r="8373" spans="2:2" x14ac:dyDescent="0.25">
      <c r="B8373" t="str">
        <f>IF(C8373="","",C8373&amp;COUNTIF(C$9:C8373,C8373))</f>
        <v/>
      </c>
    </row>
    <row r="8374" spans="2:2" x14ac:dyDescent="0.25">
      <c r="B8374" t="str">
        <f>IF(C8374="","",C8374&amp;COUNTIF(C$9:C8374,C8374))</f>
        <v/>
      </c>
    </row>
    <row r="8375" spans="2:2" x14ac:dyDescent="0.25">
      <c r="B8375" t="str">
        <f>IF(C8375="","",C8375&amp;COUNTIF(C$9:C8375,C8375))</f>
        <v/>
      </c>
    </row>
    <row r="8376" spans="2:2" x14ac:dyDescent="0.25">
      <c r="B8376" t="str">
        <f>IF(C8376="","",C8376&amp;COUNTIF(C$9:C8376,C8376))</f>
        <v/>
      </c>
    </row>
    <row r="8377" spans="2:2" x14ac:dyDescent="0.25">
      <c r="B8377" t="str">
        <f>IF(C8377="","",C8377&amp;COUNTIF(C$9:C8377,C8377))</f>
        <v/>
      </c>
    </row>
    <row r="8378" spans="2:2" x14ac:dyDescent="0.25">
      <c r="B8378" t="str">
        <f>IF(C8378="","",C8378&amp;COUNTIF(C$9:C8378,C8378))</f>
        <v/>
      </c>
    </row>
    <row r="8379" spans="2:2" x14ac:dyDescent="0.25">
      <c r="B8379" t="str">
        <f>IF(C8379="","",C8379&amp;COUNTIF(C$9:C8379,C8379))</f>
        <v/>
      </c>
    </row>
    <row r="8380" spans="2:2" x14ac:dyDescent="0.25">
      <c r="B8380" t="str">
        <f>IF(C8380="","",C8380&amp;COUNTIF(C$9:C8380,C8380))</f>
        <v/>
      </c>
    </row>
    <row r="8381" spans="2:2" x14ac:dyDescent="0.25">
      <c r="B8381" t="str">
        <f>IF(C8381="","",C8381&amp;COUNTIF(C$9:C8381,C8381))</f>
        <v/>
      </c>
    </row>
    <row r="8382" spans="2:2" x14ac:dyDescent="0.25">
      <c r="B8382" t="str">
        <f>IF(C8382="","",C8382&amp;COUNTIF(C$9:C8382,C8382))</f>
        <v/>
      </c>
    </row>
    <row r="8383" spans="2:2" x14ac:dyDescent="0.25">
      <c r="B8383" t="str">
        <f>IF(C8383="","",C8383&amp;COUNTIF(C$9:C8383,C8383))</f>
        <v/>
      </c>
    </row>
    <row r="8384" spans="2:2" x14ac:dyDescent="0.25">
      <c r="B8384" t="str">
        <f>IF(C8384="","",C8384&amp;COUNTIF(C$9:C8384,C8384))</f>
        <v/>
      </c>
    </row>
    <row r="8385" spans="2:2" x14ac:dyDescent="0.25">
      <c r="B8385" t="str">
        <f>IF(C8385="","",C8385&amp;COUNTIF(C$9:C8385,C8385))</f>
        <v/>
      </c>
    </row>
    <row r="8386" spans="2:2" x14ac:dyDescent="0.25">
      <c r="B8386" t="str">
        <f>IF(C8386="","",C8386&amp;COUNTIF(C$9:C8386,C8386))</f>
        <v/>
      </c>
    </row>
    <row r="8387" spans="2:2" x14ac:dyDescent="0.25">
      <c r="B8387" t="str">
        <f>IF(C8387="","",C8387&amp;COUNTIF(C$9:C8387,C8387))</f>
        <v/>
      </c>
    </row>
    <row r="8388" spans="2:2" x14ac:dyDescent="0.25">
      <c r="B8388" t="str">
        <f>IF(C8388="","",C8388&amp;COUNTIF(C$9:C8388,C8388))</f>
        <v/>
      </c>
    </row>
    <row r="8389" spans="2:2" x14ac:dyDescent="0.25">
      <c r="B8389" t="str">
        <f>IF(C8389="","",C8389&amp;COUNTIF(C$9:C8389,C8389))</f>
        <v/>
      </c>
    </row>
    <row r="8390" spans="2:2" x14ac:dyDescent="0.25">
      <c r="B8390" t="str">
        <f>IF(C8390="","",C8390&amp;COUNTIF(C$9:C8390,C8390))</f>
        <v/>
      </c>
    </row>
    <row r="8391" spans="2:2" x14ac:dyDescent="0.25">
      <c r="B8391" t="str">
        <f>IF(C8391="","",C8391&amp;COUNTIF(C$9:C8391,C8391))</f>
        <v/>
      </c>
    </row>
    <row r="8392" spans="2:2" x14ac:dyDescent="0.25">
      <c r="B8392" t="str">
        <f>IF(C8392="","",C8392&amp;COUNTIF(C$9:C8392,C8392))</f>
        <v/>
      </c>
    </row>
    <row r="8393" spans="2:2" x14ac:dyDescent="0.25">
      <c r="B8393" t="str">
        <f>IF(C8393="","",C8393&amp;COUNTIF(C$9:C8393,C8393))</f>
        <v/>
      </c>
    </row>
    <row r="8394" spans="2:2" x14ac:dyDescent="0.25">
      <c r="B8394" t="str">
        <f>IF(C8394="","",C8394&amp;COUNTIF(C$9:C8394,C8394))</f>
        <v/>
      </c>
    </row>
    <row r="8395" spans="2:2" x14ac:dyDescent="0.25">
      <c r="B8395" t="str">
        <f>IF(C8395="","",C8395&amp;COUNTIF(C$9:C8395,C8395))</f>
        <v/>
      </c>
    </row>
    <row r="8396" spans="2:2" x14ac:dyDescent="0.25">
      <c r="B8396" t="str">
        <f>IF(C8396="","",C8396&amp;COUNTIF(C$9:C8396,C8396))</f>
        <v/>
      </c>
    </row>
    <row r="8397" spans="2:2" x14ac:dyDescent="0.25">
      <c r="B8397" t="str">
        <f>IF(C8397="","",C8397&amp;COUNTIF(C$9:C8397,C8397))</f>
        <v/>
      </c>
    </row>
    <row r="8398" spans="2:2" x14ac:dyDescent="0.25">
      <c r="B8398" t="str">
        <f>IF(C8398="","",C8398&amp;COUNTIF(C$9:C8398,C8398))</f>
        <v/>
      </c>
    </row>
    <row r="8399" spans="2:2" x14ac:dyDescent="0.25">
      <c r="B8399" t="str">
        <f>IF(C8399="","",C8399&amp;COUNTIF(C$9:C8399,C8399))</f>
        <v/>
      </c>
    </row>
    <row r="8400" spans="2:2" x14ac:dyDescent="0.25">
      <c r="B8400" t="str">
        <f>IF(C8400="","",C8400&amp;COUNTIF(C$9:C8400,C8400))</f>
        <v/>
      </c>
    </row>
    <row r="8401" spans="2:2" x14ac:dyDescent="0.25">
      <c r="B8401" t="str">
        <f>IF(C8401="","",C8401&amp;COUNTIF(C$9:C8401,C8401))</f>
        <v/>
      </c>
    </row>
    <row r="8402" spans="2:2" x14ac:dyDescent="0.25">
      <c r="B8402" t="str">
        <f>IF(C8402="","",C8402&amp;COUNTIF(C$9:C8402,C8402))</f>
        <v/>
      </c>
    </row>
    <row r="8403" spans="2:2" x14ac:dyDescent="0.25">
      <c r="B8403" t="str">
        <f>IF(C8403="","",C8403&amp;COUNTIF(C$9:C8403,C8403))</f>
        <v/>
      </c>
    </row>
    <row r="8404" spans="2:2" x14ac:dyDescent="0.25">
      <c r="B8404" t="str">
        <f>IF(C8404="","",C8404&amp;COUNTIF(C$9:C8404,C8404))</f>
        <v/>
      </c>
    </row>
    <row r="8405" spans="2:2" x14ac:dyDescent="0.25">
      <c r="B8405" t="str">
        <f>IF(C8405="","",C8405&amp;COUNTIF(C$9:C8405,C8405))</f>
        <v/>
      </c>
    </row>
    <row r="8406" spans="2:2" x14ac:dyDescent="0.25">
      <c r="B8406" t="str">
        <f>IF(C8406="","",C8406&amp;COUNTIF(C$9:C8406,C8406))</f>
        <v/>
      </c>
    </row>
    <row r="8407" spans="2:2" x14ac:dyDescent="0.25">
      <c r="B8407" t="str">
        <f>IF(C8407="","",C8407&amp;COUNTIF(C$9:C8407,C8407))</f>
        <v/>
      </c>
    </row>
    <row r="8408" spans="2:2" x14ac:dyDescent="0.25">
      <c r="B8408" t="str">
        <f>IF(C8408="","",C8408&amp;COUNTIF(C$9:C8408,C8408))</f>
        <v/>
      </c>
    </row>
    <row r="8409" spans="2:2" x14ac:dyDescent="0.25">
      <c r="B8409" t="str">
        <f>IF(C8409="","",C8409&amp;COUNTIF(C$9:C8409,C8409))</f>
        <v/>
      </c>
    </row>
    <row r="8410" spans="2:2" x14ac:dyDescent="0.25">
      <c r="B8410" t="str">
        <f>IF(C8410="","",C8410&amp;COUNTIF(C$9:C8410,C8410))</f>
        <v/>
      </c>
    </row>
    <row r="8411" spans="2:2" x14ac:dyDescent="0.25">
      <c r="B8411" t="str">
        <f>IF(C8411="","",C8411&amp;COUNTIF(C$9:C8411,C8411))</f>
        <v/>
      </c>
    </row>
    <row r="8412" spans="2:2" x14ac:dyDescent="0.25">
      <c r="B8412" t="str">
        <f>IF(C8412="","",C8412&amp;COUNTIF(C$9:C8412,C8412))</f>
        <v/>
      </c>
    </row>
    <row r="8413" spans="2:2" x14ac:dyDescent="0.25">
      <c r="B8413" t="str">
        <f>IF(C8413="","",C8413&amp;COUNTIF(C$9:C8413,C8413))</f>
        <v/>
      </c>
    </row>
    <row r="8414" spans="2:2" x14ac:dyDescent="0.25">
      <c r="B8414" t="str">
        <f>IF(C8414="","",C8414&amp;COUNTIF(C$9:C8414,C8414))</f>
        <v/>
      </c>
    </row>
    <row r="8415" spans="2:2" x14ac:dyDescent="0.25">
      <c r="B8415" t="str">
        <f>IF(C8415="","",C8415&amp;COUNTIF(C$9:C8415,C8415))</f>
        <v/>
      </c>
    </row>
    <row r="8416" spans="2:2" x14ac:dyDescent="0.25">
      <c r="B8416" t="str">
        <f>IF(C8416="","",C8416&amp;COUNTIF(C$9:C8416,C8416))</f>
        <v/>
      </c>
    </row>
    <row r="8417" spans="2:2" x14ac:dyDescent="0.25">
      <c r="B8417" t="str">
        <f>IF(C8417="","",C8417&amp;COUNTIF(C$9:C8417,C8417))</f>
        <v/>
      </c>
    </row>
    <row r="8418" spans="2:2" x14ac:dyDescent="0.25">
      <c r="B8418" t="str">
        <f>IF(C8418="","",C8418&amp;COUNTIF(C$9:C8418,C8418))</f>
        <v/>
      </c>
    </row>
    <row r="8419" spans="2:2" x14ac:dyDescent="0.25">
      <c r="B8419" t="str">
        <f>IF(C8419="","",C8419&amp;COUNTIF(C$9:C8419,C8419))</f>
        <v/>
      </c>
    </row>
    <row r="8420" spans="2:2" x14ac:dyDescent="0.25">
      <c r="B8420" t="str">
        <f>IF(C8420="","",C8420&amp;COUNTIF(C$9:C8420,C8420))</f>
        <v/>
      </c>
    </row>
    <row r="8421" spans="2:2" x14ac:dyDescent="0.25">
      <c r="B8421" t="str">
        <f>IF(C8421="","",C8421&amp;COUNTIF(C$9:C8421,C8421))</f>
        <v/>
      </c>
    </row>
    <row r="8422" spans="2:2" x14ac:dyDescent="0.25">
      <c r="B8422" t="str">
        <f>IF(C8422="","",C8422&amp;COUNTIF(C$9:C8422,C8422))</f>
        <v/>
      </c>
    </row>
    <row r="8423" spans="2:2" x14ac:dyDescent="0.25">
      <c r="B8423" t="str">
        <f>IF(C8423="","",C8423&amp;COUNTIF(C$9:C8423,C8423))</f>
        <v/>
      </c>
    </row>
    <row r="8424" spans="2:2" x14ac:dyDescent="0.25">
      <c r="B8424" t="str">
        <f>IF(C8424="","",C8424&amp;COUNTIF(C$9:C8424,C8424))</f>
        <v/>
      </c>
    </row>
    <row r="8425" spans="2:2" x14ac:dyDescent="0.25">
      <c r="B8425" t="str">
        <f>IF(C8425="","",C8425&amp;COUNTIF(C$9:C8425,C8425))</f>
        <v/>
      </c>
    </row>
    <row r="8426" spans="2:2" x14ac:dyDescent="0.25">
      <c r="B8426" t="str">
        <f>IF(C8426="","",C8426&amp;COUNTIF(C$9:C8426,C8426))</f>
        <v/>
      </c>
    </row>
    <row r="8427" spans="2:2" x14ac:dyDescent="0.25">
      <c r="B8427" t="str">
        <f>IF(C8427="","",C8427&amp;COUNTIF(C$9:C8427,C8427))</f>
        <v/>
      </c>
    </row>
    <row r="8428" spans="2:2" x14ac:dyDescent="0.25">
      <c r="B8428" t="str">
        <f>IF(C8428="","",C8428&amp;COUNTIF(C$9:C8428,C8428))</f>
        <v/>
      </c>
    </row>
    <row r="8429" spans="2:2" x14ac:dyDescent="0.25">
      <c r="B8429" t="str">
        <f>IF(C8429="","",C8429&amp;COUNTIF(C$9:C8429,C8429))</f>
        <v/>
      </c>
    </row>
    <row r="8430" spans="2:2" x14ac:dyDescent="0.25">
      <c r="B8430" t="str">
        <f>IF(C8430="","",C8430&amp;COUNTIF(C$9:C8430,C8430))</f>
        <v/>
      </c>
    </row>
    <row r="8431" spans="2:2" x14ac:dyDescent="0.25">
      <c r="B8431" t="str">
        <f>IF(C8431="","",C8431&amp;COUNTIF(C$9:C8431,C8431))</f>
        <v/>
      </c>
    </row>
    <row r="8432" spans="2:2" x14ac:dyDescent="0.25">
      <c r="B8432" t="str">
        <f>IF(C8432="","",C8432&amp;COUNTIF(C$9:C8432,C8432))</f>
        <v/>
      </c>
    </row>
    <row r="8433" spans="2:2" x14ac:dyDescent="0.25">
      <c r="B8433" t="str">
        <f>IF(C8433="","",C8433&amp;COUNTIF(C$9:C8433,C8433))</f>
        <v/>
      </c>
    </row>
    <row r="8434" spans="2:2" x14ac:dyDescent="0.25">
      <c r="B8434" t="str">
        <f>IF(C8434="","",C8434&amp;COUNTIF(C$9:C8434,C8434))</f>
        <v/>
      </c>
    </row>
    <row r="8435" spans="2:2" x14ac:dyDescent="0.25">
      <c r="B8435" t="str">
        <f>IF(C8435="","",C8435&amp;COUNTIF(C$9:C8435,C8435))</f>
        <v/>
      </c>
    </row>
    <row r="8436" spans="2:2" x14ac:dyDescent="0.25">
      <c r="B8436" t="str">
        <f>IF(C8436="","",C8436&amp;COUNTIF(C$9:C8436,C8436))</f>
        <v/>
      </c>
    </row>
    <row r="8437" spans="2:2" x14ac:dyDescent="0.25">
      <c r="B8437" t="str">
        <f>IF(C8437="","",C8437&amp;COUNTIF(C$9:C8437,C8437))</f>
        <v/>
      </c>
    </row>
    <row r="8438" spans="2:2" x14ac:dyDescent="0.25">
      <c r="B8438" t="str">
        <f>IF(C8438="","",C8438&amp;COUNTIF(C$9:C8438,C8438))</f>
        <v/>
      </c>
    </row>
    <row r="8439" spans="2:2" x14ac:dyDescent="0.25">
      <c r="B8439" t="str">
        <f>IF(C8439="","",C8439&amp;COUNTIF(C$9:C8439,C8439))</f>
        <v/>
      </c>
    </row>
    <row r="8440" spans="2:2" x14ac:dyDescent="0.25">
      <c r="B8440" t="str">
        <f>IF(C8440="","",C8440&amp;COUNTIF(C$9:C8440,C8440))</f>
        <v/>
      </c>
    </row>
    <row r="8441" spans="2:2" x14ac:dyDescent="0.25">
      <c r="B8441" t="str">
        <f>IF(C8441="","",C8441&amp;COUNTIF(C$9:C8441,C8441))</f>
        <v/>
      </c>
    </row>
    <row r="8442" spans="2:2" x14ac:dyDescent="0.25">
      <c r="B8442" t="str">
        <f>IF(C8442="","",C8442&amp;COUNTIF(C$9:C8442,C8442))</f>
        <v/>
      </c>
    </row>
    <row r="8443" spans="2:2" x14ac:dyDescent="0.25">
      <c r="B8443" t="str">
        <f>IF(C8443="","",C8443&amp;COUNTIF(C$9:C8443,C8443))</f>
        <v/>
      </c>
    </row>
    <row r="8444" spans="2:2" x14ac:dyDescent="0.25">
      <c r="B8444" t="str">
        <f>IF(C8444="","",C8444&amp;COUNTIF(C$9:C8444,C8444))</f>
        <v/>
      </c>
    </row>
    <row r="8445" spans="2:2" x14ac:dyDescent="0.25">
      <c r="B8445" t="str">
        <f>IF(C8445="","",C8445&amp;COUNTIF(C$9:C8445,C8445))</f>
        <v/>
      </c>
    </row>
    <row r="8446" spans="2:2" x14ac:dyDescent="0.25">
      <c r="B8446" t="str">
        <f>IF(C8446="","",C8446&amp;COUNTIF(C$9:C8446,C8446))</f>
        <v/>
      </c>
    </row>
    <row r="8447" spans="2:2" x14ac:dyDescent="0.25">
      <c r="B8447" t="str">
        <f>IF(C8447="","",C8447&amp;COUNTIF(C$9:C8447,C8447))</f>
        <v/>
      </c>
    </row>
    <row r="8448" spans="2:2" x14ac:dyDescent="0.25">
      <c r="B8448" t="str">
        <f>IF(C8448="","",C8448&amp;COUNTIF(C$9:C8448,C8448))</f>
        <v/>
      </c>
    </row>
    <row r="8449" spans="2:2" x14ac:dyDescent="0.25">
      <c r="B8449" t="str">
        <f>IF(C8449="","",C8449&amp;COUNTIF(C$9:C8449,C8449))</f>
        <v/>
      </c>
    </row>
    <row r="8450" spans="2:2" x14ac:dyDescent="0.25">
      <c r="B8450" t="str">
        <f>IF(C8450="","",C8450&amp;COUNTIF(C$9:C8450,C8450))</f>
        <v/>
      </c>
    </row>
    <row r="8451" spans="2:2" x14ac:dyDescent="0.25">
      <c r="B8451" t="str">
        <f>IF(C8451="","",C8451&amp;COUNTIF(C$9:C8451,C8451))</f>
        <v/>
      </c>
    </row>
    <row r="8452" spans="2:2" x14ac:dyDescent="0.25">
      <c r="B8452" t="str">
        <f>IF(C8452="","",C8452&amp;COUNTIF(C$9:C8452,C8452))</f>
        <v/>
      </c>
    </row>
    <row r="8453" spans="2:2" x14ac:dyDescent="0.25">
      <c r="B8453" t="str">
        <f>IF(C8453="","",C8453&amp;COUNTIF(C$9:C8453,C8453))</f>
        <v/>
      </c>
    </row>
    <row r="8454" spans="2:2" x14ac:dyDescent="0.25">
      <c r="B8454" t="str">
        <f>IF(C8454="","",C8454&amp;COUNTIF(C$9:C8454,C8454))</f>
        <v/>
      </c>
    </row>
    <row r="8455" spans="2:2" x14ac:dyDescent="0.25">
      <c r="B8455" t="str">
        <f>IF(C8455="","",C8455&amp;COUNTIF(C$9:C8455,C8455))</f>
        <v/>
      </c>
    </row>
    <row r="8456" spans="2:2" x14ac:dyDescent="0.25">
      <c r="B8456" t="str">
        <f>IF(C8456="","",C8456&amp;COUNTIF(C$9:C8456,C8456))</f>
        <v/>
      </c>
    </row>
    <row r="8457" spans="2:2" x14ac:dyDescent="0.25">
      <c r="B8457" t="str">
        <f>IF(C8457="","",C8457&amp;COUNTIF(C$9:C8457,C8457))</f>
        <v/>
      </c>
    </row>
    <row r="8458" spans="2:2" x14ac:dyDescent="0.25">
      <c r="B8458" t="str">
        <f>IF(C8458="","",C8458&amp;COUNTIF(C$9:C8458,C8458))</f>
        <v/>
      </c>
    </row>
    <row r="8459" spans="2:2" x14ac:dyDescent="0.25">
      <c r="B8459" t="str">
        <f>IF(C8459="","",C8459&amp;COUNTIF(C$9:C8459,C8459))</f>
        <v/>
      </c>
    </row>
    <row r="8460" spans="2:2" x14ac:dyDescent="0.25">
      <c r="B8460" t="str">
        <f>IF(C8460="","",C8460&amp;COUNTIF(C$9:C8460,C8460))</f>
        <v/>
      </c>
    </row>
    <row r="8461" spans="2:2" x14ac:dyDescent="0.25">
      <c r="B8461" t="str">
        <f>IF(C8461="","",C8461&amp;COUNTIF(C$9:C8461,C8461))</f>
        <v/>
      </c>
    </row>
    <row r="8462" spans="2:2" x14ac:dyDescent="0.25">
      <c r="B8462" t="str">
        <f>IF(C8462="","",C8462&amp;COUNTIF(C$9:C8462,C8462))</f>
        <v/>
      </c>
    </row>
    <row r="8463" spans="2:2" x14ac:dyDescent="0.25">
      <c r="B8463" t="str">
        <f>IF(C8463="","",C8463&amp;COUNTIF(C$9:C8463,C8463))</f>
        <v/>
      </c>
    </row>
    <row r="8464" spans="2:2" x14ac:dyDescent="0.25">
      <c r="B8464" t="str">
        <f>IF(C8464="","",C8464&amp;COUNTIF(C$9:C8464,C8464))</f>
        <v/>
      </c>
    </row>
    <row r="8465" spans="2:2" x14ac:dyDescent="0.25">
      <c r="B8465" t="str">
        <f>IF(C8465="","",C8465&amp;COUNTIF(C$9:C8465,C8465))</f>
        <v/>
      </c>
    </row>
    <row r="8466" spans="2:2" x14ac:dyDescent="0.25">
      <c r="B8466" t="str">
        <f>IF(C8466="","",C8466&amp;COUNTIF(C$9:C8466,C8466))</f>
        <v/>
      </c>
    </row>
    <row r="8467" spans="2:2" x14ac:dyDescent="0.25">
      <c r="B8467" t="str">
        <f>IF(C8467="","",C8467&amp;COUNTIF(C$9:C8467,C8467))</f>
        <v/>
      </c>
    </row>
    <row r="8468" spans="2:2" x14ac:dyDescent="0.25">
      <c r="B8468" t="str">
        <f>IF(C8468="","",C8468&amp;COUNTIF(C$9:C8468,C8468))</f>
        <v/>
      </c>
    </row>
    <row r="8469" spans="2:2" x14ac:dyDescent="0.25">
      <c r="B8469" t="str">
        <f>IF(C8469="","",C8469&amp;COUNTIF(C$9:C8469,C8469))</f>
        <v/>
      </c>
    </row>
    <row r="8470" spans="2:2" x14ac:dyDescent="0.25">
      <c r="B8470" t="str">
        <f>IF(C8470="","",C8470&amp;COUNTIF(C$9:C8470,C8470))</f>
        <v/>
      </c>
    </row>
    <row r="8471" spans="2:2" x14ac:dyDescent="0.25">
      <c r="B8471" t="str">
        <f>IF(C8471="","",C8471&amp;COUNTIF(C$9:C8471,C8471))</f>
        <v/>
      </c>
    </row>
    <row r="8472" spans="2:2" x14ac:dyDescent="0.25">
      <c r="B8472" t="str">
        <f>IF(C8472="","",C8472&amp;COUNTIF(C$9:C8472,C8472))</f>
        <v/>
      </c>
    </row>
    <row r="8473" spans="2:2" x14ac:dyDescent="0.25">
      <c r="B8473" t="str">
        <f>IF(C8473="","",C8473&amp;COUNTIF(C$9:C8473,C8473))</f>
        <v/>
      </c>
    </row>
    <row r="8474" spans="2:2" x14ac:dyDescent="0.25">
      <c r="B8474" t="str">
        <f>IF(C8474="","",C8474&amp;COUNTIF(C$9:C8474,C8474))</f>
        <v/>
      </c>
    </row>
    <row r="8475" spans="2:2" x14ac:dyDescent="0.25">
      <c r="B8475" t="str">
        <f>IF(C8475="","",C8475&amp;COUNTIF(C$9:C8475,C8475))</f>
        <v/>
      </c>
    </row>
    <row r="8476" spans="2:2" x14ac:dyDescent="0.25">
      <c r="B8476" t="str">
        <f>IF(C8476="","",C8476&amp;COUNTIF(C$9:C8476,C8476))</f>
        <v/>
      </c>
    </row>
    <row r="8477" spans="2:2" x14ac:dyDescent="0.25">
      <c r="B8477" t="str">
        <f>IF(C8477="","",C8477&amp;COUNTIF(C$9:C8477,C8477))</f>
        <v/>
      </c>
    </row>
    <row r="8478" spans="2:2" x14ac:dyDescent="0.25">
      <c r="B8478" t="str">
        <f>IF(C8478="","",C8478&amp;COUNTIF(C$9:C8478,C8478))</f>
        <v/>
      </c>
    </row>
    <row r="8479" spans="2:2" x14ac:dyDescent="0.25">
      <c r="B8479" t="str">
        <f>IF(C8479="","",C8479&amp;COUNTIF(C$9:C8479,C8479))</f>
        <v/>
      </c>
    </row>
    <row r="8480" spans="2:2" x14ac:dyDescent="0.25">
      <c r="B8480" t="str">
        <f>IF(C8480="","",C8480&amp;COUNTIF(C$9:C8480,C8480))</f>
        <v/>
      </c>
    </row>
    <row r="8481" spans="2:2" x14ac:dyDescent="0.25">
      <c r="B8481" t="str">
        <f>IF(C8481="","",C8481&amp;COUNTIF(C$9:C8481,C8481))</f>
        <v/>
      </c>
    </row>
    <row r="8482" spans="2:2" x14ac:dyDescent="0.25">
      <c r="B8482" t="str">
        <f>IF(C8482="","",C8482&amp;COUNTIF(C$9:C8482,C8482))</f>
        <v/>
      </c>
    </row>
    <row r="8483" spans="2:2" x14ac:dyDescent="0.25">
      <c r="B8483" t="str">
        <f>IF(C8483="","",C8483&amp;COUNTIF(C$9:C8483,C8483))</f>
        <v/>
      </c>
    </row>
    <row r="8484" spans="2:2" x14ac:dyDescent="0.25">
      <c r="B8484" t="str">
        <f>IF(C8484="","",C8484&amp;COUNTIF(C$9:C8484,C8484))</f>
        <v/>
      </c>
    </row>
    <row r="8485" spans="2:2" x14ac:dyDescent="0.25">
      <c r="B8485" t="str">
        <f>IF(C8485="","",C8485&amp;COUNTIF(C$9:C8485,C8485))</f>
        <v/>
      </c>
    </row>
    <row r="8486" spans="2:2" x14ac:dyDescent="0.25">
      <c r="B8486" t="str">
        <f>IF(C8486="","",C8486&amp;COUNTIF(C$9:C8486,C8486))</f>
        <v/>
      </c>
    </row>
    <row r="8487" spans="2:2" x14ac:dyDescent="0.25">
      <c r="B8487" t="str">
        <f>IF(C8487="","",C8487&amp;COUNTIF(C$9:C8487,C8487))</f>
        <v/>
      </c>
    </row>
    <row r="8488" spans="2:2" x14ac:dyDescent="0.25">
      <c r="B8488" t="str">
        <f>IF(C8488="","",C8488&amp;COUNTIF(C$9:C8488,C8488))</f>
        <v/>
      </c>
    </row>
    <row r="8489" spans="2:2" x14ac:dyDescent="0.25">
      <c r="B8489" t="str">
        <f>IF(C8489="","",C8489&amp;COUNTIF(C$9:C8489,C8489))</f>
        <v/>
      </c>
    </row>
    <row r="8490" spans="2:2" x14ac:dyDescent="0.25">
      <c r="B8490" t="str">
        <f>IF(C8490="","",C8490&amp;COUNTIF(C$9:C8490,C8490))</f>
        <v/>
      </c>
    </row>
    <row r="8491" spans="2:2" x14ac:dyDescent="0.25">
      <c r="B8491" t="str">
        <f>IF(C8491="","",C8491&amp;COUNTIF(C$9:C8491,C8491))</f>
        <v/>
      </c>
    </row>
    <row r="8492" spans="2:2" x14ac:dyDescent="0.25">
      <c r="B8492" t="str">
        <f>IF(C8492="","",C8492&amp;COUNTIF(C$9:C8492,C8492))</f>
        <v/>
      </c>
    </row>
    <row r="8493" spans="2:2" x14ac:dyDescent="0.25">
      <c r="B8493" t="str">
        <f>IF(C8493="","",C8493&amp;COUNTIF(C$9:C8493,C8493))</f>
        <v/>
      </c>
    </row>
    <row r="8494" spans="2:2" x14ac:dyDescent="0.25">
      <c r="B8494" t="str">
        <f>IF(C8494="","",C8494&amp;COUNTIF(C$9:C8494,C8494))</f>
        <v/>
      </c>
    </row>
    <row r="8495" spans="2:2" x14ac:dyDescent="0.25">
      <c r="B8495" t="str">
        <f>IF(C8495="","",C8495&amp;COUNTIF(C$9:C8495,C8495))</f>
        <v/>
      </c>
    </row>
    <row r="8496" spans="2:2" x14ac:dyDescent="0.25">
      <c r="B8496" t="str">
        <f>IF(C8496="","",C8496&amp;COUNTIF(C$9:C8496,C8496))</f>
        <v/>
      </c>
    </row>
    <row r="8497" spans="2:2" x14ac:dyDescent="0.25">
      <c r="B8497" t="str">
        <f>IF(C8497="","",C8497&amp;COUNTIF(C$9:C8497,C8497))</f>
        <v/>
      </c>
    </row>
    <row r="8498" spans="2:2" x14ac:dyDescent="0.25">
      <c r="B8498" t="str">
        <f>IF(C8498="","",C8498&amp;COUNTIF(C$9:C8498,C8498))</f>
        <v/>
      </c>
    </row>
    <row r="8499" spans="2:2" x14ac:dyDescent="0.25">
      <c r="B8499" t="str">
        <f>IF(C8499="","",C8499&amp;COUNTIF(C$9:C8499,C8499))</f>
        <v/>
      </c>
    </row>
    <row r="8500" spans="2:2" x14ac:dyDescent="0.25">
      <c r="B8500" t="str">
        <f>IF(C8500="","",C8500&amp;COUNTIF(C$9:C8500,C8500))</f>
        <v/>
      </c>
    </row>
    <row r="8501" spans="2:2" x14ac:dyDescent="0.25">
      <c r="B8501" t="str">
        <f>IF(C8501="","",C8501&amp;COUNTIF(C$9:C8501,C8501))</f>
        <v/>
      </c>
    </row>
    <row r="8502" spans="2:2" x14ac:dyDescent="0.25">
      <c r="B8502" t="str">
        <f>IF(C8502="","",C8502&amp;COUNTIF(C$9:C8502,C8502))</f>
        <v/>
      </c>
    </row>
    <row r="8503" spans="2:2" x14ac:dyDescent="0.25">
      <c r="B8503" t="str">
        <f>IF(C8503="","",C8503&amp;COUNTIF(C$9:C8503,C8503))</f>
        <v/>
      </c>
    </row>
    <row r="8504" spans="2:2" x14ac:dyDescent="0.25">
      <c r="B8504" t="str">
        <f>IF(C8504="","",C8504&amp;COUNTIF(C$9:C8504,C8504))</f>
        <v/>
      </c>
    </row>
    <row r="8505" spans="2:2" x14ac:dyDescent="0.25">
      <c r="B8505" t="str">
        <f>IF(C8505="","",C8505&amp;COUNTIF(C$9:C8505,C8505))</f>
        <v/>
      </c>
    </row>
    <row r="8506" spans="2:2" x14ac:dyDescent="0.25">
      <c r="B8506" t="str">
        <f>IF(C8506="","",C8506&amp;COUNTIF(C$9:C8506,C8506))</f>
        <v/>
      </c>
    </row>
    <row r="8507" spans="2:2" x14ac:dyDescent="0.25">
      <c r="B8507" t="str">
        <f>IF(C8507="","",C8507&amp;COUNTIF(C$9:C8507,C8507))</f>
        <v/>
      </c>
    </row>
    <row r="8508" spans="2:2" x14ac:dyDescent="0.25">
      <c r="B8508" t="str">
        <f>IF(C8508="","",C8508&amp;COUNTIF(C$9:C8508,C8508))</f>
        <v/>
      </c>
    </row>
    <row r="8509" spans="2:2" x14ac:dyDescent="0.25">
      <c r="B8509" t="str">
        <f>IF(C8509="","",C8509&amp;COUNTIF(C$9:C8509,C8509))</f>
        <v/>
      </c>
    </row>
    <row r="8510" spans="2:2" x14ac:dyDescent="0.25">
      <c r="B8510" t="str">
        <f>IF(C8510="","",C8510&amp;COUNTIF(C$9:C8510,C8510))</f>
        <v/>
      </c>
    </row>
    <row r="8511" spans="2:2" x14ac:dyDescent="0.25">
      <c r="B8511" t="str">
        <f>IF(C8511="","",C8511&amp;COUNTIF(C$9:C8511,C8511))</f>
        <v/>
      </c>
    </row>
    <row r="8512" spans="2:2" x14ac:dyDescent="0.25">
      <c r="B8512" t="str">
        <f>IF(C8512="","",C8512&amp;COUNTIF(C$9:C8512,C8512))</f>
        <v/>
      </c>
    </row>
    <row r="8513" spans="2:2" x14ac:dyDescent="0.25">
      <c r="B8513" t="str">
        <f>IF(C8513="","",C8513&amp;COUNTIF(C$9:C8513,C8513))</f>
        <v/>
      </c>
    </row>
    <row r="8514" spans="2:2" x14ac:dyDescent="0.25">
      <c r="B8514" t="str">
        <f>IF(C8514="","",C8514&amp;COUNTIF(C$9:C8514,C8514))</f>
        <v/>
      </c>
    </row>
    <row r="8515" spans="2:2" x14ac:dyDescent="0.25">
      <c r="B8515" t="str">
        <f>IF(C8515="","",C8515&amp;COUNTIF(C$9:C8515,C8515))</f>
        <v/>
      </c>
    </row>
    <row r="8516" spans="2:2" x14ac:dyDescent="0.25">
      <c r="B8516" t="str">
        <f>IF(C8516="","",C8516&amp;COUNTIF(C$9:C8516,C8516))</f>
        <v/>
      </c>
    </row>
    <row r="8517" spans="2:2" x14ac:dyDescent="0.25">
      <c r="B8517" t="str">
        <f>IF(C8517="","",C8517&amp;COUNTIF(C$9:C8517,C8517))</f>
        <v/>
      </c>
    </row>
    <row r="8518" spans="2:2" x14ac:dyDescent="0.25">
      <c r="B8518" t="str">
        <f>IF(C8518="","",C8518&amp;COUNTIF(C$9:C8518,C8518))</f>
        <v/>
      </c>
    </row>
    <row r="8519" spans="2:2" x14ac:dyDescent="0.25">
      <c r="B8519" t="str">
        <f>IF(C8519="","",C8519&amp;COUNTIF(C$9:C8519,C8519))</f>
        <v/>
      </c>
    </row>
    <row r="8520" spans="2:2" x14ac:dyDescent="0.25">
      <c r="B8520" t="str">
        <f>IF(C8520="","",C8520&amp;COUNTIF(C$9:C8520,C8520))</f>
        <v/>
      </c>
    </row>
    <row r="8521" spans="2:2" x14ac:dyDescent="0.25">
      <c r="B8521" t="str">
        <f>IF(C8521="","",C8521&amp;COUNTIF(C$9:C8521,C8521))</f>
        <v/>
      </c>
    </row>
    <row r="8522" spans="2:2" x14ac:dyDescent="0.25">
      <c r="B8522" t="str">
        <f>IF(C8522="","",C8522&amp;COUNTIF(C$9:C8522,C8522))</f>
        <v/>
      </c>
    </row>
    <row r="8523" spans="2:2" x14ac:dyDescent="0.25">
      <c r="B8523" t="str">
        <f>IF(C8523="","",C8523&amp;COUNTIF(C$9:C8523,C8523))</f>
        <v/>
      </c>
    </row>
    <row r="8524" spans="2:2" x14ac:dyDescent="0.25">
      <c r="B8524" t="str">
        <f>IF(C8524="","",C8524&amp;COUNTIF(C$9:C8524,C8524))</f>
        <v/>
      </c>
    </row>
    <row r="8525" spans="2:2" x14ac:dyDescent="0.25">
      <c r="B8525" t="str">
        <f>IF(C8525="","",C8525&amp;COUNTIF(C$9:C8525,C8525))</f>
        <v/>
      </c>
    </row>
    <row r="8526" spans="2:2" x14ac:dyDescent="0.25">
      <c r="B8526" t="str">
        <f>IF(C8526="","",C8526&amp;COUNTIF(C$9:C8526,C8526))</f>
        <v/>
      </c>
    </row>
    <row r="8527" spans="2:2" x14ac:dyDescent="0.25">
      <c r="B8527" t="str">
        <f>IF(C8527="","",C8527&amp;COUNTIF(C$9:C8527,C8527))</f>
        <v/>
      </c>
    </row>
    <row r="8528" spans="2:2" x14ac:dyDescent="0.25">
      <c r="B8528" t="str">
        <f>IF(C8528="","",C8528&amp;COUNTIF(C$9:C8528,C8528))</f>
        <v/>
      </c>
    </row>
    <row r="8529" spans="2:2" x14ac:dyDescent="0.25">
      <c r="B8529" t="str">
        <f>IF(C8529="","",C8529&amp;COUNTIF(C$9:C8529,C8529))</f>
        <v/>
      </c>
    </row>
    <row r="8530" spans="2:2" x14ac:dyDescent="0.25">
      <c r="B8530" t="str">
        <f>IF(C8530="","",C8530&amp;COUNTIF(C$9:C8530,C8530))</f>
        <v/>
      </c>
    </row>
    <row r="8531" spans="2:2" x14ac:dyDescent="0.25">
      <c r="B8531" t="str">
        <f>IF(C8531="","",C8531&amp;COUNTIF(C$9:C8531,C8531))</f>
        <v/>
      </c>
    </row>
    <row r="8532" spans="2:2" x14ac:dyDescent="0.25">
      <c r="B8532" t="str">
        <f>IF(C8532="","",C8532&amp;COUNTIF(C$9:C8532,C8532))</f>
        <v/>
      </c>
    </row>
    <row r="8533" spans="2:2" x14ac:dyDescent="0.25">
      <c r="B8533" t="str">
        <f>IF(C8533="","",C8533&amp;COUNTIF(C$9:C8533,C8533))</f>
        <v/>
      </c>
    </row>
    <row r="8534" spans="2:2" x14ac:dyDescent="0.25">
      <c r="B8534" t="str">
        <f>IF(C8534="","",C8534&amp;COUNTIF(C$9:C8534,C8534))</f>
        <v/>
      </c>
    </row>
    <row r="8535" spans="2:2" x14ac:dyDescent="0.25">
      <c r="B8535" t="str">
        <f>IF(C8535="","",C8535&amp;COUNTIF(C$9:C8535,C8535))</f>
        <v/>
      </c>
    </row>
    <row r="8536" spans="2:2" x14ac:dyDescent="0.25">
      <c r="B8536" t="str">
        <f>IF(C8536="","",C8536&amp;COUNTIF(C$9:C8536,C8536))</f>
        <v/>
      </c>
    </row>
    <row r="8537" spans="2:2" x14ac:dyDescent="0.25">
      <c r="B8537" t="str">
        <f>IF(C8537="","",C8537&amp;COUNTIF(C$9:C8537,C8537))</f>
        <v/>
      </c>
    </row>
    <row r="8538" spans="2:2" x14ac:dyDescent="0.25">
      <c r="B8538" t="str">
        <f>IF(C8538="","",C8538&amp;COUNTIF(C$9:C8538,C8538))</f>
        <v/>
      </c>
    </row>
    <row r="8539" spans="2:2" x14ac:dyDescent="0.25">
      <c r="B8539" t="str">
        <f>IF(C8539="","",C8539&amp;COUNTIF(C$9:C8539,C8539))</f>
        <v/>
      </c>
    </row>
    <row r="8540" spans="2:2" x14ac:dyDescent="0.25">
      <c r="B8540" t="str">
        <f>IF(C8540="","",C8540&amp;COUNTIF(C$9:C8540,C8540))</f>
        <v/>
      </c>
    </row>
    <row r="8541" spans="2:2" x14ac:dyDescent="0.25">
      <c r="B8541" t="str">
        <f>IF(C8541="","",C8541&amp;COUNTIF(C$9:C8541,C8541))</f>
        <v/>
      </c>
    </row>
    <row r="8542" spans="2:2" x14ac:dyDescent="0.25">
      <c r="B8542" t="str">
        <f>IF(C8542="","",C8542&amp;COUNTIF(C$9:C8542,C8542))</f>
        <v/>
      </c>
    </row>
    <row r="8543" spans="2:2" x14ac:dyDescent="0.25">
      <c r="B8543" t="str">
        <f>IF(C8543="","",C8543&amp;COUNTIF(C$9:C8543,C8543))</f>
        <v/>
      </c>
    </row>
    <row r="8544" spans="2:2" x14ac:dyDescent="0.25">
      <c r="B8544" t="str">
        <f>IF(C8544="","",C8544&amp;COUNTIF(C$9:C8544,C8544))</f>
        <v/>
      </c>
    </row>
    <row r="8545" spans="2:2" x14ac:dyDescent="0.25">
      <c r="B8545" t="str">
        <f>IF(C8545="","",C8545&amp;COUNTIF(C$9:C8545,C8545))</f>
        <v/>
      </c>
    </row>
    <row r="8546" spans="2:2" x14ac:dyDescent="0.25">
      <c r="B8546" t="str">
        <f>IF(C8546="","",C8546&amp;COUNTIF(C$9:C8546,C8546))</f>
        <v/>
      </c>
    </row>
    <row r="8547" spans="2:2" x14ac:dyDescent="0.25">
      <c r="B8547" t="str">
        <f>IF(C8547="","",C8547&amp;COUNTIF(C$9:C8547,C8547))</f>
        <v/>
      </c>
    </row>
    <row r="8548" spans="2:2" x14ac:dyDescent="0.25">
      <c r="B8548" t="str">
        <f>IF(C8548="","",C8548&amp;COUNTIF(C$9:C8548,C8548))</f>
        <v/>
      </c>
    </row>
    <row r="8549" spans="2:2" x14ac:dyDescent="0.25">
      <c r="B8549" t="str">
        <f>IF(C8549="","",C8549&amp;COUNTIF(C$9:C8549,C8549))</f>
        <v/>
      </c>
    </row>
    <row r="8550" spans="2:2" x14ac:dyDescent="0.25">
      <c r="B8550" t="str">
        <f>IF(C8550="","",C8550&amp;COUNTIF(C$9:C8550,C8550))</f>
        <v/>
      </c>
    </row>
    <row r="8551" spans="2:2" x14ac:dyDescent="0.25">
      <c r="B8551" t="str">
        <f>IF(C8551="","",C8551&amp;COUNTIF(C$9:C8551,C8551))</f>
        <v/>
      </c>
    </row>
    <row r="8552" spans="2:2" x14ac:dyDescent="0.25">
      <c r="B8552" t="str">
        <f>IF(C8552="","",C8552&amp;COUNTIF(C$9:C8552,C8552))</f>
        <v/>
      </c>
    </row>
    <row r="8553" spans="2:2" x14ac:dyDescent="0.25">
      <c r="B8553" t="str">
        <f>IF(C8553="","",C8553&amp;COUNTIF(C$9:C8553,C8553))</f>
        <v/>
      </c>
    </row>
    <row r="8554" spans="2:2" x14ac:dyDescent="0.25">
      <c r="B8554" t="str">
        <f>IF(C8554="","",C8554&amp;COUNTIF(C$9:C8554,C8554))</f>
        <v/>
      </c>
    </row>
    <row r="8555" spans="2:2" x14ac:dyDescent="0.25">
      <c r="B8555" t="str">
        <f>IF(C8555="","",C8555&amp;COUNTIF(C$9:C8555,C8555))</f>
        <v/>
      </c>
    </row>
    <row r="8556" spans="2:2" x14ac:dyDescent="0.25">
      <c r="B8556" t="str">
        <f>IF(C8556="","",C8556&amp;COUNTIF(C$9:C8556,C8556))</f>
        <v/>
      </c>
    </row>
    <row r="8557" spans="2:2" x14ac:dyDescent="0.25">
      <c r="B8557" t="str">
        <f>IF(C8557="","",C8557&amp;COUNTIF(C$9:C8557,C8557))</f>
        <v/>
      </c>
    </row>
    <row r="8558" spans="2:2" x14ac:dyDescent="0.25">
      <c r="B8558" t="str">
        <f>IF(C8558="","",C8558&amp;COUNTIF(C$9:C8558,C8558))</f>
        <v/>
      </c>
    </row>
    <row r="8559" spans="2:2" x14ac:dyDescent="0.25">
      <c r="B8559" t="str">
        <f>IF(C8559="","",C8559&amp;COUNTIF(C$9:C8559,C8559))</f>
        <v/>
      </c>
    </row>
    <row r="8560" spans="2:2" x14ac:dyDescent="0.25">
      <c r="B8560" t="str">
        <f>IF(C8560="","",C8560&amp;COUNTIF(C$9:C8560,C8560))</f>
        <v/>
      </c>
    </row>
    <row r="8561" spans="2:2" x14ac:dyDescent="0.25">
      <c r="B8561" t="str">
        <f>IF(C8561="","",C8561&amp;COUNTIF(C$9:C8561,C8561))</f>
        <v/>
      </c>
    </row>
    <row r="8562" spans="2:2" x14ac:dyDescent="0.25">
      <c r="B8562" t="str">
        <f>IF(C8562="","",C8562&amp;COUNTIF(C$9:C8562,C8562))</f>
        <v/>
      </c>
    </row>
    <row r="8563" spans="2:2" x14ac:dyDescent="0.25">
      <c r="B8563" t="str">
        <f>IF(C8563="","",C8563&amp;COUNTIF(C$9:C8563,C8563))</f>
        <v/>
      </c>
    </row>
    <row r="8564" spans="2:2" x14ac:dyDescent="0.25">
      <c r="B8564" t="str">
        <f>IF(C8564="","",C8564&amp;COUNTIF(C$9:C8564,C8564))</f>
        <v/>
      </c>
    </row>
    <row r="8565" spans="2:2" x14ac:dyDescent="0.25">
      <c r="B8565" t="str">
        <f>IF(C8565="","",C8565&amp;COUNTIF(C$9:C8565,C8565))</f>
        <v/>
      </c>
    </row>
    <row r="8566" spans="2:2" x14ac:dyDescent="0.25">
      <c r="B8566" t="str">
        <f>IF(C8566="","",C8566&amp;COUNTIF(C$9:C8566,C8566))</f>
        <v/>
      </c>
    </row>
    <row r="8567" spans="2:2" x14ac:dyDescent="0.25">
      <c r="B8567" t="str">
        <f>IF(C8567="","",C8567&amp;COUNTIF(C$9:C8567,C8567))</f>
        <v/>
      </c>
    </row>
    <row r="8568" spans="2:2" x14ac:dyDescent="0.25">
      <c r="B8568" t="str">
        <f>IF(C8568="","",C8568&amp;COUNTIF(C$9:C8568,C8568))</f>
        <v/>
      </c>
    </row>
    <row r="8569" spans="2:2" x14ac:dyDescent="0.25">
      <c r="B8569" t="str">
        <f>IF(C8569="","",C8569&amp;COUNTIF(C$9:C8569,C8569))</f>
        <v/>
      </c>
    </row>
    <row r="8570" spans="2:2" x14ac:dyDescent="0.25">
      <c r="B8570" t="str">
        <f>IF(C8570="","",C8570&amp;COUNTIF(C$9:C8570,C8570))</f>
        <v/>
      </c>
    </row>
    <row r="8571" spans="2:2" x14ac:dyDescent="0.25">
      <c r="B8571" t="str">
        <f>IF(C8571="","",C8571&amp;COUNTIF(C$9:C8571,C8571))</f>
        <v/>
      </c>
    </row>
    <row r="8572" spans="2:2" x14ac:dyDescent="0.25">
      <c r="B8572" t="str">
        <f>IF(C8572="","",C8572&amp;COUNTIF(C$9:C8572,C8572))</f>
        <v/>
      </c>
    </row>
    <row r="8573" spans="2:2" x14ac:dyDescent="0.25">
      <c r="B8573" t="str">
        <f>IF(C8573="","",C8573&amp;COUNTIF(C$9:C8573,C8573))</f>
        <v/>
      </c>
    </row>
    <row r="8574" spans="2:2" x14ac:dyDescent="0.25">
      <c r="B8574" t="str">
        <f>IF(C8574="","",C8574&amp;COUNTIF(C$9:C8574,C8574))</f>
        <v/>
      </c>
    </row>
    <row r="8575" spans="2:2" x14ac:dyDescent="0.25">
      <c r="B8575" t="str">
        <f>IF(C8575="","",C8575&amp;COUNTIF(C$9:C8575,C8575))</f>
        <v/>
      </c>
    </row>
    <row r="8576" spans="2:2" x14ac:dyDescent="0.25">
      <c r="B8576" t="str">
        <f>IF(C8576="","",C8576&amp;COUNTIF(C$9:C8576,C8576))</f>
        <v/>
      </c>
    </row>
    <row r="8577" spans="2:2" x14ac:dyDescent="0.25">
      <c r="B8577" t="str">
        <f>IF(C8577="","",C8577&amp;COUNTIF(C$9:C8577,C8577))</f>
        <v/>
      </c>
    </row>
    <row r="8578" spans="2:2" x14ac:dyDescent="0.25">
      <c r="B8578" t="str">
        <f>IF(C8578="","",C8578&amp;COUNTIF(C$9:C8578,C8578))</f>
        <v/>
      </c>
    </row>
    <row r="8579" spans="2:2" x14ac:dyDescent="0.25">
      <c r="B8579" t="str">
        <f>IF(C8579="","",C8579&amp;COUNTIF(C$9:C8579,C8579))</f>
        <v/>
      </c>
    </row>
    <row r="8580" spans="2:2" x14ac:dyDescent="0.25">
      <c r="B8580" t="str">
        <f>IF(C8580="","",C8580&amp;COUNTIF(C$9:C8580,C8580))</f>
        <v/>
      </c>
    </row>
    <row r="8581" spans="2:2" x14ac:dyDescent="0.25">
      <c r="B8581" t="str">
        <f>IF(C8581="","",C8581&amp;COUNTIF(C$9:C8581,C8581))</f>
        <v/>
      </c>
    </row>
    <row r="8582" spans="2:2" x14ac:dyDescent="0.25">
      <c r="B8582" t="str">
        <f>IF(C8582="","",C8582&amp;COUNTIF(C$9:C8582,C8582))</f>
        <v/>
      </c>
    </row>
    <row r="8583" spans="2:2" x14ac:dyDescent="0.25">
      <c r="B8583" t="str">
        <f>IF(C8583="","",C8583&amp;COUNTIF(C$9:C8583,C8583))</f>
        <v/>
      </c>
    </row>
    <row r="8584" spans="2:2" x14ac:dyDescent="0.25">
      <c r="B8584" t="str">
        <f>IF(C8584="","",C8584&amp;COUNTIF(C$9:C8584,C8584))</f>
        <v/>
      </c>
    </row>
    <row r="8585" spans="2:2" x14ac:dyDescent="0.25">
      <c r="B8585" t="str">
        <f>IF(C8585="","",C8585&amp;COUNTIF(C$9:C8585,C8585))</f>
        <v/>
      </c>
    </row>
    <row r="8586" spans="2:2" x14ac:dyDescent="0.25">
      <c r="B8586" t="str">
        <f>IF(C8586="","",C8586&amp;COUNTIF(C$9:C8586,C8586))</f>
        <v/>
      </c>
    </row>
    <row r="8587" spans="2:2" x14ac:dyDescent="0.25">
      <c r="B8587" t="str">
        <f>IF(C8587="","",C8587&amp;COUNTIF(C$9:C8587,C8587))</f>
        <v/>
      </c>
    </row>
    <row r="8588" spans="2:2" x14ac:dyDescent="0.25">
      <c r="B8588" t="str">
        <f>IF(C8588="","",C8588&amp;COUNTIF(C$9:C8588,C8588))</f>
        <v/>
      </c>
    </row>
    <row r="8589" spans="2:2" x14ac:dyDescent="0.25">
      <c r="B8589" t="str">
        <f>IF(C8589="","",C8589&amp;COUNTIF(C$9:C8589,C8589))</f>
        <v/>
      </c>
    </row>
    <row r="8590" spans="2:2" x14ac:dyDescent="0.25">
      <c r="B8590" t="str">
        <f>IF(C8590="","",C8590&amp;COUNTIF(C$9:C8590,C8590))</f>
        <v/>
      </c>
    </row>
    <row r="8591" spans="2:2" x14ac:dyDescent="0.25">
      <c r="B8591" t="str">
        <f>IF(C8591="","",C8591&amp;COUNTIF(C$9:C8591,C8591))</f>
        <v/>
      </c>
    </row>
    <row r="8592" spans="2:2" x14ac:dyDescent="0.25">
      <c r="B8592" t="str">
        <f>IF(C8592="","",C8592&amp;COUNTIF(C$9:C8592,C8592))</f>
        <v/>
      </c>
    </row>
    <row r="8593" spans="2:2" x14ac:dyDescent="0.25">
      <c r="B8593" t="str">
        <f>IF(C8593="","",C8593&amp;COUNTIF(C$9:C8593,C8593))</f>
        <v/>
      </c>
    </row>
    <row r="8594" spans="2:2" x14ac:dyDescent="0.25">
      <c r="B8594" t="str">
        <f>IF(C8594="","",C8594&amp;COUNTIF(C$9:C8594,C8594))</f>
        <v/>
      </c>
    </row>
    <row r="8595" spans="2:2" x14ac:dyDescent="0.25">
      <c r="B8595" t="str">
        <f>IF(C8595="","",C8595&amp;COUNTIF(C$9:C8595,C8595))</f>
        <v/>
      </c>
    </row>
    <row r="8596" spans="2:2" x14ac:dyDescent="0.25">
      <c r="B8596" t="str">
        <f>IF(C8596="","",C8596&amp;COUNTIF(C$9:C8596,C8596))</f>
        <v/>
      </c>
    </row>
    <row r="8597" spans="2:2" x14ac:dyDescent="0.25">
      <c r="B8597" t="str">
        <f>IF(C8597="","",C8597&amp;COUNTIF(C$9:C8597,C8597))</f>
        <v/>
      </c>
    </row>
    <row r="8598" spans="2:2" x14ac:dyDescent="0.25">
      <c r="B8598" t="str">
        <f>IF(C8598="","",C8598&amp;COUNTIF(C$9:C8598,C8598))</f>
        <v/>
      </c>
    </row>
    <row r="8599" spans="2:2" x14ac:dyDescent="0.25">
      <c r="B8599" t="str">
        <f>IF(C8599="","",C8599&amp;COUNTIF(C$9:C8599,C8599))</f>
        <v/>
      </c>
    </row>
    <row r="8600" spans="2:2" x14ac:dyDescent="0.25">
      <c r="B8600" t="str">
        <f>IF(C8600="","",C8600&amp;COUNTIF(C$9:C8600,C8600))</f>
        <v/>
      </c>
    </row>
    <row r="8601" spans="2:2" x14ac:dyDescent="0.25">
      <c r="B8601" t="str">
        <f>IF(C8601="","",C8601&amp;COUNTIF(C$9:C8601,C8601))</f>
        <v/>
      </c>
    </row>
    <row r="8602" spans="2:2" x14ac:dyDescent="0.25">
      <c r="B8602" t="str">
        <f>IF(C8602="","",C8602&amp;COUNTIF(C$9:C8602,C8602))</f>
        <v/>
      </c>
    </row>
    <row r="8603" spans="2:2" x14ac:dyDescent="0.25">
      <c r="B8603" t="str">
        <f>IF(C8603="","",C8603&amp;COUNTIF(C$9:C8603,C8603))</f>
        <v/>
      </c>
    </row>
    <row r="8604" spans="2:2" x14ac:dyDescent="0.25">
      <c r="B8604" t="str">
        <f>IF(C8604="","",C8604&amp;COUNTIF(C$9:C8604,C8604))</f>
        <v/>
      </c>
    </row>
    <row r="8605" spans="2:2" x14ac:dyDescent="0.25">
      <c r="B8605" t="str">
        <f>IF(C8605="","",C8605&amp;COUNTIF(C$9:C8605,C8605))</f>
        <v/>
      </c>
    </row>
    <row r="8606" spans="2:2" x14ac:dyDescent="0.25">
      <c r="B8606" t="str">
        <f>IF(C8606="","",C8606&amp;COUNTIF(C$9:C8606,C8606))</f>
        <v/>
      </c>
    </row>
    <row r="8607" spans="2:2" x14ac:dyDescent="0.25">
      <c r="B8607" t="str">
        <f>IF(C8607="","",C8607&amp;COUNTIF(C$9:C8607,C8607))</f>
        <v/>
      </c>
    </row>
    <row r="8608" spans="2:2" x14ac:dyDescent="0.25">
      <c r="B8608" t="str">
        <f>IF(C8608="","",C8608&amp;COUNTIF(C$9:C8608,C8608))</f>
        <v/>
      </c>
    </row>
    <row r="8609" spans="2:2" x14ac:dyDescent="0.25">
      <c r="B8609" t="str">
        <f>IF(C8609="","",C8609&amp;COUNTIF(C$9:C8609,C8609))</f>
        <v/>
      </c>
    </row>
    <row r="8610" spans="2:2" x14ac:dyDescent="0.25">
      <c r="B8610" t="str">
        <f>IF(C8610="","",C8610&amp;COUNTIF(C$9:C8610,C8610))</f>
        <v/>
      </c>
    </row>
    <row r="8611" spans="2:2" x14ac:dyDescent="0.25">
      <c r="B8611" t="str">
        <f>IF(C8611="","",C8611&amp;COUNTIF(C$9:C8611,C8611))</f>
        <v/>
      </c>
    </row>
    <row r="8612" spans="2:2" x14ac:dyDescent="0.25">
      <c r="B8612" t="str">
        <f>IF(C8612="","",C8612&amp;COUNTIF(C$9:C8612,C8612))</f>
        <v/>
      </c>
    </row>
    <row r="8613" spans="2:2" x14ac:dyDescent="0.25">
      <c r="B8613" t="str">
        <f>IF(C8613="","",C8613&amp;COUNTIF(C$9:C8613,C8613))</f>
        <v/>
      </c>
    </row>
    <row r="8614" spans="2:2" x14ac:dyDescent="0.25">
      <c r="B8614" t="str">
        <f>IF(C8614="","",C8614&amp;COUNTIF(C$9:C8614,C8614))</f>
        <v/>
      </c>
    </row>
    <row r="8615" spans="2:2" x14ac:dyDescent="0.25">
      <c r="B8615" t="str">
        <f>IF(C8615="","",C8615&amp;COUNTIF(C$9:C8615,C8615))</f>
        <v/>
      </c>
    </row>
    <row r="8616" spans="2:2" x14ac:dyDescent="0.25">
      <c r="B8616" t="str">
        <f>IF(C8616="","",C8616&amp;COUNTIF(C$9:C8616,C8616))</f>
        <v/>
      </c>
    </row>
    <row r="8617" spans="2:2" x14ac:dyDescent="0.25">
      <c r="B8617" t="str">
        <f>IF(C8617="","",C8617&amp;COUNTIF(C$9:C8617,C8617))</f>
        <v/>
      </c>
    </row>
    <row r="8618" spans="2:2" x14ac:dyDescent="0.25">
      <c r="B8618" t="str">
        <f>IF(C8618="","",C8618&amp;COUNTIF(C$9:C8618,C8618))</f>
        <v/>
      </c>
    </row>
    <row r="8619" spans="2:2" x14ac:dyDescent="0.25">
      <c r="B8619" t="str">
        <f>IF(C8619="","",C8619&amp;COUNTIF(C$9:C8619,C8619))</f>
        <v/>
      </c>
    </row>
    <row r="8620" spans="2:2" x14ac:dyDescent="0.25">
      <c r="B8620" t="str">
        <f>IF(C8620="","",C8620&amp;COUNTIF(C$9:C8620,C8620))</f>
        <v/>
      </c>
    </row>
    <row r="8621" spans="2:2" x14ac:dyDescent="0.25">
      <c r="B8621" t="str">
        <f>IF(C8621="","",C8621&amp;COUNTIF(C$9:C8621,C8621))</f>
        <v/>
      </c>
    </row>
    <row r="8622" spans="2:2" x14ac:dyDescent="0.25">
      <c r="B8622" t="str">
        <f>IF(C8622="","",C8622&amp;COUNTIF(C$9:C8622,C8622))</f>
        <v/>
      </c>
    </row>
    <row r="8623" spans="2:2" x14ac:dyDescent="0.25">
      <c r="B8623" t="str">
        <f>IF(C8623="","",C8623&amp;COUNTIF(C$9:C8623,C8623))</f>
        <v/>
      </c>
    </row>
    <row r="8624" spans="2:2" x14ac:dyDescent="0.25">
      <c r="B8624" t="str">
        <f>IF(C8624="","",C8624&amp;COUNTIF(C$9:C8624,C8624))</f>
        <v/>
      </c>
    </row>
    <row r="8625" spans="2:2" x14ac:dyDescent="0.25">
      <c r="B8625" t="str">
        <f>IF(C8625="","",C8625&amp;COUNTIF(C$9:C8625,C8625))</f>
        <v/>
      </c>
    </row>
    <row r="8626" spans="2:2" x14ac:dyDescent="0.25">
      <c r="B8626" t="str">
        <f>IF(C8626="","",C8626&amp;COUNTIF(C$9:C8626,C8626))</f>
        <v/>
      </c>
    </row>
    <row r="8627" spans="2:2" x14ac:dyDescent="0.25">
      <c r="B8627" t="str">
        <f>IF(C8627="","",C8627&amp;COUNTIF(C$9:C8627,C8627))</f>
        <v/>
      </c>
    </row>
    <row r="8628" spans="2:2" x14ac:dyDescent="0.25">
      <c r="B8628" t="str">
        <f>IF(C8628="","",C8628&amp;COUNTIF(C$9:C8628,C8628))</f>
        <v/>
      </c>
    </row>
    <row r="8629" spans="2:2" x14ac:dyDescent="0.25">
      <c r="B8629" t="str">
        <f>IF(C8629="","",C8629&amp;COUNTIF(C$9:C8629,C8629))</f>
        <v/>
      </c>
    </row>
    <row r="8630" spans="2:2" x14ac:dyDescent="0.25">
      <c r="B8630" t="str">
        <f>IF(C8630="","",C8630&amp;COUNTIF(C$9:C8630,C8630))</f>
        <v/>
      </c>
    </row>
    <row r="8631" spans="2:2" x14ac:dyDescent="0.25">
      <c r="B8631" t="str">
        <f>IF(C8631="","",C8631&amp;COUNTIF(C$9:C8631,C8631))</f>
        <v/>
      </c>
    </row>
    <row r="8632" spans="2:2" x14ac:dyDescent="0.25">
      <c r="B8632" t="str">
        <f>IF(C8632="","",C8632&amp;COUNTIF(C$9:C8632,C8632))</f>
        <v/>
      </c>
    </row>
    <row r="8633" spans="2:2" x14ac:dyDescent="0.25">
      <c r="B8633" t="str">
        <f>IF(C8633="","",C8633&amp;COUNTIF(C$9:C8633,C8633))</f>
        <v/>
      </c>
    </row>
    <row r="8634" spans="2:2" x14ac:dyDescent="0.25">
      <c r="B8634" t="str">
        <f>IF(C8634="","",C8634&amp;COUNTIF(C$9:C8634,C8634))</f>
        <v/>
      </c>
    </row>
    <row r="8635" spans="2:2" x14ac:dyDescent="0.25">
      <c r="B8635" t="str">
        <f>IF(C8635="","",C8635&amp;COUNTIF(C$9:C8635,C8635))</f>
        <v/>
      </c>
    </row>
    <row r="8636" spans="2:2" x14ac:dyDescent="0.25">
      <c r="B8636" t="str">
        <f>IF(C8636="","",C8636&amp;COUNTIF(C$9:C8636,C8636))</f>
        <v/>
      </c>
    </row>
    <row r="8637" spans="2:2" x14ac:dyDescent="0.25">
      <c r="B8637" t="str">
        <f>IF(C8637="","",C8637&amp;COUNTIF(C$9:C8637,C8637))</f>
        <v/>
      </c>
    </row>
    <row r="8638" spans="2:2" x14ac:dyDescent="0.25">
      <c r="B8638" t="str">
        <f>IF(C8638="","",C8638&amp;COUNTIF(C$9:C8638,C8638))</f>
        <v/>
      </c>
    </row>
    <row r="8639" spans="2:2" x14ac:dyDescent="0.25">
      <c r="B8639" t="str">
        <f>IF(C8639="","",C8639&amp;COUNTIF(C$9:C8639,C8639))</f>
        <v/>
      </c>
    </row>
    <row r="8640" spans="2:2" x14ac:dyDescent="0.25">
      <c r="B8640" t="str">
        <f>IF(C8640="","",C8640&amp;COUNTIF(C$9:C8640,C8640))</f>
        <v/>
      </c>
    </row>
    <row r="8641" spans="2:2" x14ac:dyDescent="0.25">
      <c r="B8641" t="str">
        <f>IF(C8641="","",C8641&amp;COUNTIF(C$9:C8641,C8641))</f>
        <v/>
      </c>
    </row>
    <row r="8642" spans="2:2" x14ac:dyDescent="0.25">
      <c r="B8642" t="str">
        <f>IF(C8642="","",C8642&amp;COUNTIF(C$9:C8642,C8642))</f>
        <v/>
      </c>
    </row>
    <row r="8643" spans="2:2" x14ac:dyDescent="0.25">
      <c r="B8643" t="str">
        <f>IF(C8643="","",C8643&amp;COUNTIF(C$9:C8643,C8643))</f>
        <v/>
      </c>
    </row>
    <row r="8644" spans="2:2" x14ac:dyDescent="0.25">
      <c r="B8644" t="str">
        <f>IF(C8644="","",C8644&amp;COUNTIF(C$9:C8644,C8644))</f>
        <v/>
      </c>
    </row>
    <row r="8645" spans="2:2" x14ac:dyDescent="0.25">
      <c r="B8645" t="str">
        <f>IF(C8645="","",C8645&amp;COUNTIF(C$9:C8645,C8645))</f>
        <v/>
      </c>
    </row>
    <row r="8646" spans="2:2" x14ac:dyDescent="0.25">
      <c r="B8646" t="str">
        <f>IF(C8646="","",C8646&amp;COUNTIF(C$9:C8646,C8646))</f>
        <v/>
      </c>
    </row>
    <row r="8647" spans="2:2" x14ac:dyDescent="0.25">
      <c r="B8647" t="str">
        <f>IF(C8647="","",C8647&amp;COUNTIF(C$9:C8647,C8647))</f>
        <v/>
      </c>
    </row>
    <row r="8648" spans="2:2" x14ac:dyDescent="0.25">
      <c r="B8648" t="str">
        <f>IF(C8648="","",C8648&amp;COUNTIF(C$9:C8648,C8648))</f>
        <v/>
      </c>
    </row>
    <row r="8649" spans="2:2" x14ac:dyDescent="0.25">
      <c r="B8649" t="str">
        <f>IF(C8649="","",C8649&amp;COUNTIF(C$9:C8649,C8649))</f>
        <v/>
      </c>
    </row>
    <row r="8650" spans="2:2" x14ac:dyDescent="0.25">
      <c r="B8650" t="str">
        <f>IF(C8650="","",C8650&amp;COUNTIF(C$9:C8650,C8650))</f>
        <v/>
      </c>
    </row>
    <row r="8651" spans="2:2" x14ac:dyDescent="0.25">
      <c r="B8651" t="str">
        <f>IF(C8651="","",C8651&amp;COUNTIF(C$9:C8651,C8651))</f>
        <v/>
      </c>
    </row>
    <row r="8652" spans="2:2" x14ac:dyDescent="0.25">
      <c r="B8652" t="str">
        <f>IF(C8652="","",C8652&amp;COUNTIF(C$9:C8652,C8652))</f>
        <v/>
      </c>
    </row>
    <row r="8653" spans="2:2" x14ac:dyDescent="0.25">
      <c r="B8653" t="str">
        <f>IF(C8653="","",C8653&amp;COUNTIF(C$9:C8653,C8653))</f>
        <v/>
      </c>
    </row>
    <row r="8654" spans="2:2" x14ac:dyDescent="0.25">
      <c r="B8654" t="str">
        <f>IF(C8654="","",C8654&amp;COUNTIF(C$9:C8654,C8654))</f>
        <v/>
      </c>
    </row>
    <row r="8655" spans="2:2" x14ac:dyDescent="0.25">
      <c r="B8655" t="str">
        <f>IF(C8655="","",C8655&amp;COUNTIF(C$9:C8655,C8655))</f>
        <v/>
      </c>
    </row>
    <row r="8656" spans="2:2" x14ac:dyDescent="0.25">
      <c r="B8656" t="str">
        <f>IF(C8656="","",C8656&amp;COUNTIF(C$9:C8656,C8656))</f>
        <v/>
      </c>
    </row>
    <row r="8657" spans="2:2" x14ac:dyDescent="0.25">
      <c r="B8657" t="str">
        <f>IF(C8657="","",C8657&amp;COUNTIF(C$9:C8657,C8657))</f>
        <v/>
      </c>
    </row>
    <row r="8658" spans="2:2" x14ac:dyDescent="0.25">
      <c r="B8658" t="str">
        <f>IF(C8658="","",C8658&amp;COUNTIF(C$9:C8658,C8658))</f>
        <v/>
      </c>
    </row>
    <row r="8659" spans="2:2" x14ac:dyDescent="0.25">
      <c r="B8659" t="str">
        <f>IF(C8659="","",C8659&amp;COUNTIF(C$9:C8659,C8659))</f>
        <v/>
      </c>
    </row>
    <row r="8660" spans="2:2" x14ac:dyDescent="0.25">
      <c r="B8660" t="str">
        <f>IF(C8660="","",C8660&amp;COUNTIF(C$9:C8660,C8660))</f>
        <v/>
      </c>
    </row>
    <row r="8661" spans="2:2" x14ac:dyDescent="0.25">
      <c r="B8661" t="str">
        <f>IF(C8661="","",C8661&amp;COUNTIF(C$9:C8661,C8661))</f>
        <v/>
      </c>
    </row>
    <row r="8662" spans="2:2" x14ac:dyDescent="0.25">
      <c r="B8662" t="str">
        <f>IF(C8662="","",C8662&amp;COUNTIF(C$9:C8662,C8662))</f>
        <v/>
      </c>
    </row>
    <row r="8663" spans="2:2" x14ac:dyDescent="0.25">
      <c r="B8663" t="str">
        <f>IF(C8663="","",C8663&amp;COUNTIF(C$9:C8663,C8663))</f>
        <v/>
      </c>
    </row>
    <row r="8664" spans="2:2" x14ac:dyDescent="0.25">
      <c r="B8664" t="str">
        <f>IF(C8664="","",C8664&amp;COUNTIF(C$9:C8664,C8664))</f>
        <v/>
      </c>
    </row>
    <row r="8665" spans="2:2" x14ac:dyDescent="0.25">
      <c r="B8665" t="str">
        <f>IF(C8665="","",C8665&amp;COUNTIF(C$9:C8665,C8665))</f>
        <v/>
      </c>
    </row>
    <row r="8666" spans="2:2" x14ac:dyDescent="0.25">
      <c r="B8666" t="str">
        <f>IF(C8666="","",C8666&amp;COUNTIF(C$9:C8666,C8666))</f>
        <v/>
      </c>
    </row>
    <row r="8667" spans="2:2" x14ac:dyDescent="0.25">
      <c r="B8667" t="str">
        <f>IF(C8667="","",C8667&amp;COUNTIF(C$9:C8667,C8667))</f>
        <v/>
      </c>
    </row>
    <row r="8668" spans="2:2" x14ac:dyDescent="0.25">
      <c r="B8668" t="str">
        <f>IF(C8668="","",C8668&amp;COUNTIF(C$9:C8668,C8668))</f>
        <v/>
      </c>
    </row>
    <row r="8669" spans="2:2" x14ac:dyDescent="0.25">
      <c r="B8669" t="str">
        <f>IF(C8669="","",C8669&amp;COUNTIF(C$9:C8669,C8669))</f>
        <v/>
      </c>
    </row>
    <row r="8670" spans="2:2" x14ac:dyDescent="0.25">
      <c r="B8670" t="str">
        <f>IF(C8670="","",C8670&amp;COUNTIF(C$9:C8670,C8670))</f>
        <v/>
      </c>
    </row>
    <row r="8671" spans="2:2" x14ac:dyDescent="0.25">
      <c r="B8671" t="str">
        <f>IF(C8671="","",C8671&amp;COUNTIF(C$9:C8671,C8671))</f>
        <v/>
      </c>
    </row>
    <row r="8672" spans="2:2" x14ac:dyDescent="0.25">
      <c r="B8672" t="str">
        <f>IF(C8672="","",C8672&amp;COUNTIF(C$9:C8672,C8672))</f>
        <v/>
      </c>
    </row>
    <row r="8673" spans="2:2" x14ac:dyDescent="0.25">
      <c r="B8673" t="str">
        <f>IF(C8673="","",C8673&amp;COUNTIF(C$9:C8673,C8673))</f>
        <v/>
      </c>
    </row>
    <row r="8674" spans="2:2" x14ac:dyDescent="0.25">
      <c r="B8674" t="str">
        <f>IF(C8674="","",C8674&amp;COUNTIF(C$9:C8674,C8674))</f>
        <v/>
      </c>
    </row>
    <row r="8675" spans="2:2" x14ac:dyDescent="0.25">
      <c r="B8675" t="str">
        <f>IF(C8675="","",C8675&amp;COUNTIF(C$9:C8675,C8675))</f>
        <v/>
      </c>
    </row>
    <row r="8676" spans="2:2" x14ac:dyDescent="0.25">
      <c r="B8676" t="str">
        <f>IF(C8676="","",C8676&amp;COUNTIF(C$9:C8676,C8676))</f>
        <v/>
      </c>
    </row>
    <row r="8677" spans="2:2" x14ac:dyDescent="0.25">
      <c r="B8677" t="str">
        <f>IF(C8677="","",C8677&amp;COUNTIF(C$9:C8677,C8677))</f>
        <v/>
      </c>
    </row>
    <row r="8678" spans="2:2" x14ac:dyDescent="0.25">
      <c r="B8678" t="str">
        <f>IF(C8678="","",C8678&amp;COUNTIF(C$9:C8678,C8678))</f>
        <v/>
      </c>
    </row>
    <row r="8679" spans="2:2" x14ac:dyDescent="0.25">
      <c r="B8679" t="str">
        <f>IF(C8679="","",C8679&amp;COUNTIF(C$9:C8679,C8679))</f>
        <v/>
      </c>
    </row>
    <row r="8680" spans="2:2" x14ac:dyDescent="0.25">
      <c r="B8680" t="str">
        <f>IF(C8680="","",C8680&amp;COUNTIF(C$9:C8680,C8680))</f>
        <v/>
      </c>
    </row>
    <row r="8681" spans="2:2" x14ac:dyDescent="0.25">
      <c r="B8681" t="str">
        <f>IF(C8681="","",C8681&amp;COUNTIF(C$9:C8681,C8681))</f>
        <v/>
      </c>
    </row>
    <row r="8682" spans="2:2" x14ac:dyDescent="0.25">
      <c r="B8682" t="str">
        <f>IF(C8682="","",C8682&amp;COUNTIF(C$9:C8682,C8682))</f>
        <v/>
      </c>
    </row>
    <row r="8683" spans="2:2" x14ac:dyDescent="0.25">
      <c r="B8683" t="str">
        <f>IF(C8683="","",C8683&amp;COUNTIF(C$9:C8683,C8683))</f>
        <v/>
      </c>
    </row>
    <row r="8684" spans="2:2" x14ac:dyDescent="0.25">
      <c r="B8684" t="str">
        <f>IF(C8684="","",C8684&amp;COUNTIF(C$9:C8684,C8684))</f>
        <v/>
      </c>
    </row>
    <row r="8685" spans="2:2" x14ac:dyDescent="0.25">
      <c r="B8685" t="str">
        <f>IF(C8685="","",C8685&amp;COUNTIF(C$9:C8685,C8685))</f>
        <v/>
      </c>
    </row>
    <row r="8686" spans="2:2" x14ac:dyDescent="0.25">
      <c r="B8686" t="str">
        <f>IF(C8686="","",C8686&amp;COUNTIF(C$9:C8686,C8686))</f>
        <v/>
      </c>
    </row>
    <row r="8687" spans="2:2" x14ac:dyDescent="0.25">
      <c r="B8687" t="str">
        <f>IF(C8687="","",C8687&amp;COUNTIF(C$9:C8687,C8687))</f>
        <v/>
      </c>
    </row>
    <row r="8688" spans="2:2" x14ac:dyDescent="0.25">
      <c r="B8688" t="str">
        <f>IF(C8688="","",C8688&amp;COUNTIF(C$9:C8688,C8688))</f>
        <v/>
      </c>
    </row>
    <row r="8689" spans="2:2" x14ac:dyDescent="0.25">
      <c r="B8689" t="str">
        <f>IF(C8689="","",C8689&amp;COUNTIF(C$9:C8689,C8689))</f>
        <v/>
      </c>
    </row>
    <row r="8690" spans="2:2" x14ac:dyDescent="0.25">
      <c r="B8690" t="str">
        <f>IF(C8690="","",C8690&amp;COUNTIF(C$9:C8690,C8690))</f>
        <v/>
      </c>
    </row>
    <row r="8691" spans="2:2" x14ac:dyDescent="0.25">
      <c r="B8691" t="str">
        <f>IF(C8691="","",C8691&amp;COUNTIF(C$9:C8691,C8691))</f>
        <v/>
      </c>
    </row>
    <row r="8692" spans="2:2" x14ac:dyDescent="0.25">
      <c r="B8692" t="str">
        <f>IF(C8692="","",C8692&amp;COUNTIF(C$9:C8692,C8692))</f>
        <v/>
      </c>
    </row>
    <row r="8693" spans="2:2" x14ac:dyDescent="0.25">
      <c r="B8693" t="str">
        <f>IF(C8693="","",C8693&amp;COUNTIF(C$9:C8693,C8693))</f>
        <v/>
      </c>
    </row>
    <row r="8694" spans="2:2" x14ac:dyDescent="0.25">
      <c r="B8694" t="str">
        <f>IF(C8694="","",C8694&amp;COUNTIF(C$9:C8694,C8694))</f>
        <v/>
      </c>
    </row>
    <row r="8695" spans="2:2" x14ac:dyDescent="0.25">
      <c r="B8695" t="str">
        <f>IF(C8695="","",C8695&amp;COUNTIF(C$9:C8695,C8695))</f>
        <v/>
      </c>
    </row>
    <row r="8696" spans="2:2" x14ac:dyDescent="0.25">
      <c r="B8696" t="str">
        <f>IF(C8696="","",C8696&amp;COUNTIF(C$9:C8696,C8696))</f>
        <v/>
      </c>
    </row>
    <row r="8697" spans="2:2" x14ac:dyDescent="0.25">
      <c r="B8697" t="str">
        <f>IF(C8697="","",C8697&amp;COUNTIF(C$9:C8697,C8697))</f>
        <v/>
      </c>
    </row>
    <row r="8698" spans="2:2" x14ac:dyDescent="0.25">
      <c r="B8698" t="str">
        <f>IF(C8698="","",C8698&amp;COUNTIF(C$9:C8698,C8698))</f>
        <v/>
      </c>
    </row>
    <row r="8699" spans="2:2" x14ac:dyDescent="0.25">
      <c r="B8699" t="str">
        <f>IF(C8699="","",C8699&amp;COUNTIF(C$9:C8699,C8699))</f>
        <v/>
      </c>
    </row>
    <row r="8700" spans="2:2" x14ac:dyDescent="0.25">
      <c r="B8700" t="str">
        <f>IF(C8700="","",C8700&amp;COUNTIF(C$9:C8700,C8700))</f>
        <v/>
      </c>
    </row>
    <row r="8701" spans="2:2" x14ac:dyDescent="0.25">
      <c r="B8701" t="str">
        <f>IF(C8701="","",C8701&amp;COUNTIF(C$9:C8701,C8701))</f>
        <v/>
      </c>
    </row>
    <row r="8702" spans="2:2" x14ac:dyDescent="0.25">
      <c r="B8702" t="str">
        <f>IF(C8702="","",C8702&amp;COUNTIF(C$9:C8702,C8702))</f>
        <v/>
      </c>
    </row>
    <row r="8703" spans="2:2" x14ac:dyDescent="0.25">
      <c r="B8703" t="str">
        <f>IF(C8703="","",C8703&amp;COUNTIF(C$9:C8703,C8703))</f>
        <v/>
      </c>
    </row>
    <row r="8704" spans="2:2" x14ac:dyDescent="0.25">
      <c r="B8704" t="str">
        <f>IF(C8704="","",C8704&amp;COUNTIF(C$9:C8704,C8704))</f>
        <v/>
      </c>
    </row>
    <row r="8705" spans="2:2" x14ac:dyDescent="0.25">
      <c r="B8705" t="str">
        <f>IF(C8705="","",C8705&amp;COUNTIF(C$9:C8705,C8705))</f>
        <v/>
      </c>
    </row>
    <row r="8706" spans="2:2" x14ac:dyDescent="0.25">
      <c r="B8706" t="str">
        <f>IF(C8706="","",C8706&amp;COUNTIF(C$9:C8706,C8706))</f>
        <v/>
      </c>
    </row>
    <row r="8707" spans="2:2" x14ac:dyDescent="0.25">
      <c r="B8707" t="str">
        <f>IF(C8707="","",C8707&amp;COUNTIF(C$9:C8707,C8707))</f>
        <v/>
      </c>
    </row>
    <row r="8708" spans="2:2" x14ac:dyDescent="0.25">
      <c r="B8708" t="str">
        <f>IF(C8708="","",C8708&amp;COUNTIF(C$9:C8708,C8708))</f>
        <v/>
      </c>
    </row>
    <row r="8709" spans="2:2" x14ac:dyDescent="0.25">
      <c r="B8709" t="str">
        <f>IF(C8709="","",C8709&amp;COUNTIF(C$9:C8709,C8709))</f>
        <v/>
      </c>
    </row>
    <row r="8710" spans="2:2" x14ac:dyDescent="0.25">
      <c r="B8710" t="str">
        <f>IF(C8710="","",C8710&amp;COUNTIF(C$9:C8710,C8710))</f>
        <v/>
      </c>
    </row>
    <row r="8711" spans="2:2" x14ac:dyDescent="0.25">
      <c r="B8711" t="str">
        <f>IF(C8711="","",C8711&amp;COUNTIF(C$9:C8711,C8711))</f>
        <v/>
      </c>
    </row>
    <row r="8712" spans="2:2" x14ac:dyDescent="0.25">
      <c r="B8712" t="str">
        <f>IF(C8712="","",C8712&amp;COUNTIF(C$9:C8712,C8712))</f>
        <v/>
      </c>
    </row>
    <row r="8713" spans="2:2" x14ac:dyDescent="0.25">
      <c r="B8713" t="str">
        <f>IF(C8713="","",C8713&amp;COUNTIF(C$9:C8713,C8713))</f>
        <v/>
      </c>
    </row>
    <row r="8714" spans="2:2" x14ac:dyDescent="0.25">
      <c r="B8714" t="str">
        <f>IF(C8714="","",C8714&amp;COUNTIF(C$9:C8714,C8714))</f>
        <v/>
      </c>
    </row>
    <row r="8715" spans="2:2" x14ac:dyDescent="0.25">
      <c r="B8715" t="str">
        <f>IF(C8715="","",C8715&amp;COUNTIF(C$9:C8715,C8715))</f>
        <v/>
      </c>
    </row>
    <row r="8716" spans="2:2" x14ac:dyDescent="0.25">
      <c r="B8716" t="str">
        <f>IF(C8716="","",C8716&amp;COUNTIF(C$9:C8716,C8716))</f>
        <v/>
      </c>
    </row>
    <row r="8717" spans="2:2" x14ac:dyDescent="0.25">
      <c r="B8717" t="str">
        <f>IF(C8717="","",C8717&amp;COUNTIF(C$9:C8717,C8717))</f>
        <v/>
      </c>
    </row>
    <row r="8718" spans="2:2" x14ac:dyDescent="0.25">
      <c r="B8718" t="str">
        <f>IF(C8718="","",C8718&amp;COUNTIF(C$9:C8718,C8718))</f>
        <v/>
      </c>
    </row>
    <row r="8719" spans="2:2" x14ac:dyDescent="0.25">
      <c r="B8719" t="str">
        <f>IF(C8719="","",C8719&amp;COUNTIF(C$9:C8719,C8719))</f>
        <v/>
      </c>
    </row>
    <row r="8720" spans="2:2" x14ac:dyDescent="0.25">
      <c r="B8720" t="str">
        <f>IF(C8720="","",C8720&amp;COUNTIF(C$9:C8720,C8720))</f>
        <v/>
      </c>
    </row>
    <row r="8721" spans="2:2" x14ac:dyDescent="0.25">
      <c r="B8721" t="str">
        <f>IF(C8721="","",C8721&amp;COUNTIF(C$9:C8721,C8721))</f>
        <v/>
      </c>
    </row>
    <row r="8722" spans="2:2" x14ac:dyDescent="0.25">
      <c r="B8722" t="str">
        <f>IF(C8722="","",C8722&amp;COUNTIF(C$9:C8722,C8722))</f>
        <v/>
      </c>
    </row>
    <row r="8723" spans="2:2" x14ac:dyDescent="0.25">
      <c r="B8723" t="str">
        <f>IF(C8723="","",C8723&amp;COUNTIF(C$9:C8723,C8723))</f>
        <v/>
      </c>
    </row>
    <row r="8724" spans="2:2" x14ac:dyDescent="0.25">
      <c r="B8724" t="str">
        <f>IF(C8724="","",C8724&amp;COUNTIF(C$9:C8724,C8724))</f>
        <v/>
      </c>
    </row>
    <row r="8725" spans="2:2" x14ac:dyDescent="0.25">
      <c r="B8725" t="str">
        <f>IF(C8725="","",C8725&amp;COUNTIF(C$9:C8725,C8725))</f>
        <v/>
      </c>
    </row>
    <row r="8726" spans="2:2" x14ac:dyDescent="0.25">
      <c r="B8726" t="str">
        <f>IF(C8726="","",C8726&amp;COUNTIF(C$9:C8726,C8726))</f>
        <v/>
      </c>
    </row>
    <row r="8727" spans="2:2" x14ac:dyDescent="0.25">
      <c r="B8727" t="str">
        <f>IF(C8727="","",C8727&amp;COUNTIF(C$9:C8727,C8727))</f>
        <v/>
      </c>
    </row>
    <row r="8728" spans="2:2" x14ac:dyDescent="0.25">
      <c r="B8728" t="str">
        <f>IF(C8728="","",C8728&amp;COUNTIF(C$9:C8728,C8728))</f>
        <v/>
      </c>
    </row>
    <row r="8729" spans="2:2" x14ac:dyDescent="0.25">
      <c r="B8729" t="str">
        <f>IF(C8729="","",C8729&amp;COUNTIF(C$9:C8729,C8729))</f>
        <v/>
      </c>
    </row>
    <row r="8730" spans="2:2" x14ac:dyDescent="0.25">
      <c r="B8730" t="str">
        <f>IF(C8730="","",C8730&amp;COUNTIF(C$9:C8730,C8730))</f>
        <v/>
      </c>
    </row>
    <row r="8731" spans="2:2" x14ac:dyDescent="0.25">
      <c r="B8731" t="str">
        <f>IF(C8731="","",C8731&amp;COUNTIF(C$9:C8731,C8731))</f>
        <v/>
      </c>
    </row>
    <row r="8732" spans="2:2" x14ac:dyDescent="0.25">
      <c r="B8732" t="str">
        <f>IF(C8732="","",C8732&amp;COUNTIF(C$9:C8732,C8732))</f>
        <v/>
      </c>
    </row>
    <row r="8733" spans="2:2" x14ac:dyDescent="0.25">
      <c r="B8733" t="str">
        <f>IF(C8733="","",C8733&amp;COUNTIF(C$9:C8733,C8733))</f>
        <v/>
      </c>
    </row>
    <row r="8734" spans="2:2" x14ac:dyDescent="0.25">
      <c r="B8734" t="str">
        <f>IF(C8734="","",C8734&amp;COUNTIF(C$9:C8734,C8734))</f>
        <v/>
      </c>
    </row>
    <row r="8735" spans="2:2" x14ac:dyDescent="0.25">
      <c r="B8735" t="str">
        <f>IF(C8735="","",C8735&amp;COUNTIF(C$9:C8735,C8735))</f>
        <v/>
      </c>
    </row>
    <row r="8736" spans="2:2" x14ac:dyDescent="0.25">
      <c r="B8736" t="str">
        <f>IF(C8736="","",C8736&amp;COUNTIF(C$9:C8736,C8736))</f>
        <v/>
      </c>
    </row>
    <row r="8737" spans="2:2" x14ac:dyDescent="0.25">
      <c r="B8737" t="str">
        <f>IF(C8737="","",C8737&amp;COUNTIF(C$9:C8737,C8737))</f>
        <v/>
      </c>
    </row>
    <row r="8738" spans="2:2" x14ac:dyDescent="0.25">
      <c r="B8738" t="str">
        <f>IF(C8738="","",C8738&amp;COUNTIF(C$9:C8738,C8738))</f>
        <v/>
      </c>
    </row>
    <row r="8739" spans="2:2" x14ac:dyDescent="0.25">
      <c r="B8739" t="str">
        <f>IF(C8739="","",C8739&amp;COUNTIF(C$9:C8739,C8739))</f>
        <v/>
      </c>
    </row>
    <row r="8740" spans="2:2" x14ac:dyDescent="0.25">
      <c r="B8740" t="str">
        <f>IF(C8740="","",C8740&amp;COUNTIF(C$9:C8740,C8740))</f>
        <v/>
      </c>
    </row>
    <row r="8741" spans="2:2" x14ac:dyDescent="0.25">
      <c r="B8741" t="str">
        <f>IF(C8741="","",C8741&amp;COUNTIF(C$9:C8741,C8741))</f>
        <v/>
      </c>
    </row>
    <row r="8742" spans="2:2" x14ac:dyDescent="0.25">
      <c r="B8742" t="str">
        <f>IF(C8742="","",C8742&amp;COUNTIF(C$9:C8742,C8742))</f>
        <v/>
      </c>
    </row>
    <row r="8743" spans="2:2" x14ac:dyDescent="0.25">
      <c r="B8743" t="str">
        <f>IF(C8743="","",C8743&amp;COUNTIF(C$9:C8743,C8743))</f>
        <v/>
      </c>
    </row>
    <row r="8744" spans="2:2" x14ac:dyDescent="0.25">
      <c r="B8744" t="str">
        <f>IF(C8744="","",C8744&amp;COUNTIF(C$9:C8744,C8744))</f>
        <v/>
      </c>
    </row>
    <row r="8745" spans="2:2" x14ac:dyDescent="0.25">
      <c r="B8745" t="str">
        <f>IF(C8745="","",C8745&amp;COUNTIF(C$9:C8745,C8745))</f>
        <v/>
      </c>
    </row>
    <row r="8746" spans="2:2" x14ac:dyDescent="0.25">
      <c r="B8746" t="str">
        <f>IF(C8746="","",C8746&amp;COUNTIF(C$9:C8746,C8746))</f>
        <v/>
      </c>
    </row>
    <row r="8747" spans="2:2" x14ac:dyDescent="0.25">
      <c r="B8747" t="str">
        <f>IF(C8747="","",C8747&amp;COUNTIF(C$9:C8747,C8747))</f>
        <v/>
      </c>
    </row>
    <row r="8748" spans="2:2" x14ac:dyDescent="0.25">
      <c r="B8748" t="str">
        <f>IF(C8748="","",C8748&amp;COUNTIF(C$9:C8748,C8748))</f>
        <v/>
      </c>
    </row>
    <row r="8749" spans="2:2" x14ac:dyDescent="0.25">
      <c r="B8749" t="str">
        <f>IF(C8749="","",C8749&amp;COUNTIF(C$9:C8749,C8749))</f>
        <v/>
      </c>
    </row>
    <row r="8750" spans="2:2" x14ac:dyDescent="0.25">
      <c r="B8750" t="str">
        <f>IF(C8750="","",C8750&amp;COUNTIF(C$9:C8750,C8750))</f>
        <v/>
      </c>
    </row>
    <row r="8751" spans="2:2" x14ac:dyDescent="0.25">
      <c r="B8751" t="str">
        <f>IF(C8751="","",C8751&amp;COUNTIF(C$9:C8751,C8751))</f>
        <v/>
      </c>
    </row>
    <row r="8752" spans="2:2" x14ac:dyDescent="0.25">
      <c r="B8752" t="str">
        <f>IF(C8752="","",C8752&amp;COUNTIF(C$9:C8752,C8752))</f>
        <v/>
      </c>
    </row>
    <row r="8753" spans="2:2" x14ac:dyDescent="0.25">
      <c r="B8753" t="str">
        <f>IF(C8753="","",C8753&amp;COUNTIF(C$9:C8753,C8753))</f>
        <v/>
      </c>
    </row>
    <row r="8754" spans="2:2" x14ac:dyDescent="0.25">
      <c r="B8754" t="str">
        <f>IF(C8754="","",C8754&amp;COUNTIF(C$9:C8754,C8754))</f>
        <v/>
      </c>
    </row>
    <row r="8755" spans="2:2" x14ac:dyDescent="0.25">
      <c r="B8755" t="str">
        <f>IF(C8755="","",C8755&amp;COUNTIF(C$9:C8755,C8755))</f>
        <v/>
      </c>
    </row>
    <row r="8756" spans="2:2" x14ac:dyDescent="0.25">
      <c r="B8756" t="str">
        <f>IF(C8756="","",C8756&amp;COUNTIF(C$9:C8756,C8756))</f>
        <v/>
      </c>
    </row>
    <row r="8757" spans="2:2" x14ac:dyDescent="0.25">
      <c r="B8757" t="str">
        <f>IF(C8757="","",C8757&amp;COUNTIF(C$9:C8757,C8757))</f>
        <v/>
      </c>
    </row>
    <row r="8758" spans="2:2" x14ac:dyDescent="0.25">
      <c r="B8758" t="str">
        <f>IF(C8758="","",C8758&amp;COUNTIF(C$9:C8758,C8758))</f>
        <v/>
      </c>
    </row>
    <row r="8759" spans="2:2" x14ac:dyDescent="0.25">
      <c r="B8759" t="str">
        <f>IF(C8759="","",C8759&amp;COUNTIF(C$9:C8759,C8759))</f>
        <v/>
      </c>
    </row>
    <row r="8760" spans="2:2" x14ac:dyDescent="0.25">
      <c r="B8760" t="str">
        <f>IF(C8760="","",C8760&amp;COUNTIF(C$9:C8760,C8760))</f>
        <v/>
      </c>
    </row>
    <row r="8761" spans="2:2" x14ac:dyDescent="0.25">
      <c r="B8761" t="str">
        <f>IF(C8761="","",C8761&amp;COUNTIF(C$9:C8761,C8761))</f>
        <v/>
      </c>
    </row>
    <row r="8762" spans="2:2" x14ac:dyDescent="0.25">
      <c r="B8762" t="str">
        <f>IF(C8762="","",C8762&amp;COUNTIF(C$9:C8762,C8762))</f>
        <v/>
      </c>
    </row>
    <row r="8763" spans="2:2" x14ac:dyDescent="0.25">
      <c r="B8763" t="str">
        <f>IF(C8763="","",C8763&amp;COUNTIF(C$9:C8763,C8763))</f>
        <v/>
      </c>
    </row>
    <row r="8764" spans="2:2" x14ac:dyDescent="0.25">
      <c r="B8764" t="str">
        <f>IF(C8764="","",C8764&amp;COUNTIF(C$9:C8764,C8764))</f>
        <v/>
      </c>
    </row>
    <row r="8765" spans="2:2" x14ac:dyDescent="0.25">
      <c r="B8765" t="str">
        <f>IF(C8765="","",C8765&amp;COUNTIF(C$9:C8765,C8765))</f>
        <v/>
      </c>
    </row>
    <row r="8766" spans="2:2" x14ac:dyDescent="0.25">
      <c r="B8766" t="str">
        <f>IF(C8766="","",C8766&amp;COUNTIF(C$9:C8766,C8766))</f>
        <v/>
      </c>
    </row>
    <row r="8767" spans="2:2" x14ac:dyDescent="0.25">
      <c r="B8767" t="str">
        <f>IF(C8767="","",C8767&amp;COUNTIF(C$9:C8767,C8767))</f>
        <v/>
      </c>
    </row>
    <row r="8768" spans="2:2" x14ac:dyDescent="0.25">
      <c r="B8768" t="str">
        <f>IF(C8768="","",C8768&amp;COUNTIF(C$9:C8768,C8768))</f>
        <v/>
      </c>
    </row>
    <row r="8769" spans="2:2" x14ac:dyDescent="0.25">
      <c r="B8769" t="str">
        <f>IF(C8769="","",C8769&amp;COUNTIF(C$9:C8769,C8769))</f>
        <v/>
      </c>
    </row>
    <row r="8770" spans="2:2" x14ac:dyDescent="0.25">
      <c r="B8770" t="str">
        <f>IF(C8770="","",C8770&amp;COUNTIF(C$9:C8770,C8770))</f>
        <v/>
      </c>
    </row>
    <row r="8771" spans="2:2" x14ac:dyDescent="0.25">
      <c r="B8771" t="str">
        <f>IF(C8771="","",C8771&amp;COUNTIF(C$9:C8771,C8771))</f>
        <v/>
      </c>
    </row>
    <row r="8772" spans="2:2" x14ac:dyDescent="0.25">
      <c r="B8772" t="str">
        <f>IF(C8772="","",C8772&amp;COUNTIF(C$9:C8772,C8772))</f>
        <v/>
      </c>
    </row>
    <row r="8773" spans="2:2" x14ac:dyDescent="0.25">
      <c r="B8773" t="str">
        <f>IF(C8773="","",C8773&amp;COUNTIF(C$9:C8773,C8773))</f>
        <v/>
      </c>
    </row>
    <row r="8774" spans="2:2" x14ac:dyDescent="0.25">
      <c r="B8774" t="str">
        <f>IF(C8774="","",C8774&amp;COUNTIF(C$9:C8774,C8774))</f>
        <v/>
      </c>
    </row>
    <row r="8775" spans="2:2" x14ac:dyDescent="0.25">
      <c r="B8775" t="str">
        <f>IF(C8775="","",C8775&amp;COUNTIF(C$9:C8775,C8775))</f>
        <v/>
      </c>
    </row>
    <row r="8776" spans="2:2" x14ac:dyDescent="0.25">
      <c r="B8776" t="str">
        <f>IF(C8776="","",C8776&amp;COUNTIF(C$9:C8776,C8776))</f>
        <v/>
      </c>
    </row>
    <row r="8777" spans="2:2" x14ac:dyDescent="0.25">
      <c r="B8777" t="str">
        <f>IF(C8777="","",C8777&amp;COUNTIF(C$9:C8777,C8777))</f>
        <v/>
      </c>
    </row>
    <row r="8778" spans="2:2" x14ac:dyDescent="0.25">
      <c r="B8778" t="str">
        <f>IF(C8778="","",C8778&amp;COUNTIF(C$9:C8778,C8778))</f>
        <v/>
      </c>
    </row>
    <row r="8779" spans="2:2" x14ac:dyDescent="0.25">
      <c r="B8779" t="str">
        <f>IF(C8779="","",C8779&amp;COUNTIF(C$9:C8779,C8779))</f>
        <v/>
      </c>
    </row>
    <row r="8780" spans="2:2" x14ac:dyDescent="0.25">
      <c r="B8780" t="str">
        <f>IF(C8780="","",C8780&amp;COUNTIF(C$9:C8780,C8780))</f>
        <v/>
      </c>
    </row>
    <row r="8781" spans="2:2" x14ac:dyDescent="0.25">
      <c r="B8781" t="str">
        <f>IF(C8781="","",C8781&amp;COUNTIF(C$9:C8781,C8781))</f>
        <v/>
      </c>
    </row>
    <row r="8782" spans="2:2" x14ac:dyDescent="0.25">
      <c r="B8782" t="str">
        <f>IF(C8782="","",C8782&amp;COUNTIF(C$9:C8782,C8782))</f>
        <v/>
      </c>
    </row>
    <row r="8783" spans="2:2" x14ac:dyDescent="0.25">
      <c r="B8783" t="str">
        <f>IF(C8783="","",C8783&amp;COUNTIF(C$9:C8783,C8783))</f>
        <v/>
      </c>
    </row>
    <row r="8784" spans="2:2" x14ac:dyDescent="0.25">
      <c r="B8784" t="str">
        <f>IF(C8784="","",C8784&amp;COUNTIF(C$9:C8784,C8784))</f>
        <v/>
      </c>
    </row>
    <row r="8785" spans="2:2" x14ac:dyDescent="0.25">
      <c r="B8785" t="str">
        <f>IF(C8785="","",C8785&amp;COUNTIF(C$9:C8785,C8785))</f>
        <v/>
      </c>
    </row>
    <row r="8786" spans="2:2" x14ac:dyDescent="0.25">
      <c r="B8786" t="str">
        <f>IF(C8786="","",C8786&amp;COUNTIF(C$9:C8786,C8786))</f>
        <v/>
      </c>
    </row>
    <row r="8787" spans="2:2" x14ac:dyDescent="0.25">
      <c r="B8787" t="str">
        <f>IF(C8787="","",C8787&amp;COUNTIF(C$9:C8787,C8787))</f>
        <v/>
      </c>
    </row>
    <row r="8788" spans="2:2" x14ac:dyDescent="0.25">
      <c r="B8788" t="str">
        <f>IF(C8788="","",C8788&amp;COUNTIF(C$9:C8788,C8788))</f>
        <v/>
      </c>
    </row>
    <row r="8789" spans="2:2" x14ac:dyDescent="0.25">
      <c r="B8789" t="str">
        <f>IF(C8789="","",C8789&amp;COUNTIF(C$9:C8789,C8789))</f>
        <v/>
      </c>
    </row>
    <row r="8790" spans="2:2" x14ac:dyDescent="0.25">
      <c r="B8790" t="str">
        <f>IF(C8790="","",C8790&amp;COUNTIF(C$9:C8790,C8790))</f>
        <v/>
      </c>
    </row>
    <row r="8791" spans="2:2" x14ac:dyDescent="0.25">
      <c r="B8791" t="str">
        <f>IF(C8791="","",C8791&amp;COUNTIF(C$9:C8791,C8791))</f>
        <v/>
      </c>
    </row>
    <row r="8792" spans="2:2" x14ac:dyDescent="0.25">
      <c r="B8792" t="str">
        <f>IF(C8792="","",C8792&amp;COUNTIF(C$9:C8792,C8792))</f>
        <v/>
      </c>
    </row>
    <row r="8793" spans="2:2" x14ac:dyDescent="0.25">
      <c r="B8793" t="str">
        <f>IF(C8793="","",C8793&amp;COUNTIF(C$9:C8793,C8793))</f>
        <v/>
      </c>
    </row>
    <row r="8794" spans="2:2" x14ac:dyDescent="0.25">
      <c r="B8794" t="str">
        <f>IF(C8794="","",C8794&amp;COUNTIF(C$9:C8794,C8794))</f>
        <v/>
      </c>
    </row>
    <row r="8795" spans="2:2" x14ac:dyDescent="0.25">
      <c r="B8795" t="str">
        <f>IF(C8795="","",C8795&amp;COUNTIF(C$9:C8795,C8795))</f>
        <v/>
      </c>
    </row>
    <row r="8796" spans="2:2" x14ac:dyDescent="0.25">
      <c r="B8796" t="str">
        <f>IF(C8796="","",C8796&amp;COUNTIF(C$9:C8796,C8796))</f>
        <v/>
      </c>
    </row>
    <row r="8797" spans="2:2" x14ac:dyDescent="0.25">
      <c r="B8797" t="str">
        <f>IF(C8797="","",C8797&amp;COUNTIF(C$9:C8797,C8797))</f>
        <v/>
      </c>
    </row>
    <row r="8798" spans="2:2" x14ac:dyDescent="0.25">
      <c r="B8798" t="str">
        <f>IF(C8798="","",C8798&amp;COUNTIF(C$9:C8798,C8798))</f>
        <v/>
      </c>
    </row>
    <row r="8799" spans="2:2" x14ac:dyDescent="0.25">
      <c r="B8799" t="str">
        <f>IF(C8799="","",C8799&amp;COUNTIF(C$9:C8799,C8799))</f>
        <v/>
      </c>
    </row>
    <row r="8800" spans="2:2" x14ac:dyDescent="0.25">
      <c r="B8800" t="str">
        <f>IF(C8800="","",C8800&amp;COUNTIF(C$9:C8800,C8800))</f>
        <v/>
      </c>
    </row>
    <row r="8801" spans="2:2" x14ac:dyDescent="0.25">
      <c r="B8801" t="str">
        <f>IF(C8801="","",C8801&amp;COUNTIF(C$9:C8801,C8801))</f>
        <v/>
      </c>
    </row>
    <row r="8802" spans="2:2" x14ac:dyDescent="0.25">
      <c r="B8802" t="str">
        <f>IF(C8802="","",C8802&amp;COUNTIF(C$9:C8802,C8802))</f>
        <v/>
      </c>
    </row>
    <row r="8803" spans="2:2" x14ac:dyDescent="0.25">
      <c r="B8803" t="str">
        <f>IF(C8803="","",C8803&amp;COUNTIF(C$9:C8803,C8803))</f>
        <v/>
      </c>
    </row>
    <row r="8804" spans="2:2" x14ac:dyDescent="0.25">
      <c r="B8804" t="str">
        <f>IF(C8804="","",C8804&amp;COUNTIF(C$9:C8804,C8804))</f>
        <v/>
      </c>
    </row>
    <row r="8805" spans="2:2" x14ac:dyDescent="0.25">
      <c r="B8805" t="str">
        <f>IF(C8805="","",C8805&amp;COUNTIF(C$9:C8805,C8805))</f>
        <v/>
      </c>
    </row>
    <row r="8806" spans="2:2" x14ac:dyDescent="0.25">
      <c r="B8806" t="str">
        <f>IF(C8806="","",C8806&amp;COUNTIF(C$9:C8806,C8806))</f>
        <v/>
      </c>
    </row>
    <row r="8807" spans="2:2" x14ac:dyDescent="0.25">
      <c r="B8807" t="str">
        <f>IF(C8807="","",C8807&amp;COUNTIF(C$9:C8807,C8807))</f>
        <v/>
      </c>
    </row>
    <row r="8808" spans="2:2" x14ac:dyDescent="0.25">
      <c r="B8808" t="str">
        <f>IF(C8808="","",C8808&amp;COUNTIF(C$9:C8808,C8808))</f>
        <v/>
      </c>
    </row>
    <row r="8809" spans="2:2" x14ac:dyDescent="0.25">
      <c r="B8809" t="str">
        <f>IF(C8809="","",C8809&amp;COUNTIF(C$9:C8809,C8809))</f>
        <v/>
      </c>
    </row>
    <row r="8810" spans="2:2" x14ac:dyDescent="0.25">
      <c r="B8810" t="str">
        <f>IF(C8810="","",C8810&amp;COUNTIF(C$9:C8810,C8810))</f>
        <v/>
      </c>
    </row>
    <row r="8811" spans="2:2" x14ac:dyDescent="0.25">
      <c r="B8811" t="str">
        <f>IF(C8811="","",C8811&amp;COUNTIF(C$9:C8811,C8811))</f>
        <v/>
      </c>
    </row>
    <row r="8812" spans="2:2" x14ac:dyDescent="0.25">
      <c r="B8812" t="str">
        <f>IF(C8812="","",C8812&amp;COUNTIF(C$9:C8812,C8812))</f>
        <v/>
      </c>
    </row>
    <row r="8813" spans="2:2" x14ac:dyDescent="0.25">
      <c r="B8813" t="str">
        <f>IF(C8813="","",C8813&amp;COUNTIF(C$9:C8813,C8813))</f>
        <v/>
      </c>
    </row>
    <row r="8814" spans="2:2" x14ac:dyDescent="0.25">
      <c r="B8814" t="str">
        <f>IF(C8814="","",C8814&amp;COUNTIF(C$9:C8814,C8814))</f>
        <v/>
      </c>
    </row>
    <row r="8815" spans="2:2" x14ac:dyDescent="0.25">
      <c r="B8815" t="str">
        <f>IF(C8815="","",C8815&amp;COUNTIF(C$9:C8815,C8815))</f>
        <v/>
      </c>
    </row>
    <row r="8816" spans="2:2" x14ac:dyDescent="0.25">
      <c r="B8816" t="str">
        <f>IF(C8816="","",C8816&amp;COUNTIF(C$9:C8816,C8816))</f>
        <v/>
      </c>
    </row>
    <row r="8817" spans="2:2" x14ac:dyDescent="0.25">
      <c r="B8817" t="str">
        <f>IF(C8817="","",C8817&amp;COUNTIF(C$9:C8817,C8817))</f>
        <v/>
      </c>
    </row>
    <row r="8818" spans="2:2" x14ac:dyDescent="0.25">
      <c r="B8818" t="str">
        <f>IF(C8818="","",C8818&amp;COUNTIF(C$9:C8818,C8818))</f>
        <v/>
      </c>
    </row>
    <row r="8819" spans="2:2" x14ac:dyDescent="0.25">
      <c r="B8819" t="str">
        <f>IF(C8819="","",C8819&amp;COUNTIF(C$9:C8819,C8819))</f>
        <v/>
      </c>
    </row>
    <row r="8820" spans="2:2" x14ac:dyDescent="0.25">
      <c r="B8820" t="str">
        <f>IF(C8820="","",C8820&amp;COUNTIF(C$9:C8820,C8820))</f>
        <v/>
      </c>
    </row>
    <row r="8821" spans="2:2" x14ac:dyDescent="0.25">
      <c r="B8821" t="str">
        <f>IF(C8821="","",C8821&amp;COUNTIF(C$9:C8821,C8821))</f>
        <v/>
      </c>
    </row>
    <row r="8822" spans="2:2" x14ac:dyDescent="0.25">
      <c r="B8822" t="str">
        <f>IF(C8822="","",C8822&amp;COUNTIF(C$9:C8822,C8822))</f>
        <v/>
      </c>
    </row>
    <row r="8823" spans="2:2" x14ac:dyDescent="0.25">
      <c r="B8823" t="str">
        <f>IF(C8823="","",C8823&amp;COUNTIF(C$9:C8823,C8823))</f>
        <v/>
      </c>
    </row>
    <row r="8824" spans="2:2" x14ac:dyDescent="0.25">
      <c r="B8824" t="str">
        <f>IF(C8824="","",C8824&amp;COUNTIF(C$9:C8824,C8824))</f>
        <v/>
      </c>
    </row>
    <row r="8825" spans="2:2" x14ac:dyDescent="0.25">
      <c r="B8825" t="str">
        <f>IF(C8825="","",C8825&amp;COUNTIF(C$9:C8825,C8825))</f>
        <v/>
      </c>
    </row>
    <row r="8826" spans="2:2" x14ac:dyDescent="0.25">
      <c r="B8826" t="str">
        <f>IF(C8826="","",C8826&amp;COUNTIF(C$9:C8826,C8826))</f>
        <v/>
      </c>
    </row>
    <row r="8827" spans="2:2" x14ac:dyDescent="0.25">
      <c r="B8827" t="str">
        <f>IF(C8827="","",C8827&amp;COUNTIF(C$9:C8827,C8827))</f>
        <v/>
      </c>
    </row>
    <row r="8828" spans="2:2" x14ac:dyDescent="0.25">
      <c r="B8828" t="str">
        <f>IF(C8828="","",C8828&amp;COUNTIF(C$9:C8828,C8828))</f>
        <v/>
      </c>
    </row>
    <row r="8829" spans="2:2" x14ac:dyDescent="0.25">
      <c r="B8829" t="str">
        <f>IF(C8829="","",C8829&amp;COUNTIF(C$9:C8829,C8829))</f>
        <v/>
      </c>
    </row>
    <row r="8830" spans="2:2" x14ac:dyDescent="0.25">
      <c r="B8830" t="str">
        <f>IF(C8830="","",C8830&amp;COUNTIF(C$9:C8830,C8830))</f>
        <v/>
      </c>
    </row>
    <row r="8831" spans="2:2" x14ac:dyDescent="0.25">
      <c r="B8831" t="str">
        <f>IF(C8831="","",C8831&amp;COUNTIF(C$9:C8831,C8831))</f>
        <v/>
      </c>
    </row>
    <row r="8832" spans="2:2" x14ac:dyDescent="0.25">
      <c r="B8832" t="str">
        <f>IF(C8832="","",C8832&amp;COUNTIF(C$9:C8832,C8832))</f>
        <v/>
      </c>
    </row>
    <row r="8833" spans="2:2" x14ac:dyDescent="0.25">
      <c r="B8833" t="str">
        <f>IF(C8833="","",C8833&amp;COUNTIF(C$9:C8833,C8833))</f>
        <v/>
      </c>
    </row>
    <row r="8834" spans="2:2" x14ac:dyDescent="0.25">
      <c r="B8834" t="str">
        <f>IF(C8834="","",C8834&amp;COUNTIF(C$9:C8834,C8834))</f>
        <v/>
      </c>
    </row>
    <row r="8835" spans="2:2" x14ac:dyDescent="0.25">
      <c r="B8835" t="str">
        <f>IF(C8835="","",C8835&amp;COUNTIF(C$9:C8835,C8835))</f>
        <v/>
      </c>
    </row>
    <row r="8836" spans="2:2" x14ac:dyDescent="0.25">
      <c r="B8836" t="str">
        <f>IF(C8836="","",C8836&amp;COUNTIF(C$9:C8836,C8836))</f>
        <v/>
      </c>
    </row>
    <row r="8837" spans="2:2" x14ac:dyDescent="0.25">
      <c r="B8837" t="str">
        <f>IF(C8837="","",C8837&amp;COUNTIF(C$9:C8837,C8837))</f>
        <v/>
      </c>
    </row>
    <row r="8838" spans="2:2" x14ac:dyDescent="0.25">
      <c r="B8838" t="str">
        <f>IF(C8838="","",C8838&amp;COUNTIF(C$9:C8838,C8838))</f>
        <v/>
      </c>
    </row>
    <row r="8839" spans="2:2" x14ac:dyDescent="0.25">
      <c r="B8839" t="str">
        <f>IF(C8839="","",C8839&amp;COUNTIF(C$9:C8839,C8839))</f>
        <v/>
      </c>
    </row>
    <row r="8840" spans="2:2" x14ac:dyDescent="0.25">
      <c r="B8840" t="str">
        <f>IF(C8840="","",C8840&amp;COUNTIF(C$9:C8840,C8840))</f>
        <v/>
      </c>
    </row>
    <row r="8841" spans="2:2" x14ac:dyDescent="0.25">
      <c r="B8841" t="str">
        <f>IF(C8841="","",C8841&amp;COUNTIF(C$9:C8841,C8841))</f>
        <v/>
      </c>
    </row>
    <row r="8842" spans="2:2" x14ac:dyDescent="0.25">
      <c r="B8842" t="str">
        <f>IF(C8842="","",C8842&amp;COUNTIF(C$9:C8842,C8842))</f>
        <v/>
      </c>
    </row>
    <row r="8843" spans="2:2" x14ac:dyDescent="0.25">
      <c r="B8843" t="str">
        <f>IF(C8843="","",C8843&amp;COUNTIF(C$9:C8843,C8843))</f>
        <v/>
      </c>
    </row>
    <row r="8844" spans="2:2" x14ac:dyDescent="0.25">
      <c r="B8844" t="str">
        <f>IF(C8844="","",C8844&amp;COUNTIF(C$9:C8844,C8844))</f>
        <v/>
      </c>
    </row>
    <row r="8845" spans="2:2" x14ac:dyDescent="0.25">
      <c r="B8845" t="str">
        <f>IF(C8845="","",C8845&amp;COUNTIF(C$9:C8845,C8845))</f>
        <v/>
      </c>
    </row>
    <row r="8846" spans="2:2" x14ac:dyDescent="0.25">
      <c r="B8846" t="str">
        <f>IF(C8846="","",C8846&amp;COUNTIF(C$9:C8846,C8846))</f>
        <v/>
      </c>
    </row>
    <row r="8847" spans="2:2" x14ac:dyDescent="0.25">
      <c r="B8847" t="str">
        <f>IF(C8847="","",C8847&amp;COUNTIF(C$9:C8847,C8847))</f>
        <v/>
      </c>
    </row>
    <row r="8848" spans="2:2" x14ac:dyDescent="0.25">
      <c r="B8848" t="str">
        <f>IF(C8848="","",C8848&amp;COUNTIF(C$9:C8848,C8848))</f>
        <v/>
      </c>
    </row>
    <row r="8849" spans="2:2" x14ac:dyDescent="0.25">
      <c r="B8849" t="str">
        <f>IF(C8849="","",C8849&amp;COUNTIF(C$9:C8849,C8849))</f>
        <v/>
      </c>
    </row>
    <row r="8850" spans="2:2" x14ac:dyDescent="0.25">
      <c r="B8850" t="str">
        <f>IF(C8850="","",C8850&amp;COUNTIF(C$9:C8850,C8850))</f>
        <v/>
      </c>
    </row>
    <row r="8851" spans="2:2" x14ac:dyDescent="0.25">
      <c r="B8851" t="str">
        <f>IF(C8851="","",C8851&amp;COUNTIF(C$9:C8851,C8851))</f>
        <v/>
      </c>
    </row>
    <row r="8852" spans="2:2" x14ac:dyDescent="0.25">
      <c r="B8852" t="str">
        <f>IF(C8852="","",C8852&amp;COUNTIF(C$9:C8852,C8852))</f>
        <v/>
      </c>
    </row>
    <row r="8853" spans="2:2" x14ac:dyDescent="0.25">
      <c r="B8853" t="str">
        <f>IF(C8853="","",C8853&amp;COUNTIF(C$9:C8853,C8853))</f>
        <v/>
      </c>
    </row>
    <row r="8854" spans="2:2" x14ac:dyDescent="0.25">
      <c r="B8854" t="str">
        <f>IF(C8854="","",C8854&amp;COUNTIF(C$9:C8854,C8854))</f>
        <v/>
      </c>
    </row>
    <row r="8855" spans="2:2" x14ac:dyDescent="0.25">
      <c r="B8855" t="str">
        <f>IF(C8855="","",C8855&amp;COUNTIF(C$9:C8855,C8855))</f>
        <v/>
      </c>
    </row>
    <row r="8856" spans="2:2" x14ac:dyDescent="0.25">
      <c r="B8856" t="str">
        <f>IF(C8856="","",C8856&amp;COUNTIF(C$9:C8856,C8856))</f>
        <v/>
      </c>
    </row>
    <row r="8857" spans="2:2" x14ac:dyDescent="0.25">
      <c r="B8857" t="str">
        <f>IF(C8857="","",C8857&amp;COUNTIF(C$9:C8857,C8857))</f>
        <v/>
      </c>
    </row>
    <row r="8858" spans="2:2" x14ac:dyDescent="0.25">
      <c r="B8858" t="str">
        <f>IF(C8858="","",C8858&amp;COUNTIF(C$9:C8858,C8858))</f>
        <v/>
      </c>
    </row>
    <row r="8859" spans="2:2" x14ac:dyDescent="0.25">
      <c r="B8859" t="str">
        <f>IF(C8859="","",C8859&amp;COUNTIF(C$9:C8859,C8859))</f>
        <v/>
      </c>
    </row>
    <row r="8860" spans="2:2" x14ac:dyDescent="0.25">
      <c r="B8860" t="str">
        <f>IF(C8860="","",C8860&amp;COUNTIF(C$9:C8860,C8860))</f>
        <v/>
      </c>
    </row>
    <row r="8861" spans="2:2" x14ac:dyDescent="0.25">
      <c r="B8861" t="str">
        <f>IF(C8861="","",C8861&amp;COUNTIF(C$9:C8861,C8861))</f>
        <v/>
      </c>
    </row>
    <row r="8862" spans="2:2" x14ac:dyDescent="0.25">
      <c r="B8862" t="str">
        <f>IF(C8862="","",C8862&amp;COUNTIF(C$9:C8862,C8862))</f>
        <v/>
      </c>
    </row>
    <row r="8863" spans="2:2" x14ac:dyDescent="0.25">
      <c r="B8863" t="str">
        <f>IF(C8863="","",C8863&amp;COUNTIF(C$9:C8863,C8863))</f>
        <v/>
      </c>
    </row>
    <row r="8864" spans="2:2" x14ac:dyDescent="0.25">
      <c r="B8864" t="str">
        <f>IF(C8864="","",C8864&amp;COUNTIF(C$9:C8864,C8864))</f>
        <v/>
      </c>
    </row>
    <row r="8865" spans="2:2" x14ac:dyDescent="0.25">
      <c r="B8865" t="str">
        <f>IF(C8865="","",C8865&amp;COUNTIF(C$9:C8865,C8865))</f>
        <v/>
      </c>
    </row>
    <row r="8866" spans="2:2" x14ac:dyDescent="0.25">
      <c r="B8866" t="str">
        <f>IF(C8866="","",C8866&amp;COUNTIF(C$9:C8866,C8866))</f>
        <v/>
      </c>
    </row>
    <row r="8867" spans="2:2" x14ac:dyDescent="0.25">
      <c r="B8867" t="str">
        <f>IF(C8867="","",C8867&amp;COUNTIF(C$9:C8867,C8867))</f>
        <v/>
      </c>
    </row>
    <row r="8868" spans="2:2" x14ac:dyDescent="0.25">
      <c r="B8868" t="str">
        <f>IF(C8868="","",C8868&amp;COUNTIF(C$9:C8868,C8868))</f>
        <v/>
      </c>
    </row>
    <row r="8869" spans="2:2" x14ac:dyDescent="0.25">
      <c r="B8869" t="str">
        <f>IF(C8869="","",C8869&amp;COUNTIF(C$9:C8869,C8869))</f>
        <v/>
      </c>
    </row>
    <row r="8870" spans="2:2" x14ac:dyDescent="0.25">
      <c r="B8870" t="str">
        <f>IF(C8870="","",C8870&amp;COUNTIF(C$9:C8870,C8870))</f>
        <v/>
      </c>
    </row>
    <row r="8871" spans="2:2" x14ac:dyDescent="0.25">
      <c r="B8871" t="str">
        <f>IF(C8871="","",C8871&amp;COUNTIF(C$9:C8871,C8871))</f>
        <v/>
      </c>
    </row>
    <row r="8872" spans="2:2" x14ac:dyDescent="0.25">
      <c r="B8872" t="str">
        <f>IF(C8872="","",C8872&amp;COUNTIF(C$9:C8872,C8872))</f>
        <v/>
      </c>
    </row>
    <row r="8873" spans="2:2" x14ac:dyDescent="0.25">
      <c r="B8873" t="str">
        <f>IF(C8873="","",C8873&amp;COUNTIF(C$9:C8873,C8873))</f>
        <v/>
      </c>
    </row>
    <row r="8874" spans="2:2" x14ac:dyDescent="0.25">
      <c r="B8874" t="str">
        <f>IF(C8874="","",C8874&amp;COUNTIF(C$9:C8874,C8874))</f>
        <v/>
      </c>
    </row>
    <row r="8875" spans="2:2" x14ac:dyDescent="0.25">
      <c r="B8875" t="str">
        <f>IF(C8875="","",C8875&amp;COUNTIF(C$9:C8875,C8875))</f>
        <v/>
      </c>
    </row>
    <row r="8876" spans="2:2" x14ac:dyDescent="0.25">
      <c r="B8876" t="str">
        <f>IF(C8876="","",C8876&amp;COUNTIF(C$9:C8876,C8876))</f>
        <v/>
      </c>
    </row>
    <row r="8877" spans="2:2" x14ac:dyDescent="0.25">
      <c r="B8877" t="str">
        <f>IF(C8877="","",C8877&amp;COUNTIF(C$9:C8877,C8877))</f>
        <v/>
      </c>
    </row>
    <row r="8878" spans="2:2" x14ac:dyDescent="0.25">
      <c r="B8878" t="str">
        <f>IF(C8878="","",C8878&amp;COUNTIF(C$9:C8878,C8878))</f>
        <v/>
      </c>
    </row>
    <row r="8879" spans="2:2" x14ac:dyDescent="0.25">
      <c r="B8879" t="str">
        <f>IF(C8879="","",C8879&amp;COUNTIF(C$9:C8879,C8879))</f>
        <v/>
      </c>
    </row>
    <row r="8880" spans="2:2" x14ac:dyDescent="0.25">
      <c r="B8880" t="str">
        <f>IF(C8880="","",C8880&amp;COUNTIF(C$9:C8880,C8880))</f>
        <v/>
      </c>
    </row>
    <row r="8881" spans="2:2" x14ac:dyDescent="0.25">
      <c r="B8881" t="str">
        <f>IF(C8881="","",C8881&amp;COUNTIF(C$9:C8881,C8881))</f>
        <v/>
      </c>
    </row>
    <row r="8882" spans="2:2" x14ac:dyDescent="0.25">
      <c r="B8882" t="str">
        <f>IF(C8882="","",C8882&amp;COUNTIF(C$9:C8882,C8882))</f>
        <v/>
      </c>
    </row>
    <row r="8883" spans="2:2" x14ac:dyDescent="0.25">
      <c r="B8883" t="str">
        <f>IF(C8883="","",C8883&amp;COUNTIF(C$9:C8883,C8883))</f>
        <v/>
      </c>
    </row>
    <row r="8884" spans="2:2" x14ac:dyDescent="0.25">
      <c r="B8884" t="str">
        <f>IF(C8884="","",C8884&amp;COUNTIF(C$9:C8884,C8884))</f>
        <v/>
      </c>
    </row>
    <row r="8885" spans="2:2" x14ac:dyDescent="0.25">
      <c r="B8885" t="str">
        <f>IF(C8885="","",C8885&amp;COUNTIF(C$9:C8885,C8885))</f>
        <v/>
      </c>
    </row>
    <row r="8886" spans="2:2" x14ac:dyDescent="0.25">
      <c r="B8886" t="str">
        <f>IF(C8886="","",C8886&amp;COUNTIF(C$9:C8886,C8886))</f>
        <v/>
      </c>
    </row>
    <row r="8887" spans="2:2" x14ac:dyDescent="0.25">
      <c r="B8887" t="str">
        <f>IF(C8887="","",C8887&amp;COUNTIF(C$9:C8887,C8887))</f>
        <v/>
      </c>
    </row>
    <row r="8888" spans="2:2" x14ac:dyDescent="0.25">
      <c r="B8888" t="str">
        <f>IF(C8888="","",C8888&amp;COUNTIF(C$9:C8888,C8888))</f>
        <v/>
      </c>
    </row>
    <row r="8889" spans="2:2" x14ac:dyDescent="0.25">
      <c r="B8889" t="str">
        <f>IF(C8889="","",C8889&amp;COUNTIF(C$9:C8889,C8889))</f>
        <v/>
      </c>
    </row>
    <row r="8890" spans="2:2" x14ac:dyDescent="0.25">
      <c r="B8890" t="str">
        <f>IF(C8890="","",C8890&amp;COUNTIF(C$9:C8890,C8890))</f>
        <v/>
      </c>
    </row>
    <row r="8891" spans="2:2" x14ac:dyDescent="0.25">
      <c r="B8891" t="str">
        <f>IF(C8891="","",C8891&amp;COUNTIF(C$9:C8891,C8891))</f>
        <v/>
      </c>
    </row>
    <row r="8892" spans="2:2" x14ac:dyDescent="0.25">
      <c r="B8892" t="str">
        <f>IF(C8892="","",C8892&amp;COUNTIF(C$9:C8892,C8892))</f>
        <v/>
      </c>
    </row>
    <row r="8893" spans="2:2" x14ac:dyDescent="0.25">
      <c r="B8893" t="str">
        <f>IF(C8893="","",C8893&amp;COUNTIF(C$9:C8893,C8893))</f>
        <v/>
      </c>
    </row>
    <row r="8894" spans="2:2" x14ac:dyDescent="0.25">
      <c r="B8894" t="str">
        <f>IF(C8894="","",C8894&amp;COUNTIF(C$9:C8894,C8894))</f>
        <v/>
      </c>
    </row>
    <row r="8895" spans="2:2" x14ac:dyDescent="0.25">
      <c r="B8895" t="str">
        <f>IF(C8895="","",C8895&amp;COUNTIF(C$9:C8895,C8895))</f>
        <v/>
      </c>
    </row>
    <row r="8896" spans="2:2" x14ac:dyDescent="0.25">
      <c r="B8896" t="str">
        <f>IF(C8896="","",C8896&amp;COUNTIF(C$9:C8896,C8896))</f>
        <v/>
      </c>
    </row>
    <row r="8897" spans="2:2" x14ac:dyDescent="0.25">
      <c r="B8897" t="str">
        <f>IF(C8897="","",C8897&amp;COUNTIF(C$9:C8897,C8897))</f>
        <v/>
      </c>
    </row>
    <row r="8898" spans="2:2" x14ac:dyDescent="0.25">
      <c r="B8898" t="str">
        <f>IF(C8898="","",C8898&amp;COUNTIF(C$9:C8898,C8898))</f>
        <v/>
      </c>
    </row>
    <row r="8899" spans="2:2" x14ac:dyDescent="0.25">
      <c r="B8899" t="str">
        <f>IF(C8899="","",C8899&amp;COUNTIF(C$9:C8899,C8899))</f>
        <v/>
      </c>
    </row>
    <row r="8900" spans="2:2" x14ac:dyDescent="0.25">
      <c r="B8900" t="str">
        <f>IF(C8900="","",C8900&amp;COUNTIF(C$9:C8900,C8900))</f>
        <v/>
      </c>
    </row>
    <row r="8901" spans="2:2" x14ac:dyDescent="0.25">
      <c r="B8901" t="str">
        <f>IF(C8901="","",C8901&amp;COUNTIF(C$9:C8901,C8901))</f>
        <v/>
      </c>
    </row>
    <row r="8902" spans="2:2" x14ac:dyDescent="0.25">
      <c r="B8902" t="str">
        <f>IF(C8902="","",C8902&amp;COUNTIF(C$9:C8902,C8902))</f>
        <v/>
      </c>
    </row>
    <row r="8903" spans="2:2" x14ac:dyDescent="0.25">
      <c r="B8903" t="str">
        <f>IF(C8903="","",C8903&amp;COUNTIF(C$9:C8903,C8903))</f>
        <v/>
      </c>
    </row>
    <row r="8904" spans="2:2" x14ac:dyDescent="0.25">
      <c r="B8904" t="str">
        <f>IF(C8904="","",C8904&amp;COUNTIF(C$9:C8904,C8904))</f>
        <v/>
      </c>
    </row>
    <row r="8905" spans="2:2" x14ac:dyDescent="0.25">
      <c r="B8905" t="str">
        <f>IF(C8905="","",C8905&amp;COUNTIF(C$9:C8905,C8905))</f>
        <v/>
      </c>
    </row>
    <row r="8906" spans="2:2" x14ac:dyDescent="0.25">
      <c r="B8906" t="str">
        <f>IF(C8906="","",C8906&amp;COUNTIF(C$9:C8906,C8906))</f>
        <v/>
      </c>
    </row>
    <row r="8907" spans="2:2" x14ac:dyDescent="0.25">
      <c r="B8907" t="str">
        <f>IF(C8907="","",C8907&amp;COUNTIF(C$9:C8907,C8907))</f>
        <v/>
      </c>
    </row>
    <row r="8908" spans="2:2" x14ac:dyDescent="0.25">
      <c r="B8908" t="str">
        <f>IF(C8908="","",C8908&amp;COUNTIF(C$9:C8908,C8908))</f>
        <v/>
      </c>
    </row>
    <row r="8909" spans="2:2" x14ac:dyDescent="0.25">
      <c r="B8909" t="str">
        <f>IF(C8909="","",C8909&amp;COUNTIF(C$9:C8909,C8909))</f>
        <v/>
      </c>
    </row>
    <row r="8910" spans="2:2" x14ac:dyDescent="0.25">
      <c r="B8910" t="str">
        <f>IF(C8910="","",C8910&amp;COUNTIF(C$9:C8910,C8910))</f>
        <v/>
      </c>
    </row>
    <row r="8911" spans="2:2" x14ac:dyDescent="0.25">
      <c r="B8911" t="str">
        <f>IF(C8911="","",C8911&amp;COUNTIF(C$9:C8911,C8911))</f>
        <v/>
      </c>
    </row>
    <row r="8912" spans="2:2" x14ac:dyDescent="0.25">
      <c r="B8912" t="str">
        <f>IF(C8912="","",C8912&amp;COUNTIF(C$9:C8912,C8912))</f>
        <v/>
      </c>
    </row>
    <row r="8913" spans="2:2" x14ac:dyDescent="0.25">
      <c r="B8913" t="str">
        <f>IF(C8913="","",C8913&amp;COUNTIF(C$9:C8913,C8913))</f>
        <v/>
      </c>
    </row>
    <row r="8914" spans="2:2" x14ac:dyDescent="0.25">
      <c r="B8914" t="str">
        <f>IF(C8914="","",C8914&amp;COUNTIF(C$9:C8914,C8914))</f>
        <v/>
      </c>
    </row>
    <row r="8915" spans="2:2" x14ac:dyDescent="0.25">
      <c r="B8915" t="str">
        <f>IF(C8915="","",C8915&amp;COUNTIF(C$9:C8915,C8915))</f>
        <v/>
      </c>
    </row>
    <row r="8916" spans="2:2" x14ac:dyDescent="0.25">
      <c r="B8916" t="str">
        <f>IF(C8916="","",C8916&amp;COUNTIF(C$9:C8916,C8916))</f>
        <v/>
      </c>
    </row>
    <row r="8917" spans="2:2" x14ac:dyDescent="0.25">
      <c r="B8917" t="str">
        <f>IF(C8917="","",C8917&amp;COUNTIF(C$9:C8917,C8917))</f>
        <v/>
      </c>
    </row>
    <row r="8918" spans="2:2" x14ac:dyDescent="0.25">
      <c r="B8918" t="str">
        <f>IF(C8918="","",C8918&amp;COUNTIF(C$9:C8918,C8918))</f>
        <v/>
      </c>
    </row>
    <row r="8919" spans="2:2" x14ac:dyDescent="0.25">
      <c r="B8919" t="str">
        <f>IF(C8919="","",C8919&amp;COUNTIF(C$9:C8919,C8919))</f>
        <v/>
      </c>
    </row>
    <row r="8920" spans="2:2" x14ac:dyDescent="0.25">
      <c r="B8920" t="str">
        <f>IF(C8920="","",C8920&amp;COUNTIF(C$9:C8920,C8920))</f>
        <v/>
      </c>
    </row>
    <row r="8921" spans="2:2" x14ac:dyDescent="0.25">
      <c r="B8921" t="str">
        <f>IF(C8921="","",C8921&amp;COUNTIF(C$9:C8921,C8921))</f>
        <v/>
      </c>
    </row>
    <row r="8922" spans="2:2" x14ac:dyDescent="0.25">
      <c r="B8922" t="str">
        <f>IF(C8922="","",C8922&amp;COUNTIF(C$9:C8922,C8922))</f>
        <v/>
      </c>
    </row>
    <row r="8923" spans="2:2" x14ac:dyDescent="0.25">
      <c r="B8923" t="str">
        <f>IF(C8923="","",C8923&amp;COUNTIF(C$9:C8923,C8923))</f>
        <v/>
      </c>
    </row>
    <row r="8924" spans="2:2" x14ac:dyDescent="0.25">
      <c r="B8924" t="str">
        <f>IF(C8924="","",C8924&amp;COUNTIF(C$9:C8924,C8924))</f>
        <v/>
      </c>
    </row>
    <row r="8925" spans="2:2" x14ac:dyDescent="0.25">
      <c r="B8925" t="str">
        <f>IF(C8925="","",C8925&amp;COUNTIF(C$9:C8925,C8925))</f>
        <v/>
      </c>
    </row>
    <row r="8926" spans="2:2" x14ac:dyDescent="0.25">
      <c r="B8926" t="str">
        <f>IF(C8926="","",C8926&amp;COUNTIF(C$9:C8926,C8926))</f>
        <v/>
      </c>
    </row>
    <row r="8927" spans="2:2" x14ac:dyDescent="0.25">
      <c r="B8927" t="str">
        <f>IF(C8927="","",C8927&amp;COUNTIF(C$9:C8927,C8927))</f>
        <v/>
      </c>
    </row>
    <row r="8928" spans="2:2" x14ac:dyDescent="0.25">
      <c r="B8928" t="str">
        <f>IF(C8928="","",C8928&amp;COUNTIF(C$9:C8928,C8928))</f>
        <v/>
      </c>
    </row>
    <row r="8929" spans="2:2" x14ac:dyDescent="0.25">
      <c r="B8929" t="str">
        <f>IF(C8929="","",C8929&amp;COUNTIF(C$9:C8929,C8929))</f>
        <v/>
      </c>
    </row>
    <row r="8930" spans="2:2" x14ac:dyDescent="0.25">
      <c r="B8930" t="str">
        <f>IF(C8930="","",C8930&amp;COUNTIF(C$9:C8930,C8930))</f>
        <v/>
      </c>
    </row>
    <row r="8931" spans="2:2" x14ac:dyDescent="0.25">
      <c r="B8931" t="str">
        <f>IF(C8931="","",C8931&amp;COUNTIF(C$9:C8931,C8931))</f>
        <v/>
      </c>
    </row>
    <row r="8932" spans="2:2" x14ac:dyDescent="0.25">
      <c r="B8932" t="str">
        <f>IF(C8932="","",C8932&amp;COUNTIF(C$9:C8932,C8932))</f>
        <v/>
      </c>
    </row>
    <row r="8933" spans="2:2" x14ac:dyDescent="0.25">
      <c r="B8933" t="str">
        <f>IF(C8933="","",C8933&amp;COUNTIF(C$9:C8933,C8933))</f>
        <v/>
      </c>
    </row>
    <row r="8934" spans="2:2" x14ac:dyDescent="0.25">
      <c r="B8934" t="str">
        <f>IF(C8934="","",C8934&amp;COUNTIF(C$9:C8934,C8934))</f>
        <v/>
      </c>
    </row>
    <row r="8935" spans="2:2" x14ac:dyDescent="0.25">
      <c r="B8935" t="str">
        <f>IF(C8935="","",C8935&amp;COUNTIF(C$9:C8935,C8935))</f>
        <v/>
      </c>
    </row>
    <row r="8936" spans="2:2" x14ac:dyDescent="0.25">
      <c r="B8936" t="str">
        <f>IF(C8936="","",C8936&amp;COUNTIF(C$9:C8936,C8936))</f>
        <v/>
      </c>
    </row>
    <row r="8937" spans="2:2" x14ac:dyDescent="0.25">
      <c r="B8937" t="str">
        <f>IF(C8937="","",C8937&amp;COUNTIF(C$9:C8937,C8937))</f>
        <v/>
      </c>
    </row>
    <row r="8938" spans="2:2" x14ac:dyDescent="0.25">
      <c r="B8938" t="str">
        <f>IF(C8938="","",C8938&amp;COUNTIF(C$9:C8938,C8938))</f>
        <v/>
      </c>
    </row>
    <row r="8939" spans="2:2" x14ac:dyDescent="0.25">
      <c r="B8939" t="str">
        <f>IF(C8939="","",C8939&amp;COUNTIF(C$9:C8939,C8939))</f>
        <v/>
      </c>
    </row>
    <row r="8940" spans="2:2" x14ac:dyDescent="0.25">
      <c r="B8940" t="str">
        <f>IF(C8940="","",C8940&amp;COUNTIF(C$9:C8940,C8940))</f>
        <v/>
      </c>
    </row>
    <row r="8941" spans="2:2" x14ac:dyDescent="0.25">
      <c r="B8941" t="str">
        <f>IF(C8941="","",C8941&amp;COUNTIF(C$9:C8941,C8941))</f>
        <v/>
      </c>
    </row>
    <row r="8942" spans="2:2" x14ac:dyDescent="0.25">
      <c r="B8942" t="str">
        <f>IF(C8942="","",C8942&amp;COUNTIF(C$9:C8942,C8942))</f>
        <v/>
      </c>
    </row>
    <row r="8943" spans="2:2" x14ac:dyDescent="0.25">
      <c r="B8943" t="str">
        <f>IF(C8943="","",C8943&amp;COUNTIF(C$9:C8943,C8943))</f>
        <v/>
      </c>
    </row>
    <row r="8944" spans="2:2" x14ac:dyDescent="0.25">
      <c r="B8944" t="str">
        <f>IF(C8944="","",C8944&amp;COUNTIF(C$9:C8944,C8944))</f>
        <v/>
      </c>
    </row>
    <row r="8945" spans="2:2" x14ac:dyDescent="0.25">
      <c r="B8945" t="str">
        <f>IF(C8945="","",C8945&amp;COUNTIF(C$9:C8945,C8945))</f>
        <v/>
      </c>
    </row>
    <row r="8946" spans="2:2" x14ac:dyDescent="0.25">
      <c r="B8946" t="str">
        <f>IF(C8946="","",C8946&amp;COUNTIF(C$9:C8946,C8946))</f>
        <v/>
      </c>
    </row>
    <row r="8947" spans="2:2" x14ac:dyDescent="0.25">
      <c r="B8947" t="str">
        <f>IF(C8947="","",C8947&amp;COUNTIF(C$9:C8947,C8947))</f>
        <v/>
      </c>
    </row>
    <row r="8948" spans="2:2" x14ac:dyDescent="0.25">
      <c r="B8948" t="str">
        <f>IF(C8948="","",C8948&amp;COUNTIF(C$9:C8948,C8948))</f>
        <v/>
      </c>
    </row>
    <row r="8949" spans="2:2" x14ac:dyDescent="0.25">
      <c r="B8949" t="str">
        <f>IF(C8949="","",C8949&amp;COUNTIF(C$9:C8949,C8949))</f>
        <v/>
      </c>
    </row>
    <row r="8950" spans="2:2" x14ac:dyDescent="0.25">
      <c r="B8950" t="str">
        <f>IF(C8950="","",C8950&amp;COUNTIF(C$9:C8950,C8950))</f>
        <v/>
      </c>
    </row>
    <row r="8951" spans="2:2" x14ac:dyDescent="0.25">
      <c r="B8951" t="str">
        <f>IF(C8951="","",C8951&amp;COUNTIF(C$9:C8951,C8951))</f>
        <v/>
      </c>
    </row>
    <row r="8952" spans="2:2" x14ac:dyDescent="0.25">
      <c r="B8952" t="str">
        <f>IF(C8952="","",C8952&amp;COUNTIF(C$9:C8952,C8952))</f>
        <v/>
      </c>
    </row>
    <row r="8953" spans="2:2" x14ac:dyDescent="0.25">
      <c r="B8953" t="str">
        <f>IF(C8953="","",C8953&amp;COUNTIF(C$9:C8953,C8953))</f>
        <v/>
      </c>
    </row>
    <row r="8954" spans="2:2" x14ac:dyDescent="0.25">
      <c r="B8954" t="str">
        <f>IF(C8954="","",C8954&amp;COUNTIF(C$9:C8954,C8954))</f>
        <v/>
      </c>
    </row>
    <row r="8955" spans="2:2" x14ac:dyDescent="0.25">
      <c r="B8955" t="str">
        <f>IF(C8955="","",C8955&amp;COUNTIF(C$9:C8955,C8955))</f>
        <v/>
      </c>
    </row>
    <row r="8956" spans="2:2" x14ac:dyDescent="0.25">
      <c r="B8956" t="str">
        <f>IF(C8956="","",C8956&amp;COUNTIF(C$9:C8956,C8956))</f>
        <v/>
      </c>
    </row>
    <row r="8957" spans="2:2" x14ac:dyDescent="0.25">
      <c r="B8957" t="str">
        <f>IF(C8957="","",C8957&amp;COUNTIF(C$9:C8957,C8957))</f>
        <v/>
      </c>
    </row>
    <row r="8958" spans="2:2" x14ac:dyDescent="0.25">
      <c r="B8958" t="str">
        <f>IF(C8958="","",C8958&amp;COUNTIF(C$9:C8958,C8958))</f>
        <v/>
      </c>
    </row>
    <row r="8959" spans="2:2" x14ac:dyDescent="0.25">
      <c r="B8959" t="str">
        <f>IF(C8959="","",C8959&amp;COUNTIF(C$9:C8959,C8959))</f>
        <v/>
      </c>
    </row>
    <row r="8960" spans="2:2" x14ac:dyDescent="0.25">
      <c r="B8960" t="str">
        <f>IF(C8960="","",C8960&amp;COUNTIF(C$9:C8960,C8960))</f>
        <v/>
      </c>
    </row>
    <row r="8961" spans="2:2" x14ac:dyDescent="0.25">
      <c r="B8961" t="str">
        <f>IF(C8961="","",C8961&amp;COUNTIF(C$9:C8961,C8961))</f>
        <v/>
      </c>
    </row>
    <row r="8962" spans="2:2" x14ac:dyDescent="0.25">
      <c r="B8962" t="str">
        <f>IF(C8962="","",C8962&amp;COUNTIF(C$9:C8962,C8962))</f>
        <v/>
      </c>
    </row>
    <row r="8963" spans="2:2" x14ac:dyDescent="0.25">
      <c r="B8963" t="str">
        <f>IF(C8963="","",C8963&amp;COUNTIF(C$9:C8963,C8963))</f>
        <v/>
      </c>
    </row>
    <row r="8964" spans="2:2" x14ac:dyDescent="0.25">
      <c r="B8964" t="str">
        <f>IF(C8964="","",C8964&amp;COUNTIF(C$9:C8964,C8964))</f>
        <v/>
      </c>
    </row>
    <row r="8965" spans="2:2" x14ac:dyDescent="0.25">
      <c r="B8965" t="str">
        <f>IF(C8965="","",C8965&amp;COUNTIF(C$9:C8965,C8965))</f>
        <v/>
      </c>
    </row>
    <row r="8966" spans="2:2" x14ac:dyDescent="0.25">
      <c r="B8966" t="str">
        <f>IF(C8966="","",C8966&amp;COUNTIF(C$9:C8966,C8966))</f>
        <v/>
      </c>
    </row>
    <row r="8967" spans="2:2" x14ac:dyDescent="0.25">
      <c r="B8967" t="str">
        <f>IF(C8967="","",C8967&amp;COUNTIF(C$9:C8967,C8967))</f>
        <v/>
      </c>
    </row>
    <row r="8968" spans="2:2" x14ac:dyDescent="0.25">
      <c r="B8968" t="str">
        <f>IF(C8968="","",C8968&amp;COUNTIF(C$9:C8968,C8968))</f>
        <v/>
      </c>
    </row>
    <row r="8969" spans="2:2" x14ac:dyDescent="0.25">
      <c r="B8969" t="str">
        <f>IF(C8969="","",C8969&amp;COUNTIF(C$9:C8969,C8969))</f>
        <v/>
      </c>
    </row>
    <row r="8970" spans="2:2" x14ac:dyDescent="0.25">
      <c r="B8970" t="str">
        <f>IF(C8970="","",C8970&amp;COUNTIF(C$9:C8970,C8970))</f>
        <v/>
      </c>
    </row>
    <row r="8971" spans="2:2" x14ac:dyDescent="0.25">
      <c r="B8971" t="str">
        <f>IF(C8971="","",C8971&amp;COUNTIF(C$9:C8971,C8971))</f>
        <v/>
      </c>
    </row>
    <row r="8972" spans="2:2" x14ac:dyDescent="0.25">
      <c r="B8972" t="str">
        <f>IF(C8972="","",C8972&amp;COUNTIF(C$9:C8972,C8972))</f>
        <v/>
      </c>
    </row>
    <row r="8973" spans="2:2" x14ac:dyDescent="0.25">
      <c r="B8973" t="str">
        <f>IF(C8973="","",C8973&amp;COUNTIF(C$9:C8973,C8973))</f>
        <v/>
      </c>
    </row>
    <row r="8974" spans="2:2" x14ac:dyDescent="0.25">
      <c r="B8974" t="str">
        <f>IF(C8974="","",C8974&amp;COUNTIF(C$9:C8974,C8974))</f>
        <v/>
      </c>
    </row>
    <row r="8975" spans="2:2" x14ac:dyDescent="0.25">
      <c r="B8975" t="str">
        <f>IF(C8975="","",C8975&amp;COUNTIF(C$9:C8975,C8975))</f>
        <v/>
      </c>
    </row>
    <row r="8976" spans="2:2" x14ac:dyDescent="0.25">
      <c r="B8976" t="str">
        <f>IF(C8976="","",C8976&amp;COUNTIF(C$9:C8976,C8976))</f>
        <v/>
      </c>
    </row>
    <row r="8977" spans="2:2" x14ac:dyDescent="0.25">
      <c r="B8977" t="str">
        <f>IF(C8977="","",C8977&amp;COUNTIF(C$9:C8977,C8977))</f>
        <v/>
      </c>
    </row>
    <row r="8978" spans="2:2" x14ac:dyDescent="0.25">
      <c r="B8978" t="str">
        <f>IF(C8978="","",C8978&amp;COUNTIF(C$9:C8978,C8978))</f>
        <v/>
      </c>
    </row>
    <row r="8979" spans="2:2" x14ac:dyDescent="0.25">
      <c r="B8979" t="str">
        <f>IF(C8979="","",C8979&amp;COUNTIF(C$9:C8979,C8979))</f>
        <v/>
      </c>
    </row>
    <row r="8980" spans="2:2" x14ac:dyDescent="0.25">
      <c r="B8980" t="str">
        <f>IF(C8980="","",C8980&amp;COUNTIF(C$9:C8980,C8980))</f>
        <v/>
      </c>
    </row>
    <row r="8981" spans="2:2" x14ac:dyDescent="0.25">
      <c r="B8981" t="str">
        <f>IF(C8981="","",C8981&amp;COUNTIF(C$9:C8981,C8981))</f>
        <v/>
      </c>
    </row>
    <row r="8982" spans="2:2" x14ac:dyDescent="0.25">
      <c r="B8982" t="str">
        <f>IF(C8982="","",C8982&amp;COUNTIF(C$9:C8982,C8982))</f>
        <v/>
      </c>
    </row>
    <row r="8983" spans="2:2" x14ac:dyDescent="0.25">
      <c r="B8983" t="str">
        <f>IF(C8983="","",C8983&amp;COUNTIF(C$9:C8983,C8983))</f>
        <v/>
      </c>
    </row>
    <row r="8984" spans="2:2" x14ac:dyDescent="0.25">
      <c r="B8984" t="str">
        <f>IF(C8984="","",C8984&amp;COUNTIF(C$9:C8984,C8984))</f>
        <v/>
      </c>
    </row>
    <row r="8985" spans="2:2" x14ac:dyDescent="0.25">
      <c r="B8985" t="str">
        <f>IF(C8985="","",C8985&amp;COUNTIF(C$9:C8985,C8985))</f>
        <v/>
      </c>
    </row>
    <row r="8986" spans="2:2" x14ac:dyDescent="0.25">
      <c r="B8986" t="str">
        <f>IF(C8986="","",C8986&amp;COUNTIF(C$9:C8986,C8986))</f>
        <v/>
      </c>
    </row>
    <row r="8987" spans="2:2" x14ac:dyDescent="0.25">
      <c r="B8987" t="str">
        <f>IF(C8987="","",C8987&amp;COUNTIF(C$9:C8987,C8987))</f>
        <v/>
      </c>
    </row>
    <row r="8988" spans="2:2" x14ac:dyDescent="0.25">
      <c r="B8988" t="str">
        <f>IF(C8988="","",C8988&amp;COUNTIF(C$9:C8988,C8988))</f>
        <v/>
      </c>
    </row>
    <row r="8989" spans="2:2" x14ac:dyDescent="0.25">
      <c r="B8989" t="str">
        <f>IF(C8989="","",C8989&amp;COUNTIF(C$9:C8989,C8989))</f>
        <v/>
      </c>
    </row>
    <row r="8990" spans="2:2" x14ac:dyDescent="0.25">
      <c r="B8990" t="str">
        <f>IF(C8990="","",C8990&amp;COUNTIF(C$9:C8990,C8990))</f>
        <v/>
      </c>
    </row>
    <row r="8991" spans="2:2" x14ac:dyDescent="0.25">
      <c r="B8991" t="str">
        <f>IF(C8991="","",C8991&amp;COUNTIF(C$9:C8991,C8991))</f>
        <v/>
      </c>
    </row>
    <row r="8992" spans="2:2" x14ac:dyDescent="0.25">
      <c r="B8992" t="str">
        <f>IF(C8992="","",C8992&amp;COUNTIF(C$9:C8992,C8992))</f>
        <v/>
      </c>
    </row>
    <row r="8993" spans="2:2" x14ac:dyDescent="0.25">
      <c r="B8993" t="str">
        <f>IF(C8993="","",C8993&amp;COUNTIF(C$9:C8993,C8993))</f>
        <v/>
      </c>
    </row>
    <row r="8994" spans="2:2" x14ac:dyDescent="0.25">
      <c r="B8994" t="str">
        <f>IF(C8994="","",C8994&amp;COUNTIF(C$9:C8994,C8994))</f>
        <v/>
      </c>
    </row>
    <row r="8995" spans="2:2" x14ac:dyDescent="0.25">
      <c r="B8995" t="str">
        <f>IF(C8995="","",C8995&amp;COUNTIF(C$9:C8995,C8995))</f>
        <v/>
      </c>
    </row>
    <row r="8996" spans="2:2" x14ac:dyDescent="0.25">
      <c r="B8996" t="str">
        <f>IF(C8996="","",C8996&amp;COUNTIF(C$9:C8996,C8996))</f>
        <v/>
      </c>
    </row>
    <row r="8997" spans="2:2" x14ac:dyDescent="0.25">
      <c r="B8997" t="str">
        <f>IF(C8997="","",C8997&amp;COUNTIF(C$9:C8997,C8997))</f>
        <v/>
      </c>
    </row>
    <row r="8998" spans="2:2" x14ac:dyDescent="0.25">
      <c r="B8998" t="str">
        <f>IF(C8998="","",C8998&amp;COUNTIF(C$9:C8998,C8998))</f>
        <v/>
      </c>
    </row>
    <row r="8999" spans="2:2" x14ac:dyDescent="0.25">
      <c r="B8999" t="str">
        <f>IF(C8999="","",C8999&amp;COUNTIF(C$9:C8999,C8999))</f>
        <v/>
      </c>
    </row>
    <row r="9000" spans="2:2" x14ac:dyDescent="0.25">
      <c r="B9000" t="str">
        <f>IF(C9000="","",C9000&amp;COUNTIF(C$9:C9000,C9000))</f>
        <v/>
      </c>
    </row>
    <row r="9001" spans="2:2" x14ac:dyDescent="0.25">
      <c r="B9001" t="str">
        <f>IF(C9001="","",C9001&amp;COUNTIF(C$9:C9001,C9001))</f>
        <v/>
      </c>
    </row>
    <row r="9002" spans="2:2" x14ac:dyDescent="0.25">
      <c r="B9002" t="str">
        <f>IF(C9002="","",C9002&amp;COUNTIF(C$9:C9002,C9002))</f>
        <v/>
      </c>
    </row>
    <row r="9003" spans="2:2" x14ac:dyDescent="0.25">
      <c r="B9003" t="str">
        <f>IF(C9003="","",C9003&amp;COUNTIF(C$9:C9003,C9003))</f>
        <v/>
      </c>
    </row>
    <row r="9004" spans="2:2" x14ac:dyDescent="0.25">
      <c r="B9004" t="str">
        <f>IF(C9004="","",C9004&amp;COUNTIF(C$9:C9004,C9004))</f>
        <v/>
      </c>
    </row>
    <row r="9005" spans="2:2" x14ac:dyDescent="0.25">
      <c r="B9005" t="str">
        <f>IF(C9005="","",C9005&amp;COUNTIF(C$9:C9005,C9005))</f>
        <v/>
      </c>
    </row>
    <row r="9006" spans="2:2" x14ac:dyDescent="0.25">
      <c r="B9006" t="str">
        <f>IF(C9006="","",C9006&amp;COUNTIF(C$9:C9006,C9006))</f>
        <v/>
      </c>
    </row>
    <row r="9007" spans="2:2" x14ac:dyDescent="0.25">
      <c r="B9007" t="str">
        <f>IF(C9007="","",C9007&amp;COUNTIF(C$9:C9007,C9007))</f>
        <v/>
      </c>
    </row>
    <row r="9008" spans="2:2" x14ac:dyDescent="0.25">
      <c r="B9008" t="str">
        <f>IF(C9008="","",C9008&amp;COUNTIF(C$9:C9008,C9008))</f>
        <v/>
      </c>
    </row>
    <row r="9009" spans="2:2" x14ac:dyDescent="0.25">
      <c r="B9009" t="str">
        <f>IF(C9009="","",C9009&amp;COUNTIF(C$9:C9009,C9009))</f>
        <v/>
      </c>
    </row>
    <row r="9010" spans="2:2" x14ac:dyDescent="0.25">
      <c r="B9010" t="str">
        <f>IF(C9010="","",C9010&amp;COUNTIF(C$9:C9010,C9010))</f>
        <v/>
      </c>
    </row>
    <row r="9011" spans="2:2" x14ac:dyDescent="0.25">
      <c r="B9011" t="str">
        <f>IF(C9011="","",C9011&amp;COUNTIF(C$9:C9011,C9011))</f>
        <v/>
      </c>
    </row>
    <row r="9012" spans="2:2" x14ac:dyDescent="0.25">
      <c r="B9012" t="str">
        <f>IF(C9012="","",C9012&amp;COUNTIF(C$9:C9012,C9012))</f>
        <v/>
      </c>
    </row>
    <row r="9013" spans="2:2" x14ac:dyDescent="0.25">
      <c r="B9013" t="str">
        <f>IF(C9013="","",C9013&amp;COUNTIF(C$9:C9013,C9013))</f>
        <v/>
      </c>
    </row>
    <row r="9014" spans="2:2" x14ac:dyDescent="0.25">
      <c r="B9014" t="str">
        <f>IF(C9014="","",C9014&amp;COUNTIF(C$9:C9014,C9014))</f>
        <v/>
      </c>
    </row>
    <row r="9015" spans="2:2" x14ac:dyDescent="0.25">
      <c r="B9015" t="str">
        <f>IF(C9015="","",C9015&amp;COUNTIF(C$9:C9015,C9015))</f>
        <v/>
      </c>
    </row>
    <row r="9016" spans="2:2" x14ac:dyDescent="0.25">
      <c r="B9016" t="str">
        <f>IF(C9016="","",C9016&amp;COUNTIF(C$9:C9016,C9016))</f>
        <v/>
      </c>
    </row>
    <row r="9017" spans="2:2" x14ac:dyDescent="0.25">
      <c r="B9017" t="str">
        <f>IF(C9017="","",C9017&amp;COUNTIF(C$9:C9017,C9017))</f>
        <v/>
      </c>
    </row>
    <row r="9018" spans="2:2" x14ac:dyDescent="0.25">
      <c r="B9018" t="str">
        <f>IF(C9018="","",C9018&amp;COUNTIF(C$9:C9018,C9018))</f>
        <v/>
      </c>
    </row>
    <row r="9019" spans="2:2" x14ac:dyDescent="0.25">
      <c r="B9019" t="str">
        <f>IF(C9019="","",C9019&amp;COUNTIF(C$9:C9019,C9019))</f>
        <v/>
      </c>
    </row>
    <row r="9020" spans="2:2" x14ac:dyDescent="0.25">
      <c r="B9020" t="str">
        <f>IF(C9020="","",C9020&amp;COUNTIF(C$9:C9020,C9020))</f>
        <v/>
      </c>
    </row>
    <row r="9021" spans="2:2" x14ac:dyDescent="0.25">
      <c r="B9021" t="str">
        <f>IF(C9021="","",C9021&amp;COUNTIF(C$9:C9021,C9021))</f>
        <v/>
      </c>
    </row>
    <row r="9022" spans="2:2" x14ac:dyDescent="0.25">
      <c r="B9022" t="str">
        <f>IF(C9022="","",C9022&amp;COUNTIF(C$9:C9022,C9022))</f>
        <v/>
      </c>
    </row>
    <row r="9023" spans="2:2" x14ac:dyDescent="0.25">
      <c r="B9023" t="str">
        <f>IF(C9023="","",C9023&amp;COUNTIF(C$9:C9023,C9023))</f>
        <v/>
      </c>
    </row>
    <row r="9024" spans="2:2" x14ac:dyDescent="0.25">
      <c r="B9024" t="str">
        <f>IF(C9024="","",C9024&amp;COUNTIF(C$9:C9024,C9024))</f>
        <v/>
      </c>
    </row>
    <row r="9025" spans="2:2" x14ac:dyDescent="0.25">
      <c r="B9025" t="str">
        <f>IF(C9025="","",C9025&amp;COUNTIF(C$9:C9025,C9025))</f>
        <v/>
      </c>
    </row>
    <row r="9026" spans="2:2" x14ac:dyDescent="0.25">
      <c r="B9026" t="str">
        <f>IF(C9026="","",C9026&amp;COUNTIF(C$9:C9026,C9026))</f>
        <v/>
      </c>
    </row>
    <row r="9027" spans="2:2" x14ac:dyDescent="0.25">
      <c r="B9027" t="str">
        <f>IF(C9027="","",C9027&amp;COUNTIF(C$9:C9027,C9027))</f>
        <v/>
      </c>
    </row>
    <row r="9028" spans="2:2" x14ac:dyDescent="0.25">
      <c r="B9028" t="str">
        <f>IF(C9028="","",C9028&amp;COUNTIF(C$9:C9028,C9028))</f>
        <v/>
      </c>
    </row>
    <row r="9029" spans="2:2" x14ac:dyDescent="0.25">
      <c r="B9029" t="str">
        <f>IF(C9029="","",C9029&amp;COUNTIF(C$9:C9029,C9029))</f>
        <v/>
      </c>
    </row>
    <row r="9030" spans="2:2" x14ac:dyDescent="0.25">
      <c r="B9030" t="str">
        <f>IF(C9030="","",C9030&amp;COUNTIF(C$9:C9030,C9030))</f>
        <v/>
      </c>
    </row>
    <row r="9031" spans="2:2" x14ac:dyDescent="0.25">
      <c r="B9031" t="str">
        <f>IF(C9031="","",C9031&amp;COUNTIF(C$9:C9031,C9031))</f>
        <v/>
      </c>
    </row>
    <row r="9032" spans="2:2" x14ac:dyDescent="0.25">
      <c r="B9032" t="str">
        <f>IF(C9032="","",C9032&amp;COUNTIF(C$9:C9032,C9032))</f>
        <v/>
      </c>
    </row>
    <row r="9033" spans="2:2" x14ac:dyDescent="0.25">
      <c r="B9033" t="str">
        <f>IF(C9033="","",C9033&amp;COUNTIF(C$9:C9033,C9033))</f>
        <v/>
      </c>
    </row>
    <row r="9034" spans="2:2" x14ac:dyDescent="0.25">
      <c r="B9034" t="str">
        <f>IF(C9034="","",C9034&amp;COUNTIF(C$9:C9034,C9034))</f>
        <v/>
      </c>
    </row>
    <row r="9035" spans="2:2" x14ac:dyDescent="0.25">
      <c r="B9035" t="str">
        <f>IF(C9035="","",C9035&amp;COUNTIF(C$9:C9035,C9035))</f>
        <v/>
      </c>
    </row>
    <row r="9036" spans="2:2" x14ac:dyDescent="0.25">
      <c r="B9036" t="str">
        <f>IF(C9036="","",C9036&amp;COUNTIF(C$9:C9036,C9036))</f>
        <v/>
      </c>
    </row>
    <row r="9037" spans="2:2" x14ac:dyDescent="0.25">
      <c r="B9037" t="str">
        <f>IF(C9037="","",C9037&amp;COUNTIF(C$9:C9037,C9037))</f>
        <v/>
      </c>
    </row>
    <row r="9038" spans="2:2" x14ac:dyDescent="0.25">
      <c r="B9038" t="str">
        <f>IF(C9038="","",C9038&amp;COUNTIF(C$9:C9038,C9038))</f>
        <v/>
      </c>
    </row>
    <row r="9039" spans="2:2" x14ac:dyDescent="0.25">
      <c r="B9039" t="str">
        <f>IF(C9039="","",C9039&amp;COUNTIF(C$9:C9039,C9039))</f>
        <v/>
      </c>
    </row>
    <row r="9040" spans="2:2" x14ac:dyDescent="0.25">
      <c r="B9040" t="str">
        <f>IF(C9040="","",C9040&amp;COUNTIF(C$9:C9040,C9040))</f>
        <v/>
      </c>
    </row>
    <row r="9041" spans="2:2" x14ac:dyDescent="0.25">
      <c r="B9041" t="str">
        <f>IF(C9041="","",C9041&amp;COUNTIF(C$9:C9041,C9041))</f>
        <v/>
      </c>
    </row>
    <row r="9042" spans="2:2" x14ac:dyDescent="0.25">
      <c r="B9042" t="str">
        <f>IF(C9042="","",C9042&amp;COUNTIF(C$9:C9042,C9042))</f>
        <v/>
      </c>
    </row>
    <row r="9043" spans="2:2" x14ac:dyDescent="0.25">
      <c r="B9043" t="str">
        <f>IF(C9043="","",C9043&amp;COUNTIF(C$9:C9043,C9043))</f>
        <v/>
      </c>
    </row>
    <row r="9044" spans="2:2" x14ac:dyDescent="0.25">
      <c r="B9044" t="str">
        <f>IF(C9044="","",C9044&amp;COUNTIF(C$9:C9044,C9044))</f>
        <v/>
      </c>
    </row>
    <row r="9045" spans="2:2" x14ac:dyDescent="0.25">
      <c r="B9045" t="str">
        <f>IF(C9045="","",C9045&amp;COUNTIF(C$9:C9045,C9045))</f>
        <v/>
      </c>
    </row>
    <row r="9046" spans="2:2" x14ac:dyDescent="0.25">
      <c r="B9046" t="str">
        <f>IF(C9046="","",C9046&amp;COUNTIF(C$9:C9046,C9046))</f>
        <v/>
      </c>
    </row>
    <row r="9047" spans="2:2" x14ac:dyDescent="0.25">
      <c r="B9047" t="str">
        <f>IF(C9047="","",C9047&amp;COUNTIF(C$9:C9047,C9047))</f>
        <v/>
      </c>
    </row>
    <row r="9048" spans="2:2" x14ac:dyDescent="0.25">
      <c r="B9048" t="str">
        <f>IF(C9048="","",C9048&amp;COUNTIF(C$9:C9048,C9048))</f>
        <v/>
      </c>
    </row>
    <row r="9049" spans="2:2" x14ac:dyDescent="0.25">
      <c r="B9049" t="str">
        <f>IF(C9049="","",C9049&amp;COUNTIF(C$9:C9049,C9049))</f>
        <v/>
      </c>
    </row>
    <row r="9050" spans="2:2" x14ac:dyDescent="0.25">
      <c r="B9050" t="str">
        <f>IF(C9050="","",C9050&amp;COUNTIF(C$9:C9050,C9050))</f>
        <v/>
      </c>
    </row>
    <row r="9051" spans="2:2" x14ac:dyDescent="0.25">
      <c r="B9051" t="str">
        <f>IF(C9051="","",C9051&amp;COUNTIF(C$9:C9051,C9051))</f>
        <v/>
      </c>
    </row>
    <row r="9052" spans="2:2" x14ac:dyDescent="0.25">
      <c r="B9052" t="str">
        <f>IF(C9052="","",C9052&amp;COUNTIF(C$9:C9052,C9052))</f>
        <v/>
      </c>
    </row>
    <row r="9053" spans="2:2" x14ac:dyDescent="0.25">
      <c r="B9053" t="str">
        <f>IF(C9053="","",C9053&amp;COUNTIF(C$9:C9053,C9053))</f>
        <v/>
      </c>
    </row>
    <row r="9054" spans="2:2" x14ac:dyDescent="0.25">
      <c r="B9054" t="str">
        <f>IF(C9054="","",C9054&amp;COUNTIF(C$9:C9054,C9054))</f>
        <v/>
      </c>
    </row>
    <row r="9055" spans="2:2" x14ac:dyDescent="0.25">
      <c r="B9055" t="str">
        <f>IF(C9055="","",C9055&amp;COUNTIF(C$9:C9055,C9055))</f>
        <v/>
      </c>
    </row>
    <row r="9056" spans="2:2" x14ac:dyDescent="0.25">
      <c r="B9056" t="str">
        <f>IF(C9056="","",C9056&amp;COUNTIF(C$9:C9056,C9056))</f>
        <v/>
      </c>
    </row>
    <row r="9057" spans="2:2" x14ac:dyDescent="0.25">
      <c r="B9057" t="str">
        <f>IF(C9057="","",C9057&amp;COUNTIF(C$9:C9057,C9057))</f>
        <v/>
      </c>
    </row>
    <row r="9058" spans="2:2" x14ac:dyDescent="0.25">
      <c r="B9058" t="str">
        <f>IF(C9058="","",C9058&amp;COUNTIF(C$9:C9058,C9058))</f>
        <v/>
      </c>
    </row>
    <row r="9059" spans="2:2" x14ac:dyDescent="0.25">
      <c r="B9059" t="str">
        <f>IF(C9059="","",C9059&amp;COUNTIF(C$9:C9059,C9059))</f>
        <v/>
      </c>
    </row>
    <row r="9060" spans="2:2" x14ac:dyDescent="0.25">
      <c r="B9060" t="str">
        <f>IF(C9060="","",C9060&amp;COUNTIF(C$9:C9060,C9060))</f>
        <v/>
      </c>
    </row>
    <row r="9061" spans="2:2" x14ac:dyDescent="0.25">
      <c r="B9061" t="str">
        <f>IF(C9061="","",C9061&amp;COUNTIF(C$9:C9061,C9061))</f>
        <v/>
      </c>
    </row>
    <row r="9062" spans="2:2" x14ac:dyDescent="0.25">
      <c r="B9062" t="str">
        <f>IF(C9062="","",C9062&amp;COUNTIF(C$9:C9062,C9062))</f>
        <v/>
      </c>
    </row>
    <row r="9063" spans="2:2" x14ac:dyDescent="0.25">
      <c r="B9063" t="str">
        <f>IF(C9063="","",C9063&amp;COUNTIF(C$9:C9063,C9063))</f>
        <v/>
      </c>
    </row>
    <row r="9064" spans="2:2" x14ac:dyDescent="0.25">
      <c r="B9064" t="str">
        <f>IF(C9064="","",C9064&amp;COUNTIF(C$9:C9064,C9064))</f>
        <v/>
      </c>
    </row>
    <row r="9065" spans="2:2" x14ac:dyDescent="0.25">
      <c r="B9065" t="str">
        <f>IF(C9065="","",C9065&amp;COUNTIF(C$9:C9065,C9065))</f>
        <v/>
      </c>
    </row>
    <row r="9066" spans="2:2" x14ac:dyDescent="0.25">
      <c r="B9066" t="str">
        <f>IF(C9066="","",C9066&amp;COUNTIF(C$9:C9066,C9066))</f>
        <v/>
      </c>
    </row>
    <row r="9067" spans="2:2" x14ac:dyDescent="0.25">
      <c r="B9067" t="str">
        <f>IF(C9067="","",C9067&amp;COUNTIF(C$9:C9067,C9067))</f>
        <v/>
      </c>
    </row>
    <row r="9068" spans="2:2" x14ac:dyDescent="0.25">
      <c r="B9068" t="str">
        <f>IF(C9068="","",C9068&amp;COUNTIF(C$9:C9068,C9068))</f>
        <v/>
      </c>
    </row>
    <row r="9069" spans="2:2" x14ac:dyDescent="0.25">
      <c r="B9069" t="str">
        <f>IF(C9069="","",C9069&amp;COUNTIF(C$9:C9069,C9069))</f>
        <v/>
      </c>
    </row>
    <row r="9070" spans="2:2" x14ac:dyDescent="0.25">
      <c r="B9070" t="str">
        <f>IF(C9070="","",C9070&amp;COUNTIF(C$9:C9070,C9070))</f>
        <v/>
      </c>
    </row>
    <row r="9071" spans="2:2" x14ac:dyDescent="0.25">
      <c r="B9071" t="str">
        <f>IF(C9071="","",C9071&amp;COUNTIF(C$9:C9071,C9071))</f>
        <v/>
      </c>
    </row>
    <row r="9072" spans="2:2" x14ac:dyDescent="0.25">
      <c r="B9072" t="str">
        <f>IF(C9072="","",C9072&amp;COUNTIF(C$9:C9072,C9072))</f>
        <v/>
      </c>
    </row>
    <row r="9073" spans="2:2" x14ac:dyDescent="0.25">
      <c r="B9073" t="str">
        <f>IF(C9073="","",C9073&amp;COUNTIF(C$9:C9073,C9073))</f>
        <v/>
      </c>
    </row>
    <row r="9074" spans="2:2" x14ac:dyDescent="0.25">
      <c r="B9074" t="str">
        <f>IF(C9074="","",C9074&amp;COUNTIF(C$9:C9074,C9074))</f>
        <v/>
      </c>
    </row>
    <row r="9075" spans="2:2" x14ac:dyDescent="0.25">
      <c r="B9075" t="str">
        <f>IF(C9075="","",C9075&amp;COUNTIF(C$9:C9075,C9075))</f>
        <v/>
      </c>
    </row>
    <row r="9076" spans="2:2" x14ac:dyDescent="0.25">
      <c r="B9076" t="str">
        <f>IF(C9076="","",C9076&amp;COUNTIF(C$9:C9076,C9076))</f>
        <v/>
      </c>
    </row>
    <row r="9077" spans="2:2" x14ac:dyDescent="0.25">
      <c r="B9077" t="str">
        <f>IF(C9077="","",C9077&amp;COUNTIF(C$9:C9077,C9077))</f>
        <v/>
      </c>
    </row>
    <row r="9078" spans="2:2" x14ac:dyDescent="0.25">
      <c r="B9078" t="str">
        <f>IF(C9078="","",C9078&amp;COUNTIF(C$9:C9078,C9078))</f>
        <v/>
      </c>
    </row>
    <row r="9079" spans="2:2" x14ac:dyDescent="0.25">
      <c r="B9079" t="str">
        <f>IF(C9079="","",C9079&amp;COUNTIF(C$9:C9079,C9079))</f>
        <v/>
      </c>
    </row>
    <row r="9080" spans="2:2" x14ac:dyDescent="0.25">
      <c r="B9080" t="str">
        <f>IF(C9080="","",C9080&amp;COUNTIF(C$9:C9080,C9080))</f>
        <v/>
      </c>
    </row>
    <row r="9081" spans="2:2" x14ac:dyDescent="0.25">
      <c r="B9081" t="str">
        <f>IF(C9081="","",C9081&amp;COUNTIF(C$9:C9081,C9081))</f>
        <v/>
      </c>
    </row>
    <row r="9082" spans="2:2" x14ac:dyDescent="0.25">
      <c r="B9082" t="str">
        <f>IF(C9082="","",C9082&amp;COUNTIF(C$9:C9082,C9082))</f>
        <v/>
      </c>
    </row>
    <row r="9083" spans="2:2" x14ac:dyDescent="0.25">
      <c r="B9083" t="str">
        <f>IF(C9083="","",C9083&amp;COUNTIF(C$9:C9083,C9083))</f>
        <v/>
      </c>
    </row>
    <row r="9084" spans="2:2" x14ac:dyDescent="0.25">
      <c r="B9084" t="str">
        <f>IF(C9084="","",C9084&amp;COUNTIF(C$9:C9084,C9084))</f>
        <v/>
      </c>
    </row>
    <row r="9085" spans="2:2" x14ac:dyDescent="0.25">
      <c r="B9085" t="str">
        <f>IF(C9085="","",C9085&amp;COUNTIF(C$9:C9085,C9085))</f>
        <v/>
      </c>
    </row>
    <row r="9086" spans="2:2" x14ac:dyDescent="0.25">
      <c r="B9086" t="str">
        <f>IF(C9086="","",C9086&amp;COUNTIF(C$9:C9086,C9086))</f>
        <v/>
      </c>
    </row>
    <row r="9087" spans="2:2" x14ac:dyDescent="0.25">
      <c r="B9087" t="str">
        <f>IF(C9087="","",C9087&amp;COUNTIF(C$9:C9087,C9087))</f>
        <v/>
      </c>
    </row>
    <row r="9088" spans="2:2" x14ac:dyDescent="0.25">
      <c r="B9088" t="str">
        <f>IF(C9088="","",C9088&amp;COUNTIF(C$9:C9088,C9088))</f>
        <v/>
      </c>
    </row>
    <row r="9089" spans="2:2" x14ac:dyDescent="0.25">
      <c r="B9089" t="str">
        <f>IF(C9089="","",C9089&amp;COUNTIF(C$9:C9089,C9089))</f>
        <v/>
      </c>
    </row>
    <row r="9090" spans="2:2" x14ac:dyDescent="0.25">
      <c r="B9090" t="str">
        <f>IF(C9090="","",C9090&amp;COUNTIF(C$9:C9090,C9090))</f>
        <v/>
      </c>
    </row>
    <row r="9091" spans="2:2" x14ac:dyDescent="0.25">
      <c r="B9091" t="str">
        <f>IF(C9091="","",C9091&amp;COUNTIF(C$9:C9091,C9091))</f>
        <v/>
      </c>
    </row>
    <row r="9092" spans="2:2" x14ac:dyDescent="0.25">
      <c r="B9092" t="str">
        <f>IF(C9092="","",C9092&amp;COUNTIF(C$9:C9092,C9092))</f>
        <v/>
      </c>
    </row>
    <row r="9093" spans="2:2" x14ac:dyDescent="0.25">
      <c r="B9093" t="str">
        <f>IF(C9093="","",C9093&amp;COUNTIF(C$9:C9093,C9093))</f>
        <v/>
      </c>
    </row>
    <row r="9094" spans="2:2" x14ac:dyDescent="0.25">
      <c r="B9094" t="str">
        <f>IF(C9094="","",C9094&amp;COUNTIF(C$9:C9094,C9094))</f>
        <v/>
      </c>
    </row>
    <row r="9095" spans="2:2" x14ac:dyDescent="0.25">
      <c r="B9095" t="str">
        <f>IF(C9095="","",C9095&amp;COUNTIF(C$9:C9095,C9095))</f>
        <v/>
      </c>
    </row>
    <row r="9096" spans="2:2" x14ac:dyDescent="0.25">
      <c r="B9096" t="str">
        <f>IF(C9096="","",C9096&amp;COUNTIF(C$9:C9096,C9096))</f>
        <v/>
      </c>
    </row>
    <row r="9097" spans="2:2" x14ac:dyDescent="0.25">
      <c r="B9097" t="str">
        <f>IF(C9097="","",C9097&amp;COUNTIF(C$9:C9097,C9097))</f>
        <v/>
      </c>
    </row>
    <row r="9098" spans="2:2" x14ac:dyDescent="0.25">
      <c r="B9098" t="str">
        <f>IF(C9098="","",C9098&amp;COUNTIF(C$9:C9098,C9098))</f>
        <v/>
      </c>
    </row>
    <row r="9099" spans="2:2" x14ac:dyDescent="0.25">
      <c r="B9099" t="str">
        <f>IF(C9099="","",C9099&amp;COUNTIF(C$9:C9099,C9099))</f>
        <v/>
      </c>
    </row>
    <row r="9100" spans="2:2" x14ac:dyDescent="0.25">
      <c r="B9100" t="str">
        <f>IF(C9100="","",C9100&amp;COUNTIF(C$9:C9100,C9100))</f>
        <v/>
      </c>
    </row>
    <row r="9101" spans="2:2" x14ac:dyDescent="0.25">
      <c r="B9101" t="str">
        <f>IF(C9101="","",C9101&amp;COUNTIF(C$9:C9101,C9101))</f>
        <v/>
      </c>
    </row>
    <row r="9102" spans="2:2" x14ac:dyDescent="0.25">
      <c r="B9102" t="str">
        <f>IF(C9102="","",C9102&amp;COUNTIF(C$9:C9102,C9102))</f>
        <v/>
      </c>
    </row>
    <row r="9103" spans="2:2" x14ac:dyDescent="0.25">
      <c r="B9103" t="str">
        <f>IF(C9103="","",C9103&amp;COUNTIF(C$9:C9103,C9103))</f>
        <v/>
      </c>
    </row>
    <row r="9104" spans="2:2" x14ac:dyDescent="0.25">
      <c r="B9104" t="str">
        <f>IF(C9104="","",C9104&amp;COUNTIF(C$9:C9104,C9104))</f>
        <v/>
      </c>
    </row>
    <row r="9105" spans="2:2" x14ac:dyDescent="0.25">
      <c r="B9105" t="str">
        <f>IF(C9105="","",C9105&amp;COUNTIF(C$9:C9105,C9105))</f>
        <v/>
      </c>
    </row>
    <row r="9106" spans="2:2" x14ac:dyDescent="0.25">
      <c r="B9106" t="str">
        <f>IF(C9106="","",C9106&amp;COUNTIF(C$9:C9106,C9106))</f>
        <v/>
      </c>
    </row>
    <row r="9107" spans="2:2" x14ac:dyDescent="0.25">
      <c r="B9107" t="str">
        <f>IF(C9107="","",C9107&amp;COUNTIF(C$9:C9107,C9107))</f>
        <v/>
      </c>
    </row>
    <row r="9108" spans="2:2" x14ac:dyDescent="0.25">
      <c r="B9108" t="str">
        <f>IF(C9108="","",C9108&amp;COUNTIF(C$9:C9108,C9108))</f>
        <v/>
      </c>
    </row>
    <row r="9109" spans="2:2" x14ac:dyDescent="0.25">
      <c r="B9109" t="str">
        <f>IF(C9109="","",C9109&amp;COUNTIF(C$9:C9109,C9109))</f>
        <v/>
      </c>
    </row>
    <row r="9110" spans="2:2" x14ac:dyDescent="0.25">
      <c r="B9110" t="str">
        <f>IF(C9110="","",C9110&amp;COUNTIF(C$9:C9110,C9110))</f>
        <v/>
      </c>
    </row>
    <row r="9111" spans="2:2" x14ac:dyDescent="0.25">
      <c r="B9111" t="str">
        <f>IF(C9111="","",C9111&amp;COUNTIF(C$9:C9111,C9111))</f>
        <v/>
      </c>
    </row>
    <row r="9112" spans="2:2" x14ac:dyDescent="0.25">
      <c r="B9112" t="str">
        <f>IF(C9112="","",C9112&amp;COUNTIF(C$9:C9112,C9112))</f>
        <v/>
      </c>
    </row>
    <row r="9113" spans="2:2" x14ac:dyDescent="0.25">
      <c r="B9113" t="str">
        <f>IF(C9113="","",C9113&amp;COUNTIF(C$9:C9113,C9113))</f>
        <v/>
      </c>
    </row>
    <row r="9114" spans="2:2" x14ac:dyDescent="0.25">
      <c r="B9114" t="str">
        <f>IF(C9114="","",C9114&amp;COUNTIF(C$9:C9114,C9114))</f>
        <v/>
      </c>
    </row>
    <row r="9115" spans="2:2" x14ac:dyDescent="0.25">
      <c r="B9115" t="str">
        <f>IF(C9115="","",C9115&amp;COUNTIF(C$9:C9115,C9115))</f>
        <v/>
      </c>
    </row>
    <row r="9116" spans="2:2" x14ac:dyDescent="0.25">
      <c r="B9116" t="str">
        <f>IF(C9116="","",C9116&amp;COUNTIF(C$9:C9116,C9116))</f>
        <v/>
      </c>
    </row>
    <row r="9117" spans="2:2" x14ac:dyDescent="0.25">
      <c r="B9117" t="str">
        <f>IF(C9117="","",C9117&amp;COUNTIF(C$9:C9117,C9117))</f>
        <v/>
      </c>
    </row>
    <row r="9118" spans="2:2" x14ac:dyDescent="0.25">
      <c r="B9118" t="str">
        <f>IF(C9118="","",C9118&amp;COUNTIF(C$9:C9118,C9118))</f>
        <v/>
      </c>
    </row>
    <row r="9119" spans="2:2" x14ac:dyDescent="0.25">
      <c r="B9119" t="str">
        <f>IF(C9119="","",C9119&amp;COUNTIF(C$9:C9119,C9119))</f>
        <v/>
      </c>
    </row>
    <row r="9120" spans="2:2" x14ac:dyDescent="0.25">
      <c r="B9120" t="str">
        <f>IF(C9120="","",C9120&amp;COUNTIF(C$9:C9120,C9120))</f>
        <v/>
      </c>
    </row>
    <row r="9121" spans="2:2" x14ac:dyDescent="0.25">
      <c r="B9121" t="str">
        <f>IF(C9121="","",C9121&amp;COUNTIF(C$9:C9121,C9121))</f>
        <v/>
      </c>
    </row>
    <row r="9122" spans="2:2" x14ac:dyDescent="0.25">
      <c r="B9122" t="str">
        <f>IF(C9122="","",C9122&amp;COUNTIF(C$9:C9122,C9122))</f>
        <v/>
      </c>
    </row>
    <row r="9123" spans="2:2" x14ac:dyDescent="0.25">
      <c r="B9123" t="str">
        <f>IF(C9123="","",C9123&amp;COUNTIF(C$9:C9123,C9123))</f>
        <v/>
      </c>
    </row>
    <row r="9124" spans="2:2" x14ac:dyDescent="0.25">
      <c r="B9124" t="str">
        <f>IF(C9124="","",C9124&amp;COUNTIF(C$9:C9124,C9124))</f>
        <v/>
      </c>
    </row>
    <row r="9125" spans="2:2" x14ac:dyDescent="0.25">
      <c r="B9125" t="str">
        <f>IF(C9125="","",C9125&amp;COUNTIF(C$9:C9125,C9125))</f>
        <v/>
      </c>
    </row>
    <row r="9126" spans="2:2" x14ac:dyDescent="0.25">
      <c r="B9126" t="str">
        <f>IF(C9126="","",C9126&amp;COUNTIF(C$9:C9126,C9126))</f>
        <v/>
      </c>
    </row>
    <row r="9127" spans="2:2" x14ac:dyDescent="0.25">
      <c r="B9127" t="str">
        <f>IF(C9127="","",C9127&amp;COUNTIF(C$9:C9127,C9127))</f>
        <v/>
      </c>
    </row>
    <row r="9128" spans="2:2" x14ac:dyDescent="0.25">
      <c r="B9128" t="str">
        <f>IF(C9128="","",C9128&amp;COUNTIF(C$9:C9128,C9128))</f>
        <v/>
      </c>
    </row>
    <row r="9129" spans="2:2" x14ac:dyDescent="0.25">
      <c r="B9129" t="str">
        <f>IF(C9129="","",C9129&amp;COUNTIF(C$9:C9129,C9129))</f>
        <v/>
      </c>
    </row>
    <row r="9130" spans="2:2" x14ac:dyDescent="0.25">
      <c r="B9130" t="str">
        <f>IF(C9130="","",C9130&amp;COUNTIF(C$9:C9130,C9130))</f>
        <v/>
      </c>
    </row>
    <row r="9131" spans="2:2" x14ac:dyDescent="0.25">
      <c r="B9131" t="str">
        <f>IF(C9131="","",C9131&amp;COUNTIF(C$9:C9131,C9131))</f>
        <v/>
      </c>
    </row>
    <row r="9132" spans="2:2" x14ac:dyDescent="0.25">
      <c r="B9132" t="str">
        <f>IF(C9132="","",C9132&amp;COUNTIF(C$9:C9132,C9132))</f>
        <v/>
      </c>
    </row>
    <row r="9133" spans="2:2" x14ac:dyDescent="0.25">
      <c r="B9133" t="str">
        <f>IF(C9133="","",C9133&amp;COUNTIF(C$9:C9133,C9133))</f>
        <v/>
      </c>
    </row>
    <row r="9134" spans="2:2" x14ac:dyDescent="0.25">
      <c r="B9134" t="str">
        <f>IF(C9134="","",C9134&amp;COUNTIF(C$9:C9134,C9134))</f>
        <v/>
      </c>
    </row>
    <row r="9135" spans="2:2" x14ac:dyDescent="0.25">
      <c r="B9135" t="str">
        <f>IF(C9135="","",C9135&amp;COUNTIF(C$9:C9135,C9135))</f>
        <v/>
      </c>
    </row>
    <row r="9136" spans="2:2" x14ac:dyDescent="0.25">
      <c r="B9136" t="str">
        <f>IF(C9136="","",C9136&amp;COUNTIF(C$9:C9136,C9136))</f>
        <v/>
      </c>
    </row>
    <row r="9137" spans="2:2" x14ac:dyDescent="0.25">
      <c r="B9137" t="str">
        <f>IF(C9137="","",C9137&amp;COUNTIF(C$9:C9137,C9137))</f>
        <v/>
      </c>
    </row>
    <row r="9138" spans="2:2" x14ac:dyDescent="0.25">
      <c r="B9138" t="str">
        <f>IF(C9138="","",C9138&amp;COUNTIF(C$9:C9138,C9138))</f>
        <v/>
      </c>
    </row>
    <row r="9139" spans="2:2" x14ac:dyDescent="0.25">
      <c r="B9139" t="str">
        <f>IF(C9139="","",C9139&amp;COUNTIF(C$9:C9139,C9139))</f>
        <v/>
      </c>
    </row>
    <row r="9140" spans="2:2" x14ac:dyDescent="0.25">
      <c r="B9140" t="str">
        <f>IF(C9140="","",C9140&amp;COUNTIF(C$9:C9140,C9140))</f>
        <v/>
      </c>
    </row>
    <row r="9141" spans="2:2" x14ac:dyDescent="0.25">
      <c r="B9141" t="str">
        <f>IF(C9141="","",C9141&amp;COUNTIF(C$9:C9141,C9141))</f>
        <v/>
      </c>
    </row>
    <row r="9142" spans="2:2" x14ac:dyDescent="0.25">
      <c r="B9142" t="str">
        <f>IF(C9142="","",C9142&amp;COUNTIF(C$9:C9142,C9142))</f>
        <v/>
      </c>
    </row>
    <row r="9143" spans="2:2" x14ac:dyDescent="0.25">
      <c r="B9143" t="str">
        <f>IF(C9143="","",C9143&amp;COUNTIF(C$9:C9143,C9143))</f>
        <v/>
      </c>
    </row>
    <row r="9144" spans="2:2" x14ac:dyDescent="0.25">
      <c r="B9144" t="str">
        <f>IF(C9144="","",C9144&amp;COUNTIF(C$9:C9144,C9144))</f>
        <v/>
      </c>
    </row>
    <row r="9145" spans="2:2" x14ac:dyDescent="0.25">
      <c r="B9145" t="str">
        <f>IF(C9145="","",C9145&amp;COUNTIF(C$9:C9145,C9145))</f>
        <v/>
      </c>
    </row>
    <row r="9146" spans="2:2" x14ac:dyDescent="0.25">
      <c r="B9146" t="str">
        <f>IF(C9146="","",C9146&amp;COUNTIF(C$9:C9146,C9146))</f>
        <v/>
      </c>
    </row>
    <row r="9147" spans="2:2" x14ac:dyDescent="0.25">
      <c r="B9147" t="str">
        <f>IF(C9147="","",C9147&amp;COUNTIF(C$9:C9147,C9147))</f>
        <v/>
      </c>
    </row>
    <row r="9148" spans="2:2" x14ac:dyDescent="0.25">
      <c r="B9148" t="str">
        <f>IF(C9148="","",C9148&amp;COUNTIF(C$9:C9148,C9148))</f>
        <v/>
      </c>
    </row>
    <row r="9149" spans="2:2" x14ac:dyDescent="0.25">
      <c r="B9149" t="str">
        <f>IF(C9149="","",C9149&amp;COUNTIF(C$9:C9149,C9149))</f>
        <v/>
      </c>
    </row>
    <row r="9150" spans="2:2" x14ac:dyDescent="0.25">
      <c r="B9150" t="str">
        <f>IF(C9150="","",C9150&amp;COUNTIF(C$9:C9150,C9150))</f>
        <v/>
      </c>
    </row>
    <row r="9151" spans="2:2" x14ac:dyDescent="0.25">
      <c r="B9151" t="str">
        <f>IF(C9151="","",C9151&amp;COUNTIF(C$9:C9151,C9151))</f>
        <v/>
      </c>
    </row>
    <row r="9152" spans="2:2" x14ac:dyDescent="0.25">
      <c r="B9152" t="str">
        <f>IF(C9152="","",C9152&amp;COUNTIF(C$9:C9152,C9152))</f>
        <v/>
      </c>
    </row>
    <row r="9153" spans="2:2" x14ac:dyDescent="0.25">
      <c r="B9153" t="str">
        <f>IF(C9153="","",C9153&amp;COUNTIF(C$9:C9153,C9153))</f>
        <v/>
      </c>
    </row>
    <row r="9154" spans="2:2" x14ac:dyDescent="0.25">
      <c r="B9154" t="str">
        <f>IF(C9154="","",C9154&amp;COUNTIF(C$9:C9154,C9154))</f>
        <v/>
      </c>
    </row>
    <row r="9155" spans="2:2" x14ac:dyDescent="0.25">
      <c r="B9155" t="str">
        <f>IF(C9155="","",C9155&amp;COUNTIF(C$9:C9155,C9155))</f>
        <v/>
      </c>
    </row>
    <row r="9156" spans="2:2" x14ac:dyDescent="0.25">
      <c r="B9156" t="str">
        <f>IF(C9156="","",C9156&amp;COUNTIF(C$9:C9156,C9156))</f>
        <v/>
      </c>
    </row>
    <row r="9157" spans="2:2" x14ac:dyDescent="0.25">
      <c r="B9157" t="str">
        <f>IF(C9157="","",C9157&amp;COUNTIF(C$9:C9157,C9157))</f>
        <v/>
      </c>
    </row>
    <row r="9158" spans="2:2" x14ac:dyDescent="0.25">
      <c r="B9158" t="str">
        <f>IF(C9158="","",C9158&amp;COUNTIF(C$9:C9158,C9158))</f>
        <v/>
      </c>
    </row>
    <row r="9159" spans="2:2" x14ac:dyDescent="0.25">
      <c r="B9159" t="str">
        <f>IF(C9159="","",C9159&amp;COUNTIF(C$9:C9159,C9159))</f>
        <v/>
      </c>
    </row>
    <row r="9160" spans="2:2" x14ac:dyDescent="0.25">
      <c r="B9160" t="str">
        <f>IF(C9160="","",C9160&amp;COUNTIF(C$9:C9160,C9160))</f>
        <v/>
      </c>
    </row>
    <row r="9161" spans="2:2" x14ac:dyDescent="0.25">
      <c r="B9161" t="str">
        <f>IF(C9161="","",C9161&amp;COUNTIF(C$9:C9161,C9161))</f>
        <v/>
      </c>
    </row>
    <row r="9162" spans="2:2" x14ac:dyDescent="0.25">
      <c r="B9162" t="str">
        <f>IF(C9162="","",C9162&amp;COUNTIF(C$9:C9162,C9162))</f>
        <v/>
      </c>
    </row>
    <row r="9163" spans="2:2" x14ac:dyDescent="0.25">
      <c r="B9163" t="str">
        <f>IF(C9163="","",C9163&amp;COUNTIF(C$9:C9163,C9163))</f>
        <v/>
      </c>
    </row>
    <row r="9164" spans="2:2" x14ac:dyDescent="0.25">
      <c r="B9164" t="str">
        <f>IF(C9164="","",C9164&amp;COUNTIF(C$9:C9164,C9164))</f>
        <v/>
      </c>
    </row>
    <row r="9165" spans="2:2" x14ac:dyDescent="0.25">
      <c r="B9165" t="str">
        <f>IF(C9165="","",C9165&amp;COUNTIF(C$9:C9165,C9165))</f>
        <v/>
      </c>
    </row>
    <row r="9166" spans="2:2" x14ac:dyDescent="0.25">
      <c r="B9166" t="str">
        <f>IF(C9166="","",C9166&amp;COUNTIF(C$9:C9166,C9166))</f>
        <v/>
      </c>
    </row>
    <row r="9167" spans="2:2" x14ac:dyDescent="0.25">
      <c r="B9167" t="str">
        <f>IF(C9167="","",C9167&amp;COUNTIF(C$9:C9167,C9167))</f>
        <v/>
      </c>
    </row>
    <row r="9168" spans="2:2" x14ac:dyDescent="0.25">
      <c r="B9168" t="str">
        <f>IF(C9168="","",C9168&amp;COUNTIF(C$9:C9168,C9168))</f>
        <v/>
      </c>
    </row>
    <row r="9169" spans="2:2" x14ac:dyDescent="0.25">
      <c r="B9169" t="str">
        <f>IF(C9169="","",C9169&amp;COUNTIF(C$9:C9169,C9169))</f>
        <v/>
      </c>
    </row>
    <row r="9170" spans="2:2" x14ac:dyDescent="0.25">
      <c r="B9170" t="str">
        <f>IF(C9170="","",C9170&amp;COUNTIF(C$9:C9170,C9170))</f>
        <v/>
      </c>
    </row>
    <row r="9171" spans="2:2" x14ac:dyDescent="0.25">
      <c r="B9171" t="str">
        <f>IF(C9171="","",C9171&amp;COUNTIF(C$9:C9171,C9171))</f>
        <v/>
      </c>
    </row>
    <row r="9172" spans="2:2" x14ac:dyDescent="0.25">
      <c r="B9172" t="str">
        <f>IF(C9172="","",C9172&amp;COUNTIF(C$9:C9172,C9172))</f>
        <v/>
      </c>
    </row>
    <row r="9173" spans="2:2" x14ac:dyDescent="0.25">
      <c r="B9173" t="str">
        <f>IF(C9173="","",C9173&amp;COUNTIF(C$9:C9173,C9173))</f>
        <v/>
      </c>
    </row>
    <row r="9174" spans="2:2" x14ac:dyDescent="0.25">
      <c r="B9174" t="str">
        <f>IF(C9174="","",C9174&amp;COUNTIF(C$9:C9174,C9174))</f>
        <v/>
      </c>
    </row>
    <row r="9175" spans="2:2" x14ac:dyDescent="0.25">
      <c r="B9175" t="str">
        <f>IF(C9175="","",C9175&amp;COUNTIF(C$9:C9175,C9175))</f>
        <v/>
      </c>
    </row>
    <row r="9176" spans="2:2" x14ac:dyDescent="0.25">
      <c r="B9176" t="str">
        <f>IF(C9176="","",C9176&amp;COUNTIF(C$9:C9176,C9176))</f>
        <v/>
      </c>
    </row>
    <row r="9177" spans="2:2" x14ac:dyDescent="0.25">
      <c r="B9177" t="str">
        <f>IF(C9177="","",C9177&amp;COUNTIF(C$9:C9177,C9177))</f>
        <v/>
      </c>
    </row>
    <row r="9178" spans="2:2" x14ac:dyDescent="0.25">
      <c r="B9178" t="str">
        <f>IF(C9178="","",C9178&amp;COUNTIF(C$9:C9178,C9178))</f>
        <v/>
      </c>
    </row>
    <row r="9179" spans="2:2" x14ac:dyDescent="0.25">
      <c r="B9179" t="str">
        <f>IF(C9179="","",C9179&amp;COUNTIF(C$9:C9179,C9179))</f>
        <v/>
      </c>
    </row>
    <row r="9180" spans="2:2" x14ac:dyDescent="0.25">
      <c r="B9180" t="str">
        <f>IF(C9180="","",C9180&amp;COUNTIF(C$9:C9180,C9180))</f>
        <v/>
      </c>
    </row>
    <row r="9181" spans="2:2" x14ac:dyDescent="0.25">
      <c r="B9181" t="str">
        <f>IF(C9181="","",C9181&amp;COUNTIF(C$9:C9181,C9181))</f>
        <v/>
      </c>
    </row>
    <row r="9182" spans="2:2" x14ac:dyDescent="0.25">
      <c r="B9182" t="str">
        <f>IF(C9182="","",C9182&amp;COUNTIF(C$9:C9182,C9182))</f>
        <v/>
      </c>
    </row>
    <row r="9183" spans="2:2" x14ac:dyDescent="0.25">
      <c r="B9183" t="str">
        <f>IF(C9183="","",C9183&amp;COUNTIF(C$9:C9183,C9183))</f>
        <v/>
      </c>
    </row>
    <row r="9184" spans="2:2" x14ac:dyDescent="0.25">
      <c r="B9184" t="str">
        <f>IF(C9184="","",C9184&amp;COUNTIF(C$9:C9184,C9184))</f>
        <v/>
      </c>
    </row>
    <row r="9185" spans="2:2" x14ac:dyDescent="0.25">
      <c r="B9185" t="str">
        <f>IF(C9185="","",C9185&amp;COUNTIF(C$9:C9185,C9185))</f>
        <v/>
      </c>
    </row>
    <row r="9186" spans="2:2" x14ac:dyDescent="0.25">
      <c r="B9186" t="str">
        <f>IF(C9186="","",C9186&amp;COUNTIF(C$9:C9186,C9186))</f>
        <v/>
      </c>
    </row>
    <row r="9187" spans="2:2" x14ac:dyDescent="0.25">
      <c r="B9187" t="str">
        <f>IF(C9187="","",C9187&amp;COUNTIF(C$9:C9187,C9187))</f>
        <v/>
      </c>
    </row>
    <row r="9188" spans="2:2" x14ac:dyDescent="0.25">
      <c r="B9188" t="str">
        <f>IF(C9188="","",C9188&amp;COUNTIF(C$9:C9188,C9188))</f>
        <v/>
      </c>
    </row>
    <row r="9189" spans="2:2" x14ac:dyDescent="0.25">
      <c r="B9189" t="str">
        <f>IF(C9189="","",C9189&amp;COUNTIF(C$9:C9189,C9189))</f>
        <v/>
      </c>
    </row>
    <row r="9190" spans="2:2" x14ac:dyDescent="0.25">
      <c r="B9190" t="str">
        <f>IF(C9190="","",C9190&amp;COUNTIF(C$9:C9190,C9190))</f>
        <v/>
      </c>
    </row>
    <row r="9191" spans="2:2" x14ac:dyDescent="0.25">
      <c r="B9191" t="str">
        <f>IF(C9191="","",C9191&amp;COUNTIF(C$9:C9191,C9191))</f>
        <v/>
      </c>
    </row>
    <row r="9192" spans="2:2" x14ac:dyDescent="0.25">
      <c r="B9192" t="str">
        <f>IF(C9192="","",C9192&amp;COUNTIF(C$9:C9192,C9192))</f>
        <v/>
      </c>
    </row>
    <row r="9193" spans="2:2" x14ac:dyDescent="0.25">
      <c r="B9193" t="str">
        <f>IF(C9193="","",C9193&amp;COUNTIF(C$9:C9193,C9193))</f>
        <v/>
      </c>
    </row>
    <row r="9194" spans="2:2" x14ac:dyDescent="0.25">
      <c r="B9194" t="str">
        <f>IF(C9194="","",C9194&amp;COUNTIF(C$9:C9194,C9194))</f>
        <v/>
      </c>
    </row>
    <row r="9195" spans="2:2" x14ac:dyDescent="0.25">
      <c r="B9195" t="str">
        <f>IF(C9195="","",C9195&amp;COUNTIF(C$9:C9195,C9195))</f>
        <v/>
      </c>
    </row>
    <row r="9196" spans="2:2" x14ac:dyDescent="0.25">
      <c r="B9196" t="str">
        <f>IF(C9196="","",C9196&amp;COUNTIF(C$9:C9196,C9196))</f>
        <v/>
      </c>
    </row>
    <row r="9197" spans="2:2" x14ac:dyDescent="0.25">
      <c r="B9197" t="str">
        <f>IF(C9197="","",C9197&amp;COUNTIF(C$9:C9197,C9197))</f>
        <v/>
      </c>
    </row>
    <row r="9198" spans="2:2" x14ac:dyDescent="0.25">
      <c r="B9198" t="str">
        <f>IF(C9198="","",C9198&amp;COUNTIF(C$9:C9198,C9198))</f>
        <v/>
      </c>
    </row>
    <row r="9199" spans="2:2" x14ac:dyDescent="0.25">
      <c r="B9199" t="str">
        <f>IF(C9199="","",C9199&amp;COUNTIF(C$9:C9199,C9199))</f>
        <v/>
      </c>
    </row>
    <row r="9200" spans="2:2" x14ac:dyDescent="0.25">
      <c r="B9200" t="str">
        <f>IF(C9200="","",C9200&amp;COUNTIF(C$9:C9200,C9200))</f>
        <v/>
      </c>
    </row>
    <row r="9201" spans="2:2" x14ac:dyDescent="0.25">
      <c r="B9201" t="str">
        <f>IF(C9201="","",C9201&amp;COUNTIF(C$9:C9201,C9201))</f>
        <v/>
      </c>
    </row>
    <row r="9202" spans="2:2" x14ac:dyDescent="0.25">
      <c r="B9202" t="str">
        <f>IF(C9202="","",C9202&amp;COUNTIF(C$9:C9202,C9202))</f>
        <v/>
      </c>
    </row>
    <row r="9203" spans="2:2" x14ac:dyDescent="0.25">
      <c r="B9203" t="str">
        <f>IF(C9203="","",C9203&amp;COUNTIF(C$9:C9203,C9203))</f>
        <v/>
      </c>
    </row>
    <row r="9204" spans="2:2" x14ac:dyDescent="0.25">
      <c r="B9204" t="str">
        <f>IF(C9204="","",C9204&amp;COUNTIF(C$9:C9204,C9204))</f>
        <v/>
      </c>
    </row>
    <row r="9205" spans="2:2" x14ac:dyDescent="0.25">
      <c r="B9205" t="str">
        <f>IF(C9205="","",C9205&amp;COUNTIF(C$9:C9205,C9205))</f>
        <v/>
      </c>
    </row>
    <row r="9206" spans="2:2" x14ac:dyDescent="0.25">
      <c r="B9206" t="str">
        <f>IF(C9206="","",C9206&amp;COUNTIF(C$9:C9206,C9206))</f>
        <v/>
      </c>
    </row>
    <row r="9207" spans="2:2" x14ac:dyDescent="0.25">
      <c r="B9207" t="str">
        <f>IF(C9207="","",C9207&amp;COUNTIF(C$9:C9207,C9207))</f>
        <v/>
      </c>
    </row>
    <row r="9208" spans="2:2" x14ac:dyDescent="0.25">
      <c r="B9208" t="str">
        <f>IF(C9208="","",C9208&amp;COUNTIF(C$9:C9208,C9208))</f>
        <v/>
      </c>
    </row>
    <row r="9209" spans="2:2" x14ac:dyDescent="0.25">
      <c r="B9209" t="str">
        <f>IF(C9209="","",C9209&amp;COUNTIF(C$9:C9209,C9209))</f>
        <v/>
      </c>
    </row>
    <row r="9210" spans="2:2" x14ac:dyDescent="0.25">
      <c r="B9210" t="str">
        <f>IF(C9210="","",C9210&amp;COUNTIF(C$9:C9210,C9210))</f>
        <v/>
      </c>
    </row>
    <row r="9211" spans="2:2" x14ac:dyDescent="0.25">
      <c r="B9211" t="str">
        <f>IF(C9211="","",C9211&amp;COUNTIF(C$9:C9211,C9211))</f>
        <v/>
      </c>
    </row>
    <row r="9212" spans="2:2" x14ac:dyDescent="0.25">
      <c r="B9212" t="str">
        <f>IF(C9212="","",C9212&amp;COUNTIF(C$9:C9212,C9212))</f>
        <v/>
      </c>
    </row>
    <row r="9213" spans="2:2" x14ac:dyDescent="0.25">
      <c r="B9213" t="str">
        <f>IF(C9213="","",C9213&amp;COUNTIF(C$9:C9213,C9213))</f>
        <v/>
      </c>
    </row>
    <row r="9214" spans="2:2" x14ac:dyDescent="0.25">
      <c r="B9214" t="str">
        <f>IF(C9214="","",C9214&amp;COUNTIF(C$9:C9214,C9214))</f>
        <v/>
      </c>
    </row>
    <row r="9215" spans="2:2" x14ac:dyDescent="0.25">
      <c r="B9215" t="str">
        <f>IF(C9215="","",C9215&amp;COUNTIF(C$9:C9215,C9215))</f>
        <v/>
      </c>
    </row>
    <row r="9216" spans="2:2" x14ac:dyDescent="0.25">
      <c r="B9216" t="str">
        <f>IF(C9216="","",C9216&amp;COUNTIF(C$9:C9216,C9216))</f>
        <v/>
      </c>
    </row>
    <row r="9217" spans="2:2" x14ac:dyDescent="0.25">
      <c r="B9217" t="str">
        <f>IF(C9217="","",C9217&amp;COUNTIF(C$9:C9217,C9217))</f>
        <v/>
      </c>
    </row>
    <row r="9218" spans="2:2" x14ac:dyDescent="0.25">
      <c r="B9218" t="str">
        <f>IF(C9218="","",C9218&amp;COUNTIF(C$9:C9218,C9218))</f>
        <v/>
      </c>
    </row>
    <row r="9219" spans="2:2" x14ac:dyDescent="0.25">
      <c r="B9219" t="str">
        <f>IF(C9219="","",C9219&amp;COUNTIF(C$9:C9219,C9219))</f>
        <v/>
      </c>
    </row>
    <row r="9220" spans="2:2" x14ac:dyDescent="0.25">
      <c r="B9220" t="str">
        <f>IF(C9220="","",C9220&amp;COUNTIF(C$9:C9220,C9220))</f>
        <v/>
      </c>
    </row>
    <row r="9221" spans="2:2" x14ac:dyDescent="0.25">
      <c r="B9221" t="str">
        <f>IF(C9221="","",C9221&amp;COUNTIF(C$9:C9221,C9221))</f>
        <v/>
      </c>
    </row>
    <row r="9222" spans="2:2" x14ac:dyDescent="0.25">
      <c r="B9222" t="str">
        <f>IF(C9222="","",C9222&amp;COUNTIF(C$9:C9222,C9222))</f>
        <v/>
      </c>
    </row>
    <row r="9223" spans="2:2" x14ac:dyDescent="0.25">
      <c r="B9223" t="str">
        <f>IF(C9223="","",C9223&amp;COUNTIF(C$9:C9223,C9223))</f>
        <v/>
      </c>
    </row>
    <row r="9224" spans="2:2" x14ac:dyDescent="0.25">
      <c r="B9224" t="str">
        <f>IF(C9224="","",C9224&amp;COUNTIF(C$9:C9224,C9224))</f>
        <v/>
      </c>
    </row>
    <row r="9225" spans="2:2" x14ac:dyDescent="0.25">
      <c r="B9225" t="str">
        <f>IF(C9225="","",C9225&amp;COUNTIF(C$9:C9225,C9225))</f>
        <v/>
      </c>
    </row>
    <row r="9226" spans="2:2" x14ac:dyDescent="0.25">
      <c r="B9226" t="str">
        <f>IF(C9226="","",C9226&amp;COUNTIF(C$9:C9226,C9226))</f>
        <v/>
      </c>
    </row>
    <row r="9227" spans="2:2" x14ac:dyDescent="0.25">
      <c r="B9227" t="str">
        <f>IF(C9227="","",C9227&amp;COUNTIF(C$9:C9227,C9227))</f>
        <v/>
      </c>
    </row>
    <row r="9228" spans="2:2" x14ac:dyDescent="0.25">
      <c r="B9228" t="str">
        <f>IF(C9228="","",C9228&amp;COUNTIF(C$9:C9228,C9228))</f>
        <v/>
      </c>
    </row>
    <row r="9229" spans="2:2" x14ac:dyDescent="0.25">
      <c r="B9229" t="str">
        <f>IF(C9229="","",C9229&amp;COUNTIF(C$9:C9229,C9229))</f>
        <v/>
      </c>
    </row>
    <row r="9230" spans="2:2" x14ac:dyDescent="0.25">
      <c r="B9230" t="str">
        <f>IF(C9230="","",C9230&amp;COUNTIF(C$9:C9230,C9230))</f>
        <v/>
      </c>
    </row>
    <row r="9231" spans="2:2" x14ac:dyDescent="0.25">
      <c r="B9231" t="str">
        <f>IF(C9231="","",C9231&amp;COUNTIF(C$9:C9231,C9231))</f>
        <v/>
      </c>
    </row>
    <row r="9232" spans="2:2" x14ac:dyDescent="0.25">
      <c r="B9232" t="str">
        <f>IF(C9232="","",C9232&amp;COUNTIF(C$9:C9232,C9232))</f>
        <v/>
      </c>
    </row>
    <row r="9233" spans="2:2" x14ac:dyDescent="0.25">
      <c r="B9233" t="str">
        <f>IF(C9233="","",C9233&amp;COUNTIF(C$9:C9233,C9233))</f>
        <v/>
      </c>
    </row>
    <row r="9234" spans="2:2" x14ac:dyDescent="0.25">
      <c r="B9234" t="str">
        <f>IF(C9234="","",C9234&amp;COUNTIF(C$9:C9234,C9234))</f>
        <v/>
      </c>
    </row>
    <row r="9235" spans="2:2" x14ac:dyDescent="0.25">
      <c r="B9235" t="str">
        <f>IF(C9235="","",C9235&amp;COUNTIF(C$9:C9235,C9235))</f>
        <v/>
      </c>
    </row>
    <row r="9236" spans="2:2" x14ac:dyDescent="0.25">
      <c r="B9236" t="str">
        <f>IF(C9236="","",C9236&amp;COUNTIF(C$9:C9236,C9236))</f>
        <v/>
      </c>
    </row>
    <row r="9237" spans="2:2" x14ac:dyDescent="0.25">
      <c r="B9237" t="str">
        <f>IF(C9237="","",C9237&amp;COUNTIF(C$9:C9237,C9237))</f>
        <v/>
      </c>
    </row>
    <row r="9238" spans="2:2" x14ac:dyDescent="0.25">
      <c r="B9238" t="str">
        <f>IF(C9238="","",C9238&amp;COUNTIF(C$9:C9238,C9238))</f>
        <v/>
      </c>
    </row>
    <row r="9239" spans="2:2" x14ac:dyDescent="0.25">
      <c r="B9239" t="str">
        <f>IF(C9239="","",C9239&amp;COUNTIF(C$9:C9239,C9239))</f>
        <v/>
      </c>
    </row>
    <row r="9240" spans="2:2" x14ac:dyDescent="0.25">
      <c r="B9240" t="str">
        <f>IF(C9240="","",C9240&amp;COUNTIF(C$9:C9240,C9240))</f>
        <v/>
      </c>
    </row>
    <row r="9241" spans="2:2" x14ac:dyDescent="0.25">
      <c r="B9241" t="str">
        <f>IF(C9241="","",C9241&amp;COUNTIF(C$9:C9241,C9241))</f>
        <v/>
      </c>
    </row>
    <row r="9242" spans="2:2" x14ac:dyDescent="0.25">
      <c r="B9242" t="str">
        <f>IF(C9242="","",C9242&amp;COUNTIF(C$9:C9242,C9242))</f>
        <v/>
      </c>
    </row>
    <row r="9243" spans="2:2" x14ac:dyDescent="0.25">
      <c r="B9243" t="str">
        <f>IF(C9243="","",C9243&amp;COUNTIF(C$9:C9243,C9243))</f>
        <v/>
      </c>
    </row>
    <row r="9244" spans="2:2" x14ac:dyDescent="0.25">
      <c r="B9244" t="str">
        <f>IF(C9244="","",C9244&amp;COUNTIF(C$9:C9244,C9244))</f>
        <v/>
      </c>
    </row>
    <row r="9245" spans="2:2" x14ac:dyDescent="0.25">
      <c r="B9245" t="str">
        <f>IF(C9245="","",C9245&amp;COUNTIF(C$9:C9245,C9245))</f>
        <v/>
      </c>
    </row>
    <row r="9246" spans="2:2" x14ac:dyDescent="0.25">
      <c r="B9246" t="str">
        <f>IF(C9246="","",C9246&amp;COUNTIF(C$9:C9246,C9246))</f>
        <v/>
      </c>
    </row>
    <row r="9247" spans="2:2" x14ac:dyDescent="0.25">
      <c r="B9247" t="str">
        <f>IF(C9247="","",C9247&amp;COUNTIF(C$9:C9247,C9247))</f>
        <v/>
      </c>
    </row>
    <row r="9248" spans="2:2" x14ac:dyDescent="0.25">
      <c r="B9248" t="str">
        <f>IF(C9248="","",C9248&amp;COUNTIF(C$9:C9248,C9248))</f>
        <v/>
      </c>
    </row>
    <row r="9249" spans="2:2" x14ac:dyDescent="0.25">
      <c r="B9249" t="str">
        <f>IF(C9249="","",C9249&amp;COUNTIF(C$9:C9249,C9249))</f>
        <v/>
      </c>
    </row>
    <row r="9250" spans="2:2" x14ac:dyDescent="0.25">
      <c r="B9250" t="str">
        <f>IF(C9250="","",C9250&amp;COUNTIF(C$9:C9250,C9250))</f>
        <v/>
      </c>
    </row>
    <row r="9251" spans="2:2" x14ac:dyDescent="0.25">
      <c r="B9251" t="str">
        <f>IF(C9251="","",C9251&amp;COUNTIF(C$9:C9251,C9251))</f>
        <v/>
      </c>
    </row>
    <row r="9252" spans="2:2" x14ac:dyDescent="0.25">
      <c r="B9252" t="str">
        <f>IF(C9252="","",C9252&amp;COUNTIF(C$9:C9252,C9252))</f>
        <v/>
      </c>
    </row>
    <row r="9253" spans="2:2" x14ac:dyDescent="0.25">
      <c r="B9253" t="str">
        <f>IF(C9253="","",C9253&amp;COUNTIF(C$9:C9253,C9253))</f>
        <v/>
      </c>
    </row>
    <row r="9254" spans="2:2" x14ac:dyDescent="0.25">
      <c r="B9254" t="str">
        <f>IF(C9254="","",C9254&amp;COUNTIF(C$9:C9254,C9254))</f>
        <v/>
      </c>
    </row>
    <row r="9255" spans="2:2" x14ac:dyDescent="0.25">
      <c r="B9255" t="str">
        <f>IF(C9255="","",C9255&amp;COUNTIF(C$9:C9255,C9255))</f>
        <v/>
      </c>
    </row>
    <row r="9256" spans="2:2" x14ac:dyDescent="0.25">
      <c r="B9256" t="str">
        <f>IF(C9256="","",C9256&amp;COUNTIF(C$9:C9256,C9256))</f>
        <v/>
      </c>
    </row>
    <row r="9257" spans="2:2" x14ac:dyDescent="0.25">
      <c r="B9257" t="str">
        <f>IF(C9257="","",C9257&amp;COUNTIF(C$9:C9257,C9257))</f>
        <v/>
      </c>
    </row>
    <row r="9258" spans="2:2" x14ac:dyDescent="0.25">
      <c r="B9258" t="str">
        <f>IF(C9258="","",C9258&amp;COUNTIF(C$9:C9258,C9258))</f>
        <v/>
      </c>
    </row>
    <row r="9259" spans="2:2" x14ac:dyDescent="0.25">
      <c r="B9259" t="str">
        <f>IF(C9259="","",C9259&amp;COUNTIF(C$9:C9259,C9259))</f>
        <v/>
      </c>
    </row>
    <row r="9260" spans="2:2" x14ac:dyDescent="0.25">
      <c r="B9260" t="str">
        <f>IF(C9260="","",C9260&amp;COUNTIF(C$9:C9260,C9260))</f>
        <v/>
      </c>
    </row>
    <row r="9261" spans="2:2" x14ac:dyDescent="0.25">
      <c r="B9261" t="str">
        <f>IF(C9261="","",C9261&amp;COUNTIF(C$9:C9261,C9261))</f>
        <v/>
      </c>
    </row>
    <row r="9262" spans="2:2" x14ac:dyDescent="0.25">
      <c r="B9262" t="str">
        <f>IF(C9262="","",C9262&amp;COUNTIF(C$9:C9262,C9262))</f>
        <v/>
      </c>
    </row>
    <row r="9263" spans="2:2" x14ac:dyDescent="0.25">
      <c r="B9263" t="str">
        <f>IF(C9263="","",C9263&amp;COUNTIF(C$9:C9263,C9263))</f>
        <v/>
      </c>
    </row>
    <row r="9264" spans="2:2" x14ac:dyDescent="0.25">
      <c r="B9264" t="str">
        <f>IF(C9264="","",C9264&amp;COUNTIF(C$9:C9264,C9264))</f>
        <v/>
      </c>
    </row>
    <row r="9265" spans="2:2" x14ac:dyDescent="0.25">
      <c r="B9265" t="str">
        <f>IF(C9265="","",C9265&amp;COUNTIF(C$9:C9265,C9265))</f>
        <v/>
      </c>
    </row>
    <row r="9266" spans="2:2" x14ac:dyDescent="0.25">
      <c r="B9266" t="str">
        <f>IF(C9266="","",C9266&amp;COUNTIF(C$9:C9266,C9266))</f>
        <v/>
      </c>
    </row>
    <row r="9267" spans="2:2" x14ac:dyDescent="0.25">
      <c r="B9267" t="str">
        <f>IF(C9267="","",C9267&amp;COUNTIF(C$9:C9267,C9267))</f>
        <v/>
      </c>
    </row>
    <row r="9268" spans="2:2" x14ac:dyDescent="0.25">
      <c r="B9268" t="str">
        <f>IF(C9268="","",C9268&amp;COUNTIF(C$9:C9268,C9268))</f>
        <v/>
      </c>
    </row>
    <row r="9269" spans="2:2" x14ac:dyDescent="0.25">
      <c r="B9269" t="str">
        <f>IF(C9269="","",C9269&amp;COUNTIF(C$9:C9269,C9269))</f>
        <v/>
      </c>
    </row>
    <row r="9270" spans="2:2" x14ac:dyDescent="0.25">
      <c r="B9270" t="str">
        <f>IF(C9270="","",C9270&amp;COUNTIF(C$9:C9270,C9270))</f>
        <v/>
      </c>
    </row>
    <row r="9271" spans="2:2" x14ac:dyDescent="0.25">
      <c r="B9271" t="str">
        <f>IF(C9271="","",C9271&amp;COUNTIF(C$9:C9271,C9271))</f>
        <v/>
      </c>
    </row>
    <row r="9272" spans="2:2" x14ac:dyDescent="0.25">
      <c r="B9272" t="str">
        <f>IF(C9272="","",C9272&amp;COUNTIF(C$9:C9272,C9272))</f>
        <v/>
      </c>
    </row>
    <row r="9273" spans="2:2" x14ac:dyDescent="0.25">
      <c r="B9273" t="str">
        <f>IF(C9273="","",C9273&amp;COUNTIF(C$9:C9273,C9273))</f>
        <v/>
      </c>
    </row>
    <row r="9274" spans="2:2" x14ac:dyDescent="0.25">
      <c r="B9274" t="str">
        <f>IF(C9274="","",C9274&amp;COUNTIF(C$9:C9274,C9274))</f>
        <v/>
      </c>
    </row>
    <row r="9275" spans="2:2" x14ac:dyDescent="0.25">
      <c r="B9275" t="str">
        <f>IF(C9275="","",C9275&amp;COUNTIF(C$9:C9275,C9275))</f>
        <v/>
      </c>
    </row>
    <row r="9276" spans="2:2" x14ac:dyDescent="0.25">
      <c r="B9276" t="str">
        <f>IF(C9276="","",C9276&amp;COUNTIF(C$9:C9276,C9276))</f>
        <v/>
      </c>
    </row>
    <row r="9277" spans="2:2" x14ac:dyDescent="0.25">
      <c r="B9277" t="str">
        <f>IF(C9277="","",C9277&amp;COUNTIF(C$9:C9277,C9277))</f>
        <v/>
      </c>
    </row>
    <row r="9278" spans="2:2" x14ac:dyDescent="0.25">
      <c r="B9278" t="str">
        <f>IF(C9278="","",C9278&amp;COUNTIF(C$9:C9278,C9278))</f>
        <v/>
      </c>
    </row>
    <row r="9279" spans="2:2" x14ac:dyDescent="0.25">
      <c r="B9279" t="str">
        <f>IF(C9279="","",C9279&amp;COUNTIF(C$9:C9279,C9279))</f>
        <v/>
      </c>
    </row>
    <row r="9280" spans="2:2" x14ac:dyDescent="0.25">
      <c r="B9280" t="str">
        <f>IF(C9280="","",C9280&amp;COUNTIF(C$9:C9280,C9280))</f>
        <v/>
      </c>
    </row>
    <row r="9281" spans="2:2" x14ac:dyDescent="0.25">
      <c r="B9281" t="str">
        <f>IF(C9281="","",C9281&amp;COUNTIF(C$9:C9281,C9281))</f>
        <v/>
      </c>
    </row>
    <row r="9282" spans="2:2" x14ac:dyDescent="0.25">
      <c r="B9282" t="str">
        <f>IF(C9282="","",C9282&amp;COUNTIF(C$9:C9282,C9282))</f>
        <v/>
      </c>
    </row>
    <row r="9283" spans="2:2" x14ac:dyDescent="0.25">
      <c r="B9283" t="str">
        <f>IF(C9283="","",C9283&amp;COUNTIF(C$9:C9283,C9283))</f>
        <v/>
      </c>
    </row>
    <row r="9284" spans="2:2" x14ac:dyDescent="0.25">
      <c r="B9284" t="str">
        <f>IF(C9284="","",C9284&amp;COUNTIF(C$9:C9284,C9284))</f>
        <v/>
      </c>
    </row>
    <row r="9285" spans="2:2" x14ac:dyDescent="0.25">
      <c r="B9285" t="str">
        <f>IF(C9285="","",C9285&amp;COUNTIF(C$9:C9285,C9285))</f>
        <v/>
      </c>
    </row>
    <row r="9286" spans="2:2" x14ac:dyDescent="0.25">
      <c r="B9286" t="str">
        <f>IF(C9286="","",C9286&amp;COUNTIF(C$9:C9286,C9286))</f>
        <v/>
      </c>
    </row>
    <row r="9287" spans="2:2" x14ac:dyDescent="0.25">
      <c r="B9287" t="str">
        <f>IF(C9287="","",C9287&amp;COUNTIF(C$9:C9287,C9287))</f>
        <v/>
      </c>
    </row>
    <row r="9288" spans="2:2" x14ac:dyDescent="0.25">
      <c r="B9288" t="str">
        <f>IF(C9288="","",C9288&amp;COUNTIF(C$9:C9288,C9288))</f>
        <v/>
      </c>
    </row>
    <row r="9289" spans="2:2" x14ac:dyDescent="0.25">
      <c r="B9289" t="str">
        <f>IF(C9289="","",C9289&amp;COUNTIF(C$9:C9289,C9289))</f>
        <v/>
      </c>
    </row>
    <row r="9290" spans="2:2" x14ac:dyDescent="0.25">
      <c r="B9290" t="str">
        <f>IF(C9290="","",C9290&amp;COUNTIF(C$9:C9290,C9290))</f>
        <v/>
      </c>
    </row>
    <row r="9291" spans="2:2" x14ac:dyDescent="0.25">
      <c r="B9291" t="str">
        <f>IF(C9291="","",C9291&amp;COUNTIF(C$9:C9291,C9291))</f>
        <v/>
      </c>
    </row>
    <row r="9292" spans="2:2" x14ac:dyDescent="0.25">
      <c r="B9292" t="str">
        <f>IF(C9292="","",C9292&amp;COUNTIF(C$9:C9292,C9292))</f>
        <v/>
      </c>
    </row>
    <row r="9293" spans="2:2" x14ac:dyDescent="0.25">
      <c r="B9293" t="str">
        <f>IF(C9293="","",C9293&amp;COUNTIF(C$9:C9293,C9293))</f>
        <v/>
      </c>
    </row>
    <row r="9294" spans="2:2" x14ac:dyDescent="0.25">
      <c r="B9294" t="str">
        <f>IF(C9294="","",C9294&amp;COUNTIF(C$9:C9294,C9294))</f>
        <v/>
      </c>
    </row>
    <row r="9295" spans="2:2" x14ac:dyDescent="0.25">
      <c r="B9295" t="str">
        <f>IF(C9295="","",C9295&amp;COUNTIF(C$9:C9295,C9295))</f>
        <v/>
      </c>
    </row>
    <row r="9296" spans="2:2" x14ac:dyDescent="0.25">
      <c r="B9296" t="str">
        <f>IF(C9296="","",C9296&amp;COUNTIF(C$9:C9296,C9296))</f>
        <v/>
      </c>
    </row>
    <row r="9297" spans="2:2" x14ac:dyDescent="0.25">
      <c r="B9297" t="str">
        <f>IF(C9297="","",C9297&amp;COUNTIF(C$9:C9297,C9297))</f>
        <v/>
      </c>
    </row>
    <row r="9298" spans="2:2" x14ac:dyDescent="0.25">
      <c r="B9298" t="str">
        <f>IF(C9298="","",C9298&amp;COUNTIF(C$9:C9298,C9298))</f>
        <v/>
      </c>
    </row>
    <row r="9299" spans="2:2" x14ac:dyDescent="0.25">
      <c r="B9299" t="str">
        <f>IF(C9299="","",C9299&amp;COUNTIF(C$9:C9299,C9299))</f>
        <v/>
      </c>
    </row>
    <row r="9300" spans="2:2" x14ac:dyDescent="0.25">
      <c r="B9300" t="str">
        <f>IF(C9300="","",C9300&amp;COUNTIF(C$9:C9300,C9300))</f>
        <v/>
      </c>
    </row>
    <row r="9301" spans="2:2" x14ac:dyDescent="0.25">
      <c r="B9301" t="str">
        <f>IF(C9301="","",C9301&amp;COUNTIF(C$9:C9301,C9301))</f>
        <v/>
      </c>
    </row>
    <row r="9302" spans="2:2" x14ac:dyDescent="0.25">
      <c r="B9302" t="str">
        <f>IF(C9302="","",C9302&amp;COUNTIF(C$9:C9302,C9302))</f>
        <v/>
      </c>
    </row>
    <row r="9303" spans="2:2" x14ac:dyDescent="0.25">
      <c r="B9303" t="str">
        <f>IF(C9303="","",C9303&amp;COUNTIF(C$9:C9303,C9303))</f>
        <v/>
      </c>
    </row>
    <row r="9304" spans="2:2" x14ac:dyDescent="0.25">
      <c r="B9304" t="str">
        <f>IF(C9304="","",C9304&amp;COUNTIF(C$9:C9304,C9304))</f>
        <v/>
      </c>
    </row>
    <row r="9305" spans="2:2" x14ac:dyDescent="0.25">
      <c r="B9305" t="str">
        <f>IF(C9305="","",C9305&amp;COUNTIF(C$9:C9305,C9305))</f>
        <v/>
      </c>
    </row>
    <row r="9306" spans="2:2" x14ac:dyDescent="0.25">
      <c r="B9306" t="str">
        <f>IF(C9306="","",C9306&amp;COUNTIF(C$9:C9306,C9306))</f>
        <v/>
      </c>
    </row>
    <row r="9307" spans="2:2" x14ac:dyDescent="0.25">
      <c r="B9307" t="str">
        <f>IF(C9307="","",C9307&amp;COUNTIF(C$9:C9307,C9307))</f>
        <v/>
      </c>
    </row>
    <row r="9308" spans="2:2" x14ac:dyDescent="0.25">
      <c r="B9308" t="str">
        <f>IF(C9308="","",C9308&amp;COUNTIF(C$9:C9308,C9308))</f>
        <v/>
      </c>
    </row>
    <row r="9309" spans="2:2" x14ac:dyDescent="0.25">
      <c r="B9309" t="str">
        <f>IF(C9309="","",C9309&amp;COUNTIF(C$9:C9309,C9309))</f>
        <v/>
      </c>
    </row>
    <row r="9310" spans="2:2" x14ac:dyDescent="0.25">
      <c r="B9310" t="str">
        <f>IF(C9310="","",C9310&amp;COUNTIF(C$9:C9310,C9310))</f>
        <v/>
      </c>
    </row>
    <row r="9311" spans="2:2" x14ac:dyDescent="0.25">
      <c r="B9311" t="str">
        <f>IF(C9311="","",C9311&amp;COUNTIF(C$9:C9311,C9311))</f>
        <v/>
      </c>
    </row>
    <row r="9312" spans="2:2" x14ac:dyDescent="0.25">
      <c r="B9312" t="str">
        <f>IF(C9312="","",C9312&amp;COUNTIF(C$9:C9312,C9312))</f>
        <v/>
      </c>
    </row>
    <row r="9313" spans="2:2" x14ac:dyDescent="0.25">
      <c r="B9313" t="str">
        <f>IF(C9313="","",C9313&amp;COUNTIF(C$9:C9313,C9313))</f>
        <v/>
      </c>
    </row>
    <row r="9314" spans="2:2" x14ac:dyDescent="0.25">
      <c r="B9314" t="str">
        <f>IF(C9314="","",C9314&amp;COUNTIF(C$9:C9314,C9314))</f>
        <v/>
      </c>
    </row>
    <row r="9315" spans="2:2" x14ac:dyDescent="0.25">
      <c r="B9315" t="str">
        <f>IF(C9315="","",C9315&amp;COUNTIF(C$9:C9315,C9315))</f>
        <v/>
      </c>
    </row>
    <row r="9316" spans="2:2" x14ac:dyDescent="0.25">
      <c r="B9316" t="str">
        <f>IF(C9316="","",C9316&amp;COUNTIF(C$9:C9316,C9316))</f>
        <v/>
      </c>
    </row>
    <row r="9317" spans="2:2" x14ac:dyDescent="0.25">
      <c r="B9317" t="str">
        <f>IF(C9317="","",C9317&amp;COUNTIF(C$9:C9317,C9317))</f>
        <v/>
      </c>
    </row>
    <row r="9318" spans="2:2" x14ac:dyDescent="0.25">
      <c r="B9318" t="str">
        <f>IF(C9318="","",C9318&amp;COUNTIF(C$9:C9318,C9318))</f>
        <v/>
      </c>
    </row>
    <row r="9319" spans="2:2" x14ac:dyDescent="0.25">
      <c r="B9319" t="str">
        <f>IF(C9319="","",C9319&amp;COUNTIF(C$9:C9319,C9319))</f>
        <v/>
      </c>
    </row>
    <row r="9320" spans="2:2" x14ac:dyDescent="0.25">
      <c r="B9320" t="str">
        <f>IF(C9320="","",C9320&amp;COUNTIF(C$9:C9320,C9320))</f>
        <v/>
      </c>
    </row>
    <row r="9321" spans="2:2" x14ac:dyDescent="0.25">
      <c r="B9321" t="str">
        <f>IF(C9321="","",C9321&amp;COUNTIF(C$9:C9321,C9321))</f>
        <v/>
      </c>
    </row>
    <row r="9322" spans="2:2" x14ac:dyDescent="0.25">
      <c r="B9322" t="str">
        <f>IF(C9322="","",C9322&amp;COUNTIF(C$9:C9322,C9322))</f>
        <v/>
      </c>
    </row>
    <row r="9323" spans="2:2" x14ac:dyDescent="0.25">
      <c r="B9323" t="str">
        <f>IF(C9323="","",C9323&amp;COUNTIF(C$9:C9323,C9323))</f>
        <v/>
      </c>
    </row>
    <row r="9324" spans="2:2" x14ac:dyDescent="0.25">
      <c r="B9324" t="str">
        <f>IF(C9324="","",C9324&amp;COUNTIF(C$9:C9324,C9324))</f>
        <v/>
      </c>
    </row>
    <row r="9325" spans="2:2" x14ac:dyDescent="0.25">
      <c r="B9325" t="str">
        <f>IF(C9325="","",C9325&amp;COUNTIF(C$9:C9325,C9325))</f>
        <v/>
      </c>
    </row>
    <row r="9326" spans="2:2" x14ac:dyDescent="0.25">
      <c r="B9326" t="str">
        <f>IF(C9326="","",C9326&amp;COUNTIF(C$9:C9326,C9326))</f>
        <v/>
      </c>
    </row>
    <row r="9327" spans="2:2" x14ac:dyDescent="0.25">
      <c r="B9327" t="str">
        <f>IF(C9327="","",C9327&amp;COUNTIF(C$9:C9327,C9327))</f>
        <v/>
      </c>
    </row>
    <row r="9328" spans="2:2" x14ac:dyDescent="0.25">
      <c r="B9328" t="str">
        <f>IF(C9328="","",C9328&amp;COUNTIF(C$9:C9328,C9328))</f>
        <v/>
      </c>
    </row>
    <row r="9329" spans="2:2" x14ac:dyDescent="0.25">
      <c r="B9329" t="str">
        <f>IF(C9329="","",C9329&amp;COUNTIF(C$9:C9329,C9329))</f>
        <v/>
      </c>
    </row>
    <row r="9330" spans="2:2" x14ac:dyDescent="0.25">
      <c r="B9330" t="str">
        <f>IF(C9330="","",C9330&amp;COUNTIF(C$9:C9330,C9330))</f>
        <v/>
      </c>
    </row>
    <row r="9331" spans="2:2" x14ac:dyDescent="0.25">
      <c r="B9331" t="str">
        <f>IF(C9331="","",C9331&amp;COUNTIF(C$9:C9331,C9331))</f>
        <v/>
      </c>
    </row>
    <row r="9332" spans="2:2" x14ac:dyDescent="0.25">
      <c r="B9332" t="str">
        <f>IF(C9332="","",C9332&amp;COUNTIF(C$9:C9332,C9332))</f>
        <v/>
      </c>
    </row>
    <row r="9333" spans="2:2" x14ac:dyDescent="0.25">
      <c r="B9333" t="str">
        <f>IF(C9333="","",C9333&amp;COUNTIF(C$9:C9333,C9333))</f>
        <v/>
      </c>
    </row>
    <row r="9334" spans="2:2" x14ac:dyDescent="0.25">
      <c r="B9334" t="str">
        <f>IF(C9334="","",C9334&amp;COUNTIF(C$9:C9334,C9334))</f>
        <v/>
      </c>
    </row>
    <row r="9335" spans="2:2" x14ac:dyDescent="0.25">
      <c r="B9335" t="str">
        <f>IF(C9335="","",C9335&amp;COUNTIF(C$9:C9335,C9335))</f>
        <v/>
      </c>
    </row>
    <row r="9336" spans="2:2" x14ac:dyDescent="0.25">
      <c r="B9336" t="str">
        <f>IF(C9336="","",C9336&amp;COUNTIF(C$9:C9336,C9336))</f>
        <v/>
      </c>
    </row>
    <row r="9337" spans="2:2" x14ac:dyDescent="0.25">
      <c r="B9337" t="str">
        <f>IF(C9337="","",C9337&amp;COUNTIF(C$9:C9337,C9337))</f>
        <v/>
      </c>
    </row>
    <row r="9338" spans="2:2" x14ac:dyDescent="0.25">
      <c r="B9338" t="str">
        <f>IF(C9338="","",C9338&amp;COUNTIF(C$9:C9338,C9338))</f>
        <v/>
      </c>
    </row>
    <row r="9339" spans="2:2" x14ac:dyDescent="0.25">
      <c r="B9339" t="str">
        <f>IF(C9339="","",C9339&amp;COUNTIF(C$9:C9339,C9339))</f>
        <v/>
      </c>
    </row>
    <row r="9340" spans="2:2" x14ac:dyDescent="0.25">
      <c r="B9340" t="str">
        <f>IF(C9340="","",C9340&amp;COUNTIF(C$9:C9340,C9340))</f>
        <v/>
      </c>
    </row>
    <row r="9341" spans="2:2" x14ac:dyDescent="0.25">
      <c r="B9341" t="str">
        <f>IF(C9341="","",C9341&amp;COUNTIF(C$9:C9341,C9341))</f>
        <v/>
      </c>
    </row>
    <row r="9342" spans="2:2" x14ac:dyDescent="0.25">
      <c r="B9342" t="str">
        <f>IF(C9342="","",C9342&amp;COUNTIF(C$9:C9342,C9342))</f>
        <v/>
      </c>
    </row>
    <row r="9343" spans="2:2" x14ac:dyDescent="0.25">
      <c r="B9343" t="str">
        <f>IF(C9343="","",C9343&amp;COUNTIF(C$9:C9343,C9343))</f>
        <v/>
      </c>
    </row>
    <row r="9344" spans="2:2" x14ac:dyDescent="0.25">
      <c r="B9344" t="str">
        <f>IF(C9344="","",C9344&amp;COUNTIF(C$9:C9344,C9344))</f>
        <v/>
      </c>
    </row>
    <row r="9345" spans="2:2" x14ac:dyDescent="0.25">
      <c r="B9345" t="str">
        <f>IF(C9345="","",C9345&amp;COUNTIF(C$9:C9345,C9345))</f>
        <v/>
      </c>
    </row>
    <row r="9346" spans="2:2" x14ac:dyDescent="0.25">
      <c r="B9346" t="str">
        <f>IF(C9346="","",C9346&amp;COUNTIF(C$9:C9346,C9346))</f>
        <v/>
      </c>
    </row>
    <row r="9347" spans="2:2" x14ac:dyDescent="0.25">
      <c r="B9347" t="str">
        <f>IF(C9347="","",C9347&amp;COUNTIF(C$9:C9347,C9347))</f>
        <v/>
      </c>
    </row>
    <row r="9348" spans="2:2" x14ac:dyDescent="0.25">
      <c r="B9348" t="str">
        <f>IF(C9348="","",C9348&amp;COUNTIF(C$9:C9348,C9348))</f>
        <v/>
      </c>
    </row>
    <row r="9349" spans="2:2" x14ac:dyDescent="0.25">
      <c r="B9349" t="str">
        <f>IF(C9349="","",C9349&amp;COUNTIF(C$9:C9349,C9349))</f>
        <v/>
      </c>
    </row>
    <row r="9350" spans="2:2" x14ac:dyDescent="0.25">
      <c r="B9350" t="str">
        <f>IF(C9350="","",C9350&amp;COUNTIF(C$9:C9350,C9350))</f>
        <v/>
      </c>
    </row>
    <row r="9351" spans="2:2" x14ac:dyDescent="0.25">
      <c r="B9351" t="str">
        <f>IF(C9351="","",C9351&amp;COUNTIF(C$9:C9351,C9351))</f>
        <v/>
      </c>
    </row>
    <row r="9352" spans="2:2" x14ac:dyDescent="0.25">
      <c r="B9352" t="str">
        <f>IF(C9352="","",C9352&amp;COUNTIF(C$9:C9352,C9352))</f>
        <v/>
      </c>
    </row>
    <row r="9353" spans="2:2" x14ac:dyDescent="0.25">
      <c r="B9353" t="str">
        <f>IF(C9353="","",C9353&amp;COUNTIF(C$9:C9353,C9353))</f>
        <v/>
      </c>
    </row>
    <row r="9354" spans="2:2" x14ac:dyDescent="0.25">
      <c r="B9354" t="str">
        <f>IF(C9354="","",C9354&amp;COUNTIF(C$9:C9354,C9354))</f>
        <v/>
      </c>
    </row>
    <row r="9355" spans="2:2" x14ac:dyDescent="0.25">
      <c r="B9355" t="str">
        <f>IF(C9355="","",C9355&amp;COUNTIF(C$9:C9355,C9355))</f>
        <v/>
      </c>
    </row>
    <row r="9356" spans="2:2" x14ac:dyDescent="0.25">
      <c r="B9356" t="str">
        <f>IF(C9356="","",C9356&amp;COUNTIF(C$9:C9356,C9356))</f>
        <v/>
      </c>
    </row>
    <row r="9357" spans="2:2" x14ac:dyDescent="0.25">
      <c r="B9357" t="str">
        <f>IF(C9357="","",C9357&amp;COUNTIF(C$9:C9357,C9357))</f>
        <v/>
      </c>
    </row>
    <row r="9358" spans="2:2" x14ac:dyDescent="0.25">
      <c r="B9358" t="str">
        <f>IF(C9358="","",C9358&amp;COUNTIF(C$9:C9358,C9358))</f>
        <v/>
      </c>
    </row>
    <row r="9359" spans="2:2" x14ac:dyDescent="0.25">
      <c r="B9359" t="str">
        <f>IF(C9359="","",C9359&amp;COUNTIF(C$9:C9359,C9359))</f>
        <v/>
      </c>
    </row>
    <row r="9360" spans="2:2" x14ac:dyDescent="0.25">
      <c r="B9360" t="str">
        <f>IF(C9360="","",C9360&amp;COUNTIF(C$9:C9360,C9360))</f>
        <v/>
      </c>
    </row>
    <row r="9361" spans="2:2" x14ac:dyDescent="0.25">
      <c r="B9361" t="str">
        <f>IF(C9361="","",C9361&amp;COUNTIF(C$9:C9361,C9361))</f>
        <v/>
      </c>
    </row>
    <row r="9362" spans="2:2" x14ac:dyDescent="0.25">
      <c r="B9362" t="str">
        <f>IF(C9362="","",C9362&amp;COUNTIF(C$9:C9362,C9362))</f>
        <v/>
      </c>
    </row>
    <row r="9363" spans="2:2" x14ac:dyDescent="0.25">
      <c r="B9363" t="str">
        <f>IF(C9363="","",C9363&amp;COUNTIF(C$9:C9363,C9363))</f>
        <v/>
      </c>
    </row>
    <row r="9364" spans="2:2" x14ac:dyDescent="0.25">
      <c r="B9364" t="str">
        <f>IF(C9364="","",C9364&amp;COUNTIF(C$9:C9364,C9364))</f>
        <v/>
      </c>
    </row>
    <row r="9365" spans="2:2" x14ac:dyDescent="0.25">
      <c r="B9365" t="str">
        <f>IF(C9365="","",C9365&amp;COUNTIF(C$9:C9365,C9365))</f>
        <v/>
      </c>
    </row>
    <row r="9366" spans="2:2" x14ac:dyDescent="0.25">
      <c r="B9366" t="str">
        <f>IF(C9366="","",C9366&amp;COUNTIF(C$9:C9366,C9366))</f>
        <v/>
      </c>
    </row>
    <row r="9367" spans="2:2" x14ac:dyDescent="0.25">
      <c r="B9367" t="str">
        <f>IF(C9367="","",C9367&amp;COUNTIF(C$9:C9367,C9367))</f>
        <v/>
      </c>
    </row>
    <row r="9368" spans="2:2" x14ac:dyDescent="0.25">
      <c r="B9368" t="str">
        <f>IF(C9368="","",C9368&amp;COUNTIF(C$9:C9368,C9368))</f>
        <v/>
      </c>
    </row>
    <row r="9369" spans="2:2" x14ac:dyDescent="0.25">
      <c r="B9369" t="str">
        <f>IF(C9369="","",C9369&amp;COUNTIF(C$9:C9369,C9369))</f>
        <v/>
      </c>
    </row>
    <row r="9370" spans="2:2" x14ac:dyDescent="0.25">
      <c r="B9370" t="str">
        <f>IF(C9370="","",C9370&amp;COUNTIF(C$9:C9370,C9370))</f>
        <v/>
      </c>
    </row>
    <row r="9371" spans="2:2" x14ac:dyDescent="0.25">
      <c r="B9371" t="str">
        <f>IF(C9371="","",C9371&amp;COUNTIF(C$9:C9371,C9371))</f>
        <v/>
      </c>
    </row>
    <row r="9372" spans="2:2" x14ac:dyDescent="0.25">
      <c r="B9372" t="str">
        <f>IF(C9372="","",C9372&amp;COUNTIF(C$9:C9372,C9372))</f>
        <v/>
      </c>
    </row>
    <row r="9373" spans="2:2" x14ac:dyDescent="0.25">
      <c r="B9373" t="str">
        <f>IF(C9373="","",C9373&amp;COUNTIF(C$9:C9373,C9373))</f>
        <v/>
      </c>
    </row>
    <row r="9374" spans="2:2" x14ac:dyDescent="0.25">
      <c r="B9374" t="str">
        <f>IF(C9374="","",C9374&amp;COUNTIF(C$9:C9374,C9374))</f>
        <v/>
      </c>
    </row>
    <row r="9375" spans="2:2" x14ac:dyDescent="0.25">
      <c r="B9375" t="str">
        <f>IF(C9375="","",C9375&amp;COUNTIF(C$9:C9375,C9375))</f>
        <v/>
      </c>
    </row>
    <row r="9376" spans="2:2" x14ac:dyDescent="0.25">
      <c r="B9376" t="str">
        <f>IF(C9376="","",C9376&amp;COUNTIF(C$9:C9376,C9376))</f>
        <v/>
      </c>
    </row>
    <row r="9377" spans="2:2" x14ac:dyDescent="0.25">
      <c r="B9377" t="str">
        <f>IF(C9377="","",C9377&amp;COUNTIF(C$9:C9377,C9377))</f>
        <v/>
      </c>
    </row>
    <row r="9378" spans="2:2" x14ac:dyDescent="0.25">
      <c r="B9378" t="str">
        <f>IF(C9378="","",C9378&amp;COUNTIF(C$9:C9378,C9378))</f>
        <v/>
      </c>
    </row>
    <row r="9379" spans="2:2" x14ac:dyDescent="0.25">
      <c r="B9379" t="str">
        <f>IF(C9379="","",C9379&amp;COUNTIF(C$9:C9379,C9379))</f>
        <v/>
      </c>
    </row>
    <row r="9380" spans="2:2" x14ac:dyDescent="0.25">
      <c r="B9380" t="str">
        <f>IF(C9380="","",C9380&amp;COUNTIF(C$9:C9380,C9380))</f>
        <v/>
      </c>
    </row>
    <row r="9381" spans="2:2" x14ac:dyDescent="0.25">
      <c r="B9381" t="str">
        <f>IF(C9381="","",C9381&amp;COUNTIF(C$9:C9381,C9381))</f>
        <v/>
      </c>
    </row>
    <row r="9382" spans="2:2" x14ac:dyDescent="0.25">
      <c r="B9382" t="str">
        <f>IF(C9382="","",C9382&amp;COUNTIF(C$9:C9382,C9382))</f>
        <v/>
      </c>
    </row>
    <row r="9383" spans="2:2" x14ac:dyDescent="0.25">
      <c r="B9383" t="str">
        <f>IF(C9383="","",C9383&amp;COUNTIF(C$9:C9383,C9383))</f>
        <v/>
      </c>
    </row>
    <row r="9384" spans="2:2" x14ac:dyDescent="0.25">
      <c r="B9384" t="str">
        <f>IF(C9384="","",C9384&amp;COUNTIF(C$9:C9384,C9384))</f>
        <v/>
      </c>
    </row>
    <row r="9385" spans="2:2" x14ac:dyDescent="0.25">
      <c r="B9385" t="str">
        <f>IF(C9385="","",C9385&amp;COUNTIF(C$9:C9385,C9385))</f>
        <v/>
      </c>
    </row>
    <row r="9386" spans="2:2" x14ac:dyDescent="0.25">
      <c r="B9386" t="str">
        <f>IF(C9386="","",C9386&amp;COUNTIF(C$9:C9386,C9386))</f>
        <v/>
      </c>
    </row>
    <row r="9387" spans="2:2" x14ac:dyDescent="0.25">
      <c r="B9387" t="str">
        <f>IF(C9387="","",C9387&amp;COUNTIF(C$9:C9387,C9387))</f>
        <v/>
      </c>
    </row>
    <row r="9388" spans="2:2" x14ac:dyDescent="0.25">
      <c r="B9388" t="str">
        <f>IF(C9388="","",C9388&amp;COUNTIF(C$9:C9388,C9388))</f>
        <v/>
      </c>
    </row>
    <row r="9389" spans="2:2" x14ac:dyDescent="0.25">
      <c r="B9389" t="str">
        <f>IF(C9389="","",C9389&amp;COUNTIF(C$9:C9389,C9389))</f>
        <v/>
      </c>
    </row>
    <row r="9390" spans="2:2" x14ac:dyDescent="0.25">
      <c r="B9390" t="str">
        <f>IF(C9390="","",C9390&amp;COUNTIF(C$9:C9390,C9390))</f>
        <v/>
      </c>
    </row>
    <row r="9391" spans="2:2" x14ac:dyDescent="0.25">
      <c r="B9391" t="str">
        <f>IF(C9391="","",C9391&amp;COUNTIF(C$9:C9391,C9391))</f>
        <v/>
      </c>
    </row>
    <row r="9392" spans="2:2" x14ac:dyDescent="0.25">
      <c r="B9392" t="str">
        <f>IF(C9392="","",C9392&amp;COUNTIF(C$9:C9392,C9392))</f>
        <v/>
      </c>
    </row>
    <row r="9393" spans="2:2" x14ac:dyDescent="0.25">
      <c r="B9393" t="str">
        <f>IF(C9393="","",C9393&amp;COUNTIF(C$9:C9393,C9393))</f>
        <v/>
      </c>
    </row>
    <row r="9394" spans="2:2" x14ac:dyDescent="0.25">
      <c r="B9394" t="str">
        <f>IF(C9394="","",C9394&amp;COUNTIF(C$9:C9394,C9394))</f>
        <v/>
      </c>
    </row>
    <row r="9395" spans="2:2" x14ac:dyDescent="0.25">
      <c r="B9395" t="str">
        <f>IF(C9395="","",C9395&amp;COUNTIF(C$9:C9395,C9395))</f>
        <v/>
      </c>
    </row>
    <row r="9396" spans="2:2" x14ac:dyDescent="0.25">
      <c r="B9396" t="str">
        <f>IF(C9396="","",C9396&amp;COUNTIF(C$9:C9396,C9396))</f>
        <v/>
      </c>
    </row>
    <row r="9397" spans="2:2" x14ac:dyDescent="0.25">
      <c r="B9397" t="str">
        <f>IF(C9397="","",C9397&amp;COUNTIF(C$9:C9397,C9397))</f>
        <v/>
      </c>
    </row>
    <row r="9398" spans="2:2" x14ac:dyDescent="0.25">
      <c r="B9398" t="str">
        <f>IF(C9398="","",C9398&amp;COUNTIF(C$9:C9398,C9398))</f>
        <v/>
      </c>
    </row>
    <row r="9399" spans="2:2" x14ac:dyDescent="0.25">
      <c r="B9399" t="str">
        <f>IF(C9399="","",C9399&amp;COUNTIF(C$9:C9399,C9399))</f>
        <v/>
      </c>
    </row>
    <row r="9400" spans="2:2" x14ac:dyDescent="0.25">
      <c r="B9400" t="str">
        <f>IF(C9400="","",C9400&amp;COUNTIF(C$9:C9400,C9400))</f>
        <v/>
      </c>
    </row>
    <row r="9401" spans="2:2" x14ac:dyDescent="0.25">
      <c r="B9401" t="str">
        <f>IF(C9401="","",C9401&amp;COUNTIF(C$9:C9401,C9401))</f>
        <v/>
      </c>
    </row>
    <row r="9402" spans="2:2" x14ac:dyDescent="0.25">
      <c r="B9402" t="str">
        <f>IF(C9402="","",C9402&amp;COUNTIF(C$9:C9402,C9402))</f>
        <v/>
      </c>
    </row>
    <row r="9403" spans="2:2" x14ac:dyDescent="0.25">
      <c r="B9403" t="str">
        <f>IF(C9403="","",C9403&amp;COUNTIF(C$9:C9403,C9403))</f>
        <v/>
      </c>
    </row>
    <row r="9404" spans="2:2" x14ac:dyDescent="0.25">
      <c r="B9404" t="str">
        <f>IF(C9404="","",C9404&amp;COUNTIF(C$9:C9404,C9404))</f>
        <v/>
      </c>
    </row>
    <row r="9405" spans="2:2" x14ac:dyDescent="0.25">
      <c r="B9405" t="str">
        <f>IF(C9405="","",C9405&amp;COUNTIF(C$9:C9405,C9405))</f>
        <v/>
      </c>
    </row>
    <row r="9406" spans="2:2" x14ac:dyDescent="0.25">
      <c r="B9406" t="str">
        <f>IF(C9406="","",C9406&amp;COUNTIF(C$9:C9406,C9406))</f>
        <v/>
      </c>
    </row>
    <row r="9407" spans="2:2" x14ac:dyDescent="0.25">
      <c r="B9407" t="str">
        <f>IF(C9407="","",C9407&amp;COUNTIF(C$9:C9407,C9407))</f>
        <v/>
      </c>
    </row>
    <row r="9408" spans="2:2" x14ac:dyDescent="0.25">
      <c r="B9408" t="str">
        <f>IF(C9408="","",C9408&amp;COUNTIF(C$9:C9408,C9408))</f>
        <v/>
      </c>
    </row>
    <row r="9409" spans="2:2" x14ac:dyDescent="0.25">
      <c r="B9409" t="str">
        <f>IF(C9409="","",C9409&amp;COUNTIF(C$9:C9409,C9409))</f>
        <v/>
      </c>
    </row>
    <row r="9410" spans="2:2" x14ac:dyDescent="0.25">
      <c r="B9410" t="str">
        <f>IF(C9410="","",C9410&amp;COUNTIF(C$9:C9410,C9410))</f>
        <v/>
      </c>
    </row>
    <row r="9411" spans="2:2" x14ac:dyDescent="0.25">
      <c r="B9411" t="str">
        <f>IF(C9411="","",C9411&amp;COUNTIF(C$9:C9411,C9411))</f>
        <v/>
      </c>
    </row>
    <row r="9412" spans="2:2" x14ac:dyDescent="0.25">
      <c r="B9412" t="str">
        <f>IF(C9412="","",C9412&amp;COUNTIF(C$9:C9412,C9412))</f>
        <v/>
      </c>
    </row>
    <row r="9413" spans="2:2" x14ac:dyDescent="0.25">
      <c r="B9413" t="str">
        <f>IF(C9413="","",C9413&amp;COUNTIF(C$9:C9413,C9413))</f>
        <v/>
      </c>
    </row>
    <row r="9414" spans="2:2" x14ac:dyDescent="0.25">
      <c r="B9414" t="str">
        <f>IF(C9414="","",C9414&amp;COUNTIF(C$9:C9414,C9414))</f>
        <v/>
      </c>
    </row>
    <row r="9415" spans="2:2" x14ac:dyDescent="0.25">
      <c r="B9415" t="str">
        <f>IF(C9415="","",C9415&amp;COUNTIF(C$9:C9415,C9415))</f>
        <v/>
      </c>
    </row>
    <row r="9416" spans="2:2" x14ac:dyDescent="0.25">
      <c r="B9416" t="str">
        <f>IF(C9416="","",C9416&amp;COUNTIF(C$9:C9416,C9416))</f>
        <v/>
      </c>
    </row>
    <row r="9417" spans="2:2" x14ac:dyDescent="0.25">
      <c r="B9417" t="str">
        <f>IF(C9417="","",C9417&amp;COUNTIF(C$9:C9417,C9417))</f>
        <v/>
      </c>
    </row>
    <row r="9418" spans="2:2" x14ac:dyDescent="0.25">
      <c r="B9418" t="str">
        <f>IF(C9418="","",C9418&amp;COUNTIF(C$9:C9418,C9418))</f>
        <v/>
      </c>
    </row>
    <row r="9419" spans="2:2" x14ac:dyDescent="0.25">
      <c r="B9419" t="str">
        <f>IF(C9419="","",C9419&amp;COUNTIF(C$9:C9419,C9419))</f>
        <v/>
      </c>
    </row>
    <row r="9420" spans="2:2" x14ac:dyDescent="0.25">
      <c r="B9420" t="str">
        <f>IF(C9420="","",C9420&amp;COUNTIF(C$9:C9420,C9420))</f>
        <v/>
      </c>
    </row>
    <row r="9421" spans="2:2" x14ac:dyDescent="0.25">
      <c r="B9421" t="str">
        <f>IF(C9421="","",C9421&amp;COUNTIF(C$9:C9421,C9421))</f>
        <v/>
      </c>
    </row>
    <row r="9422" spans="2:2" x14ac:dyDescent="0.25">
      <c r="B9422" t="str">
        <f>IF(C9422="","",C9422&amp;COUNTIF(C$9:C9422,C9422))</f>
        <v/>
      </c>
    </row>
    <row r="9423" spans="2:2" x14ac:dyDescent="0.25">
      <c r="B9423" t="str">
        <f>IF(C9423="","",C9423&amp;COUNTIF(C$9:C9423,C9423))</f>
        <v/>
      </c>
    </row>
    <row r="9424" spans="2:2" x14ac:dyDescent="0.25">
      <c r="B9424" t="str">
        <f>IF(C9424="","",C9424&amp;COUNTIF(C$9:C9424,C9424))</f>
        <v/>
      </c>
    </row>
    <row r="9425" spans="2:2" x14ac:dyDescent="0.25">
      <c r="B9425" t="str">
        <f>IF(C9425="","",C9425&amp;COUNTIF(C$9:C9425,C9425))</f>
        <v/>
      </c>
    </row>
    <row r="9426" spans="2:2" x14ac:dyDescent="0.25">
      <c r="B9426" t="str">
        <f>IF(C9426="","",C9426&amp;COUNTIF(C$9:C9426,C9426))</f>
        <v/>
      </c>
    </row>
    <row r="9427" spans="2:2" x14ac:dyDescent="0.25">
      <c r="B9427" t="str">
        <f>IF(C9427="","",C9427&amp;COUNTIF(C$9:C9427,C9427))</f>
        <v/>
      </c>
    </row>
    <row r="9428" spans="2:2" x14ac:dyDescent="0.25">
      <c r="B9428" t="str">
        <f>IF(C9428="","",C9428&amp;COUNTIF(C$9:C9428,C9428))</f>
        <v/>
      </c>
    </row>
    <row r="9429" spans="2:2" x14ac:dyDescent="0.25">
      <c r="B9429" t="str">
        <f>IF(C9429="","",C9429&amp;COUNTIF(C$9:C9429,C9429))</f>
        <v/>
      </c>
    </row>
    <row r="9430" spans="2:2" x14ac:dyDescent="0.25">
      <c r="B9430" t="str">
        <f>IF(C9430="","",C9430&amp;COUNTIF(C$9:C9430,C9430))</f>
        <v/>
      </c>
    </row>
    <row r="9431" spans="2:2" x14ac:dyDescent="0.25">
      <c r="B9431" t="str">
        <f>IF(C9431="","",C9431&amp;COUNTIF(C$9:C9431,C9431))</f>
        <v/>
      </c>
    </row>
    <row r="9432" spans="2:2" x14ac:dyDescent="0.25">
      <c r="B9432" t="str">
        <f>IF(C9432="","",C9432&amp;COUNTIF(C$9:C9432,C9432))</f>
        <v/>
      </c>
    </row>
    <row r="9433" spans="2:2" x14ac:dyDescent="0.25">
      <c r="B9433" t="str">
        <f>IF(C9433="","",C9433&amp;COUNTIF(C$9:C9433,C9433))</f>
        <v/>
      </c>
    </row>
    <row r="9434" spans="2:2" x14ac:dyDescent="0.25">
      <c r="B9434" t="str">
        <f>IF(C9434="","",C9434&amp;COUNTIF(C$9:C9434,C9434))</f>
        <v/>
      </c>
    </row>
    <row r="9435" spans="2:2" x14ac:dyDescent="0.25">
      <c r="B9435" t="str">
        <f>IF(C9435="","",C9435&amp;COUNTIF(C$9:C9435,C9435))</f>
        <v/>
      </c>
    </row>
    <row r="9436" spans="2:2" x14ac:dyDescent="0.25">
      <c r="B9436" t="str">
        <f>IF(C9436="","",C9436&amp;COUNTIF(C$9:C9436,C9436))</f>
        <v/>
      </c>
    </row>
    <row r="9437" spans="2:2" x14ac:dyDescent="0.25">
      <c r="B9437" t="str">
        <f>IF(C9437="","",C9437&amp;COUNTIF(C$9:C9437,C9437))</f>
        <v/>
      </c>
    </row>
    <row r="9438" spans="2:2" x14ac:dyDescent="0.25">
      <c r="B9438" t="str">
        <f>IF(C9438="","",C9438&amp;COUNTIF(C$9:C9438,C9438))</f>
        <v/>
      </c>
    </row>
    <row r="9439" spans="2:2" x14ac:dyDescent="0.25">
      <c r="B9439" t="str">
        <f>IF(C9439="","",C9439&amp;COUNTIF(C$9:C9439,C9439))</f>
        <v/>
      </c>
    </row>
    <row r="9440" spans="2:2" x14ac:dyDescent="0.25">
      <c r="B9440" t="str">
        <f>IF(C9440="","",C9440&amp;COUNTIF(C$9:C9440,C9440))</f>
        <v/>
      </c>
    </row>
    <row r="9441" spans="2:2" x14ac:dyDescent="0.25">
      <c r="B9441" t="str">
        <f>IF(C9441="","",C9441&amp;COUNTIF(C$9:C9441,C9441))</f>
        <v/>
      </c>
    </row>
    <row r="9442" spans="2:2" x14ac:dyDescent="0.25">
      <c r="B9442" t="str">
        <f>IF(C9442="","",C9442&amp;COUNTIF(C$9:C9442,C9442))</f>
        <v/>
      </c>
    </row>
    <row r="9443" spans="2:2" x14ac:dyDescent="0.25">
      <c r="B9443" t="str">
        <f>IF(C9443="","",C9443&amp;COUNTIF(C$9:C9443,C9443))</f>
        <v/>
      </c>
    </row>
    <row r="9444" spans="2:2" x14ac:dyDescent="0.25">
      <c r="B9444" t="str">
        <f>IF(C9444="","",C9444&amp;COUNTIF(C$9:C9444,C9444))</f>
        <v/>
      </c>
    </row>
    <row r="9445" spans="2:2" x14ac:dyDescent="0.25">
      <c r="B9445" t="str">
        <f>IF(C9445="","",C9445&amp;COUNTIF(C$9:C9445,C9445))</f>
        <v/>
      </c>
    </row>
    <row r="9446" spans="2:2" x14ac:dyDescent="0.25">
      <c r="B9446" t="str">
        <f>IF(C9446="","",C9446&amp;COUNTIF(C$9:C9446,C9446))</f>
        <v/>
      </c>
    </row>
    <row r="9447" spans="2:2" x14ac:dyDescent="0.25">
      <c r="B9447" t="str">
        <f>IF(C9447="","",C9447&amp;COUNTIF(C$9:C9447,C9447))</f>
        <v/>
      </c>
    </row>
    <row r="9448" spans="2:2" x14ac:dyDescent="0.25">
      <c r="B9448" t="str">
        <f>IF(C9448="","",C9448&amp;COUNTIF(C$9:C9448,C9448))</f>
        <v/>
      </c>
    </row>
    <row r="9449" spans="2:2" x14ac:dyDescent="0.25">
      <c r="B9449" t="str">
        <f>IF(C9449="","",C9449&amp;COUNTIF(C$9:C9449,C9449))</f>
        <v/>
      </c>
    </row>
    <row r="9450" spans="2:2" x14ac:dyDescent="0.25">
      <c r="B9450" t="str">
        <f>IF(C9450="","",C9450&amp;COUNTIF(C$9:C9450,C9450))</f>
        <v/>
      </c>
    </row>
    <row r="9451" spans="2:2" x14ac:dyDescent="0.25">
      <c r="B9451" t="str">
        <f>IF(C9451="","",C9451&amp;COUNTIF(C$9:C9451,C9451))</f>
        <v/>
      </c>
    </row>
    <row r="9452" spans="2:2" x14ac:dyDescent="0.25">
      <c r="B9452" t="str">
        <f>IF(C9452="","",C9452&amp;COUNTIF(C$9:C9452,C9452))</f>
        <v/>
      </c>
    </row>
    <row r="9453" spans="2:2" x14ac:dyDescent="0.25">
      <c r="B9453" t="str">
        <f>IF(C9453="","",C9453&amp;COUNTIF(C$9:C9453,C9453))</f>
        <v/>
      </c>
    </row>
    <row r="9454" spans="2:2" x14ac:dyDescent="0.25">
      <c r="B9454" t="str">
        <f>IF(C9454="","",C9454&amp;COUNTIF(C$9:C9454,C9454))</f>
        <v/>
      </c>
    </row>
    <row r="9455" spans="2:2" x14ac:dyDescent="0.25">
      <c r="B9455" t="str">
        <f>IF(C9455="","",C9455&amp;COUNTIF(C$9:C9455,C9455))</f>
        <v/>
      </c>
    </row>
    <row r="9456" spans="2:2" x14ac:dyDescent="0.25">
      <c r="B9456" t="str">
        <f>IF(C9456="","",C9456&amp;COUNTIF(C$9:C9456,C9456))</f>
        <v/>
      </c>
    </row>
    <row r="9457" spans="2:2" x14ac:dyDescent="0.25">
      <c r="B9457" t="str">
        <f>IF(C9457="","",C9457&amp;COUNTIF(C$9:C9457,C9457))</f>
        <v/>
      </c>
    </row>
    <row r="9458" spans="2:2" x14ac:dyDescent="0.25">
      <c r="B9458" t="str">
        <f>IF(C9458="","",C9458&amp;COUNTIF(C$9:C9458,C9458))</f>
        <v/>
      </c>
    </row>
    <row r="9459" spans="2:2" x14ac:dyDescent="0.25">
      <c r="B9459" t="str">
        <f>IF(C9459="","",C9459&amp;COUNTIF(C$9:C9459,C9459))</f>
        <v/>
      </c>
    </row>
    <row r="9460" spans="2:2" x14ac:dyDescent="0.25">
      <c r="B9460" t="str">
        <f>IF(C9460="","",C9460&amp;COUNTIF(C$9:C9460,C9460))</f>
        <v/>
      </c>
    </row>
    <row r="9461" spans="2:2" x14ac:dyDescent="0.25">
      <c r="B9461" t="str">
        <f>IF(C9461="","",C9461&amp;COUNTIF(C$9:C9461,C9461))</f>
        <v/>
      </c>
    </row>
    <row r="9462" spans="2:2" x14ac:dyDescent="0.25">
      <c r="B9462" t="str">
        <f>IF(C9462="","",C9462&amp;COUNTIF(C$9:C9462,C9462))</f>
        <v/>
      </c>
    </row>
    <row r="9463" spans="2:2" x14ac:dyDescent="0.25">
      <c r="B9463" t="str">
        <f>IF(C9463="","",C9463&amp;COUNTIF(C$9:C9463,C9463))</f>
        <v/>
      </c>
    </row>
    <row r="9464" spans="2:2" x14ac:dyDescent="0.25">
      <c r="B9464" t="str">
        <f>IF(C9464="","",C9464&amp;COUNTIF(C$9:C9464,C9464))</f>
        <v/>
      </c>
    </row>
    <row r="9465" spans="2:2" x14ac:dyDescent="0.25">
      <c r="B9465" t="str">
        <f>IF(C9465="","",C9465&amp;COUNTIF(C$9:C9465,C9465))</f>
        <v/>
      </c>
    </row>
    <row r="9466" spans="2:2" x14ac:dyDescent="0.25">
      <c r="B9466" t="str">
        <f>IF(C9466="","",C9466&amp;COUNTIF(C$9:C9466,C9466))</f>
        <v/>
      </c>
    </row>
    <row r="9467" spans="2:2" x14ac:dyDescent="0.25">
      <c r="B9467" t="str">
        <f>IF(C9467="","",C9467&amp;COUNTIF(C$9:C9467,C9467))</f>
        <v/>
      </c>
    </row>
    <row r="9468" spans="2:2" x14ac:dyDescent="0.25">
      <c r="B9468" t="str">
        <f>IF(C9468="","",C9468&amp;COUNTIF(C$9:C9468,C9468))</f>
        <v/>
      </c>
    </row>
    <row r="9469" spans="2:2" x14ac:dyDescent="0.25">
      <c r="B9469" t="str">
        <f>IF(C9469="","",C9469&amp;COUNTIF(C$9:C9469,C9469))</f>
        <v/>
      </c>
    </row>
    <row r="9470" spans="2:2" x14ac:dyDescent="0.25">
      <c r="B9470" t="str">
        <f>IF(C9470="","",C9470&amp;COUNTIF(C$9:C9470,C9470))</f>
        <v/>
      </c>
    </row>
    <row r="9471" spans="2:2" x14ac:dyDescent="0.25">
      <c r="B9471" t="str">
        <f>IF(C9471="","",C9471&amp;COUNTIF(C$9:C9471,C9471))</f>
        <v/>
      </c>
    </row>
    <row r="9472" spans="2:2" x14ac:dyDescent="0.25">
      <c r="B9472" t="str">
        <f>IF(C9472="","",C9472&amp;COUNTIF(C$9:C9472,C9472))</f>
        <v/>
      </c>
    </row>
    <row r="9473" spans="2:2" x14ac:dyDescent="0.25">
      <c r="B9473" t="str">
        <f>IF(C9473="","",C9473&amp;COUNTIF(C$9:C9473,C9473))</f>
        <v/>
      </c>
    </row>
    <row r="9474" spans="2:2" x14ac:dyDescent="0.25">
      <c r="B9474" t="str">
        <f>IF(C9474="","",C9474&amp;COUNTIF(C$9:C9474,C9474))</f>
        <v/>
      </c>
    </row>
    <row r="9475" spans="2:2" x14ac:dyDescent="0.25">
      <c r="B9475" t="str">
        <f>IF(C9475="","",C9475&amp;COUNTIF(C$9:C9475,C9475))</f>
        <v/>
      </c>
    </row>
    <row r="9476" spans="2:2" x14ac:dyDescent="0.25">
      <c r="B9476" t="str">
        <f>IF(C9476="","",C9476&amp;COUNTIF(C$9:C9476,C9476))</f>
        <v/>
      </c>
    </row>
    <row r="9477" spans="2:2" x14ac:dyDescent="0.25">
      <c r="B9477" t="str">
        <f>IF(C9477="","",C9477&amp;COUNTIF(C$9:C9477,C9477))</f>
        <v/>
      </c>
    </row>
    <row r="9478" spans="2:2" x14ac:dyDescent="0.25">
      <c r="B9478" t="str">
        <f>IF(C9478="","",C9478&amp;COUNTIF(C$9:C9478,C9478))</f>
        <v/>
      </c>
    </row>
    <row r="9479" spans="2:2" x14ac:dyDescent="0.25">
      <c r="B9479" t="str">
        <f>IF(C9479="","",C9479&amp;COUNTIF(C$9:C9479,C9479))</f>
        <v/>
      </c>
    </row>
    <row r="9480" spans="2:2" x14ac:dyDescent="0.25">
      <c r="B9480" t="str">
        <f>IF(C9480="","",C9480&amp;COUNTIF(C$9:C9480,C9480))</f>
        <v/>
      </c>
    </row>
    <row r="9481" spans="2:2" x14ac:dyDescent="0.25">
      <c r="B9481" t="str">
        <f>IF(C9481="","",C9481&amp;COUNTIF(C$9:C9481,C9481))</f>
        <v/>
      </c>
    </row>
    <row r="9482" spans="2:2" x14ac:dyDescent="0.25">
      <c r="B9482" t="str">
        <f>IF(C9482="","",C9482&amp;COUNTIF(C$9:C9482,C9482))</f>
        <v/>
      </c>
    </row>
    <row r="9483" spans="2:2" x14ac:dyDescent="0.25">
      <c r="B9483" t="str">
        <f>IF(C9483="","",C9483&amp;COUNTIF(C$9:C9483,C9483))</f>
        <v/>
      </c>
    </row>
    <row r="9484" spans="2:2" x14ac:dyDescent="0.25">
      <c r="B9484" t="str">
        <f>IF(C9484="","",C9484&amp;COUNTIF(C$9:C9484,C9484))</f>
        <v/>
      </c>
    </row>
    <row r="9485" spans="2:2" x14ac:dyDescent="0.25">
      <c r="B9485" t="str">
        <f>IF(C9485="","",C9485&amp;COUNTIF(C$9:C9485,C9485))</f>
        <v/>
      </c>
    </row>
    <row r="9486" spans="2:2" x14ac:dyDescent="0.25">
      <c r="B9486" t="str">
        <f>IF(C9486="","",C9486&amp;COUNTIF(C$9:C9486,C9486))</f>
        <v/>
      </c>
    </row>
    <row r="9487" spans="2:2" x14ac:dyDescent="0.25">
      <c r="B9487" t="str">
        <f>IF(C9487="","",C9487&amp;COUNTIF(C$9:C9487,C9487))</f>
        <v/>
      </c>
    </row>
    <row r="9488" spans="2:2" x14ac:dyDescent="0.25">
      <c r="B9488" t="str">
        <f>IF(C9488="","",C9488&amp;COUNTIF(C$9:C9488,C9488))</f>
        <v/>
      </c>
    </row>
    <row r="9489" spans="2:2" x14ac:dyDescent="0.25">
      <c r="B9489" t="str">
        <f>IF(C9489="","",C9489&amp;COUNTIF(C$9:C9489,C9489))</f>
        <v/>
      </c>
    </row>
    <row r="9490" spans="2:2" x14ac:dyDescent="0.25">
      <c r="B9490" t="str">
        <f>IF(C9490="","",C9490&amp;COUNTIF(C$9:C9490,C9490))</f>
        <v/>
      </c>
    </row>
    <row r="9491" spans="2:2" x14ac:dyDescent="0.25">
      <c r="B9491" t="str">
        <f>IF(C9491="","",C9491&amp;COUNTIF(C$9:C9491,C9491))</f>
        <v/>
      </c>
    </row>
    <row r="9492" spans="2:2" x14ac:dyDescent="0.25">
      <c r="B9492" t="str">
        <f>IF(C9492="","",C9492&amp;COUNTIF(C$9:C9492,C9492))</f>
        <v/>
      </c>
    </row>
    <row r="9493" spans="2:2" x14ac:dyDescent="0.25">
      <c r="B9493" t="str">
        <f>IF(C9493="","",C9493&amp;COUNTIF(C$9:C9493,C9493))</f>
        <v/>
      </c>
    </row>
    <row r="9494" spans="2:2" x14ac:dyDescent="0.25">
      <c r="B9494" t="str">
        <f>IF(C9494="","",C9494&amp;COUNTIF(C$9:C9494,C9494))</f>
        <v/>
      </c>
    </row>
    <row r="9495" spans="2:2" x14ac:dyDescent="0.25">
      <c r="B9495" t="str">
        <f>IF(C9495="","",C9495&amp;COUNTIF(C$9:C9495,C9495))</f>
        <v/>
      </c>
    </row>
    <row r="9496" spans="2:2" x14ac:dyDescent="0.25">
      <c r="B9496" t="str">
        <f>IF(C9496="","",C9496&amp;COUNTIF(C$9:C9496,C9496))</f>
        <v/>
      </c>
    </row>
    <row r="9497" spans="2:2" x14ac:dyDescent="0.25">
      <c r="B9497" t="str">
        <f>IF(C9497="","",C9497&amp;COUNTIF(C$9:C9497,C9497))</f>
        <v/>
      </c>
    </row>
    <row r="9498" spans="2:2" x14ac:dyDescent="0.25">
      <c r="B9498" t="str">
        <f>IF(C9498="","",C9498&amp;COUNTIF(C$9:C9498,C9498))</f>
        <v/>
      </c>
    </row>
    <row r="9499" spans="2:2" x14ac:dyDescent="0.25">
      <c r="B9499" t="str">
        <f>IF(C9499="","",C9499&amp;COUNTIF(C$9:C9499,C9499))</f>
        <v/>
      </c>
    </row>
    <row r="9500" spans="2:2" x14ac:dyDescent="0.25">
      <c r="B9500" t="str">
        <f>IF(C9500="","",C9500&amp;COUNTIF(C$9:C9500,C9500))</f>
        <v/>
      </c>
    </row>
    <row r="9501" spans="2:2" x14ac:dyDescent="0.25">
      <c r="B9501" t="str">
        <f>IF(C9501="","",C9501&amp;COUNTIF(C$9:C9501,C9501))</f>
        <v/>
      </c>
    </row>
    <row r="9502" spans="2:2" x14ac:dyDescent="0.25">
      <c r="B9502" t="str">
        <f>IF(C9502="","",C9502&amp;COUNTIF(C$9:C9502,C9502))</f>
        <v/>
      </c>
    </row>
    <row r="9503" spans="2:2" x14ac:dyDescent="0.25">
      <c r="B9503" t="str">
        <f>IF(C9503="","",C9503&amp;COUNTIF(C$9:C9503,C9503))</f>
        <v/>
      </c>
    </row>
    <row r="9504" spans="2:2" x14ac:dyDescent="0.25">
      <c r="B9504" t="str">
        <f>IF(C9504="","",C9504&amp;COUNTIF(C$9:C9504,C9504))</f>
        <v/>
      </c>
    </row>
    <row r="9505" spans="2:2" x14ac:dyDescent="0.25">
      <c r="B9505" t="str">
        <f>IF(C9505="","",C9505&amp;COUNTIF(C$9:C9505,C9505))</f>
        <v/>
      </c>
    </row>
    <row r="9506" spans="2:2" x14ac:dyDescent="0.25">
      <c r="B9506" t="str">
        <f>IF(C9506="","",C9506&amp;COUNTIF(C$9:C9506,C9506))</f>
        <v/>
      </c>
    </row>
    <row r="9507" spans="2:2" x14ac:dyDescent="0.25">
      <c r="B9507" t="str">
        <f>IF(C9507="","",C9507&amp;COUNTIF(C$9:C9507,C9507))</f>
        <v/>
      </c>
    </row>
    <row r="9508" spans="2:2" x14ac:dyDescent="0.25">
      <c r="B9508" t="str">
        <f>IF(C9508="","",C9508&amp;COUNTIF(C$9:C9508,C9508))</f>
        <v/>
      </c>
    </row>
    <row r="9509" spans="2:2" x14ac:dyDescent="0.25">
      <c r="B9509" t="str">
        <f>IF(C9509="","",C9509&amp;COUNTIF(C$9:C9509,C9509))</f>
        <v/>
      </c>
    </row>
    <row r="9510" spans="2:2" x14ac:dyDescent="0.25">
      <c r="B9510" t="str">
        <f>IF(C9510="","",C9510&amp;COUNTIF(C$9:C9510,C9510))</f>
        <v/>
      </c>
    </row>
    <row r="9511" spans="2:2" x14ac:dyDescent="0.25">
      <c r="B9511" t="str">
        <f>IF(C9511="","",C9511&amp;COUNTIF(C$9:C9511,C9511))</f>
        <v/>
      </c>
    </row>
    <row r="9512" spans="2:2" x14ac:dyDescent="0.25">
      <c r="B9512" t="str">
        <f>IF(C9512="","",C9512&amp;COUNTIF(C$9:C9512,C9512))</f>
        <v/>
      </c>
    </row>
    <row r="9513" spans="2:2" x14ac:dyDescent="0.25">
      <c r="B9513" t="str">
        <f>IF(C9513="","",C9513&amp;COUNTIF(C$9:C9513,C9513))</f>
        <v/>
      </c>
    </row>
    <row r="9514" spans="2:2" x14ac:dyDescent="0.25">
      <c r="B9514" t="str">
        <f>IF(C9514="","",C9514&amp;COUNTIF(C$9:C9514,C9514))</f>
        <v/>
      </c>
    </row>
    <row r="9515" spans="2:2" x14ac:dyDescent="0.25">
      <c r="B9515" t="str">
        <f>IF(C9515="","",C9515&amp;COUNTIF(C$9:C9515,C9515))</f>
        <v/>
      </c>
    </row>
    <row r="9516" spans="2:2" x14ac:dyDescent="0.25">
      <c r="B9516" t="str">
        <f>IF(C9516="","",C9516&amp;COUNTIF(C$9:C9516,C9516))</f>
        <v/>
      </c>
    </row>
    <row r="9517" spans="2:2" x14ac:dyDescent="0.25">
      <c r="B9517" t="str">
        <f>IF(C9517="","",C9517&amp;COUNTIF(C$9:C9517,C9517))</f>
        <v/>
      </c>
    </row>
    <row r="9518" spans="2:2" x14ac:dyDescent="0.25">
      <c r="B9518" t="str">
        <f>IF(C9518="","",C9518&amp;COUNTIF(C$9:C9518,C9518))</f>
        <v/>
      </c>
    </row>
    <row r="9519" spans="2:2" x14ac:dyDescent="0.25">
      <c r="B9519" t="str">
        <f>IF(C9519="","",C9519&amp;COUNTIF(C$9:C9519,C9519))</f>
        <v/>
      </c>
    </row>
    <row r="9520" spans="2:2" x14ac:dyDescent="0.25">
      <c r="B9520" t="str">
        <f>IF(C9520="","",C9520&amp;COUNTIF(C$9:C9520,C9520))</f>
        <v/>
      </c>
    </row>
    <row r="9521" spans="2:2" x14ac:dyDescent="0.25">
      <c r="B9521" t="str">
        <f>IF(C9521="","",C9521&amp;COUNTIF(C$9:C9521,C9521))</f>
        <v/>
      </c>
    </row>
    <row r="9522" spans="2:2" x14ac:dyDescent="0.25">
      <c r="B9522" t="str">
        <f>IF(C9522="","",C9522&amp;COUNTIF(C$9:C9522,C9522))</f>
        <v/>
      </c>
    </row>
    <row r="9523" spans="2:2" x14ac:dyDescent="0.25">
      <c r="B9523" t="str">
        <f>IF(C9523="","",C9523&amp;COUNTIF(C$9:C9523,C9523))</f>
        <v/>
      </c>
    </row>
    <row r="9524" spans="2:2" x14ac:dyDescent="0.25">
      <c r="B9524" t="str">
        <f>IF(C9524="","",C9524&amp;COUNTIF(C$9:C9524,C9524))</f>
        <v/>
      </c>
    </row>
    <row r="9525" spans="2:2" x14ac:dyDescent="0.25">
      <c r="B9525" t="str">
        <f>IF(C9525="","",C9525&amp;COUNTIF(C$9:C9525,C9525))</f>
        <v/>
      </c>
    </row>
    <row r="9526" spans="2:2" x14ac:dyDescent="0.25">
      <c r="B9526" t="str">
        <f>IF(C9526="","",C9526&amp;COUNTIF(C$9:C9526,C9526))</f>
        <v/>
      </c>
    </row>
    <row r="9527" spans="2:2" x14ac:dyDescent="0.25">
      <c r="B9527" t="str">
        <f>IF(C9527="","",C9527&amp;COUNTIF(C$9:C9527,C9527))</f>
        <v/>
      </c>
    </row>
    <row r="9528" spans="2:2" x14ac:dyDescent="0.25">
      <c r="B9528" t="str">
        <f>IF(C9528="","",C9528&amp;COUNTIF(C$9:C9528,C9528))</f>
        <v/>
      </c>
    </row>
    <row r="9529" spans="2:2" x14ac:dyDescent="0.25">
      <c r="B9529" t="str">
        <f>IF(C9529="","",C9529&amp;COUNTIF(C$9:C9529,C9529))</f>
        <v/>
      </c>
    </row>
    <row r="9530" spans="2:2" x14ac:dyDescent="0.25">
      <c r="B9530" t="str">
        <f>IF(C9530="","",C9530&amp;COUNTIF(C$9:C9530,C9530))</f>
        <v/>
      </c>
    </row>
    <row r="9531" spans="2:2" x14ac:dyDescent="0.25">
      <c r="B9531" t="str">
        <f>IF(C9531="","",C9531&amp;COUNTIF(C$9:C9531,C9531))</f>
        <v/>
      </c>
    </row>
    <row r="9532" spans="2:2" x14ac:dyDescent="0.25">
      <c r="B9532" t="str">
        <f>IF(C9532="","",C9532&amp;COUNTIF(C$9:C9532,C9532))</f>
        <v/>
      </c>
    </row>
    <row r="9533" spans="2:2" x14ac:dyDescent="0.25">
      <c r="B9533" t="str">
        <f>IF(C9533="","",C9533&amp;COUNTIF(C$9:C9533,C9533))</f>
        <v/>
      </c>
    </row>
    <row r="9534" spans="2:2" x14ac:dyDescent="0.25">
      <c r="B9534" t="str">
        <f>IF(C9534="","",C9534&amp;COUNTIF(C$9:C9534,C9534))</f>
        <v/>
      </c>
    </row>
    <row r="9535" spans="2:2" x14ac:dyDescent="0.25">
      <c r="B9535" t="str">
        <f>IF(C9535="","",C9535&amp;COUNTIF(C$9:C9535,C9535))</f>
        <v/>
      </c>
    </row>
    <row r="9536" spans="2:2" x14ac:dyDescent="0.25">
      <c r="B9536" t="str">
        <f>IF(C9536="","",C9536&amp;COUNTIF(C$9:C9536,C9536))</f>
        <v/>
      </c>
    </row>
    <row r="9537" spans="2:2" x14ac:dyDescent="0.25">
      <c r="B9537" t="str">
        <f>IF(C9537="","",C9537&amp;COUNTIF(C$9:C9537,C9537))</f>
        <v/>
      </c>
    </row>
    <row r="9538" spans="2:2" x14ac:dyDescent="0.25">
      <c r="B9538" t="str">
        <f>IF(C9538="","",C9538&amp;COUNTIF(C$9:C9538,C9538))</f>
        <v/>
      </c>
    </row>
    <row r="9539" spans="2:2" x14ac:dyDescent="0.25">
      <c r="B9539" t="str">
        <f>IF(C9539="","",C9539&amp;COUNTIF(C$9:C9539,C9539))</f>
        <v/>
      </c>
    </row>
    <row r="9540" spans="2:2" x14ac:dyDescent="0.25">
      <c r="B9540" t="str">
        <f>IF(C9540="","",C9540&amp;COUNTIF(C$9:C9540,C9540))</f>
        <v/>
      </c>
    </row>
    <row r="9541" spans="2:2" x14ac:dyDescent="0.25">
      <c r="B9541" t="str">
        <f>IF(C9541="","",C9541&amp;COUNTIF(C$9:C9541,C9541))</f>
        <v/>
      </c>
    </row>
    <row r="9542" spans="2:2" x14ac:dyDescent="0.25">
      <c r="B9542" t="str">
        <f>IF(C9542="","",C9542&amp;COUNTIF(C$9:C9542,C9542))</f>
        <v/>
      </c>
    </row>
    <row r="9543" spans="2:2" x14ac:dyDescent="0.25">
      <c r="B9543" t="str">
        <f>IF(C9543="","",C9543&amp;COUNTIF(C$9:C9543,C9543))</f>
        <v/>
      </c>
    </row>
    <row r="9544" spans="2:2" x14ac:dyDescent="0.25">
      <c r="B9544" t="str">
        <f>IF(C9544="","",C9544&amp;COUNTIF(C$9:C9544,C9544))</f>
        <v/>
      </c>
    </row>
    <row r="9545" spans="2:2" x14ac:dyDescent="0.25">
      <c r="B9545" t="str">
        <f>IF(C9545="","",C9545&amp;COUNTIF(C$9:C9545,C9545))</f>
        <v/>
      </c>
    </row>
    <row r="9546" spans="2:2" x14ac:dyDescent="0.25">
      <c r="B9546" t="str">
        <f>IF(C9546="","",C9546&amp;COUNTIF(C$9:C9546,C9546))</f>
        <v/>
      </c>
    </row>
    <row r="9547" spans="2:2" x14ac:dyDescent="0.25">
      <c r="B9547" t="str">
        <f>IF(C9547="","",C9547&amp;COUNTIF(C$9:C9547,C9547))</f>
        <v/>
      </c>
    </row>
    <row r="9548" spans="2:2" x14ac:dyDescent="0.25">
      <c r="B9548" t="str">
        <f>IF(C9548="","",C9548&amp;COUNTIF(C$9:C9548,C9548))</f>
        <v/>
      </c>
    </row>
    <row r="9549" spans="2:2" x14ac:dyDescent="0.25">
      <c r="B9549" t="str">
        <f>IF(C9549="","",C9549&amp;COUNTIF(C$9:C9549,C9549))</f>
        <v/>
      </c>
    </row>
    <row r="9550" spans="2:2" x14ac:dyDescent="0.25">
      <c r="B9550" t="str">
        <f>IF(C9550="","",C9550&amp;COUNTIF(C$9:C9550,C9550))</f>
        <v/>
      </c>
    </row>
    <row r="9551" spans="2:2" x14ac:dyDescent="0.25">
      <c r="B9551" t="str">
        <f>IF(C9551="","",C9551&amp;COUNTIF(C$9:C9551,C9551))</f>
        <v/>
      </c>
    </row>
    <row r="9552" spans="2:2" x14ac:dyDescent="0.25">
      <c r="B9552" t="str">
        <f>IF(C9552="","",C9552&amp;COUNTIF(C$9:C9552,C9552))</f>
        <v/>
      </c>
    </row>
    <row r="9553" spans="2:2" x14ac:dyDescent="0.25">
      <c r="B9553" t="str">
        <f>IF(C9553="","",C9553&amp;COUNTIF(C$9:C9553,C9553))</f>
        <v/>
      </c>
    </row>
    <row r="9554" spans="2:2" x14ac:dyDescent="0.25">
      <c r="B9554" t="str">
        <f>IF(C9554="","",C9554&amp;COUNTIF(C$9:C9554,C9554))</f>
        <v/>
      </c>
    </row>
    <row r="9555" spans="2:2" x14ac:dyDescent="0.25">
      <c r="B9555" t="str">
        <f>IF(C9555="","",C9555&amp;COUNTIF(C$9:C9555,C9555))</f>
        <v/>
      </c>
    </row>
    <row r="9556" spans="2:2" x14ac:dyDescent="0.25">
      <c r="B9556" t="str">
        <f>IF(C9556="","",C9556&amp;COUNTIF(C$9:C9556,C9556))</f>
        <v/>
      </c>
    </row>
    <row r="9557" spans="2:2" x14ac:dyDescent="0.25">
      <c r="B9557" t="str">
        <f>IF(C9557="","",C9557&amp;COUNTIF(C$9:C9557,C9557))</f>
        <v/>
      </c>
    </row>
    <row r="9558" spans="2:2" x14ac:dyDescent="0.25">
      <c r="B9558" t="str">
        <f>IF(C9558="","",C9558&amp;COUNTIF(C$9:C9558,C9558))</f>
        <v/>
      </c>
    </row>
    <row r="9559" spans="2:2" x14ac:dyDescent="0.25">
      <c r="B9559" t="str">
        <f>IF(C9559="","",C9559&amp;COUNTIF(C$9:C9559,C9559))</f>
        <v/>
      </c>
    </row>
    <row r="9560" spans="2:2" x14ac:dyDescent="0.25">
      <c r="B9560" t="str">
        <f>IF(C9560="","",C9560&amp;COUNTIF(C$9:C9560,C9560))</f>
        <v/>
      </c>
    </row>
    <row r="9561" spans="2:2" x14ac:dyDescent="0.25">
      <c r="B9561" t="str">
        <f>IF(C9561="","",C9561&amp;COUNTIF(C$9:C9561,C9561))</f>
        <v/>
      </c>
    </row>
    <row r="9562" spans="2:2" x14ac:dyDescent="0.25">
      <c r="B9562" t="str">
        <f>IF(C9562="","",C9562&amp;COUNTIF(C$9:C9562,C9562))</f>
        <v/>
      </c>
    </row>
    <row r="9563" spans="2:2" x14ac:dyDescent="0.25">
      <c r="B9563" t="str">
        <f>IF(C9563="","",C9563&amp;COUNTIF(C$9:C9563,C9563))</f>
        <v/>
      </c>
    </row>
    <row r="9564" spans="2:2" x14ac:dyDescent="0.25">
      <c r="B9564" t="str">
        <f>IF(C9564="","",C9564&amp;COUNTIF(C$9:C9564,C9564))</f>
        <v/>
      </c>
    </row>
    <row r="9565" spans="2:2" x14ac:dyDescent="0.25">
      <c r="B9565" t="str">
        <f>IF(C9565="","",C9565&amp;COUNTIF(C$9:C9565,C9565))</f>
        <v/>
      </c>
    </row>
    <row r="9566" spans="2:2" x14ac:dyDescent="0.25">
      <c r="B9566" t="str">
        <f>IF(C9566="","",C9566&amp;COUNTIF(C$9:C9566,C9566))</f>
        <v/>
      </c>
    </row>
    <row r="9567" spans="2:2" x14ac:dyDescent="0.25">
      <c r="B9567" t="str">
        <f>IF(C9567="","",C9567&amp;COUNTIF(C$9:C9567,C9567))</f>
        <v/>
      </c>
    </row>
    <row r="9568" spans="2:2" x14ac:dyDescent="0.25">
      <c r="B9568" t="str">
        <f>IF(C9568="","",C9568&amp;COUNTIF(C$9:C9568,C9568))</f>
        <v/>
      </c>
    </row>
    <row r="9569" spans="2:2" x14ac:dyDescent="0.25">
      <c r="B9569" t="str">
        <f>IF(C9569="","",C9569&amp;COUNTIF(C$9:C9569,C9569))</f>
        <v/>
      </c>
    </row>
    <row r="9570" spans="2:2" x14ac:dyDescent="0.25">
      <c r="B9570" t="str">
        <f>IF(C9570="","",C9570&amp;COUNTIF(C$9:C9570,C9570))</f>
        <v/>
      </c>
    </row>
    <row r="9571" spans="2:2" x14ac:dyDescent="0.25">
      <c r="B9571" t="str">
        <f>IF(C9571="","",C9571&amp;COUNTIF(C$9:C9571,C9571))</f>
        <v/>
      </c>
    </row>
    <row r="9572" spans="2:2" x14ac:dyDescent="0.25">
      <c r="B9572" t="str">
        <f>IF(C9572="","",C9572&amp;COUNTIF(C$9:C9572,C9572))</f>
        <v/>
      </c>
    </row>
    <row r="9573" spans="2:2" x14ac:dyDescent="0.25">
      <c r="B9573" t="str">
        <f>IF(C9573="","",C9573&amp;COUNTIF(C$9:C9573,C9573))</f>
        <v/>
      </c>
    </row>
    <row r="9574" spans="2:2" x14ac:dyDescent="0.25">
      <c r="B9574" t="str">
        <f>IF(C9574="","",C9574&amp;COUNTIF(C$9:C9574,C9574))</f>
        <v/>
      </c>
    </row>
    <row r="9575" spans="2:2" x14ac:dyDescent="0.25">
      <c r="B9575" t="str">
        <f>IF(C9575="","",C9575&amp;COUNTIF(C$9:C9575,C9575))</f>
        <v/>
      </c>
    </row>
    <row r="9576" spans="2:2" x14ac:dyDescent="0.25">
      <c r="B9576" t="str">
        <f>IF(C9576="","",C9576&amp;COUNTIF(C$9:C9576,C9576))</f>
        <v/>
      </c>
    </row>
    <row r="9577" spans="2:2" x14ac:dyDescent="0.25">
      <c r="B9577" t="str">
        <f>IF(C9577="","",C9577&amp;COUNTIF(C$9:C9577,C9577))</f>
        <v/>
      </c>
    </row>
    <row r="9578" spans="2:2" x14ac:dyDescent="0.25">
      <c r="B9578" t="str">
        <f>IF(C9578="","",C9578&amp;COUNTIF(C$9:C9578,C9578))</f>
        <v/>
      </c>
    </row>
    <row r="9579" spans="2:2" x14ac:dyDescent="0.25">
      <c r="B9579" t="str">
        <f>IF(C9579="","",C9579&amp;COUNTIF(C$9:C9579,C9579))</f>
        <v/>
      </c>
    </row>
    <row r="9580" spans="2:2" x14ac:dyDescent="0.25">
      <c r="B9580" t="str">
        <f>IF(C9580="","",C9580&amp;COUNTIF(C$9:C9580,C9580))</f>
        <v/>
      </c>
    </row>
    <row r="9581" spans="2:2" x14ac:dyDescent="0.25">
      <c r="B9581" t="str">
        <f>IF(C9581="","",C9581&amp;COUNTIF(C$9:C9581,C9581))</f>
        <v/>
      </c>
    </row>
    <row r="9582" spans="2:2" x14ac:dyDescent="0.25">
      <c r="B9582" t="str">
        <f>IF(C9582="","",C9582&amp;COUNTIF(C$9:C9582,C9582))</f>
        <v/>
      </c>
    </row>
    <row r="9583" spans="2:2" x14ac:dyDescent="0.25">
      <c r="B9583" t="str">
        <f>IF(C9583="","",C9583&amp;COUNTIF(C$9:C9583,C9583))</f>
        <v/>
      </c>
    </row>
    <row r="9584" spans="2:2" x14ac:dyDescent="0.25">
      <c r="B9584" t="str">
        <f>IF(C9584="","",C9584&amp;COUNTIF(C$9:C9584,C9584))</f>
        <v/>
      </c>
    </row>
    <row r="9585" spans="2:2" x14ac:dyDescent="0.25">
      <c r="B9585" t="str">
        <f>IF(C9585="","",C9585&amp;COUNTIF(C$9:C9585,C9585))</f>
        <v/>
      </c>
    </row>
    <row r="9586" spans="2:2" x14ac:dyDescent="0.25">
      <c r="B9586" t="str">
        <f>IF(C9586="","",C9586&amp;COUNTIF(C$9:C9586,C9586))</f>
        <v/>
      </c>
    </row>
    <row r="9587" spans="2:2" x14ac:dyDescent="0.25">
      <c r="B9587" t="str">
        <f>IF(C9587="","",C9587&amp;COUNTIF(C$9:C9587,C9587))</f>
        <v/>
      </c>
    </row>
    <row r="9588" spans="2:2" x14ac:dyDescent="0.25">
      <c r="B9588" t="str">
        <f>IF(C9588="","",C9588&amp;COUNTIF(C$9:C9588,C9588))</f>
        <v/>
      </c>
    </row>
    <row r="9589" spans="2:2" x14ac:dyDescent="0.25">
      <c r="B9589" t="str">
        <f>IF(C9589="","",C9589&amp;COUNTIF(C$9:C9589,C9589))</f>
        <v/>
      </c>
    </row>
    <row r="9590" spans="2:2" x14ac:dyDescent="0.25">
      <c r="B9590" t="str">
        <f>IF(C9590="","",C9590&amp;COUNTIF(C$9:C9590,C9590))</f>
        <v/>
      </c>
    </row>
    <row r="9591" spans="2:2" x14ac:dyDescent="0.25">
      <c r="B9591" t="str">
        <f>IF(C9591="","",C9591&amp;COUNTIF(C$9:C9591,C9591))</f>
        <v/>
      </c>
    </row>
    <row r="9592" spans="2:2" x14ac:dyDescent="0.25">
      <c r="B9592" t="str">
        <f>IF(C9592="","",C9592&amp;COUNTIF(C$9:C9592,C9592))</f>
        <v/>
      </c>
    </row>
    <row r="9593" spans="2:2" x14ac:dyDescent="0.25">
      <c r="B9593" t="str">
        <f>IF(C9593="","",C9593&amp;COUNTIF(C$9:C9593,C9593))</f>
        <v/>
      </c>
    </row>
    <row r="9594" spans="2:2" x14ac:dyDescent="0.25">
      <c r="B9594" t="str">
        <f>IF(C9594="","",C9594&amp;COUNTIF(C$9:C9594,C9594))</f>
        <v/>
      </c>
    </row>
    <row r="9595" spans="2:2" x14ac:dyDescent="0.25">
      <c r="B9595" t="str">
        <f>IF(C9595="","",C9595&amp;COUNTIF(C$9:C9595,C9595))</f>
        <v/>
      </c>
    </row>
    <row r="9596" spans="2:2" x14ac:dyDescent="0.25">
      <c r="B9596" t="str">
        <f>IF(C9596="","",C9596&amp;COUNTIF(C$9:C9596,C9596))</f>
        <v/>
      </c>
    </row>
    <row r="9597" spans="2:2" x14ac:dyDescent="0.25">
      <c r="B9597" t="str">
        <f>IF(C9597="","",C9597&amp;COUNTIF(C$9:C9597,C9597))</f>
        <v/>
      </c>
    </row>
    <row r="9598" spans="2:2" x14ac:dyDescent="0.25">
      <c r="B9598" t="str">
        <f>IF(C9598="","",C9598&amp;COUNTIF(C$9:C9598,C9598))</f>
        <v/>
      </c>
    </row>
    <row r="9599" spans="2:2" x14ac:dyDescent="0.25">
      <c r="B9599" t="str">
        <f>IF(C9599="","",C9599&amp;COUNTIF(C$9:C9599,C9599))</f>
        <v/>
      </c>
    </row>
    <row r="9600" spans="2:2" x14ac:dyDescent="0.25">
      <c r="B9600" t="str">
        <f>IF(C9600="","",C9600&amp;COUNTIF(C$9:C9600,C9600))</f>
        <v/>
      </c>
    </row>
    <row r="9601" spans="2:2" x14ac:dyDescent="0.25">
      <c r="B9601" t="str">
        <f>IF(C9601="","",C9601&amp;COUNTIF(C$9:C9601,C9601))</f>
        <v/>
      </c>
    </row>
    <row r="9602" spans="2:2" x14ac:dyDescent="0.25">
      <c r="B9602" t="str">
        <f>IF(C9602="","",C9602&amp;COUNTIF(C$9:C9602,C9602))</f>
        <v/>
      </c>
    </row>
    <row r="9603" spans="2:2" x14ac:dyDescent="0.25">
      <c r="B9603" t="str">
        <f>IF(C9603="","",C9603&amp;COUNTIF(C$9:C9603,C9603))</f>
        <v/>
      </c>
    </row>
    <row r="9604" spans="2:2" x14ac:dyDescent="0.25">
      <c r="B9604" t="str">
        <f>IF(C9604="","",C9604&amp;COUNTIF(C$9:C9604,C9604))</f>
        <v/>
      </c>
    </row>
    <row r="9605" spans="2:2" x14ac:dyDescent="0.25">
      <c r="B9605" t="str">
        <f>IF(C9605="","",C9605&amp;COUNTIF(C$9:C9605,C9605))</f>
        <v/>
      </c>
    </row>
    <row r="9606" spans="2:2" x14ac:dyDescent="0.25">
      <c r="B9606" t="str">
        <f>IF(C9606="","",C9606&amp;COUNTIF(C$9:C9606,C9606))</f>
        <v/>
      </c>
    </row>
    <row r="9607" spans="2:2" x14ac:dyDescent="0.25">
      <c r="B9607" t="str">
        <f>IF(C9607="","",C9607&amp;COUNTIF(C$9:C9607,C9607))</f>
        <v/>
      </c>
    </row>
    <row r="9608" spans="2:2" x14ac:dyDescent="0.25">
      <c r="B9608" t="str">
        <f>IF(C9608="","",C9608&amp;COUNTIF(C$9:C9608,C9608))</f>
        <v/>
      </c>
    </row>
    <row r="9609" spans="2:2" x14ac:dyDescent="0.25">
      <c r="B9609" t="str">
        <f>IF(C9609="","",C9609&amp;COUNTIF(C$9:C9609,C9609))</f>
        <v/>
      </c>
    </row>
    <row r="9610" spans="2:2" x14ac:dyDescent="0.25">
      <c r="B9610" t="str">
        <f>IF(C9610="","",C9610&amp;COUNTIF(C$9:C9610,C9610))</f>
        <v/>
      </c>
    </row>
    <row r="9611" spans="2:2" x14ac:dyDescent="0.25">
      <c r="B9611" t="str">
        <f>IF(C9611="","",C9611&amp;COUNTIF(C$9:C9611,C9611))</f>
        <v/>
      </c>
    </row>
    <row r="9612" spans="2:2" x14ac:dyDescent="0.25">
      <c r="B9612" t="str">
        <f>IF(C9612="","",C9612&amp;COUNTIF(C$9:C9612,C9612))</f>
        <v/>
      </c>
    </row>
    <row r="9613" spans="2:2" x14ac:dyDescent="0.25">
      <c r="B9613" t="str">
        <f>IF(C9613="","",C9613&amp;COUNTIF(C$9:C9613,C9613))</f>
        <v/>
      </c>
    </row>
    <row r="9614" spans="2:2" x14ac:dyDescent="0.25">
      <c r="B9614" t="str">
        <f>IF(C9614="","",C9614&amp;COUNTIF(C$9:C9614,C9614))</f>
        <v/>
      </c>
    </row>
    <row r="9615" spans="2:2" x14ac:dyDescent="0.25">
      <c r="B9615" t="str">
        <f>IF(C9615="","",C9615&amp;COUNTIF(C$9:C9615,C9615))</f>
        <v/>
      </c>
    </row>
    <row r="9616" spans="2:2" x14ac:dyDescent="0.25">
      <c r="B9616" t="str">
        <f>IF(C9616="","",C9616&amp;COUNTIF(C$9:C9616,C9616))</f>
        <v/>
      </c>
    </row>
    <row r="9617" spans="2:2" x14ac:dyDescent="0.25">
      <c r="B9617" t="str">
        <f>IF(C9617="","",C9617&amp;COUNTIF(C$9:C9617,C9617))</f>
        <v/>
      </c>
    </row>
    <row r="9618" spans="2:2" x14ac:dyDescent="0.25">
      <c r="B9618" t="str">
        <f>IF(C9618="","",C9618&amp;COUNTIF(C$9:C9618,C9618))</f>
        <v/>
      </c>
    </row>
    <row r="9619" spans="2:2" x14ac:dyDescent="0.25">
      <c r="B9619" t="str">
        <f>IF(C9619="","",C9619&amp;COUNTIF(C$9:C9619,C9619))</f>
        <v/>
      </c>
    </row>
    <row r="9620" spans="2:2" x14ac:dyDescent="0.25">
      <c r="B9620" t="str">
        <f>IF(C9620="","",C9620&amp;COUNTIF(C$9:C9620,C9620))</f>
        <v/>
      </c>
    </row>
    <row r="9621" spans="2:2" x14ac:dyDescent="0.25">
      <c r="B9621" t="str">
        <f>IF(C9621="","",C9621&amp;COUNTIF(C$9:C9621,C9621))</f>
        <v/>
      </c>
    </row>
    <row r="9622" spans="2:2" x14ac:dyDescent="0.25">
      <c r="B9622" t="str">
        <f>IF(C9622="","",C9622&amp;COUNTIF(C$9:C9622,C9622))</f>
        <v/>
      </c>
    </row>
    <row r="9623" spans="2:2" x14ac:dyDescent="0.25">
      <c r="B9623" t="str">
        <f>IF(C9623="","",C9623&amp;COUNTIF(C$9:C9623,C9623))</f>
        <v/>
      </c>
    </row>
    <row r="9624" spans="2:2" x14ac:dyDescent="0.25">
      <c r="B9624" t="str">
        <f>IF(C9624="","",C9624&amp;COUNTIF(C$9:C9624,C9624))</f>
        <v/>
      </c>
    </row>
    <row r="9625" spans="2:2" x14ac:dyDescent="0.25">
      <c r="B9625" t="str">
        <f>IF(C9625="","",C9625&amp;COUNTIF(C$9:C9625,C9625))</f>
        <v/>
      </c>
    </row>
    <row r="9626" spans="2:2" x14ac:dyDescent="0.25">
      <c r="B9626" t="str">
        <f>IF(C9626="","",C9626&amp;COUNTIF(C$9:C9626,C9626))</f>
        <v/>
      </c>
    </row>
    <row r="9627" spans="2:2" x14ac:dyDescent="0.25">
      <c r="B9627" t="str">
        <f>IF(C9627="","",C9627&amp;COUNTIF(C$9:C9627,C9627))</f>
        <v/>
      </c>
    </row>
    <row r="9628" spans="2:2" x14ac:dyDescent="0.25">
      <c r="B9628" t="str">
        <f>IF(C9628="","",C9628&amp;COUNTIF(C$9:C9628,C9628))</f>
        <v/>
      </c>
    </row>
    <row r="9629" spans="2:2" x14ac:dyDescent="0.25">
      <c r="B9629" t="str">
        <f>IF(C9629="","",C9629&amp;COUNTIF(C$9:C9629,C9629))</f>
        <v/>
      </c>
    </row>
    <row r="9630" spans="2:2" x14ac:dyDescent="0.25">
      <c r="B9630" t="str">
        <f>IF(C9630="","",C9630&amp;COUNTIF(C$9:C9630,C9630))</f>
        <v/>
      </c>
    </row>
    <row r="9631" spans="2:2" x14ac:dyDescent="0.25">
      <c r="B9631" t="str">
        <f>IF(C9631="","",C9631&amp;COUNTIF(C$9:C9631,C9631))</f>
        <v/>
      </c>
    </row>
    <row r="9632" spans="2:2" x14ac:dyDescent="0.25">
      <c r="B9632" t="str">
        <f>IF(C9632="","",C9632&amp;COUNTIF(C$9:C9632,C9632))</f>
        <v/>
      </c>
    </row>
    <row r="9633" spans="2:2" x14ac:dyDescent="0.25">
      <c r="B9633" t="str">
        <f>IF(C9633="","",C9633&amp;COUNTIF(C$9:C9633,C9633))</f>
        <v/>
      </c>
    </row>
    <row r="9634" spans="2:2" x14ac:dyDescent="0.25">
      <c r="B9634" t="str">
        <f>IF(C9634="","",C9634&amp;COUNTIF(C$9:C9634,C9634))</f>
        <v/>
      </c>
    </row>
    <row r="9635" spans="2:2" x14ac:dyDescent="0.25">
      <c r="B9635" t="str">
        <f>IF(C9635="","",C9635&amp;COUNTIF(C$9:C9635,C9635))</f>
        <v/>
      </c>
    </row>
    <row r="9636" spans="2:2" x14ac:dyDescent="0.25">
      <c r="B9636" t="str">
        <f>IF(C9636="","",C9636&amp;COUNTIF(C$9:C9636,C9636))</f>
        <v/>
      </c>
    </row>
    <row r="9637" spans="2:2" x14ac:dyDescent="0.25">
      <c r="B9637" t="str">
        <f>IF(C9637="","",C9637&amp;COUNTIF(C$9:C9637,C9637))</f>
        <v/>
      </c>
    </row>
    <row r="9638" spans="2:2" x14ac:dyDescent="0.25">
      <c r="B9638" t="str">
        <f>IF(C9638="","",C9638&amp;COUNTIF(C$9:C9638,C9638))</f>
        <v/>
      </c>
    </row>
    <row r="9639" spans="2:2" x14ac:dyDescent="0.25">
      <c r="B9639" t="str">
        <f>IF(C9639="","",C9639&amp;COUNTIF(C$9:C9639,C9639))</f>
        <v/>
      </c>
    </row>
    <row r="9640" spans="2:2" x14ac:dyDescent="0.25">
      <c r="B9640" t="str">
        <f>IF(C9640="","",C9640&amp;COUNTIF(C$9:C9640,C9640))</f>
        <v/>
      </c>
    </row>
    <row r="9641" spans="2:2" x14ac:dyDescent="0.25">
      <c r="B9641" t="str">
        <f>IF(C9641="","",C9641&amp;COUNTIF(C$9:C9641,C9641))</f>
        <v/>
      </c>
    </row>
    <row r="9642" spans="2:2" x14ac:dyDescent="0.25">
      <c r="B9642" t="str">
        <f>IF(C9642="","",C9642&amp;COUNTIF(C$9:C9642,C9642))</f>
        <v/>
      </c>
    </row>
    <row r="9643" spans="2:2" x14ac:dyDescent="0.25">
      <c r="B9643" t="str">
        <f>IF(C9643="","",C9643&amp;COUNTIF(C$9:C9643,C9643))</f>
        <v/>
      </c>
    </row>
    <row r="9644" spans="2:2" x14ac:dyDescent="0.25">
      <c r="B9644" t="str">
        <f>IF(C9644="","",C9644&amp;COUNTIF(C$9:C9644,C9644))</f>
        <v/>
      </c>
    </row>
    <row r="9645" spans="2:2" x14ac:dyDescent="0.25">
      <c r="B9645" t="str">
        <f>IF(C9645="","",C9645&amp;COUNTIF(C$9:C9645,C9645))</f>
        <v/>
      </c>
    </row>
    <row r="9646" spans="2:2" x14ac:dyDescent="0.25">
      <c r="B9646" t="str">
        <f>IF(C9646="","",C9646&amp;COUNTIF(C$9:C9646,C9646))</f>
        <v/>
      </c>
    </row>
    <row r="9647" spans="2:2" x14ac:dyDescent="0.25">
      <c r="B9647" t="str">
        <f>IF(C9647="","",C9647&amp;COUNTIF(C$9:C9647,C9647))</f>
        <v/>
      </c>
    </row>
    <row r="9648" spans="2:2" x14ac:dyDescent="0.25">
      <c r="B9648" t="str">
        <f>IF(C9648="","",C9648&amp;COUNTIF(C$9:C9648,C9648))</f>
        <v/>
      </c>
    </row>
    <row r="9649" spans="2:2" x14ac:dyDescent="0.25">
      <c r="B9649" t="str">
        <f>IF(C9649="","",C9649&amp;COUNTIF(C$9:C9649,C9649))</f>
        <v/>
      </c>
    </row>
    <row r="9650" spans="2:2" x14ac:dyDescent="0.25">
      <c r="B9650" t="str">
        <f>IF(C9650="","",C9650&amp;COUNTIF(C$9:C9650,C9650))</f>
        <v/>
      </c>
    </row>
    <row r="9651" spans="2:2" x14ac:dyDescent="0.25">
      <c r="B9651" t="str">
        <f>IF(C9651="","",C9651&amp;COUNTIF(C$9:C9651,C9651))</f>
        <v/>
      </c>
    </row>
    <row r="9652" spans="2:2" x14ac:dyDescent="0.25">
      <c r="B9652" t="str">
        <f>IF(C9652="","",C9652&amp;COUNTIF(C$9:C9652,C9652))</f>
        <v/>
      </c>
    </row>
    <row r="9653" spans="2:2" x14ac:dyDescent="0.25">
      <c r="B9653" t="str">
        <f>IF(C9653="","",C9653&amp;COUNTIF(C$9:C9653,C9653))</f>
        <v/>
      </c>
    </row>
    <row r="9654" spans="2:2" x14ac:dyDescent="0.25">
      <c r="B9654" t="str">
        <f>IF(C9654="","",C9654&amp;COUNTIF(C$9:C9654,C9654))</f>
        <v/>
      </c>
    </row>
    <row r="9655" spans="2:2" x14ac:dyDescent="0.25">
      <c r="B9655" t="str">
        <f>IF(C9655="","",C9655&amp;COUNTIF(C$9:C9655,C9655))</f>
        <v/>
      </c>
    </row>
    <row r="9656" spans="2:2" x14ac:dyDescent="0.25">
      <c r="B9656" t="str">
        <f>IF(C9656="","",C9656&amp;COUNTIF(C$9:C9656,C9656))</f>
        <v/>
      </c>
    </row>
    <row r="9657" spans="2:2" x14ac:dyDescent="0.25">
      <c r="B9657" t="str">
        <f>IF(C9657="","",C9657&amp;COUNTIF(C$9:C9657,C9657))</f>
        <v/>
      </c>
    </row>
    <row r="9658" spans="2:2" x14ac:dyDescent="0.25">
      <c r="B9658" t="str">
        <f>IF(C9658="","",C9658&amp;COUNTIF(C$9:C9658,C9658))</f>
        <v/>
      </c>
    </row>
    <row r="9659" spans="2:2" x14ac:dyDescent="0.25">
      <c r="B9659" t="str">
        <f>IF(C9659="","",C9659&amp;COUNTIF(C$9:C9659,C9659))</f>
        <v/>
      </c>
    </row>
    <row r="9660" spans="2:2" x14ac:dyDescent="0.25">
      <c r="B9660" t="str">
        <f>IF(C9660="","",C9660&amp;COUNTIF(C$9:C9660,C9660))</f>
        <v/>
      </c>
    </row>
    <row r="9661" spans="2:2" x14ac:dyDescent="0.25">
      <c r="B9661" t="str">
        <f>IF(C9661="","",C9661&amp;COUNTIF(C$9:C9661,C9661))</f>
        <v/>
      </c>
    </row>
    <row r="9662" spans="2:2" x14ac:dyDescent="0.25">
      <c r="B9662" t="str">
        <f>IF(C9662="","",C9662&amp;COUNTIF(C$9:C9662,C9662))</f>
        <v/>
      </c>
    </row>
    <row r="9663" spans="2:2" x14ac:dyDescent="0.25">
      <c r="B9663" t="str">
        <f>IF(C9663="","",C9663&amp;COUNTIF(C$9:C9663,C9663))</f>
        <v/>
      </c>
    </row>
    <row r="9664" spans="2:2" x14ac:dyDescent="0.25">
      <c r="B9664" t="str">
        <f>IF(C9664="","",C9664&amp;COUNTIF(C$9:C9664,C9664))</f>
        <v/>
      </c>
    </row>
    <row r="9665" spans="2:2" x14ac:dyDescent="0.25">
      <c r="B9665" t="str">
        <f>IF(C9665="","",C9665&amp;COUNTIF(C$9:C9665,C9665))</f>
        <v/>
      </c>
    </row>
    <row r="9666" spans="2:2" x14ac:dyDescent="0.25">
      <c r="B9666" t="str">
        <f>IF(C9666="","",C9666&amp;COUNTIF(C$9:C9666,C9666))</f>
        <v/>
      </c>
    </row>
    <row r="9667" spans="2:2" x14ac:dyDescent="0.25">
      <c r="B9667" t="str">
        <f>IF(C9667="","",C9667&amp;COUNTIF(C$9:C9667,C9667))</f>
        <v/>
      </c>
    </row>
    <row r="9668" spans="2:2" x14ac:dyDescent="0.25">
      <c r="B9668" t="str">
        <f>IF(C9668="","",C9668&amp;COUNTIF(C$9:C9668,C9668))</f>
        <v/>
      </c>
    </row>
    <row r="9669" spans="2:2" x14ac:dyDescent="0.25">
      <c r="B9669" t="str">
        <f>IF(C9669="","",C9669&amp;COUNTIF(C$9:C9669,C9669))</f>
        <v/>
      </c>
    </row>
    <row r="9670" spans="2:2" x14ac:dyDescent="0.25">
      <c r="B9670" t="str">
        <f>IF(C9670="","",C9670&amp;COUNTIF(C$9:C9670,C9670))</f>
        <v/>
      </c>
    </row>
    <row r="9671" spans="2:2" x14ac:dyDescent="0.25">
      <c r="B9671" t="str">
        <f>IF(C9671="","",C9671&amp;COUNTIF(C$9:C9671,C9671))</f>
        <v/>
      </c>
    </row>
    <row r="9672" spans="2:2" x14ac:dyDescent="0.25">
      <c r="B9672" t="str">
        <f>IF(C9672="","",C9672&amp;COUNTIF(C$9:C9672,C9672))</f>
        <v/>
      </c>
    </row>
    <row r="9673" spans="2:2" x14ac:dyDescent="0.25">
      <c r="B9673" t="str">
        <f>IF(C9673="","",C9673&amp;COUNTIF(C$9:C9673,C9673))</f>
        <v/>
      </c>
    </row>
    <row r="9674" spans="2:2" x14ac:dyDescent="0.25">
      <c r="B9674" t="str">
        <f>IF(C9674="","",C9674&amp;COUNTIF(C$9:C9674,C9674))</f>
        <v/>
      </c>
    </row>
    <row r="9675" spans="2:2" x14ac:dyDescent="0.25">
      <c r="B9675" t="str">
        <f>IF(C9675="","",C9675&amp;COUNTIF(C$9:C9675,C9675))</f>
        <v/>
      </c>
    </row>
    <row r="9676" spans="2:2" x14ac:dyDescent="0.25">
      <c r="B9676" t="str">
        <f>IF(C9676="","",C9676&amp;COUNTIF(C$9:C9676,C9676))</f>
        <v/>
      </c>
    </row>
    <row r="9677" spans="2:2" x14ac:dyDescent="0.25">
      <c r="B9677" t="str">
        <f>IF(C9677="","",C9677&amp;COUNTIF(C$9:C9677,C9677))</f>
        <v/>
      </c>
    </row>
    <row r="9678" spans="2:2" x14ac:dyDescent="0.25">
      <c r="B9678" t="str">
        <f>IF(C9678="","",C9678&amp;COUNTIF(C$9:C9678,C9678))</f>
        <v/>
      </c>
    </row>
    <row r="9679" spans="2:2" x14ac:dyDescent="0.25">
      <c r="B9679" t="str">
        <f>IF(C9679="","",C9679&amp;COUNTIF(C$9:C9679,C9679))</f>
        <v/>
      </c>
    </row>
    <row r="9680" spans="2:2" x14ac:dyDescent="0.25">
      <c r="B9680" t="str">
        <f>IF(C9680="","",C9680&amp;COUNTIF(C$9:C9680,C9680))</f>
        <v/>
      </c>
    </row>
    <row r="9681" spans="2:2" x14ac:dyDescent="0.25">
      <c r="B9681" t="str">
        <f>IF(C9681="","",C9681&amp;COUNTIF(C$9:C9681,C9681))</f>
        <v/>
      </c>
    </row>
    <row r="9682" spans="2:2" x14ac:dyDescent="0.25">
      <c r="B9682" t="str">
        <f>IF(C9682="","",C9682&amp;COUNTIF(C$9:C9682,C9682))</f>
        <v/>
      </c>
    </row>
    <row r="9683" spans="2:2" x14ac:dyDescent="0.25">
      <c r="B9683" t="str">
        <f>IF(C9683="","",C9683&amp;COUNTIF(C$9:C9683,C9683))</f>
        <v/>
      </c>
    </row>
    <row r="9684" spans="2:2" x14ac:dyDescent="0.25">
      <c r="B9684" t="str">
        <f>IF(C9684="","",C9684&amp;COUNTIF(C$9:C9684,C9684))</f>
        <v/>
      </c>
    </row>
    <row r="9685" spans="2:2" x14ac:dyDescent="0.25">
      <c r="B9685" t="str">
        <f>IF(C9685="","",C9685&amp;COUNTIF(C$9:C9685,C9685))</f>
        <v/>
      </c>
    </row>
    <row r="9686" spans="2:2" x14ac:dyDescent="0.25">
      <c r="B9686" t="str">
        <f>IF(C9686="","",C9686&amp;COUNTIF(C$9:C9686,C9686))</f>
        <v/>
      </c>
    </row>
    <row r="9687" spans="2:2" x14ac:dyDescent="0.25">
      <c r="B9687" t="str">
        <f>IF(C9687="","",C9687&amp;COUNTIF(C$9:C9687,C9687))</f>
        <v/>
      </c>
    </row>
    <row r="9688" spans="2:2" x14ac:dyDescent="0.25">
      <c r="B9688" t="str">
        <f>IF(C9688="","",C9688&amp;COUNTIF(C$9:C9688,C9688))</f>
        <v/>
      </c>
    </row>
    <row r="9689" spans="2:2" x14ac:dyDescent="0.25">
      <c r="B9689" t="str">
        <f>IF(C9689="","",C9689&amp;COUNTIF(C$9:C9689,C9689))</f>
        <v/>
      </c>
    </row>
    <row r="9690" spans="2:2" x14ac:dyDescent="0.25">
      <c r="B9690" t="str">
        <f>IF(C9690="","",C9690&amp;COUNTIF(C$9:C9690,C9690))</f>
        <v/>
      </c>
    </row>
    <row r="9691" spans="2:2" x14ac:dyDescent="0.25">
      <c r="B9691" t="str">
        <f>IF(C9691="","",C9691&amp;COUNTIF(C$9:C9691,C9691))</f>
        <v/>
      </c>
    </row>
    <row r="9692" spans="2:2" x14ac:dyDescent="0.25">
      <c r="B9692" t="str">
        <f>IF(C9692="","",C9692&amp;COUNTIF(C$9:C9692,C9692))</f>
        <v/>
      </c>
    </row>
    <row r="9693" spans="2:2" x14ac:dyDescent="0.25">
      <c r="B9693" t="str">
        <f>IF(C9693="","",C9693&amp;COUNTIF(C$9:C9693,C9693))</f>
        <v/>
      </c>
    </row>
    <row r="9694" spans="2:2" x14ac:dyDescent="0.25">
      <c r="B9694" t="str">
        <f>IF(C9694="","",C9694&amp;COUNTIF(C$9:C9694,C9694))</f>
        <v/>
      </c>
    </row>
    <row r="9695" spans="2:2" x14ac:dyDescent="0.25">
      <c r="B9695" t="str">
        <f>IF(C9695="","",C9695&amp;COUNTIF(C$9:C9695,C9695))</f>
        <v/>
      </c>
    </row>
    <row r="9696" spans="2:2" x14ac:dyDescent="0.25">
      <c r="B9696" t="str">
        <f>IF(C9696="","",C9696&amp;COUNTIF(C$9:C9696,C9696))</f>
        <v/>
      </c>
    </row>
    <row r="9697" spans="2:2" x14ac:dyDescent="0.25">
      <c r="B9697" t="str">
        <f>IF(C9697="","",C9697&amp;COUNTIF(C$9:C9697,C9697))</f>
        <v/>
      </c>
    </row>
    <row r="9698" spans="2:2" x14ac:dyDescent="0.25">
      <c r="B9698" t="str">
        <f>IF(C9698="","",C9698&amp;COUNTIF(C$9:C9698,C9698))</f>
        <v/>
      </c>
    </row>
    <row r="9699" spans="2:2" x14ac:dyDescent="0.25">
      <c r="B9699" t="str">
        <f>IF(C9699="","",C9699&amp;COUNTIF(C$9:C9699,C9699))</f>
        <v/>
      </c>
    </row>
    <row r="9700" spans="2:2" x14ac:dyDescent="0.25">
      <c r="B9700" t="str">
        <f>IF(C9700="","",C9700&amp;COUNTIF(C$9:C9700,C9700))</f>
        <v/>
      </c>
    </row>
    <row r="9701" spans="2:2" x14ac:dyDescent="0.25">
      <c r="B9701" t="str">
        <f>IF(C9701="","",C9701&amp;COUNTIF(C$9:C9701,C9701))</f>
        <v/>
      </c>
    </row>
    <row r="9702" spans="2:2" x14ac:dyDescent="0.25">
      <c r="B9702" t="str">
        <f>IF(C9702="","",C9702&amp;COUNTIF(C$9:C9702,C9702))</f>
        <v/>
      </c>
    </row>
    <row r="9703" spans="2:2" x14ac:dyDescent="0.25">
      <c r="B9703" t="str">
        <f>IF(C9703="","",C9703&amp;COUNTIF(C$9:C9703,C9703))</f>
        <v/>
      </c>
    </row>
    <row r="9704" spans="2:2" x14ac:dyDescent="0.25">
      <c r="B9704" t="str">
        <f>IF(C9704="","",C9704&amp;COUNTIF(C$9:C9704,C9704))</f>
        <v/>
      </c>
    </row>
    <row r="9705" spans="2:2" x14ac:dyDescent="0.25">
      <c r="B9705" t="str">
        <f>IF(C9705="","",C9705&amp;COUNTIF(C$9:C9705,C9705))</f>
        <v/>
      </c>
    </row>
    <row r="9706" spans="2:2" x14ac:dyDescent="0.25">
      <c r="B9706" t="str">
        <f>IF(C9706="","",C9706&amp;COUNTIF(C$9:C9706,C9706))</f>
        <v/>
      </c>
    </row>
    <row r="9707" spans="2:2" x14ac:dyDescent="0.25">
      <c r="B9707" t="str">
        <f>IF(C9707="","",C9707&amp;COUNTIF(C$9:C9707,C9707))</f>
        <v/>
      </c>
    </row>
    <row r="9708" spans="2:2" x14ac:dyDescent="0.25">
      <c r="B9708" t="str">
        <f>IF(C9708="","",C9708&amp;COUNTIF(C$9:C9708,C9708))</f>
        <v/>
      </c>
    </row>
    <row r="9709" spans="2:2" x14ac:dyDescent="0.25">
      <c r="B9709" t="str">
        <f>IF(C9709="","",C9709&amp;COUNTIF(C$9:C9709,C9709))</f>
        <v/>
      </c>
    </row>
    <row r="9710" spans="2:2" x14ac:dyDescent="0.25">
      <c r="B9710" t="str">
        <f>IF(C9710="","",C9710&amp;COUNTIF(C$9:C9710,C9710))</f>
        <v/>
      </c>
    </row>
    <row r="9711" spans="2:2" x14ac:dyDescent="0.25">
      <c r="B9711" t="str">
        <f>IF(C9711="","",C9711&amp;COUNTIF(C$9:C9711,C9711))</f>
        <v/>
      </c>
    </row>
    <row r="9712" spans="2:2" x14ac:dyDescent="0.25">
      <c r="B9712" t="str">
        <f>IF(C9712="","",C9712&amp;COUNTIF(C$9:C9712,C9712))</f>
        <v/>
      </c>
    </row>
    <row r="9713" spans="2:2" x14ac:dyDescent="0.25">
      <c r="B9713" t="str">
        <f>IF(C9713="","",C9713&amp;COUNTIF(C$9:C9713,C9713))</f>
        <v/>
      </c>
    </row>
    <row r="9714" spans="2:2" x14ac:dyDescent="0.25">
      <c r="B9714" t="str">
        <f>IF(C9714="","",C9714&amp;COUNTIF(C$9:C9714,C9714))</f>
        <v/>
      </c>
    </row>
    <row r="9715" spans="2:2" x14ac:dyDescent="0.25">
      <c r="B9715" t="str">
        <f>IF(C9715="","",C9715&amp;COUNTIF(C$9:C9715,C9715))</f>
        <v/>
      </c>
    </row>
    <row r="9716" spans="2:2" x14ac:dyDescent="0.25">
      <c r="B9716" t="str">
        <f>IF(C9716="","",C9716&amp;COUNTIF(C$9:C9716,C9716))</f>
        <v/>
      </c>
    </row>
    <row r="9717" spans="2:2" x14ac:dyDescent="0.25">
      <c r="B9717" t="str">
        <f>IF(C9717="","",C9717&amp;COUNTIF(C$9:C9717,C9717))</f>
        <v/>
      </c>
    </row>
    <row r="9718" spans="2:2" x14ac:dyDescent="0.25">
      <c r="B9718" t="str">
        <f>IF(C9718="","",C9718&amp;COUNTIF(C$9:C9718,C9718))</f>
        <v/>
      </c>
    </row>
    <row r="9719" spans="2:2" x14ac:dyDescent="0.25">
      <c r="B9719" t="str">
        <f>IF(C9719="","",C9719&amp;COUNTIF(C$9:C9719,C9719))</f>
        <v/>
      </c>
    </row>
    <row r="9720" spans="2:2" x14ac:dyDescent="0.25">
      <c r="B9720" t="str">
        <f>IF(C9720="","",C9720&amp;COUNTIF(C$9:C9720,C9720))</f>
        <v/>
      </c>
    </row>
    <row r="9721" spans="2:2" x14ac:dyDescent="0.25">
      <c r="B9721" t="str">
        <f>IF(C9721="","",C9721&amp;COUNTIF(C$9:C9721,C9721))</f>
        <v/>
      </c>
    </row>
    <row r="9722" spans="2:2" x14ac:dyDescent="0.25">
      <c r="B9722" t="str">
        <f>IF(C9722="","",C9722&amp;COUNTIF(C$9:C9722,C9722))</f>
        <v/>
      </c>
    </row>
    <row r="9723" spans="2:2" x14ac:dyDescent="0.25">
      <c r="B9723" t="str">
        <f>IF(C9723="","",C9723&amp;COUNTIF(C$9:C9723,C9723))</f>
        <v/>
      </c>
    </row>
    <row r="9724" spans="2:2" x14ac:dyDescent="0.25">
      <c r="B9724" t="str">
        <f>IF(C9724="","",C9724&amp;COUNTIF(C$9:C9724,C9724))</f>
        <v/>
      </c>
    </row>
    <row r="9725" spans="2:2" x14ac:dyDescent="0.25">
      <c r="B9725" t="str">
        <f>IF(C9725="","",C9725&amp;COUNTIF(C$9:C9725,C9725))</f>
        <v/>
      </c>
    </row>
    <row r="9726" spans="2:2" x14ac:dyDescent="0.25">
      <c r="B9726" t="str">
        <f>IF(C9726="","",C9726&amp;COUNTIF(C$9:C9726,C9726))</f>
        <v/>
      </c>
    </row>
    <row r="9727" spans="2:2" x14ac:dyDescent="0.25">
      <c r="B9727" t="str">
        <f>IF(C9727="","",C9727&amp;COUNTIF(C$9:C9727,C9727))</f>
        <v/>
      </c>
    </row>
    <row r="9728" spans="2:2" x14ac:dyDescent="0.25">
      <c r="B9728" t="str">
        <f>IF(C9728="","",C9728&amp;COUNTIF(C$9:C9728,C9728))</f>
        <v/>
      </c>
    </row>
    <row r="9729" spans="2:2" x14ac:dyDescent="0.25">
      <c r="B9729" t="str">
        <f>IF(C9729="","",C9729&amp;COUNTIF(C$9:C9729,C9729))</f>
        <v/>
      </c>
    </row>
    <row r="9730" spans="2:2" x14ac:dyDescent="0.25">
      <c r="B9730" t="str">
        <f>IF(C9730="","",C9730&amp;COUNTIF(C$9:C9730,C9730))</f>
        <v/>
      </c>
    </row>
    <row r="9731" spans="2:2" x14ac:dyDescent="0.25">
      <c r="B9731" t="str">
        <f>IF(C9731="","",C9731&amp;COUNTIF(C$9:C9731,C9731))</f>
        <v/>
      </c>
    </row>
    <row r="9732" spans="2:2" x14ac:dyDescent="0.25">
      <c r="B9732" t="str">
        <f>IF(C9732="","",C9732&amp;COUNTIF(C$9:C9732,C9732))</f>
        <v/>
      </c>
    </row>
    <row r="9733" spans="2:2" x14ac:dyDescent="0.25">
      <c r="B9733" t="str">
        <f>IF(C9733="","",C9733&amp;COUNTIF(C$9:C9733,C9733))</f>
        <v/>
      </c>
    </row>
    <row r="9734" spans="2:2" x14ac:dyDescent="0.25">
      <c r="B9734" t="str">
        <f>IF(C9734="","",C9734&amp;COUNTIF(C$9:C9734,C9734))</f>
        <v/>
      </c>
    </row>
    <row r="9735" spans="2:2" x14ac:dyDescent="0.25">
      <c r="B9735" t="str">
        <f>IF(C9735="","",C9735&amp;COUNTIF(C$9:C9735,C9735))</f>
        <v/>
      </c>
    </row>
    <row r="9736" spans="2:2" x14ac:dyDescent="0.25">
      <c r="B9736" t="str">
        <f>IF(C9736="","",C9736&amp;COUNTIF(C$9:C9736,C9736))</f>
        <v/>
      </c>
    </row>
    <row r="9737" spans="2:2" x14ac:dyDescent="0.25">
      <c r="B9737" t="str">
        <f>IF(C9737="","",C9737&amp;COUNTIF(C$9:C9737,C9737))</f>
        <v/>
      </c>
    </row>
    <row r="9738" spans="2:2" x14ac:dyDescent="0.25">
      <c r="B9738" t="str">
        <f>IF(C9738="","",C9738&amp;COUNTIF(C$9:C9738,C9738))</f>
        <v/>
      </c>
    </row>
    <row r="9739" spans="2:2" x14ac:dyDescent="0.25">
      <c r="B9739" t="str">
        <f>IF(C9739="","",C9739&amp;COUNTIF(C$9:C9739,C9739))</f>
        <v/>
      </c>
    </row>
    <row r="9740" spans="2:2" x14ac:dyDescent="0.25">
      <c r="B9740" t="str">
        <f>IF(C9740="","",C9740&amp;COUNTIF(C$9:C9740,C9740))</f>
        <v/>
      </c>
    </row>
    <row r="9741" spans="2:2" x14ac:dyDescent="0.25">
      <c r="B9741" t="str">
        <f>IF(C9741="","",C9741&amp;COUNTIF(C$9:C9741,C9741))</f>
        <v/>
      </c>
    </row>
    <row r="9742" spans="2:2" x14ac:dyDescent="0.25">
      <c r="B9742" t="str">
        <f>IF(C9742="","",C9742&amp;COUNTIF(C$9:C9742,C9742))</f>
        <v/>
      </c>
    </row>
    <row r="9743" spans="2:2" x14ac:dyDescent="0.25">
      <c r="B9743" t="str">
        <f>IF(C9743="","",C9743&amp;COUNTIF(C$9:C9743,C9743))</f>
        <v/>
      </c>
    </row>
    <row r="9744" spans="2:2" x14ac:dyDescent="0.25">
      <c r="B9744" t="str">
        <f>IF(C9744="","",C9744&amp;COUNTIF(C$9:C9744,C9744))</f>
        <v/>
      </c>
    </row>
    <row r="9745" spans="2:2" x14ac:dyDescent="0.25">
      <c r="B9745" t="str">
        <f>IF(C9745="","",C9745&amp;COUNTIF(C$9:C9745,C9745))</f>
        <v/>
      </c>
    </row>
    <row r="9746" spans="2:2" x14ac:dyDescent="0.25">
      <c r="B9746" t="str">
        <f>IF(C9746="","",C9746&amp;COUNTIF(C$9:C9746,C9746))</f>
        <v/>
      </c>
    </row>
    <row r="9747" spans="2:2" x14ac:dyDescent="0.25">
      <c r="B9747" t="str">
        <f>IF(C9747="","",C9747&amp;COUNTIF(C$9:C9747,C9747))</f>
        <v/>
      </c>
    </row>
    <row r="9748" spans="2:2" x14ac:dyDescent="0.25">
      <c r="B9748" t="str">
        <f>IF(C9748="","",C9748&amp;COUNTIF(C$9:C9748,C9748))</f>
        <v/>
      </c>
    </row>
    <row r="9749" spans="2:2" x14ac:dyDescent="0.25">
      <c r="B9749" t="str">
        <f>IF(C9749="","",C9749&amp;COUNTIF(C$9:C9749,C9749))</f>
        <v/>
      </c>
    </row>
    <row r="9750" spans="2:2" x14ac:dyDescent="0.25">
      <c r="B9750" t="str">
        <f>IF(C9750="","",C9750&amp;COUNTIF(C$9:C9750,C9750))</f>
        <v/>
      </c>
    </row>
    <row r="9751" spans="2:2" x14ac:dyDescent="0.25">
      <c r="B9751" t="str">
        <f>IF(C9751="","",C9751&amp;COUNTIF(C$9:C9751,C9751))</f>
        <v/>
      </c>
    </row>
    <row r="9752" spans="2:2" x14ac:dyDescent="0.25">
      <c r="B9752" t="str">
        <f>IF(C9752="","",C9752&amp;COUNTIF(C$9:C9752,C9752))</f>
        <v/>
      </c>
    </row>
    <row r="9753" spans="2:2" x14ac:dyDescent="0.25">
      <c r="B9753" t="str">
        <f>IF(C9753="","",C9753&amp;COUNTIF(C$9:C9753,C9753))</f>
        <v/>
      </c>
    </row>
    <row r="9754" spans="2:2" x14ac:dyDescent="0.25">
      <c r="B9754" t="str">
        <f>IF(C9754="","",C9754&amp;COUNTIF(C$9:C9754,C9754))</f>
        <v/>
      </c>
    </row>
    <row r="9755" spans="2:2" x14ac:dyDescent="0.25">
      <c r="B9755" t="str">
        <f>IF(C9755="","",C9755&amp;COUNTIF(C$9:C9755,C9755))</f>
        <v/>
      </c>
    </row>
    <row r="9756" spans="2:2" x14ac:dyDescent="0.25">
      <c r="B9756" t="str">
        <f>IF(C9756="","",C9756&amp;COUNTIF(C$9:C9756,C9756))</f>
        <v/>
      </c>
    </row>
    <row r="9757" spans="2:2" x14ac:dyDescent="0.25">
      <c r="B9757" t="str">
        <f>IF(C9757="","",C9757&amp;COUNTIF(C$9:C9757,C9757))</f>
        <v/>
      </c>
    </row>
    <row r="9758" spans="2:2" x14ac:dyDescent="0.25">
      <c r="B9758" t="str">
        <f>IF(C9758="","",C9758&amp;COUNTIF(C$9:C9758,C9758))</f>
        <v/>
      </c>
    </row>
    <row r="9759" spans="2:2" x14ac:dyDescent="0.25">
      <c r="B9759" t="str">
        <f>IF(C9759="","",C9759&amp;COUNTIF(C$9:C9759,C9759))</f>
        <v/>
      </c>
    </row>
    <row r="9760" spans="2:2" x14ac:dyDescent="0.25">
      <c r="B9760" t="str">
        <f>IF(C9760="","",C9760&amp;COUNTIF(C$9:C9760,C9760))</f>
        <v/>
      </c>
    </row>
    <row r="9761" spans="2:2" x14ac:dyDescent="0.25">
      <c r="B9761" t="str">
        <f>IF(C9761="","",C9761&amp;COUNTIF(C$9:C9761,C9761))</f>
        <v/>
      </c>
    </row>
    <row r="9762" spans="2:2" x14ac:dyDescent="0.25">
      <c r="B9762" t="str">
        <f>IF(C9762="","",C9762&amp;COUNTIF(C$9:C9762,C9762))</f>
        <v/>
      </c>
    </row>
    <row r="9763" spans="2:2" x14ac:dyDescent="0.25">
      <c r="B9763" t="str">
        <f>IF(C9763="","",C9763&amp;COUNTIF(C$9:C9763,C9763))</f>
        <v/>
      </c>
    </row>
    <row r="9764" spans="2:2" x14ac:dyDescent="0.25">
      <c r="B9764" t="str">
        <f>IF(C9764="","",C9764&amp;COUNTIF(C$9:C9764,C9764))</f>
        <v/>
      </c>
    </row>
    <row r="9765" spans="2:2" x14ac:dyDescent="0.25">
      <c r="B9765" t="str">
        <f>IF(C9765="","",C9765&amp;COUNTIF(C$9:C9765,C9765))</f>
        <v/>
      </c>
    </row>
    <row r="9766" spans="2:2" x14ac:dyDescent="0.25">
      <c r="B9766" t="str">
        <f>IF(C9766="","",C9766&amp;COUNTIF(C$9:C9766,C9766))</f>
        <v/>
      </c>
    </row>
    <row r="9767" spans="2:2" x14ac:dyDescent="0.25">
      <c r="B9767" t="str">
        <f>IF(C9767="","",C9767&amp;COUNTIF(C$9:C9767,C9767))</f>
        <v/>
      </c>
    </row>
    <row r="9768" spans="2:2" x14ac:dyDescent="0.25">
      <c r="B9768" t="str">
        <f>IF(C9768="","",C9768&amp;COUNTIF(C$9:C9768,C9768))</f>
        <v/>
      </c>
    </row>
    <row r="9769" spans="2:2" x14ac:dyDescent="0.25">
      <c r="B9769" t="str">
        <f>IF(C9769="","",C9769&amp;COUNTIF(C$9:C9769,C9769))</f>
        <v/>
      </c>
    </row>
    <row r="9770" spans="2:2" x14ac:dyDescent="0.25">
      <c r="B9770" t="str">
        <f>IF(C9770="","",C9770&amp;COUNTIF(C$9:C9770,C9770))</f>
        <v/>
      </c>
    </row>
    <row r="9771" spans="2:2" x14ac:dyDescent="0.25">
      <c r="B9771" t="str">
        <f>IF(C9771="","",C9771&amp;COUNTIF(C$9:C9771,C9771))</f>
        <v/>
      </c>
    </row>
    <row r="9772" spans="2:2" x14ac:dyDescent="0.25">
      <c r="B9772" t="str">
        <f>IF(C9772="","",C9772&amp;COUNTIF(C$9:C9772,C9772))</f>
        <v/>
      </c>
    </row>
    <row r="9773" spans="2:2" x14ac:dyDescent="0.25">
      <c r="B9773" t="str">
        <f>IF(C9773="","",C9773&amp;COUNTIF(C$9:C9773,C9773))</f>
        <v/>
      </c>
    </row>
    <row r="9774" spans="2:2" x14ac:dyDescent="0.25">
      <c r="B9774" t="str">
        <f>IF(C9774="","",C9774&amp;COUNTIF(C$9:C9774,C9774))</f>
        <v/>
      </c>
    </row>
    <row r="9775" spans="2:2" x14ac:dyDescent="0.25">
      <c r="B9775" t="str">
        <f>IF(C9775="","",C9775&amp;COUNTIF(C$9:C9775,C9775))</f>
        <v/>
      </c>
    </row>
    <row r="9776" spans="2:2" x14ac:dyDescent="0.25">
      <c r="B9776" t="str">
        <f>IF(C9776="","",C9776&amp;COUNTIF(C$9:C9776,C9776))</f>
        <v/>
      </c>
    </row>
    <row r="9777" spans="2:2" x14ac:dyDescent="0.25">
      <c r="B9777" t="str">
        <f>IF(C9777="","",C9777&amp;COUNTIF(C$9:C9777,C9777))</f>
        <v/>
      </c>
    </row>
    <row r="9778" spans="2:2" x14ac:dyDescent="0.25">
      <c r="B9778" t="str">
        <f>IF(C9778="","",C9778&amp;COUNTIF(C$9:C9778,C9778))</f>
        <v/>
      </c>
    </row>
    <row r="9779" spans="2:2" x14ac:dyDescent="0.25">
      <c r="B9779" t="str">
        <f>IF(C9779="","",C9779&amp;COUNTIF(C$9:C9779,C9779))</f>
        <v/>
      </c>
    </row>
    <row r="9780" spans="2:2" x14ac:dyDescent="0.25">
      <c r="B9780" t="str">
        <f>IF(C9780="","",C9780&amp;COUNTIF(C$9:C9780,C9780))</f>
        <v/>
      </c>
    </row>
    <row r="9781" spans="2:2" x14ac:dyDescent="0.25">
      <c r="B9781" t="str">
        <f>IF(C9781="","",C9781&amp;COUNTIF(C$9:C9781,C9781))</f>
        <v/>
      </c>
    </row>
    <row r="9782" spans="2:2" x14ac:dyDescent="0.25">
      <c r="B9782" t="str">
        <f>IF(C9782="","",C9782&amp;COUNTIF(C$9:C9782,C9782))</f>
        <v/>
      </c>
    </row>
    <row r="9783" spans="2:2" x14ac:dyDescent="0.25">
      <c r="B9783" t="str">
        <f>IF(C9783="","",C9783&amp;COUNTIF(C$9:C9783,C9783))</f>
        <v/>
      </c>
    </row>
    <row r="9784" spans="2:2" x14ac:dyDescent="0.25">
      <c r="B9784" t="str">
        <f>IF(C9784="","",C9784&amp;COUNTIF(C$9:C9784,C9784))</f>
        <v/>
      </c>
    </row>
    <row r="9785" spans="2:2" x14ac:dyDescent="0.25">
      <c r="B9785" t="str">
        <f>IF(C9785="","",C9785&amp;COUNTIF(C$9:C9785,C9785))</f>
        <v/>
      </c>
    </row>
    <row r="9786" spans="2:2" x14ac:dyDescent="0.25">
      <c r="B9786" t="str">
        <f>IF(C9786="","",C9786&amp;COUNTIF(C$9:C9786,C9786))</f>
        <v/>
      </c>
    </row>
    <row r="9787" spans="2:2" x14ac:dyDescent="0.25">
      <c r="B9787" t="str">
        <f>IF(C9787="","",C9787&amp;COUNTIF(C$9:C9787,C9787))</f>
        <v/>
      </c>
    </row>
    <row r="9788" spans="2:2" x14ac:dyDescent="0.25">
      <c r="B9788" t="str">
        <f>IF(C9788="","",C9788&amp;COUNTIF(C$9:C9788,C9788))</f>
        <v/>
      </c>
    </row>
    <row r="9789" spans="2:2" x14ac:dyDescent="0.25">
      <c r="B9789" t="str">
        <f>IF(C9789="","",C9789&amp;COUNTIF(C$9:C9789,C9789))</f>
        <v/>
      </c>
    </row>
    <row r="9790" spans="2:2" x14ac:dyDescent="0.25">
      <c r="B9790" t="str">
        <f>IF(C9790="","",C9790&amp;COUNTIF(C$9:C9790,C9790))</f>
        <v/>
      </c>
    </row>
    <row r="9791" spans="2:2" x14ac:dyDescent="0.25">
      <c r="B9791" t="str">
        <f>IF(C9791="","",C9791&amp;COUNTIF(C$9:C9791,C9791))</f>
        <v/>
      </c>
    </row>
    <row r="9792" spans="2:2" x14ac:dyDescent="0.25">
      <c r="B9792" t="str">
        <f>IF(C9792="","",C9792&amp;COUNTIF(C$9:C9792,C9792))</f>
        <v/>
      </c>
    </row>
    <row r="9793" spans="2:2" x14ac:dyDescent="0.25">
      <c r="B9793" t="str">
        <f>IF(C9793="","",C9793&amp;COUNTIF(C$9:C9793,C9793))</f>
        <v/>
      </c>
    </row>
    <row r="9794" spans="2:2" x14ac:dyDescent="0.25">
      <c r="B9794" t="str">
        <f>IF(C9794="","",C9794&amp;COUNTIF(C$9:C9794,C9794))</f>
        <v/>
      </c>
    </row>
    <row r="9795" spans="2:2" x14ac:dyDescent="0.25">
      <c r="B9795" t="str">
        <f>IF(C9795="","",C9795&amp;COUNTIF(C$9:C9795,C9795))</f>
        <v/>
      </c>
    </row>
    <row r="9796" spans="2:2" x14ac:dyDescent="0.25">
      <c r="B9796" t="str">
        <f>IF(C9796="","",C9796&amp;COUNTIF(C$9:C9796,C9796))</f>
        <v/>
      </c>
    </row>
    <row r="9797" spans="2:2" x14ac:dyDescent="0.25">
      <c r="B9797" t="str">
        <f>IF(C9797="","",C9797&amp;COUNTIF(C$9:C9797,C9797))</f>
        <v/>
      </c>
    </row>
    <row r="9798" spans="2:2" x14ac:dyDescent="0.25">
      <c r="B9798" t="str">
        <f>IF(C9798="","",C9798&amp;COUNTIF(C$9:C9798,C9798))</f>
        <v/>
      </c>
    </row>
    <row r="9799" spans="2:2" x14ac:dyDescent="0.25">
      <c r="B9799" t="str">
        <f>IF(C9799="","",C9799&amp;COUNTIF(C$9:C9799,C9799))</f>
        <v/>
      </c>
    </row>
    <row r="9800" spans="2:2" x14ac:dyDescent="0.25">
      <c r="B9800" t="str">
        <f>IF(C9800="","",C9800&amp;COUNTIF(C$9:C9800,C9800))</f>
        <v/>
      </c>
    </row>
    <row r="9801" spans="2:2" x14ac:dyDescent="0.25">
      <c r="B9801" t="str">
        <f>IF(C9801="","",C9801&amp;COUNTIF(C$9:C9801,C9801))</f>
        <v/>
      </c>
    </row>
    <row r="9802" spans="2:2" x14ac:dyDescent="0.25">
      <c r="B9802" t="str">
        <f>IF(C9802="","",C9802&amp;COUNTIF(C$9:C9802,C9802))</f>
        <v/>
      </c>
    </row>
    <row r="9803" spans="2:2" x14ac:dyDescent="0.25">
      <c r="B9803" t="str">
        <f>IF(C9803="","",C9803&amp;COUNTIF(C$9:C9803,C9803))</f>
        <v/>
      </c>
    </row>
    <row r="9804" spans="2:2" x14ac:dyDescent="0.25">
      <c r="B9804" t="str">
        <f>IF(C9804="","",C9804&amp;COUNTIF(C$9:C9804,C9804))</f>
        <v/>
      </c>
    </row>
    <row r="9805" spans="2:2" x14ac:dyDescent="0.25">
      <c r="B9805" t="str">
        <f>IF(C9805="","",C9805&amp;COUNTIF(C$9:C9805,C9805))</f>
        <v/>
      </c>
    </row>
    <row r="9806" spans="2:2" x14ac:dyDescent="0.25">
      <c r="B9806" t="str">
        <f>IF(C9806="","",C9806&amp;COUNTIF(C$9:C9806,C9806))</f>
        <v/>
      </c>
    </row>
    <row r="9807" spans="2:2" x14ac:dyDescent="0.25">
      <c r="B9807" t="str">
        <f>IF(C9807="","",C9807&amp;COUNTIF(C$9:C9807,C9807))</f>
        <v/>
      </c>
    </row>
    <row r="9808" spans="2:2" x14ac:dyDescent="0.25">
      <c r="B9808" t="str">
        <f>IF(C9808="","",C9808&amp;COUNTIF(C$9:C9808,C9808))</f>
        <v/>
      </c>
    </row>
    <row r="9809" spans="2:2" x14ac:dyDescent="0.25">
      <c r="B9809" t="str">
        <f>IF(C9809="","",C9809&amp;COUNTIF(C$9:C9809,C9809))</f>
        <v/>
      </c>
    </row>
    <row r="9810" spans="2:2" x14ac:dyDescent="0.25">
      <c r="B9810" t="str">
        <f>IF(C9810="","",C9810&amp;COUNTIF(C$9:C9810,C9810))</f>
        <v/>
      </c>
    </row>
    <row r="9811" spans="2:2" x14ac:dyDescent="0.25">
      <c r="B9811" t="str">
        <f>IF(C9811="","",C9811&amp;COUNTIF(C$9:C9811,C9811))</f>
        <v/>
      </c>
    </row>
    <row r="9812" spans="2:2" x14ac:dyDescent="0.25">
      <c r="B9812" t="str">
        <f>IF(C9812="","",C9812&amp;COUNTIF(C$9:C9812,C9812))</f>
        <v/>
      </c>
    </row>
    <row r="9813" spans="2:2" x14ac:dyDescent="0.25">
      <c r="B9813" t="str">
        <f>IF(C9813="","",C9813&amp;COUNTIF(C$9:C9813,C9813))</f>
        <v/>
      </c>
    </row>
    <row r="9814" spans="2:2" x14ac:dyDescent="0.25">
      <c r="B9814" t="str">
        <f>IF(C9814="","",C9814&amp;COUNTIF(C$9:C9814,C9814))</f>
        <v/>
      </c>
    </row>
    <row r="9815" spans="2:2" x14ac:dyDescent="0.25">
      <c r="B9815" t="str">
        <f>IF(C9815="","",C9815&amp;COUNTIF(C$9:C9815,C9815))</f>
        <v/>
      </c>
    </row>
    <row r="9816" spans="2:2" x14ac:dyDescent="0.25">
      <c r="B9816" t="str">
        <f>IF(C9816="","",C9816&amp;COUNTIF(C$9:C9816,C9816))</f>
        <v/>
      </c>
    </row>
    <row r="9817" spans="2:2" x14ac:dyDescent="0.25">
      <c r="B9817" t="str">
        <f>IF(C9817="","",C9817&amp;COUNTIF(C$9:C9817,C9817))</f>
        <v/>
      </c>
    </row>
    <row r="9818" spans="2:2" x14ac:dyDescent="0.25">
      <c r="B9818" t="str">
        <f>IF(C9818="","",C9818&amp;COUNTIF(C$9:C9818,C9818))</f>
        <v/>
      </c>
    </row>
    <row r="9819" spans="2:2" x14ac:dyDescent="0.25">
      <c r="B9819" t="str">
        <f>IF(C9819="","",C9819&amp;COUNTIF(C$9:C9819,C9819))</f>
        <v/>
      </c>
    </row>
    <row r="9820" spans="2:2" x14ac:dyDescent="0.25">
      <c r="B9820" t="str">
        <f>IF(C9820="","",C9820&amp;COUNTIF(C$9:C9820,C9820))</f>
        <v/>
      </c>
    </row>
    <row r="9821" spans="2:2" x14ac:dyDescent="0.25">
      <c r="B9821" t="str">
        <f>IF(C9821="","",C9821&amp;COUNTIF(C$9:C9821,C9821))</f>
        <v/>
      </c>
    </row>
    <row r="9822" spans="2:2" x14ac:dyDescent="0.25">
      <c r="B9822" t="str">
        <f>IF(C9822="","",C9822&amp;COUNTIF(C$9:C9822,C9822))</f>
        <v/>
      </c>
    </row>
    <row r="9823" spans="2:2" x14ac:dyDescent="0.25">
      <c r="B9823" t="str">
        <f>IF(C9823="","",C9823&amp;COUNTIF(C$9:C9823,C9823))</f>
        <v/>
      </c>
    </row>
    <row r="9824" spans="2:2" x14ac:dyDescent="0.25">
      <c r="B9824" t="str">
        <f>IF(C9824="","",C9824&amp;COUNTIF(C$9:C9824,C9824))</f>
        <v/>
      </c>
    </row>
    <row r="9825" spans="2:2" x14ac:dyDescent="0.25">
      <c r="B9825" t="str">
        <f>IF(C9825="","",C9825&amp;COUNTIF(C$9:C9825,C9825))</f>
        <v/>
      </c>
    </row>
    <row r="9826" spans="2:2" x14ac:dyDescent="0.25">
      <c r="B9826" t="str">
        <f>IF(C9826="","",C9826&amp;COUNTIF(C$9:C9826,C9826))</f>
        <v/>
      </c>
    </row>
    <row r="9827" spans="2:2" x14ac:dyDescent="0.25">
      <c r="B9827" t="str">
        <f>IF(C9827="","",C9827&amp;COUNTIF(C$9:C9827,C9827))</f>
        <v/>
      </c>
    </row>
    <row r="9828" spans="2:2" x14ac:dyDescent="0.25">
      <c r="B9828" t="str">
        <f>IF(C9828="","",C9828&amp;COUNTIF(C$9:C9828,C9828))</f>
        <v/>
      </c>
    </row>
    <row r="9829" spans="2:2" x14ac:dyDescent="0.25">
      <c r="B9829" t="str">
        <f>IF(C9829="","",C9829&amp;COUNTIF(C$9:C9829,C9829))</f>
        <v/>
      </c>
    </row>
    <row r="9830" spans="2:2" x14ac:dyDescent="0.25">
      <c r="B9830" t="str">
        <f>IF(C9830="","",C9830&amp;COUNTIF(C$9:C9830,C9830))</f>
        <v/>
      </c>
    </row>
    <row r="9831" spans="2:2" x14ac:dyDescent="0.25">
      <c r="B9831" t="str">
        <f>IF(C9831="","",C9831&amp;COUNTIF(C$9:C9831,C9831))</f>
        <v/>
      </c>
    </row>
    <row r="9832" spans="2:2" x14ac:dyDescent="0.25">
      <c r="B9832" t="str">
        <f>IF(C9832="","",C9832&amp;COUNTIF(C$9:C9832,C9832))</f>
        <v/>
      </c>
    </row>
    <row r="9833" spans="2:2" x14ac:dyDescent="0.25">
      <c r="B9833" t="str">
        <f>IF(C9833="","",C9833&amp;COUNTIF(C$9:C9833,C9833))</f>
        <v/>
      </c>
    </row>
    <row r="9834" spans="2:2" x14ac:dyDescent="0.25">
      <c r="B9834" t="str">
        <f>IF(C9834="","",C9834&amp;COUNTIF(C$9:C9834,C9834))</f>
        <v/>
      </c>
    </row>
    <row r="9835" spans="2:2" x14ac:dyDescent="0.25">
      <c r="B9835" t="str">
        <f>IF(C9835="","",C9835&amp;COUNTIF(C$9:C9835,C9835))</f>
        <v/>
      </c>
    </row>
    <row r="9836" spans="2:2" x14ac:dyDescent="0.25">
      <c r="B9836" t="str">
        <f>IF(C9836="","",C9836&amp;COUNTIF(C$9:C9836,C9836))</f>
        <v/>
      </c>
    </row>
    <row r="9837" spans="2:2" x14ac:dyDescent="0.25">
      <c r="B9837" t="str">
        <f>IF(C9837="","",C9837&amp;COUNTIF(C$9:C9837,C9837))</f>
        <v/>
      </c>
    </row>
    <row r="9838" spans="2:2" x14ac:dyDescent="0.25">
      <c r="B9838" t="str">
        <f>IF(C9838="","",C9838&amp;COUNTIF(C$9:C9838,C9838))</f>
        <v/>
      </c>
    </row>
    <row r="9839" spans="2:2" x14ac:dyDescent="0.25">
      <c r="B9839" t="str">
        <f>IF(C9839="","",C9839&amp;COUNTIF(C$9:C9839,C9839))</f>
        <v/>
      </c>
    </row>
    <row r="9840" spans="2:2" x14ac:dyDescent="0.25">
      <c r="B9840" t="str">
        <f>IF(C9840="","",C9840&amp;COUNTIF(C$9:C9840,C9840))</f>
        <v/>
      </c>
    </row>
    <row r="9841" spans="2:2" x14ac:dyDescent="0.25">
      <c r="B9841" t="str">
        <f>IF(C9841="","",C9841&amp;COUNTIF(C$9:C9841,C9841))</f>
        <v/>
      </c>
    </row>
    <row r="9842" spans="2:2" x14ac:dyDescent="0.25">
      <c r="B9842" t="str">
        <f>IF(C9842="","",C9842&amp;COUNTIF(C$9:C9842,C9842))</f>
        <v/>
      </c>
    </row>
    <row r="9843" spans="2:2" x14ac:dyDescent="0.25">
      <c r="B9843" t="str">
        <f>IF(C9843="","",C9843&amp;COUNTIF(C$9:C9843,C9843))</f>
        <v/>
      </c>
    </row>
    <row r="9844" spans="2:2" x14ac:dyDescent="0.25">
      <c r="B9844" t="str">
        <f>IF(C9844="","",C9844&amp;COUNTIF(C$9:C9844,C9844))</f>
        <v/>
      </c>
    </row>
    <row r="9845" spans="2:2" x14ac:dyDescent="0.25">
      <c r="B9845" t="str">
        <f>IF(C9845="","",C9845&amp;COUNTIF(C$9:C9845,C9845))</f>
        <v/>
      </c>
    </row>
    <row r="9846" spans="2:2" x14ac:dyDescent="0.25">
      <c r="B9846" t="str">
        <f>IF(C9846="","",C9846&amp;COUNTIF(C$9:C9846,C9846))</f>
        <v/>
      </c>
    </row>
    <row r="9847" spans="2:2" x14ac:dyDescent="0.25">
      <c r="B9847" t="str">
        <f>IF(C9847="","",C9847&amp;COUNTIF(C$9:C9847,C9847))</f>
        <v/>
      </c>
    </row>
    <row r="9848" spans="2:2" x14ac:dyDescent="0.25">
      <c r="B9848" t="str">
        <f>IF(C9848="","",C9848&amp;COUNTIF(C$9:C9848,C9848))</f>
        <v/>
      </c>
    </row>
    <row r="9849" spans="2:2" x14ac:dyDescent="0.25">
      <c r="B9849" t="str">
        <f>IF(C9849="","",C9849&amp;COUNTIF(C$9:C9849,C9849))</f>
        <v/>
      </c>
    </row>
    <row r="9850" spans="2:2" x14ac:dyDescent="0.25">
      <c r="B9850" t="str">
        <f>IF(C9850="","",C9850&amp;COUNTIF(C$9:C9850,C9850))</f>
        <v/>
      </c>
    </row>
    <row r="9851" spans="2:2" x14ac:dyDescent="0.25">
      <c r="B9851" t="str">
        <f>IF(C9851="","",C9851&amp;COUNTIF(C$9:C9851,C9851))</f>
        <v/>
      </c>
    </row>
    <row r="9852" spans="2:2" x14ac:dyDescent="0.25">
      <c r="B9852" t="str">
        <f>IF(C9852="","",C9852&amp;COUNTIF(C$9:C9852,C9852))</f>
        <v/>
      </c>
    </row>
    <row r="9853" spans="2:2" x14ac:dyDescent="0.25">
      <c r="B9853" t="str">
        <f>IF(C9853="","",C9853&amp;COUNTIF(C$9:C9853,C9853))</f>
        <v/>
      </c>
    </row>
    <row r="9854" spans="2:2" x14ac:dyDescent="0.25">
      <c r="B9854" t="str">
        <f>IF(C9854="","",C9854&amp;COUNTIF(C$9:C9854,C9854))</f>
        <v/>
      </c>
    </row>
    <row r="9855" spans="2:2" x14ac:dyDescent="0.25">
      <c r="B9855" t="str">
        <f>IF(C9855="","",C9855&amp;COUNTIF(C$9:C9855,C9855))</f>
        <v/>
      </c>
    </row>
    <row r="9856" spans="2:2" x14ac:dyDescent="0.25">
      <c r="B9856" t="str">
        <f>IF(C9856="","",C9856&amp;COUNTIF(C$9:C9856,C9856))</f>
        <v/>
      </c>
    </row>
    <row r="9857" spans="2:2" x14ac:dyDescent="0.25">
      <c r="B9857" t="str">
        <f>IF(C9857="","",C9857&amp;COUNTIF(C$9:C9857,C9857))</f>
        <v/>
      </c>
    </row>
    <row r="9858" spans="2:2" x14ac:dyDescent="0.25">
      <c r="B9858" t="str">
        <f>IF(C9858="","",C9858&amp;COUNTIF(C$9:C9858,C9858))</f>
        <v/>
      </c>
    </row>
    <row r="9859" spans="2:2" x14ac:dyDescent="0.25">
      <c r="B9859" t="str">
        <f>IF(C9859="","",C9859&amp;COUNTIF(C$9:C9859,C9859))</f>
        <v/>
      </c>
    </row>
    <row r="9860" spans="2:2" x14ac:dyDescent="0.25">
      <c r="B9860" t="str">
        <f>IF(C9860="","",C9860&amp;COUNTIF(C$9:C9860,C9860))</f>
        <v/>
      </c>
    </row>
    <row r="9861" spans="2:2" x14ac:dyDescent="0.25">
      <c r="B9861" t="str">
        <f>IF(C9861="","",C9861&amp;COUNTIF(C$9:C9861,C9861))</f>
        <v/>
      </c>
    </row>
    <row r="9862" spans="2:2" x14ac:dyDescent="0.25">
      <c r="B9862" t="str">
        <f>IF(C9862="","",C9862&amp;COUNTIF(C$9:C9862,C9862))</f>
        <v/>
      </c>
    </row>
    <row r="9863" spans="2:2" x14ac:dyDescent="0.25">
      <c r="B9863" t="str">
        <f>IF(C9863="","",C9863&amp;COUNTIF(C$9:C9863,C9863))</f>
        <v/>
      </c>
    </row>
    <row r="9864" spans="2:2" x14ac:dyDescent="0.25">
      <c r="B9864" t="str">
        <f>IF(C9864="","",C9864&amp;COUNTIF(C$9:C9864,C9864))</f>
        <v/>
      </c>
    </row>
    <row r="9865" spans="2:2" x14ac:dyDescent="0.25">
      <c r="B9865" t="str">
        <f>IF(C9865="","",C9865&amp;COUNTIF(C$9:C9865,C9865))</f>
        <v/>
      </c>
    </row>
    <row r="9866" spans="2:2" x14ac:dyDescent="0.25">
      <c r="B9866" t="str">
        <f>IF(C9866="","",C9866&amp;COUNTIF(C$9:C9866,C9866))</f>
        <v/>
      </c>
    </row>
    <row r="9867" spans="2:2" x14ac:dyDescent="0.25">
      <c r="B9867" t="str">
        <f>IF(C9867="","",C9867&amp;COUNTIF(C$9:C9867,C9867))</f>
        <v/>
      </c>
    </row>
    <row r="9868" spans="2:2" x14ac:dyDescent="0.25">
      <c r="B9868" t="str">
        <f>IF(C9868="","",C9868&amp;COUNTIF(C$9:C9868,C9868))</f>
        <v/>
      </c>
    </row>
    <row r="9869" spans="2:2" x14ac:dyDescent="0.25">
      <c r="B9869" t="str">
        <f>IF(C9869="","",C9869&amp;COUNTIF(C$9:C9869,C9869))</f>
        <v/>
      </c>
    </row>
    <row r="9870" spans="2:2" x14ac:dyDescent="0.25">
      <c r="B9870" t="str">
        <f>IF(C9870="","",C9870&amp;COUNTIF(C$9:C9870,C9870))</f>
        <v/>
      </c>
    </row>
    <row r="9871" spans="2:2" x14ac:dyDescent="0.25">
      <c r="B9871" t="str">
        <f>IF(C9871="","",C9871&amp;COUNTIF(C$9:C9871,C9871))</f>
        <v/>
      </c>
    </row>
    <row r="9872" spans="2:2" x14ac:dyDescent="0.25">
      <c r="B9872" t="str">
        <f>IF(C9872="","",C9872&amp;COUNTIF(C$9:C9872,C9872))</f>
        <v/>
      </c>
    </row>
    <row r="9873" spans="2:2" x14ac:dyDescent="0.25">
      <c r="B9873" t="str">
        <f>IF(C9873="","",C9873&amp;COUNTIF(C$9:C9873,C9873))</f>
        <v/>
      </c>
    </row>
    <row r="9874" spans="2:2" x14ac:dyDescent="0.25">
      <c r="B9874" t="str">
        <f>IF(C9874="","",C9874&amp;COUNTIF(C$9:C9874,C9874))</f>
        <v/>
      </c>
    </row>
    <row r="9875" spans="2:2" x14ac:dyDescent="0.25">
      <c r="B9875" t="str">
        <f>IF(C9875="","",C9875&amp;COUNTIF(C$9:C9875,C9875))</f>
        <v/>
      </c>
    </row>
    <row r="9876" spans="2:2" x14ac:dyDescent="0.25">
      <c r="B9876" t="str">
        <f>IF(C9876="","",C9876&amp;COUNTIF(C$9:C9876,C9876))</f>
        <v/>
      </c>
    </row>
    <row r="9877" spans="2:2" x14ac:dyDescent="0.25">
      <c r="B9877" t="str">
        <f>IF(C9877="","",C9877&amp;COUNTIF(C$9:C9877,C9877))</f>
        <v/>
      </c>
    </row>
    <row r="9878" spans="2:2" x14ac:dyDescent="0.25">
      <c r="B9878" t="str">
        <f>IF(C9878="","",C9878&amp;COUNTIF(C$9:C9878,C9878))</f>
        <v/>
      </c>
    </row>
    <row r="9879" spans="2:2" x14ac:dyDescent="0.25">
      <c r="B9879" t="str">
        <f>IF(C9879="","",C9879&amp;COUNTIF(C$9:C9879,C9879))</f>
        <v/>
      </c>
    </row>
    <row r="9880" spans="2:2" x14ac:dyDescent="0.25">
      <c r="B9880" t="str">
        <f>IF(C9880="","",C9880&amp;COUNTIF(C$9:C9880,C9880))</f>
        <v/>
      </c>
    </row>
    <row r="9881" spans="2:2" x14ac:dyDescent="0.25">
      <c r="B9881" t="str">
        <f>IF(C9881="","",C9881&amp;COUNTIF(C$9:C9881,C9881))</f>
        <v/>
      </c>
    </row>
    <row r="9882" spans="2:2" x14ac:dyDescent="0.25">
      <c r="B9882" t="str">
        <f>IF(C9882="","",C9882&amp;COUNTIF(C$9:C9882,C9882))</f>
        <v/>
      </c>
    </row>
    <row r="9883" spans="2:2" x14ac:dyDescent="0.25">
      <c r="B9883" t="str">
        <f>IF(C9883="","",C9883&amp;COUNTIF(C$9:C9883,C9883))</f>
        <v/>
      </c>
    </row>
    <row r="9884" spans="2:2" x14ac:dyDescent="0.25">
      <c r="B9884" t="str">
        <f>IF(C9884="","",C9884&amp;COUNTIF(C$9:C9884,C9884))</f>
        <v/>
      </c>
    </row>
    <row r="9885" spans="2:2" x14ac:dyDescent="0.25">
      <c r="B9885" t="str">
        <f>IF(C9885="","",C9885&amp;COUNTIF(C$9:C9885,C9885))</f>
        <v/>
      </c>
    </row>
    <row r="9886" spans="2:2" x14ac:dyDescent="0.25">
      <c r="B9886" t="str">
        <f>IF(C9886="","",C9886&amp;COUNTIF(C$9:C9886,C9886))</f>
        <v/>
      </c>
    </row>
    <row r="9887" spans="2:2" x14ac:dyDescent="0.25">
      <c r="B9887" t="str">
        <f>IF(C9887="","",C9887&amp;COUNTIF(C$9:C9887,C9887))</f>
        <v/>
      </c>
    </row>
    <row r="9888" spans="2:2" x14ac:dyDescent="0.25">
      <c r="B9888" t="str">
        <f>IF(C9888="","",C9888&amp;COUNTIF(C$9:C9888,C9888))</f>
        <v/>
      </c>
    </row>
    <row r="9889" spans="2:2" x14ac:dyDescent="0.25">
      <c r="B9889" t="str">
        <f>IF(C9889="","",C9889&amp;COUNTIF(C$9:C9889,C9889))</f>
        <v/>
      </c>
    </row>
    <row r="9890" spans="2:2" x14ac:dyDescent="0.25">
      <c r="B9890" t="str">
        <f>IF(C9890="","",C9890&amp;COUNTIF(C$9:C9890,C9890))</f>
        <v/>
      </c>
    </row>
    <row r="9891" spans="2:2" x14ac:dyDescent="0.25">
      <c r="B9891" t="str">
        <f>IF(C9891="","",C9891&amp;COUNTIF(C$9:C9891,C9891))</f>
        <v/>
      </c>
    </row>
    <row r="9892" spans="2:2" x14ac:dyDescent="0.25">
      <c r="B9892" t="str">
        <f>IF(C9892="","",C9892&amp;COUNTIF(C$9:C9892,C9892))</f>
        <v/>
      </c>
    </row>
    <row r="9893" spans="2:2" x14ac:dyDescent="0.25">
      <c r="B9893" t="str">
        <f>IF(C9893="","",C9893&amp;COUNTIF(C$9:C9893,C9893))</f>
        <v/>
      </c>
    </row>
    <row r="9894" spans="2:2" x14ac:dyDescent="0.25">
      <c r="B9894" t="str">
        <f>IF(C9894="","",C9894&amp;COUNTIF(C$9:C9894,C9894))</f>
        <v/>
      </c>
    </row>
    <row r="9895" spans="2:2" x14ac:dyDescent="0.25">
      <c r="B9895" t="str">
        <f>IF(C9895="","",C9895&amp;COUNTIF(C$9:C9895,C9895))</f>
        <v/>
      </c>
    </row>
    <row r="9896" spans="2:2" x14ac:dyDescent="0.25">
      <c r="B9896" t="str">
        <f>IF(C9896="","",C9896&amp;COUNTIF(C$9:C9896,C9896))</f>
        <v/>
      </c>
    </row>
    <row r="9897" spans="2:2" x14ac:dyDescent="0.25">
      <c r="B9897" t="str">
        <f>IF(C9897="","",C9897&amp;COUNTIF(C$9:C9897,C9897))</f>
        <v/>
      </c>
    </row>
    <row r="9898" spans="2:2" x14ac:dyDescent="0.25">
      <c r="B9898" t="str">
        <f>IF(C9898="","",C9898&amp;COUNTIF(C$9:C9898,C9898))</f>
        <v/>
      </c>
    </row>
    <row r="9899" spans="2:2" x14ac:dyDescent="0.25">
      <c r="B9899" t="str">
        <f>IF(C9899="","",C9899&amp;COUNTIF(C$9:C9899,C9899))</f>
        <v/>
      </c>
    </row>
    <row r="9900" spans="2:2" x14ac:dyDescent="0.25">
      <c r="B9900" t="str">
        <f>IF(C9900="","",C9900&amp;COUNTIF(C$9:C9900,C9900))</f>
        <v/>
      </c>
    </row>
    <row r="9901" spans="2:2" x14ac:dyDescent="0.25">
      <c r="B9901" t="str">
        <f>IF(C9901="","",C9901&amp;COUNTIF(C$9:C9901,C9901))</f>
        <v/>
      </c>
    </row>
    <row r="9902" spans="2:2" x14ac:dyDescent="0.25">
      <c r="B9902" t="str">
        <f>IF(C9902="","",C9902&amp;COUNTIF(C$9:C9902,C9902))</f>
        <v/>
      </c>
    </row>
    <row r="9903" spans="2:2" x14ac:dyDescent="0.25">
      <c r="B9903" t="str">
        <f>IF(C9903="","",C9903&amp;COUNTIF(C$9:C9903,C9903))</f>
        <v/>
      </c>
    </row>
    <row r="9904" spans="2:2" x14ac:dyDescent="0.25">
      <c r="B9904" t="str">
        <f>IF(C9904="","",C9904&amp;COUNTIF(C$9:C9904,C9904))</f>
        <v/>
      </c>
    </row>
    <row r="9905" spans="2:2" x14ac:dyDescent="0.25">
      <c r="B9905" t="str">
        <f>IF(C9905="","",C9905&amp;COUNTIF(C$9:C9905,C9905))</f>
        <v/>
      </c>
    </row>
    <row r="9906" spans="2:2" x14ac:dyDescent="0.25">
      <c r="B9906" t="str">
        <f>IF(C9906="","",C9906&amp;COUNTIF(C$9:C9906,C9906))</f>
        <v/>
      </c>
    </row>
    <row r="9907" spans="2:2" x14ac:dyDescent="0.25">
      <c r="B9907" t="str">
        <f>IF(C9907="","",C9907&amp;COUNTIF(C$9:C9907,C9907))</f>
        <v/>
      </c>
    </row>
    <row r="9908" spans="2:2" x14ac:dyDescent="0.25">
      <c r="B9908" t="str">
        <f>IF(C9908="","",C9908&amp;COUNTIF(C$9:C9908,C9908))</f>
        <v/>
      </c>
    </row>
    <row r="9909" spans="2:2" x14ac:dyDescent="0.25">
      <c r="B9909" t="str">
        <f>IF(C9909="","",C9909&amp;COUNTIF(C$9:C9909,C9909))</f>
        <v/>
      </c>
    </row>
    <row r="9910" spans="2:2" x14ac:dyDescent="0.25">
      <c r="B9910" t="str">
        <f>IF(C9910="","",C9910&amp;COUNTIF(C$9:C9910,C9910))</f>
        <v/>
      </c>
    </row>
    <row r="9911" spans="2:2" x14ac:dyDescent="0.25">
      <c r="B9911" t="str">
        <f>IF(C9911="","",C9911&amp;COUNTIF(C$9:C9911,C9911))</f>
        <v/>
      </c>
    </row>
    <row r="9912" spans="2:2" x14ac:dyDescent="0.25">
      <c r="B9912" t="str">
        <f>IF(C9912="","",C9912&amp;COUNTIF(C$9:C9912,C9912))</f>
        <v/>
      </c>
    </row>
    <row r="9913" spans="2:2" x14ac:dyDescent="0.25">
      <c r="B9913" t="str">
        <f>IF(C9913="","",C9913&amp;COUNTIF(C$9:C9913,C9913))</f>
        <v/>
      </c>
    </row>
    <row r="9914" spans="2:2" x14ac:dyDescent="0.25">
      <c r="B9914" t="str">
        <f>IF(C9914="","",C9914&amp;COUNTIF(C$9:C9914,C9914))</f>
        <v/>
      </c>
    </row>
    <row r="9915" spans="2:2" x14ac:dyDescent="0.25">
      <c r="B9915" t="str">
        <f>IF(C9915="","",C9915&amp;COUNTIF(C$9:C9915,C9915))</f>
        <v/>
      </c>
    </row>
    <row r="9916" spans="2:2" x14ac:dyDescent="0.25">
      <c r="B9916" t="str">
        <f>IF(C9916="","",C9916&amp;COUNTIF(C$9:C9916,C9916))</f>
        <v/>
      </c>
    </row>
    <row r="9917" spans="2:2" x14ac:dyDescent="0.25">
      <c r="B9917" t="str">
        <f>IF(C9917="","",C9917&amp;COUNTIF(C$9:C9917,C9917))</f>
        <v/>
      </c>
    </row>
    <row r="9918" spans="2:2" x14ac:dyDescent="0.25">
      <c r="B9918" t="str">
        <f>IF(C9918="","",C9918&amp;COUNTIF(C$9:C9918,C9918))</f>
        <v/>
      </c>
    </row>
    <row r="9919" spans="2:2" x14ac:dyDescent="0.25">
      <c r="B9919" t="str">
        <f>IF(C9919="","",C9919&amp;COUNTIF(C$9:C9919,C9919))</f>
        <v/>
      </c>
    </row>
    <row r="9920" spans="2:2" x14ac:dyDescent="0.25">
      <c r="B9920" t="str">
        <f>IF(C9920="","",C9920&amp;COUNTIF(C$9:C9920,C9920))</f>
        <v/>
      </c>
    </row>
    <row r="9921" spans="2:2" x14ac:dyDescent="0.25">
      <c r="B9921" t="str">
        <f>IF(C9921="","",C9921&amp;COUNTIF(C$9:C9921,C9921))</f>
        <v/>
      </c>
    </row>
    <row r="9922" spans="2:2" x14ac:dyDescent="0.25">
      <c r="B9922" t="str">
        <f>IF(C9922="","",C9922&amp;COUNTIF(C$9:C9922,C9922))</f>
        <v/>
      </c>
    </row>
    <row r="9923" spans="2:2" x14ac:dyDescent="0.25">
      <c r="B9923" t="str">
        <f>IF(C9923="","",C9923&amp;COUNTIF(C$9:C9923,C9923))</f>
        <v/>
      </c>
    </row>
    <row r="9924" spans="2:2" x14ac:dyDescent="0.25">
      <c r="B9924" t="str">
        <f>IF(C9924="","",C9924&amp;COUNTIF(C$9:C9924,C9924))</f>
        <v/>
      </c>
    </row>
    <row r="9925" spans="2:2" x14ac:dyDescent="0.25">
      <c r="B9925" t="str">
        <f>IF(C9925="","",C9925&amp;COUNTIF(C$9:C9925,C9925))</f>
        <v/>
      </c>
    </row>
    <row r="9926" spans="2:2" x14ac:dyDescent="0.25">
      <c r="B9926" t="str">
        <f>IF(C9926="","",C9926&amp;COUNTIF(C$9:C9926,C9926))</f>
        <v/>
      </c>
    </row>
    <row r="9927" spans="2:2" x14ac:dyDescent="0.25">
      <c r="B9927" t="str">
        <f>IF(C9927="","",C9927&amp;COUNTIF(C$9:C9927,C9927))</f>
        <v/>
      </c>
    </row>
    <row r="9928" spans="2:2" x14ac:dyDescent="0.25">
      <c r="B9928" t="str">
        <f>IF(C9928="","",C9928&amp;COUNTIF(C$9:C9928,C9928))</f>
        <v/>
      </c>
    </row>
    <row r="9929" spans="2:2" x14ac:dyDescent="0.25">
      <c r="B9929" t="str">
        <f>IF(C9929="","",C9929&amp;COUNTIF(C$9:C9929,C9929))</f>
        <v/>
      </c>
    </row>
    <row r="9930" spans="2:2" x14ac:dyDescent="0.25">
      <c r="B9930" t="str">
        <f>IF(C9930="","",C9930&amp;COUNTIF(C$9:C9930,C9930))</f>
        <v/>
      </c>
    </row>
    <row r="9931" spans="2:2" x14ac:dyDescent="0.25">
      <c r="B9931" t="str">
        <f>IF(C9931="","",C9931&amp;COUNTIF(C$9:C9931,C9931))</f>
        <v/>
      </c>
    </row>
    <row r="9932" spans="2:2" x14ac:dyDescent="0.25">
      <c r="B9932" t="str">
        <f>IF(C9932="","",C9932&amp;COUNTIF(C$9:C9932,C9932))</f>
        <v/>
      </c>
    </row>
    <row r="9933" spans="2:2" x14ac:dyDescent="0.25">
      <c r="B9933" t="str">
        <f>IF(C9933="","",C9933&amp;COUNTIF(C$9:C9933,C9933))</f>
        <v/>
      </c>
    </row>
    <row r="9934" spans="2:2" x14ac:dyDescent="0.25">
      <c r="B9934" t="str">
        <f>IF(C9934="","",C9934&amp;COUNTIF(C$9:C9934,C9934))</f>
        <v/>
      </c>
    </row>
    <row r="9935" spans="2:2" x14ac:dyDescent="0.25">
      <c r="B9935" t="str">
        <f>IF(C9935="","",C9935&amp;COUNTIF(C$9:C9935,C9935))</f>
        <v/>
      </c>
    </row>
    <row r="9936" spans="2:2" x14ac:dyDescent="0.25">
      <c r="B9936" t="str">
        <f>IF(C9936="","",C9936&amp;COUNTIF(C$9:C9936,C9936))</f>
        <v/>
      </c>
    </row>
    <row r="9937" spans="2:2" x14ac:dyDescent="0.25">
      <c r="B9937" t="str">
        <f>IF(C9937="","",C9937&amp;COUNTIF(C$9:C9937,C9937))</f>
        <v/>
      </c>
    </row>
    <row r="9938" spans="2:2" x14ac:dyDescent="0.25">
      <c r="B9938" t="str">
        <f>IF(C9938="","",C9938&amp;COUNTIF(C$9:C9938,C9938))</f>
        <v/>
      </c>
    </row>
    <row r="9939" spans="2:2" x14ac:dyDescent="0.25">
      <c r="B9939" t="str">
        <f>IF(C9939="","",C9939&amp;COUNTIF(C$9:C9939,C9939))</f>
        <v/>
      </c>
    </row>
    <row r="9940" spans="2:2" x14ac:dyDescent="0.25">
      <c r="B9940" t="str">
        <f>IF(C9940="","",C9940&amp;COUNTIF(C$9:C9940,C9940))</f>
        <v/>
      </c>
    </row>
    <row r="9941" spans="2:2" x14ac:dyDescent="0.25">
      <c r="B9941" t="str">
        <f>IF(C9941="","",C9941&amp;COUNTIF(C$9:C9941,C9941))</f>
        <v/>
      </c>
    </row>
    <row r="9942" spans="2:2" x14ac:dyDescent="0.25">
      <c r="B9942" t="str">
        <f>IF(C9942="","",C9942&amp;COUNTIF(C$9:C9942,C9942))</f>
        <v/>
      </c>
    </row>
    <row r="9943" spans="2:2" x14ac:dyDescent="0.25">
      <c r="B9943" t="str">
        <f>IF(C9943="","",C9943&amp;COUNTIF(C$9:C9943,C9943))</f>
        <v/>
      </c>
    </row>
    <row r="9944" spans="2:2" x14ac:dyDescent="0.25">
      <c r="B9944" t="str">
        <f>IF(C9944="","",C9944&amp;COUNTIF(C$9:C9944,C9944))</f>
        <v/>
      </c>
    </row>
    <row r="9945" spans="2:2" x14ac:dyDescent="0.25">
      <c r="B9945" t="str">
        <f>IF(C9945="","",C9945&amp;COUNTIF(C$9:C9945,C9945))</f>
        <v/>
      </c>
    </row>
    <row r="9946" spans="2:2" x14ac:dyDescent="0.25">
      <c r="B9946" t="str">
        <f>IF(C9946="","",C9946&amp;COUNTIF(C$9:C9946,C9946))</f>
        <v/>
      </c>
    </row>
    <row r="9947" spans="2:2" x14ac:dyDescent="0.25">
      <c r="B9947" t="str">
        <f>IF(C9947="","",C9947&amp;COUNTIF(C$9:C9947,C9947))</f>
        <v/>
      </c>
    </row>
    <row r="9948" spans="2:2" x14ac:dyDescent="0.25">
      <c r="B9948" t="str">
        <f>IF(C9948="","",C9948&amp;COUNTIF(C$9:C9948,C9948))</f>
        <v/>
      </c>
    </row>
    <row r="9949" spans="2:2" x14ac:dyDescent="0.25">
      <c r="B9949" t="str">
        <f>IF(C9949="","",C9949&amp;COUNTIF(C$9:C9949,C9949))</f>
        <v/>
      </c>
    </row>
    <row r="9950" spans="2:2" x14ac:dyDescent="0.25">
      <c r="B9950" t="str">
        <f>IF(C9950="","",C9950&amp;COUNTIF(C$9:C9950,C9950))</f>
        <v/>
      </c>
    </row>
    <row r="9951" spans="2:2" x14ac:dyDescent="0.25">
      <c r="B9951" t="str">
        <f>IF(C9951="","",C9951&amp;COUNTIF(C$9:C9951,C9951))</f>
        <v/>
      </c>
    </row>
    <row r="9952" spans="2:2" x14ac:dyDescent="0.25">
      <c r="B9952" t="str">
        <f>IF(C9952="","",C9952&amp;COUNTIF(C$9:C9952,C9952))</f>
        <v/>
      </c>
    </row>
    <row r="9953" spans="2:2" x14ac:dyDescent="0.25">
      <c r="B9953" t="str">
        <f>IF(C9953="","",C9953&amp;COUNTIF(C$9:C9953,C9953))</f>
        <v/>
      </c>
    </row>
    <row r="9954" spans="2:2" x14ac:dyDescent="0.25">
      <c r="B9954" t="str">
        <f>IF(C9954="","",C9954&amp;COUNTIF(C$9:C9954,C9954))</f>
        <v/>
      </c>
    </row>
    <row r="9955" spans="2:2" x14ac:dyDescent="0.25">
      <c r="B9955" t="str">
        <f>IF(C9955="","",C9955&amp;COUNTIF(C$9:C9955,C9955))</f>
        <v/>
      </c>
    </row>
    <row r="9956" spans="2:2" x14ac:dyDescent="0.25">
      <c r="B9956" t="str">
        <f>IF(C9956="","",C9956&amp;COUNTIF(C$9:C9956,C9956))</f>
        <v/>
      </c>
    </row>
    <row r="9957" spans="2:2" x14ac:dyDescent="0.25">
      <c r="B9957" t="str">
        <f>IF(C9957="","",C9957&amp;COUNTIF(C$9:C9957,C9957))</f>
        <v/>
      </c>
    </row>
    <row r="9958" spans="2:2" x14ac:dyDescent="0.25">
      <c r="B9958" t="str">
        <f>IF(C9958="","",C9958&amp;COUNTIF(C$9:C9958,C9958))</f>
        <v/>
      </c>
    </row>
    <row r="9959" spans="2:2" x14ac:dyDescent="0.25">
      <c r="B9959" t="str">
        <f>IF(C9959="","",C9959&amp;COUNTIF(C$9:C9959,C9959))</f>
        <v/>
      </c>
    </row>
    <row r="9960" spans="2:2" x14ac:dyDescent="0.25">
      <c r="B9960" t="str">
        <f>IF(C9960="","",C9960&amp;COUNTIF(C$9:C9960,C9960))</f>
        <v/>
      </c>
    </row>
    <row r="9961" spans="2:2" x14ac:dyDescent="0.25">
      <c r="B9961" t="str">
        <f>IF(C9961="","",C9961&amp;COUNTIF(C$9:C9961,C9961))</f>
        <v/>
      </c>
    </row>
    <row r="9962" spans="2:2" x14ac:dyDescent="0.25">
      <c r="B9962" t="str">
        <f>IF(C9962="","",C9962&amp;COUNTIF(C$9:C9962,C9962))</f>
        <v/>
      </c>
    </row>
    <row r="9963" spans="2:2" x14ac:dyDescent="0.25">
      <c r="B9963" t="str">
        <f>IF(C9963="","",C9963&amp;COUNTIF(C$9:C9963,C9963))</f>
        <v/>
      </c>
    </row>
    <row r="9964" spans="2:2" x14ac:dyDescent="0.25">
      <c r="B9964" t="str">
        <f>IF(C9964="","",C9964&amp;COUNTIF(C$9:C9964,C9964))</f>
        <v/>
      </c>
    </row>
    <row r="9965" spans="2:2" x14ac:dyDescent="0.25">
      <c r="B9965" t="str">
        <f>IF(C9965="","",C9965&amp;COUNTIF(C$9:C9965,C9965))</f>
        <v/>
      </c>
    </row>
    <row r="9966" spans="2:2" x14ac:dyDescent="0.25">
      <c r="B9966" t="str">
        <f>IF(C9966="","",C9966&amp;COUNTIF(C$9:C9966,C9966))</f>
        <v/>
      </c>
    </row>
    <row r="9967" spans="2:2" x14ac:dyDescent="0.25">
      <c r="B9967" t="str">
        <f>IF(C9967="","",C9967&amp;COUNTIF(C$9:C9967,C9967))</f>
        <v/>
      </c>
    </row>
    <row r="9968" spans="2:2" x14ac:dyDescent="0.25">
      <c r="B9968" t="str">
        <f>IF(C9968="","",C9968&amp;COUNTIF(C$9:C9968,C9968))</f>
        <v/>
      </c>
    </row>
    <row r="9969" spans="2:2" x14ac:dyDescent="0.25">
      <c r="B9969" t="str">
        <f>IF(C9969="","",C9969&amp;COUNTIF(C$9:C9969,C9969))</f>
        <v/>
      </c>
    </row>
    <row r="9970" spans="2:2" x14ac:dyDescent="0.25">
      <c r="B9970" t="str">
        <f>IF(C9970="","",C9970&amp;COUNTIF(C$9:C9970,C9970))</f>
        <v/>
      </c>
    </row>
    <row r="9971" spans="2:2" x14ac:dyDescent="0.25">
      <c r="B9971" t="str">
        <f>IF(C9971="","",C9971&amp;COUNTIF(C$9:C9971,C9971))</f>
        <v/>
      </c>
    </row>
    <row r="9972" spans="2:2" x14ac:dyDescent="0.25">
      <c r="B9972" t="str">
        <f>IF(C9972="","",C9972&amp;COUNTIF(C$9:C9972,C9972))</f>
        <v/>
      </c>
    </row>
    <row r="9973" spans="2:2" x14ac:dyDescent="0.25">
      <c r="B9973" t="str">
        <f>IF(C9973="","",C9973&amp;COUNTIF(C$9:C9973,C9973))</f>
        <v/>
      </c>
    </row>
    <row r="9974" spans="2:2" x14ac:dyDescent="0.25">
      <c r="B9974" t="str">
        <f>IF(C9974="","",C9974&amp;COUNTIF(C$9:C9974,C9974))</f>
        <v/>
      </c>
    </row>
    <row r="9975" spans="2:2" x14ac:dyDescent="0.25">
      <c r="B9975" t="str">
        <f>IF(C9975="","",C9975&amp;COUNTIF(C$9:C9975,C9975))</f>
        <v/>
      </c>
    </row>
    <row r="9976" spans="2:2" x14ac:dyDescent="0.25">
      <c r="B9976" t="str">
        <f>IF(C9976="","",C9976&amp;COUNTIF(C$9:C9976,C9976))</f>
        <v/>
      </c>
    </row>
    <row r="9977" spans="2:2" x14ac:dyDescent="0.25">
      <c r="B9977" t="str">
        <f>IF(C9977="","",C9977&amp;COUNTIF(C$9:C9977,C9977))</f>
        <v/>
      </c>
    </row>
    <row r="9978" spans="2:2" x14ac:dyDescent="0.25">
      <c r="B9978" t="str">
        <f>IF(C9978="","",C9978&amp;COUNTIF(C$9:C9978,C9978))</f>
        <v/>
      </c>
    </row>
    <row r="9979" spans="2:2" x14ac:dyDescent="0.25">
      <c r="B9979" t="str">
        <f>IF(C9979="","",C9979&amp;COUNTIF(C$9:C9979,C9979))</f>
        <v/>
      </c>
    </row>
    <row r="9980" spans="2:2" x14ac:dyDescent="0.25">
      <c r="B9980" t="str">
        <f>IF(C9980="","",C9980&amp;COUNTIF(C$9:C9980,C9980))</f>
        <v/>
      </c>
    </row>
    <row r="9981" spans="2:2" x14ac:dyDescent="0.25">
      <c r="B9981" t="str">
        <f>IF(C9981="","",C9981&amp;COUNTIF(C$9:C9981,C9981))</f>
        <v/>
      </c>
    </row>
    <row r="9982" spans="2:2" x14ac:dyDescent="0.25">
      <c r="B9982" t="str">
        <f>IF(C9982="","",C9982&amp;COUNTIF(C$9:C9982,C9982))</f>
        <v/>
      </c>
    </row>
    <row r="9983" spans="2:2" x14ac:dyDescent="0.25">
      <c r="B9983" t="str">
        <f>IF(C9983="","",C9983&amp;COUNTIF(C$9:C9983,C9983))</f>
        <v/>
      </c>
    </row>
    <row r="9984" spans="2:2" x14ac:dyDescent="0.25">
      <c r="B9984" t="str">
        <f>IF(C9984="","",C9984&amp;COUNTIF(C$9:C9984,C9984))</f>
        <v/>
      </c>
    </row>
    <row r="9985" spans="2:2" x14ac:dyDescent="0.25">
      <c r="B9985" t="str">
        <f>IF(C9985="","",C9985&amp;COUNTIF(C$9:C9985,C9985))</f>
        <v/>
      </c>
    </row>
    <row r="9986" spans="2:2" x14ac:dyDescent="0.25">
      <c r="B9986" t="str">
        <f>IF(C9986="","",C9986&amp;COUNTIF(C$9:C9986,C9986))</f>
        <v/>
      </c>
    </row>
    <row r="9987" spans="2:2" x14ac:dyDescent="0.25">
      <c r="B9987" t="str">
        <f>IF(C9987="","",C9987&amp;COUNTIF(C$9:C9987,C9987))</f>
        <v/>
      </c>
    </row>
    <row r="9988" spans="2:2" x14ac:dyDescent="0.25">
      <c r="B9988" t="str">
        <f>IF(C9988="","",C9988&amp;COUNTIF(C$9:C9988,C9988))</f>
        <v/>
      </c>
    </row>
    <row r="9989" spans="2:2" x14ac:dyDescent="0.25">
      <c r="B9989" t="str">
        <f>IF(C9989="","",C9989&amp;COUNTIF(C$9:C9989,C9989))</f>
        <v/>
      </c>
    </row>
    <row r="9990" spans="2:2" x14ac:dyDescent="0.25">
      <c r="B9990" t="str">
        <f>IF(C9990="","",C9990&amp;COUNTIF(C$9:C9990,C9990))</f>
        <v/>
      </c>
    </row>
    <row r="9991" spans="2:2" x14ac:dyDescent="0.25">
      <c r="B9991" t="str">
        <f>IF(C9991="","",C9991&amp;COUNTIF(C$9:C9991,C9991))</f>
        <v/>
      </c>
    </row>
    <row r="9992" spans="2:2" x14ac:dyDescent="0.25">
      <c r="B9992" t="str">
        <f>IF(C9992="","",C9992&amp;COUNTIF(C$9:C9992,C9992))</f>
        <v/>
      </c>
    </row>
    <row r="9993" spans="2:2" x14ac:dyDescent="0.25">
      <c r="B9993" t="str">
        <f>IF(C9993="","",C9993&amp;COUNTIF(C$9:C9993,C9993))</f>
        <v/>
      </c>
    </row>
    <row r="9994" spans="2:2" x14ac:dyDescent="0.25">
      <c r="B9994" t="str">
        <f>IF(C9994="","",C9994&amp;COUNTIF(C$9:C9994,C9994))</f>
        <v/>
      </c>
    </row>
    <row r="9995" spans="2:2" x14ac:dyDescent="0.25">
      <c r="B9995" t="str">
        <f>IF(C9995="","",C9995&amp;COUNTIF(C$9:C9995,C9995))</f>
        <v/>
      </c>
    </row>
    <row r="9996" spans="2:2" x14ac:dyDescent="0.25">
      <c r="B9996" t="str">
        <f>IF(C9996="","",C9996&amp;COUNTIF(C$9:C9996,C9996))</f>
        <v/>
      </c>
    </row>
    <row r="9997" spans="2:2" x14ac:dyDescent="0.25">
      <c r="B9997" t="str">
        <f>IF(C9997="","",C9997&amp;COUNTIF(C$9:C9997,C9997))</f>
        <v/>
      </c>
    </row>
    <row r="9998" spans="2:2" x14ac:dyDescent="0.25">
      <c r="B9998" t="str">
        <f>IF(C9998="","",C9998&amp;COUNTIF(C$9:C9998,C9998))</f>
        <v/>
      </c>
    </row>
    <row r="9999" spans="2:2" x14ac:dyDescent="0.25">
      <c r="B9999" t="str">
        <f>IF(C9999="","",C9999&amp;COUNTIF(C$9:C9999,C9999))</f>
        <v/>
      </c>
    </row>
    <row r="10000" spans="2:2" x14ac:dyDescent="0.25">
      <c r="B10000" t="str">
        <f>IF(C10000="","",C10000&amp;COUNTIF(C$9:C10000,C10000))</f>
        <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theme="5" tint="-0.249977111117893"/>
  </sheetPr>
  <dimension ref="A1:J72"/>
  <sheetViews>
    <sheetView zoomScale="80" zoomScaleNormal="80" workbookViewId="0">
      <selection activeCell="G5" sqref="G5:G8"/>
    </sheetView>
  </sheetViews>
  <sheetFormatPr defaultColWidth="11.5703125" defaultRowHeight="15" x14ac:dyDescent="0.25"/>
  <cols>
    <col min="1" max="1" width="1.7109375" style="10" customWidth="1"/>
    <col min="2" max="3" width="5.7109375" style="9" customWidth="1"/>
    <col min="4" max="4" width="30.7109375" style="9" customWidth="1"/>
    <col min="5" max="5" width="11.5703125" style="9"/>
    <col min="6" max="6" width="15.5703125" style="9" bestFit="1" customWidth="1"/>
    <col min="7" max="8" width="17.28515625" style="9" customWidth="1"/>
    <col min="9" max="9" width="20.85546875" style="9" bestFit="1" customWidth="1"/>
    <col min="10" max="10" width="11.85546875" style="9" bestFit="1" customWidth="1"/>
    <col min="11" max="16384" width="11.5703125" style="9"/>
  </cols>
  <sheetData>
    <row r="1" spans="2:10" ht="19.899999999999999" customHeight="1" x14ac:dyDescent="0.25"/>
    <row r="2" spans="2:10" ht="19.899999999999999" customHeight="1" x14ac:dyDescent="0.25"/>
    <row r="3" spans="2:10" ht="19.899999999999999" customHeight="1" x14ac:dyDescent="0.25">
      <c r="D3" s="9" t="s">
        <v>21</v>
      </c>
      <c r="F3"/>
      <c r="G3"/>
    </row>
    <row r="4" spans="2:10" ht="19.899999999999999" customHeight="1" thickBot="1" x14ac:dyDescent="0.3">
      <c r="D4" s="20" t="s">
        <v>15</v>
      </c>
      <c r="F4"/>
      <c r="G4"/>
    </row>
    <row r="5" spans="2:10" ht="19.899999999999999" customHeight="1" x14ac:dyDescent="0.25">
      <c r="B5" s="21"/>
      <c r="C5" s="21"/>
      <c r="D5" s="22" t="s">
        <v>20</v>
      </c>
      <c r="F5"/>
    </row>
    <row r="6" spans="2:10" ht="19.899999999999999" customHeight="1" x14ac:dyDescent="0.25">
      <c r="B6" s="21"/>
      <c r="C6" s="21"/>
      <c r="D6" s="23" t="s">
        <v>19</v>
      </c>
      <c r="F6"/>
    </row>
    <row r="7" spans="2:10" ht="19.899999999999999" customHeight="1" x14ac:dyDescent="0.25">
      <c r="B7" s="21"/>
      <c r="C7" s="21"/>
      <c r="D7" s="24" t="s">
        <v>18</v>
      </c>
      <c r="F7"/>
    </row>
    <row r="8" spans="2:10" ht="19.899999999999999" customHeight="1" x14ac:dyDescent="0.25">
      <c r="B8" s="21"/>
      <c r="C8" s="21"/>
      <c r="D8" s="23" t="s">
        <v>23</v>
      </c>
      <c r="F8"/>
    </row>
    <row r="9" spans="2:10" ht="19.899999999999999" customHeight="1" x14ac:dyDescent="0.25">
      <c r="B9" s="21"/>
      <c r="C9" s="21"/>
      <c r="D9" s="26"/>
      <c r="F9"/>
      <c r="G9"/>
    </row>
    <row r="10" spans="2:10" ht="19.899999999999999" customHeight="1" x14ac:dyDescent="0.25">
      <c r="B10" s="21"/>
      <c r="C10" s="21"/>
      <c r="D10" s="27"/>
      <c r="G10"/>
      <c r="H10"/>
      <c r="I10"/>
      <c r="J10"/>
    </row>
    <row r="11" spans="2:10" ht="19.899999999999999" customHeight="1" x14ac:dyDescent="0.25">
      <c r="B11" s="25"/>
      <c r="C11" s="25"/>
      <c r="D11" s="28"/>
      <c r="G11"/>
      <c r="H11"/>
      <c r="I11"/>
      <c r="J11"/>
    </row>
    <row r="12" spans="2:10" ht="19.899999999999999" customHeight="1" x14ac:dyDescent="0.25">
      <c r="B12" s="25"/>
      <c r="C12" s="25"/>
      <c r="D12" s="25"/>
      <c r="G12"/>
      <c r="H12"/>
      <c r="I12"/>
      <c r="J12"/>
    </row>
    <row r="13" spans="2:10" ht="19.899999999999999" customHeight="1" x14ac:dyDescent="0.25">
      <c r="B13" s="25"/>
      <c r="C13" s="25"/>
      <c r="D13" s="25"/>
      <c r="G13"/>
      <c r="H13"/>
      <c r="I13"/>
      <c r="J13"/>
    </row>
    <row r="14" spans="2:10" ht="19.899999999999999" customHeight="1" x14ac:dyDescent="0.25">
      <c r="B14" s="25"/>
      <c r="C14" s="25"/>
      <c r="D14" s="25"/>
      <c r="G14"/>
      <c r="H14"/>
      <c r="I14"/>
      <c r="J14"/>
    </row>
    <row r="15" spans="2:10" ht="19.899999999999999" customHeight="1" x14ac:dyDescent="0.25">
      <c r="G15"/>
      <c r="H15"/>
      <c r="I15"/>
      <c r="J15"/>
    </row>
    <row r="16" spans="2:10" ht="19.899999999999999" customHeight="1" x14ac:dyDescent="0.25">
      <c r="G16"/>
      <c r="H16"/>
      <c r="I16"/>
      <c r="J16"/>
    </row>
    <row r="17" spans="7:10" ht="19.899999999999999" customHeight="1" x14ac:dyDescent="0.25">
      <c r="G17"/>
      <c r="H17"/>
      <c r="I17"/>
      <c r="J17"/>
    </row>
    <row r="18" spans="7:10" ht="19.899999999999999" customHeight="1" x14ac:dyDescent="0.25">
      <c r="G18"/>
      <c r="H18"/>
      <c r="I18"/>
      <c r="J18"/>
    </row>
    <row r="19" spans="7:10" ht="19.899999999999999" customHeight="1" x14ac:dyDescent="0.25">
      <c r="G19"/>
      <c r="H19"/>
      <c r="I19"/>
      <c r="J19"/>
    </row>
    <row r="20" spans="7:10" ht="19.899999999999999" customHeight="1" x14ac:dyDescent="0.25">
      <c r="G20"/>
      <c r="H20"/>
      <c r="I20"/>
      <c r="J20"/>
    </row>
    <row r="21" spans="7:10" ht="19.899999999999999" customHeight="1" x14ac:dyDescent="0.25">
      <c r="G21"/>
      <c r="H21"/>
      <c r="I21"/>
    </row>
    <row r="22" spans="7:10" ht="19.899999999999999" customHeight="1" x14ac:dyDescent="0.25"/>
    <row r="23" spans="7:10" ht="19.899999999999999" customHeight="1" x14ac:dyDescent="0.25"/>
    <row r="24" spans="7:10" ht="19.899999999999999" customHeight="1" x14ac:dyDescent="0.25"/>
    <row r="25" spans="7:10" ht="19.899999999999999" customHeight="1" x14ac:dyDescent="0.25"/>
    <row r="26" spans="7:10" ht="19.899999999999999" customHeight="1" x14ac:dyDescent="0.25"/>
    <row r="27" spans="7:10" ht="19.899999999999999" customHeight="1" x14ac:dyDescent="0.25"/>
    <row r="28" spans="7:10" ht="19.899999999999999" customHeight="1" x14ac:dyDescent="0.25"/>
    <row r="29" spans="7:10" ht="19.899999999999999" customHeight="1" x14ac:dyDescent="0.25"/>
    <row r="30" spans="7:10" ht="19.899999999999999" customHeight="1" x14ac:dyDescent="0.25"/>
    <row r="31" spans="7:10" ht="19.899999999999999" customHeight="1" x14ac:dyDescent="0.25"/>
    <row r="32" spans="7:10" ht="19.899999999999999" customHeight="1" x14ac:dyDescent="0.25"/>
    <row r="33" ht="19.899999999999999" customHeight="1" x14ac:dyDescent="0.25"/>
    <row r="34" ht="19.899999999999999" customHeight="1" x14ac:dyDescent="0.25"/>
    <row r="35" ht="19.899999999999999" customHeight="1" x14ac:dyDescent="0.25"/>
    <row r="36" ht="19.899999999999999" customHeight="1" x14ac:dyDescent="0.25"/>
    <row r="37" ht="19.899999999999999" customHeight="1" x14ac:dyDescent="0.25"/>
    <row r="38" ht="19.899999999999999" customHeight="1" x14ac:dyDescent="0.25"/>
    <row r="39" ht="19.899999999999999" customHeight="1" x14ac:dyDescent="0.25"/>
    <row r="40" ht="19.899999999999999" customHeight="1" x14ac:dyDescent="0.25"/>
    <row r="41" ht="19.899999999999999" customHeight="1" x14ac:dyDescent="0.25"/>
    <row r="42" ht="19.899999999999999" customHeight="1" x14ac:dyDescent="0.25"/>
    <row r="43" ht="19.899999999999999" customHeight="1" x14ac:dyDescent="0.25"/>
    <row r="44" ht="19.899999999999999" customHeight="1" x14ac:dyDescent="0.25"/>
    <row r="45" ht="19.899999999999999" customHeight="1" x14ac:dyDescent="0.25"/>
    <row r="46" ht="19.899999999999999" customHeight="1" x14ac:dyDescent="0.25"/>
    <row r="47" ht="19.899999999999999" customHeight="1" x14ac:dyDescent="0.25"/>
    <row r="48" ht="19.899999999999999" customHeight="1" x14ac:dyDescent="0.25"/>
    <row r="49" ht="19.899999999999999" customHeight="1" x14ac:dyDescent="0.25"/>
    <row r="50" ht="19.899999999999999" customHeight="1" x14ac:dyDescent="0.25"/>
    <row r="51" ht="19.899999999999999" customHeight="1" x14ac:dyDescent="0.25"/>
    <row r="52" ht="19.899999999999999" customHeight="1" x14ac:dyDescent="0.25"/>
    <row r="53" ht="19.899999999999999" customHeight="1" x14ac:dyDescent="0.25"/>
    <row r="54" ht="19.899999999999999" customHeight="1" x14ac:dyDescent="0.25"/>
    <row r="55" ht="19.899999999999999" customHeight="1" x14ac:dyDescent="0.25"/>
    <row r="56" ht="19.899999999999999" customHeight="1" x14ac:dyDescent="0.25"/>
    <row r="57" ht="19.899999999999999" customHeight="1" x14ac:dyDescent="0.25"/>
    <row r="58" ht="19.899999999999999" customHeight="1" x14ac:dyDescent="0.25"/>
    <row r="59" ht="19.899999999999999" customHeight="1" x14ac:dyDescent="0.25"/>
    <row r="60" ht="19.899999999999999" customHeight="1" x14ac:dyDescent="0.25"/>
    <row r="61" ht="19.899999999999999" customHeight="1" x14ac:dyDescent="0.25"/>
    <row r="62" ht="19.899999999999999" customHeight="1" x14ac:dyDescent="0.25"/>
    <row r="63" ht="19.899999999999999" customHeight="1" x14ac:dyDescent="0.25"/>
    <row r="64" ht="19.899999999999999" customHeight="1" x14ac:dyDescent="0.25"/>
    <row r="65" ht="19.899999999999999" customHeight="1" x14ac:dyDescent="0.25"/>
    <row r="66" ht="19.899999999999999" customHeight="1" x14ac:dyDescent="0.25"/>
    <row r="67" ht="19.899999999999999" customHeight="1" x14ac:dyDescent="0.25"/>
    <row r="68" ht="19.899999999999999" customHeight="1" x14ac:dyDescent="0.25"/>
    <row r="69" ht="19.899999999999999" customHeight="1" x14ac:dyDescent="0.25"/>
    <row r="70" ht="19.899999999999999" customHeight="1" x14ac:dyDescent="0.25"/>
    <row r="71" ht="19.899999999999999" customHeight="1" x14ac:dyDescent="0.25"/>
    <row r="72" ht="19.899999999999999" customHeight="1"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theme="5"/>
  </sheetPr>
  <dimension ref="B4:D7"/>
  <sheetViews>
    <sheetView topLeftCell="A4" workbookViewId="0">
      <selection activeCell="G16" sqref="G16"/>
    </sheetView>
  </sheetViews>
  <sheetFormatPr defaultColWidth="11.5703125" defaultRowHeight="15" x14ac:dyDescent="0.25"/>
  <sheetData>
    <row r="4" spans="2:4" x14ac:dyDescent="0.25">
      <c r="B4" t="s">
        <v>13</v>
      </c>
      <c r="D4" t="s">
        <v>25</v>
      </c>
    </row>
    <row r="5" spans="2:4" ht="44.25" customHeight="1" x14ac:dyDescent="0.25">
      <c r="B5" t="s">
        <v>11</v>
      </c>
      <c r="D5" s="57" t="s">
        <v>22</v>
      </c>
    </row>
    <row r="6" spans="2:4" ht="50.25" customHeight="1" x14ac:dyDescent="0.25">
      <c r="B6" t="s">
        <v>10</v>
      </c>
      <c r="D6" s="57" t="s">
        <v>26</v>
      </c>
    </row>
    <row r="7" spans="2:4" x14ac:dyDescent="0.25">
      <c r="B7" t="s">
        <v>12</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0?@>A 0720=85  4>A:8/ @>5:B ><5@  7040G8 A?>;=8B5;L 040G8 @8>@8B5B !B0@B >=5F !@>:8 !B0BCA AB0;>AL  4=59 K?>;=5=>  2  A@>: 0720=85  4>A:8/ @>5:B ><5@  7040G8 A?>;=8B5;L 040G8 @8>@8B5B !B0@B >=5F !@>:8 !B0BCA AB0;>AL  4=59 K?>;=5=>  2  A@>: 
</file>

<file path=customXml/item3.xml>�� 
</file>

<file path=customXml/item4.xml>�� 0?@>A 
</file>

<file path=customXml/item5.xml>�� 0?@>A 
</file>

<file path=customXml/item6.xml>�� 
</file>

<file path=customXml/item7.xml>�� 0?@>A 
</file>

<file path=customXml/item8.xml>�� 0?@>A 0?@>A 0?@>A 0720=85  4>A:8/ @>5:B 0?@>A ><5@  7040G8 0?@>A A?>;=8B5;L 0?@>A 040G8 0?@>A @8>@8B5B 0?@>A !B0@B 0?@>A >=5F 0?@>A !@>:8 0?@>A !B0BCA 0?@>A AB0;>AL  4=59 0?@>A K?>;=5=>  2  A@>: 0?@>A !B0@B 0?@>A 0?@>A 0?@>A 0720=85  4>A:8/ @>5:B 0?@>A ><5@  7040G8 0?@>A A?>;=8B5;L 0?@>A 040G8 0?@>A @8>@8B5B 0?@>A !B0@B 0?@>A >=5F 0?@>A !@>:8 0?@>A !B0BCA 0?@>A AB0;>AL  4=59 0?@>A K?>;=5=>  2  A@>: 0?@>A 0?@>A 0720=85  4>A:8/ @>5:B ><5@  7040G8 A?>;=8B5;L 040G8 @8>@8B5B !B0@B >=5F !@>:8 !B0BCA AB0;>AL  4=59 K?>;=5=>  2  A@>: 0720=85  4>A:8/ @>5:B ><5@  7040G8 A?>;=8B5;L 040G8 @8>@8B5B !B0@B >=5F !@>:8 !B0BCA AB0;>AL  4=59 K?>;=5=>  2  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4DD1464D-F155-4EF3-80C0-70517388F6F6}">
  <ds:schemaRefs/>
</ds:datastoreItem>
</file>

<file path=customXml/itemProps2.xml><?xml version="1.0" encoding="utf-8"?>
<ds:datastoreItem xmlns:ds="http://schemas.openxmlformats.org/officeDocument/2006/customXml" ds:itemID="{E72BDCE1-3211-41CD-89F1-AEC39868DBB0}">
  <ds:schemaRefs/>
</ds:datastoreItem>
</file>

<file path=customXml/itemProps3.xml><?xml version="1.0" encoding="utf-8"?>
<ds:datastoreItem xmlns:ds="http://schemas.openxmlformats.org/officeDocument/2006/customXml" ds:itemID="{EF97F6AA-4328-4E9D-ADC2-BBB353C8A847}">
  <ds:schemaRefs/>
</ds:datastoreItem>
</file>

<file path=customXml/itemProps4.xml><?xml version="1.0" encoding="utf-8"?>
<ds:datastoreItem xmlns:ds="http://schemas.openxmlformats.org/officeDocument/2006/customXml" ds:itemID="{C2B7A517-FB91-49D7-9341-877645351308}">
  <ds:schemaRefs/>
</ds:datastoreItem>
</file>

<file path=customXml/itemProps5.xml><?xml version="1.0" encoding="utf-8"?>
<ds:datastoreItem xmlns:ds="http://schemas.openxmlformats.org/officeDocument/2006/customXml" ds:itemID="{1237E617-81AD-4503-864E-909419F33577}">
  <ds:schemaRefs/>
</ds:datastoreItem>
</file>

<file path=customXml/itemProps6.xml><?xml version="1.0" encoding="utf-8"?>
<ds:datastoreItem xmlns:ds="http://schemas.openxmlformats.org/officeDocument/2006/customXml" ds:itemID="{83EDEDD4-8237-4A3C-9CD2-F96618249832}">
  <ds:schemaRefs/>
</ds:datastoreItem>
</file>

<file path=customXml/itemProps7.xml><?xml version="1.0" encoding="utf-8"?>
<ds:datastoreItem xmlns:ds="http://schemas.openxmlformats.org/officeDocument/2006/customXml" ds:itemID="{8218AAF9-A7F2-4A86-BE53-BFD2355BA4A9}">
  <ds:schemaRefs/>
</ds:datastoreItem>
</file>

<file path=customXml/itemProps8.xml><?xml version="1.0" encoding="utf-8"?>
<ds:datastoreItem xmlns:ds="http://schemas.openxmlformats.org/officeDocument/2006/customXml" ds:itemID="{52C6794C-B1D3-4612-BEA4-697CC0A68069}">
  <ds:schemaRefs/>
</ds:datastoreItem>
</file>

<file path=customXml/itemProps9.xml><?xml version="1.0" encoding="utf-8"?>
<ds:datastoreItem xmlns:ds="http://schemas.openxmlformats.org/officeDocument/2006/customXml" ds:itemID="{C85D98E0-5447-4394-B406-A8E05DF73A37}">
  <ds:schemaRefs/>
</ds:datastoreItem>
</file>

<file path=customXml/itemProps10.xml><?xml version="1.0" encoding="utf-8"?>
<ds:datastoreItem xmlns:ds="http://schemas.openxmlformats.org/officeDocument/2006/customXml" ds:itemID="{A6A7253F-275B-4CCA-9596-5A25827E4022}">
  <ds:schemaRefs/>
</ds:datastoreItem>
</file>

<file path=customXml/itemProps11.xml><?xml version="1.0" encoding="utf-8"?>
<ds:datastoreItem xmlns:ds="http://schemas.openxmlformats.org/officeDocument/2006/customXml" ds:itemID="{A46E759D-161D-4291-B2B4-3A321D99BBE1}">
  <ds:schemaRefs/>
</ds:datastoreItem>
</file>

<file path=customXml/itemProps12.xml><?xml version="1.0" encoding="utf-8"?>
<ds:datastoreItem xmlns:ds="http://schemas.openxmlformats.org/officeDocument/2006/customXml" ds:itemID="{C13AAED8-4375-4D2B-8E44-F3C36983408B}">
  <ds:schemaRefs/>
</ds:datastoreItem>
</file>

<file path=customXml/itemProps13.xml><?xml version="1.0" encoding="utf-8"?>
<ds:datastoreItem xmlns:ds="http://schemas.openxmlformats.org/officeDocument/2006/customXml" ds:itemID="{40CCA688-7CB1-41A3-974A-D41816958E77}">
  <ds:schemaRefs/>
</ds:datastoreItem>
</file>

<file path=customXml/itemProps14.xml><?xml version="1.0" encoding="utf-8"?>
<ds:datastoreItem xmlns:ds="http://schemas.openxmlformats.org/officeDocument/2006/customXml" ds:itemID="{02097EE0-2079-4A6E-BEC8-0C22E4965162}">
  <ds:schemaRefs/>
</ds:datastoreItem>
</file>

<file path=customXml/itemProps15.xml><?xml version="1.0" encoding="utf-8"?>
<ds:datastoreItem xmlns:ds="http://schemas.openxmlformats.org/officeDocument/2006/customXml" ds:itemID="{D2903D72-EA4E-41F3-A5E1-2D38B8881A6C}">
  <ds:schemaRefs/>
</ds:datastoreItem>
</file>

<file path=customXml/itemProps16.xml><?xml version="1.0" encoding="utf-8"?>
<ds:datastoreItem xmlns:ds="http://schemas.openxmlformats.org/officeDocument/2006/customXml" ds:itemID="{6270BEC3-747D-4597-8976-85D70AE2251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1</vt:i4>
      </vt:variant>
    </vt:vector>
  </HeadingPairs>
  <TitlesOfParts>
    <vt:vector size="7" baseType="lpstr">
      <vt:lpstr>Сводовая</vt:lpstr>
      <vt:lpstr>Стена задач</vt:lpstr>
      <vt:lpstr>Календарь задач</vt:lpstr>
      <vt:lpstr>Aux</vt:lpstr>
      <vt:lpstr>Aux2</vt:lpstr>
      <vt:lpstr>List</vt:lpstr>
      <vt:lpstr>'Календарь задач'!Область_печати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2021-12-10T11:28:36Z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7</vt:i4>
  </property>
</Properties>
</file>